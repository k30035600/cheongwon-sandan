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1.공통부문(2026년)\"/>
    </mc:Choice>
  </mc:AlternateContent>
  <xr:revisionPtr revIDLastSave="0" documentId="13_ncr:1_{3BDFBBD6-8BA6-421A-B8AA-BBD6C74C8FA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토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7" i="6" l="1"/>
  <c r="I1061" i="6"/>
  <c r="I1054" i="6"/>
  <c r="G1069" i="6"/>
  <c r="G1068" i="6"/>
  <c r="G1067" i="6"/>
  <c r="G1066" i="6"/>
  <c r="G1063" i="6"/>
  <c r="G1062" i="6"/>
  <c r="G1061" i="6"/>
  <c r="G1060" i="6"/>
  <c r="G1059" i="6"/>
  <c r="G1056" i="6"/>
  <c r="G1055" i="6"/>
  <c r="G1054" i="6"/>
  <c r="G1053" i="6"/>
  <c r="G1044" i="6"/>
  <c r="G1043" i="6"/>
  <c r="G1038" i="6"/>
  <c r="G1037" i="6"/>
  <c r="G1030" i="6"/>
  <c r="G1029" i="6"/>
  <c r="G1036" i="6"/>
  <c r="G1041" i="6"/>
  <c r="G1035" i="6"/>
  <c r="G1027" i="6"/>
  <c r="G1034" i="6"/>
  <c r="G1033" i="6"/>
  <c r="G1042" i="6"/>
  <c r="G1028" i="6"/>
  <c r="I1019" i="6"/>
  <c r="I1018" i="6"/>
  <c r="I1020" i="6" s="1"/>
  <c r="I1022" i="6" s="1"/>
  <c r="I754" i="6"/>
  <c r="G754" i="6"/>
  <c r="I753" i="6"/>
  <c r="G753" i="6"/>
  <c r="I752" i="6"/>
  <c r="G752" i="6"/>
  <c r="I751" i="6"/>
  <c r="G751" i="6"/>
  <c r="I1059" i="6" l="1"/>
  <c r="I1060" i="6"/>
  <c r="I1063" i="6"/>
  <c r="I1068" i="6"/>
  <c r="I1055" i="6"/>
  <c r="I1056" i="6"/>
  <c r="I1062" i="6"/>
  <c r="I1066" i="6"/>
  <c r="I1053" i="6"/>
  <c r="I1057" i="6" s="1"/>
  <c r="I1069" i="6"/>
  <c r="G1064" i="6"/>
  <c r="G1070" i="6"/>
  <c r="G1057" i="6"/>
  <c r="G1045" i="6"/>
  <c r="G1031" i="6"/>
  <c r="G1039" i="6"/>
  <c r="G1018" i="6"/>
  <c r="G1019" i="6"/>
  <c r="G755" i="6"/>
  <c r="I755" i="6"/>
  <c r="I756" i="6" s="1"/>
  <c r="I758" i="6" s="1"/>
  <c r="G1008" i="6"/>
  <c r="I1007" i="6"/>
  <c r="I999" i="6"/>
  <c r="G997" i="6"/>
  <c r="G989" i="6"/>
  <c r="I988" i="6"/>
  <c r="G979" i="6"/>
  <c r="I978" i="6"/>
  <c r="I977" i="6"/>
  <c r="G968" i="6"/>
  <c r="G967" i="6"/>
  <c r="G964" i="6"/>
  <c r="G963" i="6"/>
  <c r="G960" i="6"/>
  <c r="G961" i="6" s="1"/>
  <c r="G951" i="6"/>
  <c r="G942" i="6"/>
  <c r="G933" i="6"/>
  <c r="G932" i="6"/>
  <c r="G931" i="6"/>
  <c r="G928" i="6"/>
  <c r="G927" i="6"/>
  <c r="G926" i="6"/>
  <c r="G925" i="6"/>
  <c r="G922" i="6"/>
  <c r="G921" i="6"/>
  <c r="G920" i="6"/>
  <c r="G912" i="6"/>
  <c r="G911" i="6"/>
  <c r="G906" i="6"/>
  <c r="G898" i="6"/>
  <c r="G899" i="6" s="1"/>
  <c r="G895" i="6"/>
  <c r="G894" i="6"/>
  <c r="G893" i="6"/>
  <c r="G890" i="6"/>
  <c r="G891" i="6" s="1"/>
  <c r="G882" i="6"/>
  <c r="G883" i="6" s="1"/>
  <c r="G879" i="6"/>
  <c r="G878" i="6"/>
  <c r="G877" i="6"/>
  <c r="G876" i="6"/>
  <c r="G875" i="6"/>
  <c r="G872" i="6"/>
  <c r="G873" i="6" s="1"/>
  <c r="G863" i="6"/>
  <c r="G862" i="6"/>
  <c r="G861" i="6"/>
  <c r="G858" i="6"/>
  <c r="G857" i="6"/>
  <c r="G856" i="6"/>
  <c r="G855" i="6"/>
  <c r="G851" i="6"/>
  <c r="G843" i="6"/>
  <c r="G842" i="6"/>
  <c r="G841" i="6"/>
  <c r="G838" i="6"/>
  <c r="G837" i="6"/>
  <c r="G836" i="6"/>
  <c r="G835" i="6"/>
  <c r="G834" i="6"/>
  <c r="G833" i="6"/>
  <c r="G830" i="6"/>
  <c r="G829" i="6"/>
  <c r="G821" i="6"/>
  <c r="G822" i="6" s="1"/>
  <c r="G818" i="6"/>
  <c r="G817" i="6"/>
  <c r="G816" i="6"/>
  <c r="G813" i="6"/>
  <c r="G814" i="6" s="1"/>
  <c r="M803" i="6"/>
  <c r="G802" i="6"/>
  <c r="M800" i="6"/>
  <c r="M799" i="6"/>
  <c r="G796" i="6"/>
  <c r="M795" i="6"/>
  <c r="G794" i="6"/>
  <c r="M793" i="6"/>
  <c r="G792" i="6"/>
  <c r="M790" i="6"/>
  <c r="M789" i="6"/>
  <c r="G785" i="6"/>
  <c r="M782" i="6"/>
  <c r="G773" i="6"/>
  <c r="G774" i="6" s="1"/>
  <c r="G770" i="6"/>
  <c r="G769" i="6"/>
  <c r="G768" i="6"/>
  <c r="G765" i="6"/>
  <c r="G766" i="6" s="1"/>
  <c r="I741" i="6"/>
  <c r="I742" i="6" s="1"/>
  <c r="G738" i="6"/>
  <c r="I737" i="6"/>
  <c r="I732" i="6"/>
  <c r="G721" i="6"/>
  <c r="G720" i="6"/>
  <c r="G711" i="6"/>
  <c r="G710" i="6"/>
  <c r="G709" i="6"/>
  <c r="G706" i="6"/>
  <c r="G705" i="6"/>
  <c r="G704" i="6"/>
  <c r="G703" i="6"/>
  <c r="G702" i="6"/>
  <c r="G701" i="6"/>
  <c r="G697" i="6"/>
  <c r="G696" i="6"/>
  <c r="I682" i="6"/>
  <c r="K670" i="6"/>
  <c r="G659" i="6"/>
  <c r="G658" i="6"/>
  <c r="G649" i="6"/>
  <c r="G650" i="6" s="1"/>
  <c r="G646" i="6"/>
  <c r="G647" i="6" s="1"/>
  <c r="G643" i="6"/>
  <c r="G644" i="6" s="1"/>
  <c r="G633" i="6"/>
  <c r="G634" i="6" s="1"/>
  <c r="G629" i="6"/>
  <c r="G628" i="6"/>
  <c r="G625" i="6"/>
  <c r="G626" i="6" s="1"/>
  <c r="G614" i="6"/>
  <c r="I608" i="6"/>
  <c r="I609" i="6" s="1"/>
  <c r="M600" i="6"/>
  <c r="M601" i="6" s="1"/>
  <c r="G597" i="6"/>
  <c r="G598" i="6" s="1"/>
  <c r="M594" i="6"/>
  <c r="M595" i="6" s="1"/>
  <c r="G583" i="6"/>
  <c r="G581" i="6"/>
  <c r="K577" i="6"/>
  <c r="K575" i="6"/>
  <c r="G571" i="6"/>
  <c r="G570" i="6"/>
  <c r="G569" i="6"/>
  <c r="G559" i="6"/>
  <c r="G558" i="6"/>
  <c r="G557" i="6"/>
  <c r="G556" i="6"/>
  <c r="G553" i="6"/>
  <c r="G552" i="6"/>
  <c r="G551" i="6"/>
  <c r="G550" i="6"/>
  <c r="G549" i="6"/>
  <c r="G548" i="6"/>
  <c r="G545" i="6"/>
  <c r="G544" i="6"/>
  <c r="G543" i="6"/>
  <c r="G542" i="6"/>
  <c r="G533" i="6"/>
  <c r="G532" i="6"/>
  <c r="G531" i="6"/>
  <c r="G528" i="6"/>
  <c r="G527" i="6"/>
  <c r="G526" i="6"/>
  <c r="G525" i="6"/>
  <c r="G524" i="6"/>
  <c r="G521" i="6"/>
  <c r="G520" i="6"/>
  <c r="G519" i="6"/>
  <c r="G510" i="6"/>
  <c r="G509" i="6"/>
  <c r="G508" i="6"/>
  <c r="G507" i="6"/>
  <c r="G504" i="6"/>
  <c r="G503" i="6"/>
  <c r="G502" i="6"/>
  <c r="G501" i="6"/>
  <c r="G500" i="6"/>
  <c r="G499" i="6"/>
  <c r="G496" i="6"/>
  <c r="G495" i="6"/>
  <c r="G494" i="6"/>
  <c r="G493" i="6"/>
  <c r="G484" i="6"/>
  <c r="G483" i="6"/>
  <c r="G482" i="6"/>
  <c r="G479" i="6"/>
  <c r="G478" i="6"/>
  <c r="G477" i="6"/>
  <c r="G476" i="6"/>
  <c r="G475" i="6"/>
  <c r="G472" i="6"/>
  <c r="G471" i="6"/>
  <c r="G470" i="6"/>
  <c r="K458" i="6"/>
  <c r="M457" i="6"/>
  <c r="G456" i="6"/>
  <c r="G453" i="6"/>
  <c r="G454" i="6" s="1"/>
  <c r="M444" i="6"/>
  <c r="M445" i="6" s="1"/>
  <c r="M441" i="6"/>
  <c r="M440" i="6"/>
  <c r="G439" i="6"/>
  <c r="M436" i="6"/>
  <c r="M437" i="6" s="1"/>
  <c r="G425" i="6"/>
  <c r="G424" i="6"/>
  <c r="G423" i="6"/>
  <c r="G420" i="6"/>
  <c r="G419" i="6"/>
  <c r="G418" i="6"/>
  <c r="G417" i="6"/>
  <c r="G414" i="6"/>
  <c r="G413" i="6"/>
  <c r="G412" i="6"/>
  <c r="G403" i="6"/>
  <c r="G404" i="6" s="1"/>
  <c r="G400" i="6"/>
  <c r="G401" i="6" s="1"/>
  <c r="G397" i="6"/>
  <c r="G398" i="6" s="1"/>
  <c r="I388" i="6"/>
  <c r="G386" i="6"/>
  <c r="G385" i="6"/>
  <c r="G382" i="6"/>
  <c r="I381" i="6"/>
  <c r="I380" i="6"/>
  <c r="G378" i="6"/>
  <c r="G374" i="6"/>
  <c r="I373" i="6"/>
  <c r="I372" i="6"/>
  <c r="G360" i="6"/>
  <c r="G356" i="6"/>
  <c r="G355" i="6"/>
  <c r="I354" i="6"/>
  <c r="I350" i="6"/>
  <c r="I349" i="6"/>
  <c r="G349" i="6"/>
  <c r="I348" i="6"/>
  <c r="G348" i="6"/>
  <c r="I347" i="6"/>
  <c r="G347" i="6"/>
  <c r="G339" i="6"/>
  <c r="G338" i="6"/>
  <c r="G337" i="6"/>
  <c r="G336" i="6"/>
  <c r="G335" i="6"/>
  <c r="G332" i="6"/>
  <c r="G331" i="6"/>
  <c r="G330" i="6"/>
  <c r="G329" i="6"/>
  <c r="G328" i="6"/>
  <c r="G325" i="6"/>
  <c r="G324" i="6"/>
  <c r="G323" i="6"/>
  <c r="G315" i="6"/>
  <c r="G314" i="6"/>
  <c r="G311" i="6"/>
  <c r="G310" i="6"/>
  <c r="G309" i="6"/>
  <c r="G308" i="6"/>
  <c r="G305" i="6"/>
  <c r="G304" i="6"/>
  <c r="G303" i="6"/>
  <c r="G302" i="6"/>
  <c r="G294" i="6"/>
  <c r="G293" i="6"/>
  <c r="G290" i="6"/>
  <c r="G289" i="6"/>
  <c r="G288" i="6"/>
  <c r="G287" i="6"/>
  <c r="G284" i="6"/>
  <c r="G283" i="6"/>
  <c r="G275" i="6"/>
  <c r="G274" i="6"/>
  <c r="G271" i="6"/>
  <c r="G270" i="6"/>
  <c r="G269" i="6"/>
  <c r="G268" i="6"/>
  <c r="G265" i="6"/>
  <c r="G264" i="6"/>
  <c r="G256" i="6"/>
  <c r="G255" i="6"/>
  <c r="G252" i="6"/>
  <c r="G251" i="6"/>
  <c r="G250" i="6"/>
  <c r="G249" i="6"/>
  <c r="G246" i="6"/>
  <c r="G245" i="6"/>
  <c r="G237" i="6"/>
  <c r="G236" i="6"/>
  <c r="G233" i="6"/>
  <c r="G232" i="6"/>
  <c r="G231" i="6"/>
  <c r="G230" i="6"/>
  <c r="G227" i="6"/>
  <c r="G226" i="6"/>
  <c r="G218" i="6"/>
  <c r="G217" i="6"/>
  <c r="G216" i="6"/>
  <c r="G213" i="6"/>
  <c r="G212" i="6"/>
  <c r="G211" i="6"/>
  <c r="G210" i="6"/>
  <c r="G207" i="6"/>
  <c r="G206" i="6"/>
  <c r="G198" i="6"/>
  <c r="G197" i="6"/>
  <c r="G196" i="6"/>
  <c r="G193" i="6"/>
  <c r="G192" i="6"/>
  <c r="G191" i="6"/>
  <c r="G190" i="6"/>
  <c r="G187" i="6"/>
  <c r="G186" i="6"/>
  <c r="M176" i="6"/>
  <c r="M175" i="6"/>
  <c r="G172" i="6"/>
  <c r="G173" i="6" s="1"/>
  <c r="G160" i="6"/>
  <c r="M159" i="6"/>
  <c r="M156" i="6"/>
  <c r="M157" i="6" s="1"/>
  <c r="M153" i="6"/>
  <c r="M154" i="6" s="1"/>
  <c r="G142" i="6"/>
  <c r="G141" i="6"/>
  <c r="K138" i="6"/>
  <c r="K137" i="6"/>
  <c r="G123" i="6"/>
  <c r="G122" i="6"/>
  <c r="G119" i="6"/>
  <c r="K114" i="6"/>
  <c r="M103" i="6"/>
  <c r="M104" i="6" s="1"/>
  <c r="M100" i="6"/>
  <c r="M101" i="6" s="1"/>
  <c r="G97" i="6"/>
  <c r="G98" i="6" s="1"/>
  <c r="I87" i="6"/>
  <c r="K86" i="6"/>
  <c r="M83" i="6"/>
  <c r="M84" i="6" s="1"/>
  <c r="G80" i="6"/>
  <c r="G81" i="6" s="1"/>
  <c r="I70" i="6"/>
  <c r="I69" i="6"/>
  <c r="I68" i="6"/>
  <c r="G65" i="6"/>
  <c r="G64" i="6"/>
  <c r="G63" i="6"/>
  <c r="K60" i="6"/>
  <c r="K59" i="6"/>
  <c r="K58" i="6"/>
  <c r="G48" i="6"/>
  <c r="G47" i="6"/>
  <c r="G46" i="6"/>
  <c r="I43" i="6"/>
  <c r="I42" i="6"/>
  <c r="I41" i="6"/>
  <c r="K38" i="6"/>
  <c r="K37" i="6"/>
  <c r="K36" i="6"/>
  <c r="K26" i="6"/>
  <c r="M25" i="6"/>
  <c r="M22" i="6"/>
  <c r="I21" i="6"/>
  <c r="K20" i="6"/>
  <c r="M16" i="6"/>
  <c r="M7" i="6"/>
  <c r="M8" i="6" s="1"/>
  <c r="M10" i="6" s="1"/>
  <c r="M11" i="6" s="1"/>
  <c r="I1070" i="6" l="1"/>
  <c r="I1064" i="6"/>
  <c r="G1072" i="6"/>
  <c r="G1073" i="6" s="1"/>
  <c r="G1020" i="6"/>
  <c r="G1022" i="6" s="1"/>
  <c r="G306" i="6"/>
  <c r="G1047" i="6"/>
  <c r="K139" i="6"/>
  <c r="G188" i="6"/>
  <c r="G852" i="6"/>
  <c r="G853" i="6" s="1"/>
  <c r="G266" i="6"/>
  <c r="G238" i="6"/>
  <c r="G175" i="6"/>
  <c r="K175" i="6"/>
  <c r="I175" i="6"/>
  <c r="G103" i="6"/>
  <c r="G104" i="6" s="1"/>
  <c r="K793" i="6"/>
  <c r="G782" i="6"/>
  <c r="I782" i="6"/>
  <c r="K799" i="6"/>
  <c r="G965" i="6"/>
  <c r="G59" i="6"/>
  <c r="I59" i="6"/>
  <c r="I942" i="6"/>
  <c r="K41" i="6"/>
  <c r="K172" i="6"/>
  <c r="K173" i="6" s="1"/>
  <c r="G253" i="6"/>
  <c r="I571" i="6"/>
  <c r="K942" i="6"/>
  <c r="G66" i="6"/>
  <c r="G228" i="6"/>
  <c r="K571" i="6"/>
  <c r="G373" i="6"/>
  <c r="G153" i="6"/>
  <c r="G154" i="6" s="1"/>
  <c r="G58" i="6"/>
  <c r="G793" i="6"/>
  <c r="G934" i="6"/>
  <c r="I614" i="6"/>
  <c r="K153" i="6"/>
  <c r="K154" i="6" s="1"/>
  <c r="I58" i="6"/>
  <c r="G124" i="6"/>
  <c r="G546" i="6"/>
  <c r="I793" i="6"/>
  <c r="G560" i="6"/>
  <c r="G457" i="6"/>
  <c r="G137" i="6"/>
  <c r="I597" i="6"/>
  <c r="I598" i="6" s="1"/>
  <c r="G234" i="6"/>
  <c r="I628" i="6"/>
  <c r="G978" i="6"/>
  <c r="K43" i="6"/>
  <c r="K159" i="6"/>
  <c r="G176" i="6"/>
  <c r="G600" i="6"/>
  <c r="G601" i="6" s="1"/>
  <c r="I83" i="6"/>
  <c r="I84" i="6" s="1"/>
  <c r="G138" i="6"/>
  <c r="M794" i="6"/>
  <c r="I138" i="6"/>
  <c r="K682" i="6"/>
  <c r="K160" i="6"/>
  <c r="G756" i="6"/>
  <c r="G758" i="6" s="1"/>
  <c r="I36" i="6"/>
  <c r="K61" i="6"/>
  <c r="K64" i="6"/>
  <c r="I385" i="6"/>
  <c r="K444" i="6"/>
  <c r="K445" i="6" s="1"/>
  <c r="I796" i="6"/>
  <c r="G923" i="6"/>
  <c r="M80" i="6"/>
  <c r="M81" i="6" s="1"/>
  <c r="I457" i="6"/>
  <c r="K22" i="6"/>
  <c r="G60" i="6"/>
  <c r="G276" i="6"/>
  <c r="I356" i="6"/>
  <c r="I458" i="6"/>
  <c r="I25" i="6"/>
  <c r="M458" i="6"/>
  <c r="K83" i="6"/>
  <c r="K84" i="6" s="1"/>
  <c r="I64" i="6"/>
  <c r="G219" i="6"/>
  <c r="G333" i="6"/>
  <c r="I792" i="6"/>
  <c r="K796" i="6"/>
  <c r="I989" i="6"/>
  <c r="I22" i="6"/>
  <c r="K42" i="6"/>
  <c r="I137" i="6"/>
  <c r="I60" i="6"/>
  <c r="I738" i="6"/>
  <c r="G608" i="6"/>
  <c r="G609" i="6" s="1"/>
  <c r="K792" i="6"/>
  <c r="G839" i="6"/>
  <c r="G83" i="6"/>
  <c r="G84" i="6" s="1"/>
  <c r="I153" i="6"/>
  <c r="I154" i="6" s="1"/>
  <c r="G660" i="6"/>
  <c r="G662" i="6" s="1"/>
  <c r="G663" i="6" s="1"/>
  <c r="I799" i="6"/>
  <c r="G913" i="6"/>
  <c r="I44" i="6"/>
  <c r="G272" i="6"/>
  <c r="G819" i="6"/>
  <c r="G824" i="6" s="1"/>
  <c r="G16" i="6"/>
  <c r="K21" i="6"/>
  <c r="I7" i="6"/>
  <c r="I8" i="6" s="1"/>
  <c r="I10" i="6" s="1"/>
  <c r="I11" i="6" s="1"/>
  <c r="K39" i="6"/>
  <c r="G37" i="6"/>
  <c r="G41" i="6"/>
  <c r="G42" i="6"/>
  <c r="G43" i="6"/>
  <c r="G49" i="6"/>
  <c r="K48" i="6"/>
  <c r="K63" i="6"/>
  <c r="K68" i="6"/>
  <c r="I80" i="6"/>
  <c r="I81" i="6" s="1"/>
  <c r="I97" i="6"/>
  <c r="I98" i="6" s="1"/>
  <c r="I100" i="6"/>
  <c r="I101" i="6" s="1"/>
  <c r="I122" i="6"/>
  <c r="I123" i="6"/>
  <c r="I141" i="6"/>
  <c r="K142" i="6"/>
  <c r="M177" i="6"/>
  <c r="G295" i="6"/>
  <c r="G312" i="6"/>
  <c r="I351" i="6"/>
  <c r="I355" i="6"/>
  <c r="G372" i="6"/>
  <c r="I378" i="6"/>
  <c r="G381" i="6"/>
  <c r="I386" i="6"/>
  <c r="I439" i="6"/>
  <c r="I440" i="6"/>
  <c r="I453" i="6"/>
  <c r="I454" i="6" s="1"/>
  <c r="M456" i="6"/>
  <c r="K457" i="6"/>
  <c r="G522" i="6"/>
  <c r="I569" i="6"/>
  <c r="K570" i="6"/>
  <c r="K594" i="6"/>
  <c r="K595" i="6" s="1"/>
  <c r="K597" i="6"/>
  <c r="K598" i="6" s="1"/>
  <c r="I600" i="6"/>
  <c r="I601" i="6" s="1"/>
  <c r="I625" i="6"/>
  <c r="I626" i="6" s="1"/>
  <c r="I633" i="6"/>
  <c r="I634" i="6" s="1"/>
  <c r="G741" i="6"/>
  <c r="G742" i="6" s="1"/>
  <c r="K782" i="6"/>
  <c r="I785" i="6"/>
  <c r="I789" i="6"/>
  <c r="I802" i="6"/>
  <c r="I803" i="6"/>
  <c r="G969" i="6"/>
  <c r="I979" i="6"/>
  <c r="I980" i="6" s="1"/>
  <c r="I982" i="6" s="1"/>
  <c r="I997" i="6"/>
  <c r="G1007" i="6"/>
  <c r="I71" i="6"/>
  <c r="G7" i="6"/>
  <c r="G8" i="6" s="1"/>
  <c r="G10" i="6" s="1"/>
  <c r="G11" i="6" s="1"/>
  <c r="I16" i="6"/>
  <c r="K7" i="6"/>
  <c r="K8" i="6" s="1"/>
  <c r="K10" i="6" s="1"/>
  <c r="K11" i="6" s="1"/>
  <c r="G22" i="6"/>
  <c r="G25" i="6"/>
  <c r="G36" i="6"/>
  <c r="I37" i="6"/>
  <c r="K80" i="6"/>
  <c r="K81" i="6" s="1"/>
  <c r="K97" i="6"/>
  <c r="K98" i="6" s="1"/>
  <c r="K100" i="6"/>
  <c r="K101" i="6" s="1"/>
  <c r="K122" i="6"/>
  <c r="K123" i="6"/>
  <c r="K141" i="6"/>
  <c r="I160" i="6"/>
  <c r="I172" i="6"/>
  <c r="I173" i="6" s="1"/>
  <c r="G340" i="6"/>
  <c r="I360" i="6"/>
  <c r="I374" i="6"/>
  <c r="G426" i="6"/>
  <c r="K439" i="6"/>
  <c r="K440" i="6"/>
  <c r="K453" i="6"/>
  <c r="K454" i="6" s="1"/>
  <c r="G505" i="6"/>
  <c r="K569" i="6"/>
  <c r="K600" i="6"/>
  <c r="K601" i="6" s="1"/>
  <c r="I629" i="6"/>
  <c r="K785" i="6"/>
  <c r="K789" i="6"/>
  <c r="G799" i="6"/>
  <c r="K802" i="6"/>
  <c r="K803" i="6"/>
  <c r="G831" i="6"/>
  <c r="G194" i="6"/>
  <c r="G257" i="6"/>
  <c r="G480" i="6"/>
  <c r="G722" i="6"/>
  <c r="G724" i="6" s="1"/>
  <c r="G725" i="6" s="1"/>
  <c r="I48" i="6"/>
  <c r="I63" i="6"/>
  <c r="G68" i="6"/>
  <c r="G100" i="6"/>
  <c r="G101" i="6" s="1"/>
  <c r="I142" i="6"/>
  <c r="G208" i="6"/>
  <c r="I382" i="6"/>
  <c r="G440" i="6"/>
  <c r="K456" i="6"/>
  <c r="G497" i="6"/>
  <c r="I570" i="6"/>
  <c r="G789" i="6"/>
  <c r="G803" i="6"/>
  <c r="G977" i="6"/>
  <c r="I1008" i="6"/>
  <c r="G291" i="6"/>
  <c r="G415" i="6"/>
  <c r="M26" i="6"/>
  <c r="M27" i="6" s="1"/>
  <c r="K118" i="6"/>
  <c r="I118" i="6"/>
  <c r="K134" i="6"/>
  <c r="I134" i="6"/>
  <c r="K169" i="6"/>
  <c r="K170" i="6" s="1"/>
  <c r="I169" i="6"/>
  <c r="I170" i="6" s="1"/>
  <c r="G326" i="6"/>
  <c r="I461" i="6"/>
  <c r="I462" i="6" s="1"/>
  <c r="K461" i="6"/>
  <c r="K462" i="6" s="1"/>
  <c r="G461" i="6"/>
  <c r="G462" i="6" s="1"/>
  <c r="G679" i="6"/>
  <c r="G680" i="6" s="1"/>
  <c r="K679" i="6"/>
  <c r="K680" i="6" s="1"/>
  <c r="I679" i="6"/>
  <c r="I680" i="6" s="1"/>
  <c r="I683" i="6"/>
  <c r="K683" i="6"/>
  <c r="G683" i="6"/>
  <c r="G20" i="6"/>
  <c r="M21" i="6"/>
  <c r="G26" i="6"/>
  <c r="I47" i="6"/>
  <c r="G70" i="6"/>
  <c r="G86" i="6"/>
  <c r="I115" i="6"/>
  <c r="G115" i="6"/>
  <c r="G134" i="6"/>
  <c r="G350" i="6"/>
  <c r="G351" i="6" s="1"/>
  <c r="G354" i="6"/>
  <c r="G380" i="6"/>
  <c r="I387" i="6"/>
  <c r="G387" i="6"/>
  <c r="G485" i="6"/>
  <c r="I574" i="6"/>
  <c r="G574" i="6"/>
  <c r="K574" i="6"/>
  <c r="G652" i="6"/>
  <c r="G653" i="6" s="1"/>
  <c r="G859" i="6"/>
  <c r="I948" i="6"/>
  <c r="G948" i="6"/>
  <c r="K952" i="6"/>
  <c r="I952" i="6"/>
  <c r="G952" i="6"/>
  <c r="G953" i="6" s="1"/>
  <c r="K16" i="6"/>
  <c r="I20" i="6"/>
  <c r="G21" i="6"/>
  <c r="K25" i="6"/>
  <c r="K27" i="6" s="1"/>
  <c r="I26" i="6"/>
  <c r="G38" i="6"/>
  <c r="I46" i="6"/>
  <c r="K47" i="6"/>
  <c r="I65" i="6"/>
  <c r="G69" i="6"/>
  <c r="K70" i="6"/>
  <c r="I86" i="6"/>
  <c r="I88" i="6" s="1"/>
  <c r="K87" i="6"/>
  <c r="K88" i="6" s="1"/>
  <c r="K103" i="6"/>
  <c r="K104" i="6" s="1"/>
  <c r="I103" i="6"/>
  <c r="I104" i="6" s="1"/>
  <c r="K115" i="6"/>
  <c r="K116" i="6" s="1"/>
  <c r="K119" i="6"/>
  <c r="I119" i="6"/>
  <c r="K133" i="6"/>
  <c r="I133" i="6"/>
  <c r="G143" i="6"/>
  <c r="K156" i="6"/>
  <c r="K157" i="6" s="1"/>
  <c r="I156" i="6"/>
  <c r="I157" i="6" s="1"/>
  <c r="M169" i="6"/>
  <c r="M170" i="6" s="1"/>
  <c r="I375" i="6"/>
  <c r="G375" i="6"/>
  <c r="I436" i="6"/>
  <c r="I437" i="6" s="1"/>
  <c r="G436" i="6"/>
  <c r="G437" i="6" s="1"/>
  <c r="K441" i="6"/>
  <c r="I441" i="6"/>
  <c r="G534" i="6"/>
  <c r="K948" i="6"/>
  <c r="M20" i="6"/>
  <c r="G214" i="6"/>
  <c r="G316" i="6"/>
  <c r="I361" i="6"/>
  <c r="G361" i="6"/>
  <c r="G362" i="6" s="1"/>
  <c r="I576" i="6"/>
  <c r="G576" i="6"/>
  <c r="K576" i="6"/>
  <c r="K581" i="6"/>
  <c r="I581" i="6"/>
  <c r="G87" i="6"/>
  <c r="G118" i="6"/>
  <c r="G120" i="6" s="1"/>
  <c r="G169" i="6"/>
  <c r="G170" i="6" s="1"/>
  <c r="M461" i="6"/>
  <c r="M462" i="6" s="1"/>
  <c r="G999" i="6"/>
  <c r="I38" i="6"/>
  <c r="K46" i="6"/>
  <c r="K65" i="6"/>
  <c r="K69" i="6"/>
  <c r="M86" i="6"/>
  <c r="M87" i="6"/>
  <c r="I114" i="6"/>
  <c r="I116" i="6" s="1"/>
  <c r="G114" i="6"/>
  <c r="G116" i="6" s="1"/>
  <c r="G133" i="6"/>
  <c r="G156" i="6"/>
  <c r="G157" i="6" s="1"/>
  <c r="I159" i="6"/>
  <c r="G159" i="6"/>
  <c r="G161" i="6" s="1"/>
  <c r="K176" i="6"/>
  <c r="I176" i="6"/>
  <c r="G199" i="6"/>
  <c r="G247" i="6"/>
  <c r="G285" i="6"/>
  <c r="I353" i="6"/>
  <c r="G353" i="6"/>
  <c r="I357" i="6"/>
  <c r="G357" i="6"/>
  <c r="I379" i="6"/>
  <c r="G379" i="6"/>
  <c r="G388" i="6"/>
  <c r="G406" i="6"/>
  <c r="G407" i="6" s="1"/>
  <c r="G421" i="6"/>
  <c r="K436" i="6"/>
  <c r="K437" i="6" s="1"/>
  <c r="G441" i="6"/>
  <c r="I444" i="6"/>
  <c r="I445" i="6" s="1"/>
  <c r="G444" i="6"/>
  <c r="G445" i="6" s="1"/>
  <c r="G473" i="6"/>
  <c r="I578" i="6"/>
  <c r="G578" i="6"/>
  <c r="K578" i="6"/>
  <c r="K583" i="6"/>
  <c r="I583" i="6"/>
  <c r="I630" i="6"/>
  <c r="G630" i="6"/>
  <c r="G631" i="6" s="1"/>
  <c r="G636" i="6" s="1"/>
  <c r="G637" i="6" s="1"/>
  <c r="I670" i="6"/>
  <c r="G670" i="6"/>
  <c r="K687" i="6"/>
  <c r="K688" i="6" s="1"/>
  <c r="I687" i="6"/>
  <c r="I688" i="6" s="1"/>
  <c r="G687" i="6"/>
  <c r="G688" i="6" s="1"/>
  <c r="G712" i="6"/>
  <c r="I736" i="6"/>
  <c r="G736" i="6"/>
  <c r="K783" i="6"/>
  <c r="I783" i="6"/>
  <c r="M783" i="6"/>
  <c r="G783" i="6"/>
  <c r="G844" i="6"/>
  <c r="G880" i="6"/>
  <c r="G885" i="6" s="1"/>
  <c r="G907" i="6"/>
  <c r="I946" i="6"/>
  <c r="G946" i="6"/>
  <c r="K946" i="6"/>
  <c r="M97" i="6"/>
  <c r="M98" i="6" s="1"/>
  <c r="M106" i="6" s="1"/>
  <c r="M107" i="6" s="1"/>
  <c r="M160" i="6"/>
  <c r="M161" i="6" s="1"/>
  <c r="M163" i="6" s="1"/>
  <c r="M164" i="6" s="1"/>
  <c r="M172" i="6"/>
  <c r="M173" i="6" s="1"/>
  <c r="M439" i="6"/>
  <c r="M442" i="6" s="1"/>
  <c r="M447" i="6" s="1"/>
  <c r="M448" i="6" s="1"/>
  <c r="M453" i="6"/>
  <c r="M454" i="6" s="1"/>
  <c r="G511" i="6"/>
  <c r="G529" i="6"/>
  <c r="G554" i="6"/>
  <c r="K582" i="6"/>
  <c r="I582" i="6"/>
  <c r="I611" i="6"/>
  <c r="I612" i="6" s="1"/>
  <c r="G611" i="6"/>
  <c r="G612" i="6" s="1"/>
  <c r="I671" i="6"/>
  <c r="G671" i="6"/>
  <c r="I684" i="6"/>
  <c r="K684" i="6"/>
  <c r="G771" i="6"/>
  <c r="G776" i="6" s="1"/>
  <c r="I784" i="6"/>
  <c r="G784" i="6"/>
  <c r="M784" i="6"/>
  <c r="G896" i="6"/>
  <c r="G901" i="6" s="1"/>
  <c r="G929" i="6"/>
  <c r="I456" i="6"/>
  <c r="G458" i="6"/>
  <c r="G572" i="6"/>
  <c r="I575" i="6"/>
  <c r="G575" i="6"/>
  <c r="I577" i="6"/>
  <c r="G577" i="6"/>
  <c r="G582" i="6"/>
  <c r="G584" i="6" s="1"/>
  <c r="I594" i="6"/>
  <c r="I595" i="6" s="1"/>
  <c r="G594" i="6"/>
  <c r="G595" i="6" s="1"/>
  <c r="I615" i="6"/>
  <c r="G615" i="6"/>
  <c r="G616" i="6" s="1"/>
  <c r="K671" i="6"/>
  <c r="K672" i="6" s="1"/>
  <c r="K674" i="6" s="1"/>
  <c r="K675" i="6" s="1"/>
  <c r="G684" i="6"/>
  <c r="G732" i="6"/>
  <c r="K784" i="6"/>
  <c r="I791" i="6"/>
  <c r="G791" i="6"/>
  <c r="M791" i="6"/>
  <c r="K791" i="6"/>
  <c r="I801" i="6"/>
  <c r="G801" i="6"/>
  <c r="M801" i="6"/>
  <c r="K801" i="6"/>
  <c r="I987" i="6"/>
  <c r="G987" i="6"/>
  <c r="I1009" i="6"/>
  <c r="G1009" i="6"/>
  <c r="M597" i="6"/>
  <c r="M598" i="6" s="1"/>
  <c r="M603" i="6" s="1"/>
  <c r="M604" i="6" s="1"/>
  <c r="G707" i="6"/>
  <c r="K790" i="6"/>
  <c r="I790" i="6"/>
  <c r="I795" i="6"/>
  <c r="G795" i="6"/>
  <c r="K800" i="6"/>
  <c r="I800" i="6"/>
  <c r="G864" i="6"/>
  <c r="I947" i="6"/>
  <c r="G947" i="6"/>
  <c r="G682" i="6"/>
  <c r="G698" i="6"/>
  <c r="G699" i="6" s="1"/>
  <c r="G737" i="6"/>
  <c r="G790" i="6"/>
  <c r="K794" i="6"/>
  <c r="I794" i="6"/>
  <c r="K795" i="6"/>
  <c r="G800" i="6"/>
  <c r="G908" i="6"/>
  <c r="K947" i="6"/>
  <c r="K951" i="6"/>
  <c r="I951" i="6"/>
  <c r="G988" i="6"/>
  <c r="I998" i="6"/>
  <c r="G998" i="6"/>
  <c r="M785" i="6"/>
  <c r="M792" i="6"/>
  <c r="M796" i="6"/>
  <c r="M802" i="6"/>
  <c r="I1072" i="6" l="1"/>
  <c r="I1073" i="6" s="1"/>
  <c r="K161" i="6"/>
  <c r="K442" i="6"/>
  <c r="G177" i="6"/>
  <c r="I177" i="6"/>
  <c r="I1000" i="6"/>
  <c r="I1002" i="6" s="1"/>
  <c r="K177" i="6"/>
  <c r="I616" i="6"/>
  <c r="I618" i="6" s="1"/>
  <c r="I619" i="6" s="1"/>
  <c r="M804" i="6"/>
  <c r="G139" i="6"/>
  <c r="I953" i="6"/>
  <c r="K953" i="6"/>
  <c r="G459" i="6"/>
  <c r="G464" i="6" s="1"/>
  <c r="G465" i="6" s="1"/>
  <c r="I66" i="6"/>
  <c r="G971" i="6"/>
  <c r="I139" i="6"/>
  <c r="I61" i="6"/>
  <c r="G936" i="6"/>
  <c r="G536" i="6"/>
  <c r="G537" i="6" s="1"/>
  <c r="I49" i="6"/>
  <c r="G797" i="6"/>
  <c r="G106" i="6"/>
  <c r="G107" i="6" s="1"/>
  <c r="I603" i="6"/>
  <c r="I604" i="6" s="1"/>
  <c r="I631" i="6"/>
  <c r="I636" i="6" s="1"/>
  <c r="I637" i="6" s="1"/>
  <c r="K804" i="6"/>
  <c r="I797" i="6"/>
  <c r="K44" i="6"/>
  <c r="I39" i="6"/>
  <c r="I786" i="6"/>
  <c r="I787" i="6" s="1"/>
  <c r="G297" i="6"/>
  <c r="M459" i="6"/>
  <c r="M464" i="6" s="1"/>
  <c r="M465" i="6" s="1"/>
  <c r="G278" i="6"/>
  <c r="G562" i="6"/>
  <c r="G563" i="6" s="1"/>
  <c r="G980" i="6"/>
  <c r="G982" i="6" s="1"/>
  <c r="G61" i="6"/>
  <c r="G603" i="6"/>
  <c r="G604" i="6" s="1"/>
  <c r="G846" i="6"/>
  <c r="G201" i="6"/>
  <c r="I143" i="6"/>
  <c r="G240" i="6"/>
  <c r="G786" i="6"/>
  <c r="G787" i="6" s="1"/>
  <c r="I672" i="6"/>
  <c r="I674" i="6" s="1"/>
  <c r="I675" i="6" s="1"/>
  <c r="K90" i="6"/>
  <c r="K91" i="6" s="1"/>
  <c r="K106" i="6"/>
  <c r="K107" i="6" s="1"/>
  <c r="K143" i="6"/>
  <c r="K66" i="6"/>
  <c r="K23" i="6"/>
  <c r="G1010" i="6"/>
  <c r="G1012" i="6" s="1"/>
  <c r="G376" i="6"/>
  <c r="I442" i="6"/>
  <c r="I447" i="6" s="1"/>
  <c r="I448" i="6" s="1"/>
  <c r="K447" i="6"/>
  <c r="K448" i="6" s="1"/>
  <c r="K124" i="6"/>
  <c r="G513" i="6"/>
  <c r="G514" i="6" s="1"/>
  <c r="G685" i="6"/>
  <c r="G690" i="6" s="1"/>
  <c r="G691" i="6" s="1"/>
  <c r="G909" i="6"/>
  <c r="G915" i="6" s="1"/>
  <c r="G383" i="6"/>
  <c r="I161" i="6"/>
  <c r="I163" i="6" s="1"/>
  <c r="I164" i="6" s="1"/>
  <c r="I90" i="6"/>
  <c r="I91" i="6" s="1"/>
  <c r="G342" i="6"/>
  <c r="K135" i="6"/>
  <c r="I27" i="6"/>
  <c r="I106" i="6"/>
  <c r="I107" i="6" s="1"/>
  <c r="I459" i="6"/>
  <c r="I464" i="6" s="1"/>
  <c r="I465" i="6" s="1"/>
  <c r="I383" i="6"/>
  <c r="I389" i="6"/>
  <c r="K17" i="6"/>
  <c r="K18" i="6" s="1"/>
  <c r="G179" i="6"/>
  <c r="G180" i="6" s="1"/>
  <c r="G358" i="6"/>
  <c r="G364" i="6" s="1"/>
  <c r="I135" i="6"/>
  <c r="G44" i="6"/>
  <c r="I990" i="6"/>
  <c r="I992" i="6" s="1"/>
  <c r="I804" i="6"/>
  <c r="G221" i="6"/>
  <c r="K163" i="6"/>
  <c r="K164" i="6" s="1"/>
  <c r="I1010" i="6"/>
  <c r="I1012" i="6" s="1"/>
  <c r="G27" i="6"/>
  <c r="G714" i="6"/>
  <c r="G715" i="6" s="1"/>
  <c r="K685" i="6"/>
  <c r="K690" i="6" s="1"/>
  <c r="K691" i="6" s="1"/>
  <c r="G618" i="6"/>
  <c r="G619" i="6" s="1"/>
  <c r="M88" i="6"/>
  <c r="M90" i="6" s="1"/>
  <c r="M91" i="6" s="1"/>
  <c r="I362" i="6"/>
  <c r="I376" i="6"/>
  <c r="G39" i="6"/>
  <c r="G51" i="6" s="1"/>
  <c r="G52" i="6" s="1"/>
  <c r="G71" i="6"/>
  <c r="I685" i="6"/>
  <c r="I690" i="6" s="1"/>
  <c r="I691" i="6" s="1"/>
  <c r="K572" i="6"/>
  <c r="I124" i="6"/>
  <c r="M797" i="6"/>
  <c r="K584" i="6"/>
  <c r="G804" i="6"/>
  <c r="G442" i="6"/>
  <c r="G447" i="6" s="1"/>
  <c r="G448" i="6" s="1"/>
  <c r="G389" i="6"/>
  <c r="G259" i="6"/>
  <c r="G163" i="6"/>
  <c r="G164" i="6" s="1"/>
  <c r="G126" i="6"/>
  <c r="G127" i="6" s="1"/>
  <c r="K71" i="6"/>
  <c r="G1000" i="6"/>
  <c r="G1002" i="6" s="1"/>
  <c r="G318" i="6"/>
  <c r="K459" i="6"/>
  <c r="K464" i="6" s="1"/>
  <c r="K465" i="6" s="1"/>
  <c r="I572" i="6"/>
  <c r="K603" i="6"/>
  <c r="K604" i="6" s="1"/>
  <c r="I949" i="6"/>
  <c r="I943" i="6"/>
  <c r="I944" i="6" s="1"/>
  <c r="G739" i="6"/>
  <c r="G733" i="6"/>
  <c r="G734" i="6" s="1"/>
  <c r="I739" i="6"/>
  <c r="I733" i="6"/>
  <c r="I734" i="6" s="1"/>
  <c r="I744" i="6" s="1"/>
  <c r="I745" i="6" s="1"/>
  <c r="G487" i="6"/>
  <c r="G488" i="6" s="1"/>
  <c r="K579" i="6"/>
  <c r="I120" i="6"/>
  <c r="K949" i="6"/>
  <c r="K943" i="6"/>
  <c r="K944" i="6" s="1"/>
  <c r="I358" i="6"/>
  <c r="K49" i="6"/>
  <c r="M17" i="6"/>
  <c r="M18" i="6" s="1"/>
  <c r="M23" i="6"/>
  <c r="I23" i="6"/>
  <c r="I17" i="6"/>
  <c r="I18" i="6" s="1"/>
  <c r="G579" i="6"/>
  <c r="G586" i="6" s="1"/>
  <c r="G587" i="6" s="1"/>
  <c r="K120" i="6"/>
  <c r="G428" i="6"/>
  <c r="G429" i="6" s="1"/>
  <c r="M786" i="6"/>
  <c r="M787" i="6" s="1"/>
  <c r="G990" i="6"/>
  <c r="G992" i="6" s="1"/>
  <c r="G866" i="6"/>
  <c r="G23" i="6"/>
  <c r="G17" i="6"/>
  <c r="G18" i="6" s="1"/>
  <c r="I179" i="6"/>
  <c r="I180" i="6" s="1"/>
  <c r="K179" i="6"/>
  <c r="K180" i="6" s="1"/>
  <c r="K786" i="6"/>
  <c r="K787" i="6" s="1"/>
  <c r="K797" i="6"/>
  <c r="G943" i="6"/>
  <c r="G944" i="6" s="1"/>
  <c r="G949" i="6"/>
  <c r="G672" i="6"/>
  <c r="G674" i="6" s="1"/>
  <c r="G675" i="6" s="1"/>
  <c r="G135" i="6"/>
  <c r="I584" i="6"/>
  <c r="M179" i="6"/>
  <c r="M180" i="6" s="1"/>
  <c r="I579" i="6"/>
  <c r="G88" i="6"/>
  <c r="G90" i="6" s="1"/>
  <c r="G91" i="6" s="1"/>
  <c r="G145" i="6" l="1"/>
  <c r="G146" i="6" s="1"/>
  <c r="G744" i="6"/>
  <c r="G745" i="6" s="1"/>
  <c r="I806" i="6"/>
  <c r="I807" i="6" s="1"/>
  <c r="I73" i="6"/>
  <c r="I74" i="6" s="1"/>
  <c r="K29" i="6"/>
  <c r="I51" i="6"/>
  <c r="I52" i="6" s="1"/>
  <c r="I145" i="6"/>
  <c r="I146" i="6" s="1"/>
  <c r="M806" i="6"/>
  <c r="M807" i="6" s="1"/>
  <c r="G29" i="6"/>
  <c r="G391" i="6"/>
  <c r="G392" i="6" s="1"/>
  <c r="G806" i="6"/>
  <c r="G807" i="6" s="1"/>
  <c r="K73" i="6"/>
  <c r="K74" i="6" s="1"/>
  <c r="K51" i="6"/>
  <c r="K52" i="6" s="1"/>
  <c r="K145" i="6"/>
  <c r="K146" i="6" s="1"/>
  <c r="I364" i="6"/>
  <c r="G73" i="6"/>
  <c r="G74" i="6" s="1"/>
  <c r="I126" i="6"/>
  <c r="I127" i="6" s="1"/>
  <c r="I391" i="6"/>
  <c r="I392" i="6" s="1"/>
  <c r="K126" i="6"/>
  <c r="K127" i="6" s="1"/>
  <c r="I586" i="6"/>
  <c r="I587" i="6" s="1"/>
  <c r="M29" i="6"/>
  <c r="K586" i="6"/>
  <c r="K587" i="6" s="1"/>
  <c r="I955" i="6"/>
  <c r="I29" i="6"/>
  <c r="K806" i="6"/>
  <c r="K807" i="6" s="1"/>
  <c r="G955" i="6"/>
  <c r="K955" i="6"/>
</calcChain>
</file>

<file path=xl/sharedStrings.xml><?xml version="1.0" encoding="utf-8"?>
<sst xmlns="http://schemas.openxmlformats.org/spreadsheetml/2006/main" count="2134" uniqueCount="292">
  <si>
    <t>공기압축기</t>
  </si>
  <si>
    <t>특별인부</t>
    <phoneticPr fontId="5" type="noConversion"/>
  </si>
  <si>
    <t>대형브레이커</t>
  </si>
  <si>
    <t>형틀목공</t>
  </si>
  <si>
    <t>보통인부</t>
  </si>
  <si>
    <t>잠수부</t>
  </si>
  <si>
    <t>크레인(무한궤도)</t>
  </si>
  <si>
    <t>착암공</t>
  </si>
  <si>
    <t>철근공</t>
  </si>
  <si>
    <t>80㎏</t>
  </si>
  <si>
    <t>0.2㎥</t>
  </si>
  <si>
    <t>진동롤러(자주식)</t>
  </si>
  <si>
    <t>0.6㎥</t>
  </si>
  <si>
    <t>특별인부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</si>
  <si>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</si>
  <si>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</si>
  <si>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</si>
  <si>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</si>
  <si>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</si>
  <si>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</si>
  <si>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공구손료</t>
    <phoneticPr fontId="5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</si>
  <si>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</si>
  <si>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</si>
  <si>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</si>
  <si>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</si>
  <si>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보통인부</t>
    <phoneticPr fontId="5" type="noConversion"/>
  </si>
  <si>
    <t>합   계</t>
    <phoneticPr fontId="3" type="noConversion"/>
  </si>
  <si>
    <t>5ton</t>
  </si>
  <si>
    <t>hr</t>
    <phoneticPr fontId="3" type="noConversion"/>
  </si>
  <si>
    <t>식</t>
    <phoneticPr fontId="3" type="noConversion"/>
  </si>
  <si>
    <t>(㎡당)</t>
    <phoneticPr fontId="5" type="noConversion"/>
  </si>
  <si>
    <t>규격</t>
    <phoneticPr fontId="5" type="noConversion"/>
  </si>
  <si>
    <t>금액</t>
    <phoneticPr fontId="5" type="noConversion"/>
  </si>
  <si>
    <t>인</t>
    <phoneticPr fontId="5" type="noConversion"/>
  </si>
  <si>
    <t>10ton</t>
    <phoneticPr fontId="5" type="noConversion"/>
  </si>
  <si>
    <t>10ton</t>
  </si>
  <si>
    <t>15ton</t>
    <phoneticPr fontId="3" type="noConversion"/>
  </si>
  <si>
    <t>크레인(타이어)</t>
  </si>
  <si>
    <t>크레인(타이어)</t>
    <phoneticPr fontId="5" type="noConversion"/>
  </si>
  <si>
    <t>hr</t>
  </si>
  <si>
    <t>10ton</t>
    <phoneticPr fontId="3" type="noConversion"/>
  </si>
  <si>
    <t>제3장 토공사</t>
    <phoneticPr fontId="3" type="noConversion"/>
  </si>
  <si>
    <t>(㎥당)</t>
    <phoneticPr fontId="5" type="noConversion"/>
  </si>
  <si>
    <t>고사점토 및
자갈 섞인 토사</t>
    <phoneticPr fontId="5" type="noConversion"/>
  </si>
  <si>
    <t>풍화암</t>
    <phoneticPr fontId="5" type="noConversion"/>
  </si>
  <si>
    <t>연암</t>
    <phoneticPr fontId="5" type="noConversion"/>
  </si>
  <si>
    <t>보통암</t>
    <phoneticPr fontId="5" type="noConversion"/>
  </si>
  <si>
    <t>경암</t>
    <phoneticPr fontId="5" type="noConversion"/>
  </si>
  <si>
    <t>7.1㎥/min</t>
  </si>
  <si>
    <t>잡재료비</t>
    <phoneticPr fontId="5" type="noConversion"/>
  </si>
  <si>
    <t>인력품의 1%</t>
    <phoneticPr fontId="3" type="noConversion"/>
  </si>
  <si>
    <t>소형브레이커</t>
  </si>
  <si>
    <t>1.3㎥/min</t>
  </si>
  <si>
    <t>단위</t>
    <phoneticPr fontId="5" type="noConversion"/>
  </si>
  <si>
    <t>수량</t>
    <phoneticPr fontId="5" type="noConversion"/>
  </si>
  <si>
    <t>유압식크롤러드릴</t>
    <phoneticPr fontId="5" type="noConversion"/>
  </si>
  <si>
    <t>110㎾</t>
    <phoneticPr fontId="5" type="noConversion"/>
  </si>
  <si>
    <t>hr</t>
    <phoneticPr fontId="5" type="noConversion"/>
  </si>
  <si>
    <t>발전기</t>
    <phoneticPr fontId="5" type="noConversion"/>
  </si>
  <si>
    <t>25㎾</t>
    <phoneticPr fontId="5" type="noConversion"/>
  </si>
  <si>
    <t>1.0㎥</t>
    <phoneticPr fontId="5" type="noConversion"/>
  </si>
  <si>
    <t>식</t>
    <phoneticPr fontId="5" type="noConversion"/>
  </si>
  <si>
    <t>기계설비공</t>
    <phoneticPr fontId="5" type="noConversion"/>
  </si>
  <si>
    <t>유압식할암기</t>
    <phoneticPr fontId="5" type="noConversion"/>
  </si>
  <si>
    <t>Ø80㎜</t>
    <phoneticPr fontId="5" type="noConversion"/>
  </si>
  <si>
    <t>대형브레이커</t>
    <phoneticPr fontId="5" type="noConversion"/>
  </si>
  <si>
    <t>화약취급공</t>
    <phoneticPr fontId="5" type="noConversion"/>
  </si>
  <si>
    <t>단가</t>
    <phoneticPr fontId="5" type="noConversion"/>
  </si>
  <si>
    <t>폭약</t>
    <phoneticPr fontId="5" type="noConversion"/>
  </si>
  <si>
    <t>뇌관</t>
    <phoneticPr fontId="5" type="noConversion"/>
  </si>
  <si>
    <t>개</t>
    <phoneticPr fontId="5" type="noConversion"/>
  </si>
  <si>
    <t>비트</t>
    <phoneticPr fontId="5" type="noConversion"/>
  </si>
  <si>
    <t>공기압축기</t>
    <phoneticPr fontId="5" type="noConversion"/>
  </si>
  <si>
    <t>10.3㎥/min</t>
    <phoneticPr fontId="5" type="noConversion"/>
  </si>
  <si>
    <t>착암공</t>
    <phoneticPr fontId="5" type="noConversion"/>
  </si>
  <si>
    <t>소형브레이커</t>
    <phoneticPr fontId="5" type="noConversion"/>
  </si>
  <si>
    <t>2.7㎥/min</t>
    <phoneticPr fontId="5" type="noConversion"/>
  </si>
  <si>
    <t>㎏</t>
    <phoneticPr fontId="5" type="noConversion"/>
  </si>
  <si>
    <t>우물통발파</t>
    <phoneticPr fontId="5" type="noConversion"/>
  </si>
  <si>
    <t>폭약</t>
  </si>
  <si>
    <t>뇌관</t>
  </si>
  <si>
    <t>비트</t>
  </si>
  <si>
    <t>우물통발파 이외</t>
    <phoneticPr fontId="5" type="noConversion"/>
  </si>
  <si>
    <t>(10㎥당)</t>
    <phoneticPr fontId="5" type="noConversion"/>
  </si>
  <si>
    <t>구분</t>
    <phoneticPr fontId="5" type="noConversion"/>
  </si>
  <si>
    <t>0.2㎥</t>
    <phoneticPr fontId="5" type="noConversion"/>
  </si>
  <si>
    <t>살수차</t>
    <phoneticPr fontId="5" type="noConversion"/>
  </si>
  <si>
    <t>5,500ℓ</t>
    <phoneticPr fontId="5" type="noConversion"/>
  </si>
  <si>
    <t>진동롤러(핸드가이드식)</t>
    <phoneticPr fontId="5" type="noConversion"/>
  </si>
  <si>
    <t>0.7ton</t>
    <phoneticPr fontId="5" type="noConversion"/>
  </si>
  <si>
    <t>진동롤러</t>
    <phoneticPr fontId="5" type="noConversion"/>
  </si>
  <si>
    <t>4인 1조</t>
    <phoneticPr fontId="3" type="noConversion"/>
  </si>
  <si>
    <t>플레이트콤팩터</t>
    <phoneticPr fontId="5" type="noConversion"/>
  </si>
  <si>
    <t>1.5ton</t>
    <phoneticPr fontId="5" type="noConversion"/>
  </si>
  <si>
    <t>0.2㎥</t>
    <phoneticPr fontId="3" type="noConversion"/>
  </si>
  <si>
    <t>조경공</t>
    <phoneticPr fontId="5" type="noConversion"/>
  </si>
  <si>
    <t>양족식롤러(자주식)</t>
    <phoneticPr fontId="5" type="noConversion"/>
  </si>
  <si>
    <t>중급기술자</t>
    <phoneticPr fontId="5" type="noConversion"/>
  </si>
  <si>
    <t>보링공</t>
    <phoneticPr fontId="5" type="noConversion"/>
  </si>
  <si>
    <t>뿜어붙이기 두께 t=10㎝이하</t>
    <phoneticPr fontId="5" type="noConversion"/>
  </si>
  <si>
    <t>앵커핀</t>
    <phoneticPr fontId="5" type="noConversion"/>
  </si>
  <si>
    <t>착지핀</t>
    <phoneticPr fontId="5" type="noConversion"/>
  </si>
  <si>
    <t>부착망</t>
    <phoneticPr fontId="5" type="noConversion"/>
  </si>
  <si>
    <t>㎡</t>
    <phoneticPr fontId="5" type="noConversion"/>
  </si>
  <si>
    <t>철선</t>
    <phoneticPr fontId="5" type="noConversion"/>
  </si>
  <si>
    <t>#8, PVC코팅</t>
    <phoneticPr fontId="5" type="noConversion"/>
  </si>
  <si>
    <t>m</t>
    <phoneticPr fontId="5" type="noConversion"/>
  </si>
  <si>
    <t>트럽탑재형크레인</t>
    <phoneticPr fontId="5" type="noConversion"/>
  </si>
  <si>
    <t>5ton</t>
    <phoneticPr fontId="5" type="noConversion"/>
  </si>
  <si>
    <t>재료비의 3%</t>
    <phoneticPr fontId="5" type="noConversion"/>
  </si>
  <si>
    <t>가. 기계기구 설치 및 해체</t>
    <phoneticPr fontId="5" type="noConversion"/>
  </si>
  <si>
    <t>(회당)</t>
    <phoneticPr fontId="5" type="noConversion"/>
  </si>
  <si>
    <t>21㎥/min</t>
    <phoneticPr fontId="5" type="noConversion"/>
  </si>
  <si>
    <t>물탱크</t>
    <phoneticPr fontId="5" type="noConversion"/>
  </si>
  <si>
    <t>덤프트럭</t>
    <phoneticPr fontId="5" type="noConversion"/>
  </si>
  <si>
    <t>6ton</t>
    <phoneticPr fontId="5" type="noConversion"/>
  </si>
  <si>
    <t>취부기(녹생토)</t>
    <phoneticPr fontId="5" type="noConversion"/>
  </si>
  <si>
    <t>18.65㎾</t>
    <phoneticPr fontId="5" type="noConversion"/>
  </si>
  <si>
    <t>크롤러드릴(공기식)</t>
    <phoneticPr fontId="5" type="noConversion"/>
  </si>
  <si>
    <t>17㎥/min</t>
    <phoneticPr fontId="5" type="noConversion"/>
  </si>
  <si>
    <t>(일당)</t>
    <phoneticPr fontId="5" type="noConversion"/>
  </si>
  <si>
    <t>고소작업차</t>
    <phoneticPr fontId="5" type="noConversion"/>
  </si>
  <si>
    <t>그라우팅믹서</t>
    <phoneticPr fontId="5" type="noConversion"/>
  </si>
  <si>
    <t>190×2ℓ</t>
    <phoneticPr fontId="5" type="noConversion"/>
  </si>
  <si>
    <t>그라우팅펌프</t>
    <phoneticPr fontId="5" type="noConversion"/>
  </si>
  <si>
    <t>30~60ℓ/min</t>
    <phoneticPr fontId="5" type="noConversion"/>
  </si>
  <si>
    <t>(m당)</t>
    <phoneticPr fontId="5" type="noConversion"/>
  </si>
  <si>
    <t>각재</t>
  </si>
  <si>
    <t>10×10㎝</t>
    <phoneticPr fontId="5" type="noConversion"/>
  </si>
  <si>
    <t>재료비의 2%</t>
    <phoneticPr fontId="5" type="noConversion"/>
  </si>
  <si>
    <t>0.6㎥</t>
    <phoneticPr fontId="5" type="noConversion"/>
  </si>
  <si>
    <t>(1,000㎡당)</t>
    <phoneticPr fontId="5" type="noConversion"/>
  </si>
  <si>
    <t>나무높이 5m 미만</t>
    <phoneticPr fontId="5" type="noConversion"/>
  </si>
  <si>
    <t>벌목부</t>
    <phoneticPr fontId="5" type="noConversion"/>
  </si>
  <si>
    <t>부착용집게</t>
    <phoneticPr fontId="5" type="noConversion"/>
  </si>
  <si>
    <t>강연선인장기</t>
    <phoneticPr fontId="5" type="noConversion"/>
  </si>
  <si>
    <t>인력(비탈경사 1:1.5 이상)</t>
    <phoneticPr fontId="5" type="noConversion"/>
  </si>
  <si>
    <t>인력(비탈경사 1:1.0 이상~1:1.5미만)</t>
    <phoneticPr fontId="5" type="noConversion"/>
  </si>
  <si>
    <t>인력(비탈경사 1:1.0 미만)</t>
    <phoneticPr fontId="5" type="noConversion"/>
  </si>
  <si>
    <t>15ton</t>
  </si>
  <si>
    <t>기계(비탈경사 1:1.5 이상)</t>
  </si>
  <si>
    <t>기계(비탈경사 1:1.0 이상~1:1.5미만)</t>
  </si>
  <si>
    <t>기계(비탈경사 1:1.0 미만)</t>
  </si>
  <si>
    <t>크레인(무한궤도)</t>
    <phoneticPr fontId="5" type="noConversion"/>
  </si>
  <si>
    <t>인력품의 6%</t>
    <phoneticPr fontId="3" type="noConversion"/>
  </si>
  <si>
    <t>5ton</t>
    <phoneticPr fontId="3" type="noConversion"/>
  </si>
  <si>
    <t>60ton</t>
    <phoneticPr fontId="3" type="noConversion"/>
  </si>
  <si>
    <t>뿜어붙이기 두께 t=15㎝</t>
    <phoneticPr fontId="5" type="noConversion"/>
  </si>
  <si>
    <t>1. 부착망 설치</t>
    <phoneticPr fontId="5" type="noConversion"/>
  </si>
  <si>
    <t>개</t>
  </si>
  <si>
    <t>2. 식생기반제 뿜어붙이기</t>
    <phoneticPr fontId="5" type="noConversion"/>
  </si>
  <si>
    <t>나. 뿜어붙이기</t>
    <phoneticPr fontId="5" type="noConversion"/>
  </si>
  <si>
    <t>트럽탑재형크레인</t>
  </si>
  <si>
    <t>1. 장비조립·해체</t>
    <phoneticPr fontId="5" type="noConversion"/>
  </si>
  <si>
    <t>2. 인력 및 장비 편성</t>
  </si>
  <si>
    <t>4. 그라우팅</t>
    <phoneticPr fontId="5" type="noConversion"/>
  </si>
  <si>
    <t>인력품의 11%</t>
    <phoneticPr fontId="3" type="noConversion"/>
  </si>
  <si>
    <t>㎥</t>
  </si>
  <si>
    <t>인력품의 1%</t>
    <phoneticPr fontId="5" type="noConversion"/>
  </si>
  <si>
    <t>진동롤러(자주식)</t>
    <phoneticPr fontId="5" type="noConversion"/>
  </si>
  <si>
    <t>0.7ton</t>
  </si>
  <si>
    <t>나무높이 5m 이상∼8m 미만</t>
    <phoneticPr fontId="5" type="noConversion"/>
  </si>
  <si>
    <t>나무높이 8m 이상</t>
    <phoneticPr fontId="5" type="noConversion"/>
  </si>
  <si>
    <t>인력품의 10%</t>
    <phoneticPr fontId="3" type="noConversion"/>
  </si>
  <si>
    <t>고급기술자</t>
    <phoneticPr fontId="3" type="noConversion"/>
  </si>
  <si>
    <t>용접공</t>
    <phoneticPr fontId="3" type="noConversion"/>
  </si>
  <si>
    <t>중급기술자</t>
    <phoneticPr fontId="3" type="noConversion"/>
  </si>
  <si>
    <t>장비 조립 (1일)</t>
    <phoneticPr fontId="5" type="noConversion"/>
  </si>
  <si>
    <t>장비 해체  (1일)</t>
    <phoneticPr fontId="5" type="noConversion"/>
  </si>
  <si>
    <t>장비 조립 (1.5일)</t>
    <phoneticPr fontId="5" type="noConversion"/>
  </si>
  <si>
    <t>3-2 굴착</t>
    <phoneticPr fontId="3" type="noConversion"/>
  </si>
  <si>
    <t>3-2-1 굴착(인력/토사)</t>
    <phoneticPr fontId="3" type="noConversion"/>
  </si>
  <si>
    <t>(일당)</t>
    <phoneticPr fontId="3" type="noConversion"/>
  </si>
  <si>
    <t>시공량(㎡)</t>
    <phoneticPr fontId="5" type="noConversion"/>
  </si>
  <si>
    <t>수량</t>
    <phoneticPr fontId="3" type="noConversion"/>
  </si>
  <si>
    <t>금액</t>
    <phoneticPr fontId="3" type="noConversion"/>
  </si>
  <si>
    <t>시공량(㎥)</t>
    <phoneticPr fontId="5" type="noConversion"/>
  </si>
  <si>
    <t>㎥당 단가</t>
    <phoneticPr fontId="3" type="noConversion"/>
  </si>
  <si>
    <t>보통토사</t>
  </si>
  <si>
    <t>경질토사</t>
  </si>
  <si>
    <t>호박돌 섞인 토사</t>
  </si>
  <si>
    <t>3-2-2 굴착(인력/암반)</t>
    <phoneticPr fontId="3" type="noConversion"/>
  </si>
  <si>
    <t>3-3-7 암발파(소형브레이커)</t>
  </si>
  <si>
    <t>불도저</t>
    <phoneticPr fontId="5" type="noConversion"/>
  </si>
  <si>
    <t>19ton</t>
    <phoneticPr fontId="5" type="noConversion"/>
  </si>
  <si>
    <t>32ton</t>
    <phoneticPr fontId="5" type="noConversion"/>
  </si>
  <si>
    <t>대규모</t>
    <phoneticPr fontId="3" type="noConversion"/>
  </si>
  <si>
    <t>중규모</t>
    <phoneticPr fontId="3" type="noConversion"/>
  </si>
  <si>
    <t>소규모</t>
    <phoneticPr fontId="5" type="noConversion"/>
  </si>
  <si>
    <t>3-2-3 흙깎기(기계)</t>
  </si>
  <si>
    <t>가. 보통토사</t>
  </si>
  <si>
    <t>나. 혼합토사</t>
  </si>
  <si>
    <t>풍화암</t>
    <phoneticPr fontId="3" type="noConversion"/>
  </si>
  <si>
    <t>보통암</t>
    <phoneticPr fontId="3" type="noConversion"/>
  </si>
  <si>
    <t>[주] ① 본 품은 집토 작업을 포함하지 않으며, 집토 작업을 별도 수행하는 경우 다음을 따른다.</t>
    <phoneticPr fontId="3" type="noConversion"/>
  </si>
  <si>
    <t>3-2-4 터파기(기계)</t>
  </si>
  <si>
    <t>TypeⅠ</t>
    <phoneticPr fontId="3" type="noConversion"/>
  </si>
  <si>
    <t>Type Ⅲ</t>
    <phoneticPr fontId="5" type="noConversion"/>
  </si>
  <si>
    <t>Type Ⅱ</t>
    <phoneticPr fontId="3" type="noConversion"/>
  </si>
  <si>
    <t>3-4 쌓기</t>
    <phoneticPr fontId="3" type="noConversion"/>
  </si>
  <si>
    <t>3-4-1 흙쌓기</t>
    <phoneticPr fontId="5" type="noConversion"/>
  </si>
  <si>
    <t>가. 흙쌓기(다짐)</t>
    <phoneticPr fontId="5" type="noConversion"/>
  </si>
  <si>
    <t>모터그레이더(일반용)</t>
    <phoneticPr fontId="5" type="noConversion"/>
  </si>
  <si>
    <t>3.6m</t>
    <phoneticPr fontId="5" type="noConversion"/>
  </si>
  <si>
    <t>물탱크(살수차)</t>
    <phoneticPr fontId="5" type="noConversion"/>
  </si>
  <si>
    <t>16,000ℓ</t>
    <phoneticPr fontId="5" type="noConversion"/>
  </si>
  <si>
    <t>두께 30㎝</t>
    <phoneticPr fontId="3" type="noConversion"/>
  </si>
  <si>
    <t>두께 20㎝</t>
    <phoneticPr fontId="3" type="noConversion"/>
  </si>
  <si>
    <t>나. 흙쌓기(비다짐)</t>
  </si>
  <si>
    <t>3-4-2 암쌓기</t>
  </si>
  <si>
    <t>3-4-3 흙 다지기</t>
  </si>
  <si>
    <t>다짐두께 15㎝</t>
    <phoneticPr fontId="3" type="noConversion"/>
  </si>
  <si>
    <t>토사</t>
    <phoneticPr fontId="3" type="noConversion"/>
  </si>
  <si>
    <t>다짐두께 30㎝</t>
    <phoneticPr fontId="3" type="noConversion"/>
  </si>
  <si>
    <t>점토</t>
    <phoneticPr fontId="3" type="noConversion"/>
  </si>
  <si>
    <t>3-4-4 뒤채움 및 다짐(소형장비)</t>
  </si>
  <si>
    <t>10㎥당 단가</t>
    <phoneticPr fontId="3" type="noConversion"/>
  </si>
  <si>
    <t>3-4-5 뒤채움 및 다짐(대형장비)</t>
  </si>
  <si>
    <t>3-4-6 되메우기 및 다짐(소형장비)</t>
  </si>
  <si>
    <t>3-4-7 되메우기 및 다짐(대형장비)</t>
  </si>
  <si>
    <t>모래지정</t>
    <phoneticPr fontId="3" type="noConversion"/>
  </si>
  <si>
    <t>자갈지정</t>
    <phoneticPr fontId="3" type="noConversion"/>
  </si>
  <si>
    <t>잡석지정</t>
    <phoneticPr fontId="3" type="noConversion"/>
  </si>
  <si>
    <t>3-4-8 기초지정</t>
  </si>
  <si>
    <t>3-5 절토부대공</t>
  </si>
  <si>
    <t>3-5-1 절토면 고르기</t>
  </si>
  <si>
    <r>
      <t>연질토</t>
    </r>
    <r>
      <rPr>
        <sz val="9"/>
        <rFont val="맑은 고딕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불순자갈</t>
    </r>
    <phoneticPr fontId="3" type="noConversion"/>
  </si>
  <si>
    <r>
      <t>모래</t>
    </r>
    <r>
      <rPr>
        <sz val="9"/>
        <rFont val="맑은 고딕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사질토</t>
    </r>
    <r>
      <rPr>
        <sz val="9"/>
        <rFont val="맑은 고딕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점토</t>
    </r>
    <r>
      <rPr>
        <sz val="9"/>
        <rFont val="맑은 고딕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점질토</t>
    </r>
    <phoneticPr fontId="3" type="noConversion"/>
  </si>
  <si>
    <r>
      <t>호박돌 섞인 고결토</t>
    </r>
    <r>
      <rPr>
        <sz val="9"/>
        <rFont val="맑은 고딕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경질토</t>
    </r>
    <phoneticPr fontId="3" type="noConversion"/>
  </si>
  <si>
    <t>연암</t>
    <phoneticPr fontId="3" type="noConversion"/>
  </si>
  <si>
    <r>
      <t>보통암</t>
    </r>
    <r>
      <rPr>
        <sz val="9"/>
        <rFont val="맑은 고딕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경암</t>
    </r>
    <phoneticPr fontId="3" type="noConversion"/>
  </si>
  <si>
    <t>3-5-2 암반청소</t>
  </si>
  <si>
    <t>댐</t>
    <phoneticPr fontId="3" type="noConversion"/>
  </si>
  <si>
    <t>교량, 옹벽 등</t>
    <phoneticPr fontId="3" type="noConversion"/>
  </si>
  <si>
    <t>10㎡당 단가</t>
    <phoneticPr fontId="3" type="noConversion"/>
  </si>
  <si>
    <t>3-6 성토부대공</t>
  </si>
  <si>
    <t>3-6-1 성토면 고르기</t>
  </si>
  <si>
    <t>3-6-2 식재면 고르기</t>
  </si>
  <si>
    <t>3-7 비탈면 보호공</t>
  </si>
  <si>
    <t>3-7-1 프리캐스트 콘크리트 블록설치</t>
  </si>
  <si>
    <t>3-7-2 지압판블록 설치</t>
  </si>
  <si>
    <t>개소당 단가</t>
    <phoneticPr fontId="3" type="noConversion"/>
  </si>
  <si>
    <t>시공량(개소)</t>
    <phoneticPr fontId="5" type="noConversion"/>
  </si>
  <si>
    <t>3-7-3 천연섬유사면보호공 설치</t>
  </si>
  <si>
    <t>3-7-4 절토사면 녹화</t>
  </si>
  <si>
    <t>뿜어붙이기 두께 5㎝</t>
    <phoneticPr fontId="5" type="noConversion"/>
  </si>
  <si>
    <t>뿜어붙이기 두께 7㎝</t>
    <phoneticPr fontId="5" type="noConversion"/>
  </si>
  <si>
    <t>뿜어붙이기 두께 10㎝</t>
    <phoneticPr fontId="5" type="noConversion"/>
  </si>
  <si>
    <t>뿜어붙이기 두께 15㎝</t>
    <phoneticPr fontId="5" type="noConversion"/>
  </si>
  <si>
    <t>인력품의 4%</t>
    <phoneticPr fontId="5" type="noConversion"/>
  </si>
  <si>
    <t>3-7-5 비탈면 보강공</t>
  </si>
  <si>
    <t>다. 암</t>
  </si>
  <si>
    <t>래머</t>
    <phoneticPr fontId="3" type="noConversion"/>
  </si>
  <si>
    <t>3-3 암발파 및 파쇄</t>
  </si>
  <si>
    <t>3-3-1 암발파(미진동굴착 TYPE-Ⅰ)</t>
    <phoneticPr fontId="3" type="noConversion"/>
  </si>
  <si>
    <t>3-3-2 암발파(정밀진동제어발파 TYPE-Ⅱ)</t>
    <phoneticPr fontId="3" type="noConversion"/>
  </si>
  <si>
    <t>3-3-3 암발파(소규모진동제어발파 TYPE-Ⅲ)</t>
    <phoneticPr fontId="3" type="noConversion"/>
  </si>
  <si>
    <t>3-3-4 암발파(중규모진동제어발파 TYPE-Ⅳ)</t>
    <phoneticPr fontId="3" type="noConversion"/>
  </si>
  <si>
    <t>3-3-5 암발파(일반발파 TYPE-Ⅴ)</t>
    <phoneticPr fontId="3" type="noConversion"/>
  </si>
  <si>
    <t>3-3-6 암발파(대규모발파 TYPE-Ⅵ)</t>
    <phoneticPr fontId="3" type="noConversion"/>
  </si>
  <si>
    <t>3-3-8 암파쇄(유압식 할암공법)</t>
    <phoneticPr fontId="5" type="noConversion"/>
  </si>
  <si>
    <t>3-3-9 수중발파</t>
    <phoneticPr fontId="3" type="noConversion"/>
  </si>
  <si>
    <t>3-8 보강토 옹벽</t>
    <phoneticPr fontId="3" type="noConversion"/>
  </si>
  <si>
    <t>3-8-1 패널 설치</t>
    <phoneticPr fontId="5" type="noConversion"/>
  </si>
  <si>
    <t>3-8-2 블록 설치</t>
  </si>
  <si>
    <t>3-8-3 버팀목 설치･해체</t>
  </si>
  <si>
    <t>3-8-4 뒷채움 및 다짐</t>
  </si>
  <si>
    <t>3-9 벌개제근</t>
    <phoneticPr fontId="3" type="noConversion"/>
  </si>
  <si>
    <t>3-9-1 벌목</t>
    <phoneticPr fontId="5" type="noConversion"/>
  </si>
  <si>
    <t>3-9-2 뿌리뽑기</t>
    <phoneticPr fontId="5" type="noConversion"/>
  </si>
  <si>
    <t>3-11 스마트 토공</t>
    <phoneticPr fontId="3" type="noConversion"/>
  </si>
  <si>
    <t>3-11-1 머신 가이던스(MG) 굴착기</t>
    <phoneticPr fontId="3" type="noConversion"/>
  </si>
  <si>
    <t>3-11-3 머신 가이던스(MG) 불도저</t>
    <phoneticPr fontId="3" type="noConversion"/>
  </si>
  <si>
    <t>3-11-2 머신 컨트롤(MC) 굴착기</t>
    <phoneticPr fontId="3" type="noConversion"/>
  </si>
  <si>
    <t>3-11-4 머신 컨트롤(MC) 불도우저</t>
    <phoneticPr fontId="3" type="noConversion"/>
  </si>
  <si>
    <t>굴착기(무한궤도)</t>
  </si>
  <si>
    <t>굴착기</t>
  </si>
  <si>
    <t>굴착기(타이어)</t>
  </si>
  <si>
    <t>Ø16, 0.5m</t>
  </si>
  <si>
    <t>Ø16, 0.35m</t>
  </si>
  <si>
    <t>Ø3.2, 58×58 PVC코팅</t>
  </si>
  <si>
    <t>[참고자료] 재료량은 다음을 참고하여 적용한다.</t>
    <phoneticPr fontId="5" type="noConversion"/>
  </si>
  <si>
    <t>※ 재료 할증량은 포함되어 있다.</t>
    <phoneticPr fontId="3" type="noConversion"/>
  </si>
  <si>
    <t>(10㎡당)</t>
    <phoneticPr fontId="5" type="noConversion"/>
  </si>
  <si>
    <t>3-11-5 지능형 다짐 롤러(Intelligent Compaction)</t>
    <phoneticPr fontId="3" type="noConversion"/>
  </si>
  <si>
    <t>1. 지능형 다짐공 롤러 장비조립·해체</t>
    <phoneticPr fontId="3" type="noConversion"/>
  </si>
  <si>
    <t>2. 지능형 다짐공 시험시공 및 다짐관리 기준 수립</t>
  </si>
  <si>
    <t>IC진동롤러(자주식)</t>
  </si>
  <si>
    <t>10.0ton</t>
    <phoneticPr fontId="5" type="noConversion"/>
  </si>
  <si>
    <t>두께 30㎝</t>
    <phoneticPr fontId="5" type="noConversion"/>
  </si>
  <si>
    <t>두께 20㎝</t>
    <phoneticPr fontId="5" type="noConversion"/>
  </si>
  <si>
    <t>3. 지능형 다짐공 본시공 작업능력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</si>
</sst>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_(* #,##0_);_(* \(#,##0\);_(* &quot;-&quot;_);_(@_)"/>
    <numFmt numFmtId="177" formatCode="#,##0_ "/>
    <numFmt numFmtId="180" formatCode="_-* #,##0.0_-;\-* #,##0.0_-;_-* &quot;-&quot;_-;_-@_-"/>
    <numFmt numFmtId="181" formatCode="0.000"/>
    <numFmt numFmtId="182" formatCode="_-* #,##0.0_-;\-* #,##0.0_-;_-* &quot;-&quot;??_-;_-@_-"/>
    <numFmt numFmtId="183" formatCode="_-* #,##0.00_-;\-* #,##0.00_-;_-* &quot;-&quot;_-;_-@_-"/>
    <numFmt numFmtId="184" formatCode="_-* #,##0.000_-;\-* #,##0.000_-;_-* &quot;-&quot;_-;_-@_-"/>
    <numFmt numFmtId="185" formatCode="_-* #,##0.0000_-;\-* #,##0.0000_-;_-* &quot;-&quot;_-;_-@_-"/>
    <numFmt numFmtId="186" formatCode="#,##0.0_);[Red]\(#,##0.0\)"/>
    <numFmt numFmtId="187" formatCode="0.0"/>
    <numFmt numFmtId="189" formatCode="#,##0.00_);[Red]\(#,##0.00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b/>
      <sz val="9.1"/>
      <color indexed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.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8"/>
      <name val="돋움"/>
      <family val="3"/>
      <charset val="129"/>
    </font>
    <font>
      <b/>
      <sz val="9"/>
      <color indexed="8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i/>
      <sz val="9"/>
      <color indexed="8"/>
      <name val="맑은 고딕"/>
      <family val="3"/>
      <charset val="129"/>
      <scheme val="minor"/>
    </font>
    <font>
      <b/>
      <i/>
      <sz val="9"/>
      <color indexed="10"/>
      <name val="맑은 고딕"/>
      <family val="3"/>
      <charset val="129"/>
      <scheme val="minor"/>
    </font>
    <font>
      <i/>
      <sz val="9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  <font>
      <sz val="9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55">
    <xf numFmtId="0" fontId="0" fillId="0" borderId="0" xfId="0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shrinkToFit="1"/>
    </xf>
    <xf numFmtId="180" fontId="9" fillId="0" borderId="6" xfId="1" applyNumberFormat="1" applyFont="1" applyFill="1" applyBorder="1" applyAlignment="1">
      <alignment horizontal="center" vertical="center"/>
    </xf>
    <xf numFmtId="0" fontId="14" fillId="0" borderId="0" xfId="6" applyFont="1" applyAlignment="1">
      <alignment vertical="center"/>
    </xf>
    <xf numFmtId="41" fontId="13" fillId="0" borderId="8" xfId="5" applyFont="1" applyFill="1" applyBorder="1" applyAlignment="1">
      <alignment vertical="center"/>
    </xf>
    <xf numFmtId="0" fontId="9" fillId="0" borderId="0" xfId="6" applyFont="1" applyAlignment="1">
      <alignment vertical="center"/>
    </xf>
    <xf numFmtId="180" fontId="9" fillId="0" borderId="5" xfId="8" applyNumberFormat="1" applyFont="1" applyFill="1" applyBorder="1" applyAlignment="1">
      <alignment horizontal="center" vertical="center"/>
    </xf>
    <xf numFmtId="180" fontId="9" fillId="0" borderId="6" xfId="8" applyNumberFormat="1" applyFont="1" applyFill="1" applyBorder="1" applyAlignment="1">
      <alignment horizontal="center" vertical="center"/>
    </xf>
    <xf numFmtId="41" fontId="10" fillId="0" borderId="7" xfId="8" applyFont="1" applyFill="1" applyBorder="1" applyAlignment="1">
      <alignment horizontal="center" vertical="center"/>
    </xf>
    <xf numFmtId="41" fontId="11" fillId="0" borderId="5" xfId="10" applyFont="1" applyFill="1" applyBorder="1" applyAlignment="1">
      <alignment vertical="center"/>
    </xf>
    <xf numFmtId="183" fontId="9" fillId="0" borderId="5" xfId="10" applyNumberFormat="1" applyFont="1" applyFill="1" applyBorder="1" applyAlignment="1">
      <alignment vertical="center"/>
    </xf>
    <xf numFmtId="180" fontId="17" fillId="0" borderId="6" xfId="10" applyNumberFormat="1" applyFont="1" applyFill="1" applyBorder="1" applyAlignment="1">
      <alignment horizontal="center" vertical="center"/>
    </xf>
    <xf numFmtId="41" fontId="9" fillId="0" borderId="5" xfId="10" applyFont="1" applyFill="1" applyBorder="1" applyAlignment="1">
      <alignment vertical="center"/>
    </xf>
    <xf numFmtId="41" fontId="10" fillId="0" borderId="5" xfId="10" applyFont="1" applyFill="1" applyBorder="1" applyAlignment="1">
      <alignment vertical="center"/>
    </xf>
    <xf numFmtId="41" fontId="10" fillId="0" borderId="6" xfId="10" applyFont="1" applyFill="1" applyBorder="1" applyAlignment="1">
      <alignment vertical="center"/>
    </xf>
    <xf numFmtId="41" fontId="10" fillId="0" borderId="8" xfId="1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41" fontId="19" fillId="0" borderId="5" xfId="5" applyFont="1" applyFill="1" applyBorder="1" applyAlignment="1">
      <alignment vertical="center"/>
    </xf>
    <xf numFmtId="41" fontId="19" fillId="0" borderId="6" xfId="5" applyFont="1" applyFill="1" applyBorder="1" applyAlignment="1">
      <alignment vertical="center"/>
    </xf>
    <xf numFmtId="41" fontId="18" fillId="0" borderId="6" xfId="10" applyFont="1" applyFill="1" applyBorder="1" applyAlignment="1">
      <alignment vertical="center"/>
    </xf>
    <xf numFmtId="183" fontId="10" fillId="0" borderId="5" xfId="1" applyNumberFormat="1" applyFont="1" applyFill="1" applyBorder="1" applyAlignment="1">
      <alignment vertical="center"/>
    </xf>
    <xf numFmtId="183" fontId="9" fillId="0" borderId="5" xfId="1" applyNumberFormat="1" applyFont="1" applyFill="1" applyBorder="1" applyAlignment="1">
      <alignment vertical="center"/>
    </xf>
    <xf numFmtId="0" fontId="21" fillId="0" borderId="0" xfId="7" applyFont="1" applyAlignment="1">
      <alignment vertical="center"/>
    </xf>
    <xf numFmtId="0" fontId="17" fillId="0" borderId="0" xfId="7" applyFont="1" applyAlignment="1">
      <alignment vertical="center"/>
    </xf>
    <xf numFmtId="183" fontId="9" fillId="0" borderId="0" xfId="11" applyNumberFormat="1" applyFont="1" applyFill="1" applyBorder="1" applyAlignment="1">
      <alignment vertical="center"/>
    </xf>
    <xf numFmtId="180" fontId="10" fillId="0" borderId="0" xfId="11" applyNumberFormat="1" applyFont="1" applyFill="1" applyBorder="1" applyAlignment="1">
      <alignment vertical="center"/>
    </xf>
    <xf numFmtId="41" fontId="10" fillId="0" borderId="0" xfId="11" applyFont="1" applyFill="1" applyBorder="1" applyAlignment="1">
      <alignment vertical="center"/>
    </xf>
    <xf numFmtId="41" fontId="10" fillId="0" borderId="0" xfId="11" applyFont="1" applyFill="1" applyBorder="1" applyAlignment="1">
      <alignment horizontal="center" vertical="center"/>
    </xf>
    <xf numFmtId="0" fontId="9" fillId="0" borderId="5" xfId="11" applyNumberFormat="1" applyFont="1" applyFill="1" applyBorder="1" applyAlignment="1">
      <alignment horizontal="left" vertical="center"/>
    </xf>
    <xf numFmtId="41" fontId="9" fillId="0" borderId="5" xfId="11" applyFont="1" applyFill="1" applyBorder="1" applyAlignment="1">
      <alignment horizontal="center" vertical="center"/>
    </xf>
    <xf numFmtId="41" fontId="11" fillId="0" borderId="5" xfId="11" applyFont="1" applyFill="1" applyBorder="1" applyAlignment="1">
      <alignment vertical="center"/>
    </xf>
    <xf numFmtId="184" fontId="17" fillId="0" borderId="5" xfId="11" applyNumberFormat="1" applyFont="1" applyFill="1" applyBorder="1" applyAlignment="1">
      <alignment horizontal="center" vertical="center"/>
    </xf>
    <xf numFmtId="180" fontId="17" fillId="0" borderId="6" xfId="11" applyNumberFormat="1" applyFont="1" applyFill="1" applyBorder="1" applyAlignment="1">
      <alignment horizontal="center" vertical="center"/>
    </xf>
    <xf numFmtId="184" fontId="9" fillId="0" borderId="5" xfId="11" applyNumberFormat="1" applyFont="1" applyFill="1" applyBorder="1" applyAlignment="1">
      <alignment vertical="center"/>
    </xf>
    <xf numFmtId="41" fontId="10" fillId="0" borderId="6" xfId="11" applyFont="1" applyFill="1" applyBorder="1" applyAlignment="1">
      <alignment vertical="center"/>
    </xf>
    <xf numFmtId="184" fontId="9" fillId="0" borderId="5" xfId="11" applyNumberFormat="1" applyFont="1" applyFill="1" applyBorder="1" applyAlignment="1">
      <alignment horizontal="center" vertical="center"/>
    </xf>
    <xf numFmtId="41" fontId="9" fillId="0" borderId="5" xfId="11" applyFont="1" applyFill="1" applyBorder="1" applyAlignment="1">
      <alignment vertical="center"/>
    </xf>
    <xf numFmtId="185" fontId="17" fillId="0" borderId="5" xfId="11" applyNumberFormat="1" applyFont="1" applyFill="1" applyBorder="1" applyAlignment="1">
      <alignment horizontal="center" vertical="center"/>
    </xf>
    <xf numFmtId="41" fontId="17" fillId="0" borderId="5" xfId="11" applyFont="1" applyFill="1" applyBorder="1" applyAlignment="1">
      <alignment vertical="center"/>
    </xf>
    <xf numFmtId="41" fontId="10" fillId="0" borderId="5" xfId="11" applyFont="1" applyFill="1" applyBorder="1" applyAlignment="1">
      <alignment vertical="center"/>
    </xf>
    <xf numFmtId="41" fontId="17" fillId="0" borderId="7" xfId="11" applyFont="1" applyFill="1" applyBorder="1" applyAlignment="1">
      <alignment vertical="center"/>
    </xf>
    <xf numFmtId="41" fontId="9" fillId="0" borderId="7" xfId="11" applyFont="1" applyFill="1" applyBorder="1" applyAlignment="1">
      <alignment vertical="center"/>
    </xf>
    <xf numFmtId="41" fontId="10" fillId="0" borderId="7" xfId="11" applyFont="1" applyFill="1" applyBorder="1" applyAlignment="1">
      <alignment vertical="center"/>
    </xf>
    <xf numFmtId="41" fontId="10" fillId="0" borderId="8" xfId="11" applyFont="1" applyFill="1" applyBorder="1" applyAlignment="1">
      <alignment vertical="center"/>
    </xf>
    <xf numFmtId="41" fontId="18" fillId="0" borderId="6" xfId="11" applyFont="1" applyFill="1" applyBorder="1" applyAlignment="1">
      <alignment vertical="center"/>
    </xf>
    <xf numFmtId="183" fontId="17" fillId="0" borderId="5" xfId="11" applyNumberFormat="1" applyFont="1" applyFill="1" applyBorder="1" applyAlignment="1">
      <alignment horizontal="center" vertical="center"/>
    </xf>
    <xf numFmtId="183" fontId="9" fillId="0" borderId="5" xfId="11" applyNumberFormat="1" applyFont="1" applyFill="1" applyBorder="1" applyAlignment="1">
      <alignment horizontal="center" vertical="center"/>
    </xf>
    <xf numFmtId="180" fontId="17" fillId="0" borderId="5" xfId="11" applyNumberFormat="1" applyFont="1" applyFill="1" applyBorder="1" applyAlignment="1">
      <alignment horizontal="center" vertical="center"/>
    </xf>
    <xf numFmtId="41" fontId="17" fillId="0" borderId="0" xfId="11" applyFont="1" applyFill="1" applyBorder="1" applyAlignment="1">
      <alignment vertical="center"/>
    </xf>
    <xf numFmtId="41" fontId="9" fillId="0" borderId="0" xfId="11" applyFont="1" applyFill="1" applyBorder="1" applyAlignment="1">
      <alignment vertical="center"/>
    </xf>
    <xf numFmtId="41" fontId="17" fillId="0" borderId="5" xfId="11" applyFont="1" applyFill="1" applyBorder="1" applyAlignment="1">
      <alignment horizontal="center" vertical="center"/>
    </xf>
    <xf numFmtId="41" fontId="9" fillId="0" borderId="5" xfId="11" applyFont="1" applyFill="1" applyBorder="1" applyAlignment="1">
      <alignment horizontal="left" vertical="center"/>
    </xf>
    <xf numFmtId="180" fontId="17" fillId="0" borderId="0" xfId="11" applyNumberFormat="1" applyFont="1" applyFill="1" applyBorder="1" applyAlignment="1">
      <alignment horizontal="center" vertical="center"/>
    </xf>
    <xf numFmtId="180" fontId="9" fillId="0" borderId="0" xfId="11" applyNumberFormat="1" applyFont="1" applyFill="1" applyBorder="1" applyAlignment="1">
      <alignment vertical="center"/>
    </xf>
    <xf numFmtId="0" fontId="9" fillId="0" borderId="5" xfId="11" applyNumberFormat="1" applyFont="1" applyFill="1" applyBorder="1" applyAlignment="1">
      <alignment vertical="center"/>
    </xf>
    <xf numFmtId="180" fontId="17" fillId="0" borderId="5" xfId="11" applyNumberFormat="1" applyFont="1" applyFill="1" applyBorder="1" applyAlignment="1">
      <alignment vertical="center"/>
    </xf>
    <xf numFmtId="184" fontId="17" fillId="0" borderId="5" xfId="11" applyNumberFormat="1" applyFont="1" applyFill="1" applyBorder="1" applyAlignment="1">
      <alignment vertical="center"/>
    </xf>
    <xf numFmtId="180" fontId="10" fillId="0" borderId="5" xfId="11" applyNumberFormat="1" applyFont="1" applyFill="1" applyBorder="1" applyAlignment="1">
      <alignment vertical="center"/>
    </xf>
    <xf numFmtId="41" fontId="10" fillId="0" borderId="7" xfId="11" applyFont="1" applyFill="1" applyBorder="1" applyAlignment="1">
      <alignment horizontal="center" vertical="center"/>
    </xf>
    <xf numFmtId="41" fontId="10" fillId="0" borderId="8" xfId="11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41" fontId="18" fillId="0" borderId="5" xfId="11" applyFont="1" applyFill="1" applyBorder="1" applyAlignment="1">
      <alignment vertical="center"/>
    </xf>
    <xf numFmtId="180" fontId="24" fillId="0" borderId="0" xfId="10" applyNumberFormat="1" applyFont="1" applyFill="1" applyBorder="1" applyAlignment="1">
      <alignment horizontal="center" vertical="center"/>
    </xf>
    <xf numFmtId="0" fontId="26" fillId="0" borderId="0" xfId="9" applyFont="1" applyAlignment="1">
      <alignment vertical="center"/>
    </xf>
    <xf numFmtId="0" fontId="25" fillId="0" borderId="0" xfId="9" applyFont="1" applyAlignment="1">
      <alignment vertical="center"/>
    </xf>
    <xf numFmtId="41" fontId="25" fillId="0" borderId="0" xfId="10" applyFont="1" applyFill="1" applyBorder="1" applyAlignment="1">
      <alignment horizontal="center" vertical="center"/>
    </xf>
    <xf numFmtId="2" fontId="24" fillId="0" borderId="0" xfId="9" applyNumberFormat="1" applyFont="1" applyAlignment="1">
      <alignment vertical="center"/>
    </xf>
    <xf numFmtId="0" fontId="9" fillId="0" borderId="0" xfId="0" applyFont="1">
      <alignment vertical="center"/>
    </xf>
    <xf numFmtId="180" fontId="9" fillId="0" borderId="11" xfId="11" applyNumberFormat="1" applyFont="1" applyFill="1" applyBorder="1" applyAlignment="1">
      <alignment horizontal="center" vertical="center"/>
    </xf>
    <xf numFmtId="180" fontId="9" fillId="0" borderId="6" xfId="11" applyNumberFormat="1" applyFont="1" applyFill="1" applyBorder="1" applyAlignment="1">
      <alignment horizontal="center" vertical="center"/>
    </xf>
    <xf numFmtId="183" fontId="9" fillId="0" borderId="5" xfId="11" applyNumberFormat="1" applyFont="1" applyFill="1" applyBorder="1" applyAlignment="1">
      <alignment vertical="center"/>
    </xf>
    <xf numFmtId="183" fontId="10" fillId="0" borderId="5" xfId="10" applyNumberFormat="1" applyFont="1" applyFill="1" applyBorder="1" applyAlignment="1">
      <alignment vertical="center"/>
    </xf>
    <xf numFmtId="0" fontId="9" fillId="0" borderId="10" xfId="11" applyNumberFormat="1" applyFont="1" applyFill="1" applyBorder="1" applyAlignment="1">
      <alignment horizontal="left" vertical="center"/>
    </xf>
    <xf numFmtId="41" fontId="11" fillId="0" borderId="10" xfId="11" applyFont="1" applyFill="1" applyBorder="1" applyAlignment="1">
      <alignment horizontal="center" vertical="center"/>
    </xf>
    <xf numFmtId="0" fontId="10" fillId="0" borderId="4" xfId="11" applyNumberFormat="1" applyFont="1" applyFill="1" applyBorder="1" applyAlignment="1">
      <alignment horizontal="left" vertical="center"/>
    </xf>
    <xf numFmtId="0" fontId="10" fillId="0" borderId="5" xfId="11" applyNumberFormat="1" applyFont="1" applyFill="1" applyBorder="1" applyAlignment="1">
      <alignment horizontal="left" vertical="center"/>
    </xf>
    <xf numFmtId="180" fontId="10" fillId="0" borderId="5" xfId="11" applyNumberFormat="1" applyFont="1" applyFill="1" applyBorder="1" applyAlignment="1">
      <alignment horizontal="center" vertical="center"/>
    </xf>
    <xf numFmtId="0" fontId="17" fillId="0" borderId="5" xfId="11" applyNumberFormat="1" applyFont="1" applyFill="1" applyBorder="1" applyAlignment="1">
      <alignment horizontal="left" vertical="center"/>
    </xf>
    <xf numFmtId="186" fontId="9" fillId="0" borderId="6" xfId="11" applyNumberFormat="1" applyFont="1" applyFill="1" applyBorder="1" applyAlignment="1">
      <alignment horizontal="right" vertical="center"/>
    </xf>
    <xf numFmtId="41" fontId="11" fillId="0" borderId="5" xfId="11" applyFont="1" applyFill="1" applyBorder="1" applyAlignment="1">
      <alignment horizontal="center" vertical="center"/>
    </xf>
    <xf numFmtId="0" fontId="9" fillId="0" borderId="10" xfId="11" applyNumberFormat="1" applyFont="1" applyFill="1" applyBorder="1" applyAlignment="1">
      <alignment horizontal="center" vertical="center"/>
    </xf>
    <xf numFmtId="0" fontId="17" fillId="0" borderId="5" xfId="11" applyNumberFormat="1" applyFont="1" applyFill="1" applyBorder="1" applyAlignment="1">
      <alignment horizontal="center" vertical="center"/>
    </xf>
    <xf numFmtId="180" fontId="9" fillId="0" borderId="6" xfId="1" applyNumberFormat="1" applyFont="1" applyFill="1" applyBorder="1" applyAlignment="1">
      <alignment horizontal="right" vertical="center"/>
    </xf>
    <xf numFmtId="183" fontId="18" fillId="0" borderId="5" xfId="10" applyNumberFormat="1" applyFont="1" applyFill="1" applyBorder="1" applyAlignment="1">
      <alignment vertical="center"/>
    </xf>
    <xf numFmtId="183" fontId="9" fillId="0" borderId="10" xfId="1" applyNumberFormat="1" applyFont="1" applyFill="1" applyBorder="1" applyAlignment="1">
      <alignment vertical="center"/>
    </xf>
    <xf numFmtId="189" fontId="27" fillId="0" borderId="0" xfId="4" applyNumberFormat="1" applyFont="1" applyAlignment="1">
      <alignment vertical="center"/>
    </xf>
    <xf numFmtId="0" fontId="6" fillId="0" borderId="0" xfId="0" applyFont="1" applyAlignment="1"/>
    <xf numFmtId="0" fontId="15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9" fillId="0" borderId="0" xfId="6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9" fillId="0" borderId="3" xfId="6" applyFont="1" applyBorder="1" applyAlignment="1">
      <alignment horizontal="center" vertical="center" wrapText="1"/>
    </xf>
    <xf numFmtId="0" fontId="9" fillId="0" borderId="12" xfId="6" applyFont="1" applyBorder="1" applyAlignment="1">
      <alignment horizontal="center" vertical="center" wrapText="1"/>
    </xf>
    <xf numFmtId="0" fontId="9" fillId="0" borderId="3" xfId="6" applyFont="1" applyBorder="1" applyAlignment="1">
      <alignment horizontal="center" vertical="center" shrinkToFit="1"/>
    </xf>
    <xf numFmtId="0" fontId="9" fillId="0" borderId="7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4" xfId="9" applyFont="1" applyBorder="1" applyAlignment="1">
      <alignment vertical="center"/>
    </xf>
    <xf numFmtId="0" fontId="9" fillId="0" borderId="5" xfId="9" applyFont="1" applyBorder="1" applyAlignment="1">
      <alignment horizontal="center" vertical="center"/>
    </xf>
    <xf numFmtId="41" fontId="11" fillId="0" borderId="5" xfId="9" applyNumberFormat="1" applyFont="1" applyBorder="1" applyAlignment="1">
      <alignment vertical="center"/>
    </xf>
    <xf numFmtId="41" fontId="17" fillId="0" borderId="5" xfId="1" applyFont="1" applyFill="1" applyBorder="1" applyAlignment="1">
      <alignment vertical="center"/>
    </xf>
    <xf numFmtId="0" fontId="18" fillId="0" borderId="4" xfId="3" applyFont="1" applyBorder="1" applyAlignment="1">
      <alignment vertical="center"/>
    </xf>
    <xf numFmtId="0" fontId="20" fillId="0" borderId="4" xfId="6" applyFont="1" applyBorder="1" applyAlignment="1">
      <alignment horizontal="left" vertical="center"/>
    </xf>
    <xf numFmtId="0" fontId="20" fillId="0" borderId="5" xfId="3" applyFont="1" applyBorder="1" applyAlignment="1">
      <alignment horizontal="center" vertical="center"/>
    </xf>
    <xf numFmtId="41" fontId="18" fillId="0" borderId="5" xfId="8" applyFont="1" applyFill="1" applyBorder="1" applyAlignment="1">
      <alignment vertical="center"/>
    </xf>
    <xf numFmtId="41" fontId="18" fillId="0" borderId="5" xfId="1" applyFont="1" applyFill="1" applyBorder="1" applyAlignment="1">
      <alignment vertical="center"/>
    </xf>
    <xf numFmtId="41" fontId="18" fillId="0" borderId="6" xfId="8" applyFont="1" applyFill="1" applyBorder="1" applyAlignment="1">
      <alignment vertical="center"/>
    </xf>
    <xf numFmtId="0" fontId="9" fillId="0" borderId="4" xfId="6" applyFont="1" applyBorder="1" applyAlignment="1">
      <alignment horizontal="left" vertical="center"/>
    </xf>
    <xf numFmtId="0" fontId="9" fillId="0" borderId="5" xfId="3" applyFont="1" applyBorder="1" applyAlignment="1">
      <alignment horizontal="center" vertical="center"/>
    </xf>
    <xf numFmtId="0" fontId="9" fillId="0" borderId="5" xfId="6" applyFont="1" applyBorder="1" applyAlignment="1">
      <alignment vertical="center"/>
    </xf>
    <xf numFmtId="41" fontId="9" fillId="0" borderId="5" xfId="1" applyFont="1" applyFill="1" applyBorder="1" applyAlignment="1">
      <alignment vertical="center"/>
    </xf>
    <xf numFmtId="0" fontId="9" fillId="0" borderId="6" xfId="6" applyFont="1" applyBorder="1" applyAlignment="1">
      <alignment vertical="center"/>
    </xf>
    <xf numFmtId="0" fontId="10" fillId="0" borderId="4" xfId="6" applyFont="1" applyBorder="1" applyAlignment="1">
      <alignment horizontal="left" vertical="center"/>
    </xf>
    <xf numFmtId="0" fontId="16" fillId="0" borderId="5" xfId="6" applyFont="1" applyBorder="1" applyAlignment="1">
      <alignment vertical="center"/>
    </xf>
    <xf numFmtId="0" fontId="10" fillId="0" borderId="5" xfId="6" applyFont="1" applyBorder="1" applyAlignment="1">
      <alignment vertical="center"/>
    </xf>
    <xf numFmtId="41" fontId="10" fillId="0" borderId="6" xfId="8" applyFont="1" applyFill="1" applyBorder="1" applyAlignment="1">
      <alignment horizontal="center" vertical="center"/>
    </xf>
    <xf numFmtId="0" fontId="10" fillId="0" borderId="9" xfId="6" applyFont="1" applyBorder="1" applyAlignment="1">
      <alignment horizontal="left" vertical="center"/>
    </xf>
    <xf numFmtId="0" fontId="9" fillId="0" borderId="9" xfId="6" applyFont="1" applyBorder="1" applyAlignment="1">
      <alignment horizontal="left" vertical="center"/>
    </xf>
    <xf numFmtId="0" fontId="9" fillId="0" borderId="7" xfId="3" applyFont="1" applyBorder="1" applyAlignment="1">
      <alignment horizontal="center" vertical="center"/>
    </xf>
    <xf numFmtId="0" fontId="16" fillId="0" borderId="7" xfId="6" applyFont="1" applyBorder="1" applyAlignment="1">
      <alignment vertical="center"/>
    </xf>
    <xf numFmtId="0" fontId="10" fillId="0" borderId="7" xfId="6" applyFont="1" applyBorder="1" applyAlignment="1">
      <alignment vertical="center"/>
    </xf>
    <xf numFmtId="41" fontId="10" fillId="0" borderId="8" xfId="8" applyFont="1" applyFill="1" applyBorder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left" vertical="center" shrinkToFit="1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9" fillId="0" borderId="0" xfId="6" applyFont="1" applyAlignment="1">
      <alignment horizontal="right" vertical="center"/>
    </xf>
    <xf numFmtId="0" fontId="9" fillId="0" borderId="4" xfId="6" applyFont="1" applyBorder="1" applyAlignment="1">
      <alignment vertical="center"/>
    </xf>
    <xf numFmtId="0" fontId="9" fillId="0" borderId="10" xfId="3" applyFont="1" applyBorder="1" applyAlignment="1">
      <alignment horizontal="center" vertical="center"/>
    </xf>
    <xf numFmtId="41" fontId="11" fillId="0" borderId="5" xfId="7" applyNumberFormat="1" applyFont="1" applyBorder="1" applyAlignment="1">
      <alignment vertical="center"/>
    </xf>
    <xf numFmtId="180" fontId="9" fillId="0" borderId="5" xfId="1" applyNumberFormat="1" applyFont="1" applyFill="1" applyBorder="1" applyAlignment="1">
      <alignment horizontal="center" vertical="center"/>
    </xf>
    <xf numFmtId="0" fontId="9" fillId="0" borderId="5" xfId="3" applyFont="1" applyBorder="1" applyAlignment="1">
      <alignment vertical="center" shrinkToFit="1"/>
    </xf>
    <xf numFmtId="0" fontId="9" fillId="0" borderId="5" xfId="6" applyFont="1" applyBorder="1" applyAlignment="1">
      <alignment horizontal="right"/>
    </xf>
    <xf numFmtId="182" fontId="9" fillId="0" borderId="6" xfId="8" applyNumberFormat="1" applyFont="1" applyFill="1" applyBorder="1" applyAlignment="1">
      <alignment vertical="center"/>
    </xf>
    <xf numFmtId="0" fontId="18" fillId="0" borderId="4" xfId="6" applyFont="1" applyBorder="1" applyAlignment="1">
      <alignment horizontal="left" vertical="center"/>
    </xf>
    <xf numFmtId="0" fontId="20" fillId="0" borderId="5" xfId="6" applyFont="1" applyBorder="1" applyAlignment="1">
      <alignment horizontal="left" vertical="center"/>
    </xf>
    <xf numFmtId="177" fontId="18" fillId="0" borderId="5" xfId="6" applyNumberFormat="1" applyFont="1" applyBorder="1"/>
    <xf numFmtId="0" fontId="18" fillId="0" borderId="5" xfId="6" applyFont="1" applyBorder="1" applyAlignment="1">
      <alignment vertical="center"/>
    </xf>
    <xf numFmtId="0" fontId="9" fillId="0" borderId="5" xfId="6" applyFont="1" applyBorder="1" applyAlignment="1">
      <alignment horizontal="left" vertical="center"/>
    </xf>
    <xf numFmtId="0" fontId="9" fillId="0" borderId="5" xfId="6" applyFont="1" applyBorder="1"/>
    <xf numFmtId="41" fontId="11" fillId="0" borderId="5" xfId="5" applyFont="1" applyFill="1" applyBorder="1" applyAlignment="1">
      <alignment vertical="center"/>
    </xf>
    <xf numFmtId="0" fontId="9" fillId="0" borderId="0" xfId="6" applyFont="1" applyAlignment="1">
      <alignment vertical="center" shrinkToFit="1"/>
    </xf>
    <xf numFmtId="0" fontId="20" fillId="0" borderId="6" xfId="6" applyFont="1" applyBorder="1" applyAlignment="1">
      <alignment vertical="center"/>
    </xf>
    <xf numFmtId="183" fontId="18" fillId="0" borderId="5" xfId="1" applyNumberFormat="1" applyFont="1" applyFill="1" applyBorder="1" applyAlignment="1">
      <alignment vertical="center"/>
    </xf>
    <xf numFmtId="0" fontId="9" fillId="0" borderId="6" xfId="6" applyFont="1" applyBorder="1" applyAlignment="1">
      <alignment horizontal="left" vertical="center"/>
    </xf>
    <xf numFmtId="0" fontId="9" fillId="0" borderId="6" xfId="3" applyFont="1" applyBorder="1" applyAlignment="1">
      <alignment vertical="center" shrinkToFit="1"/>
    </xf>
    <xf numFmtId="0" fontId="20" fillId="0" borderId="6" xfId="6" applyFont="1" applyBorder="1" applyAlignment="1">
      <alignment horizontal="left" vertical="center"/>
    </xf>
    <xf numFmtId="177" fontId="18" fillId="0" borderId="4" xfId="6" applyNumberFormat="1" applyFont="1" applyBorder="1" applyAlignment="1">
      <alignment vertical="center"/>
    </xf>
    <xf numFmtId="0" fontId="9" fillId="0" borderId="8" xfId="6" applyFont="1" applyBorder="1" applyAlignment="1">
      <alignment horizontal="left" vertical="center"/>
    </xf>
    <xf numFmtId="177" fontId="16" fillId="0" borderId="9" xfId="6" applyNumberFormat="1" applyFont="1" applyBorder="1" applyAlignment="1">
      <alignment vertical="center"/>
    </xf>
    <xf numFmtId="0" fontId="9" fillId="0" borderId="0" xfId="7" applyFont="1" applyAlignment="1">
      <alignment vertical="center"/>
    </xf>
    <xf numFmtId="0" fontId="17" fillId="0" borderId="0" xfId="7" applyFont="1" applyAlignment="1">
      <alignment horizontal="centerContinuous" vertical="center"/>
    </xf>
    <xf numFmtId="0" fontId="17" fillId="0" borderId="0" xfId="7" applyFont="1" applyAlignment="1">
      <alignment horizontal="center" vertical="center"/>
    </xf>
    <xf numFmtId="0" fontId="9" fillId="0" borderId="4" xfId="7" applyFont="1" applyBorder="1" applyAlignment="1">
      <alignment horizontal="left" vertical="center"/>
    </xf>
    <xf numFmtId="0" fontId="9" fillId="0" borderId="4" xfId="7" applyFont="1" applyBorder="1" applyAlignment="1">
      <alignment vertical="center"/>
    </xf>
    <xf numFmtId="41" fontId="9" fillId="0" borderId="5" xfId="7" applyNumberFormat="1" applyFont="1" applyBorder="1" applyAlignment="1">
      <alignment horizontal="center" vertical="center"/>
    </xf>
    <xf numFmtId="0" fontId="10" fillId="0" borderId="4" xfId="7" applyFont="1" applyBorder="1" applyAlignment="1">
      <alignment horizontal="left" vertical="center"/>
    </xf>
    <xf numFmtId="0" fontId="10" fillId="0" borderId="5" xfId="7" applyFont="1" applyBorder="1" applyAlignment="1">
      <alignment horizontal="center" vertical="center"/>
    </xf>
    <xf numFmtId="0" fontId="10" fillId="0" borderId="5" xfId="7" applyFont="1" applyBorder="1" applyAlignment="1">
      <alignment vertical="center"/>
    </xf>
    <xf numFmtId="0" fontId="17" fillId="0" borderId="0" xfId="7" applyFont="1" applyAlignment="1">
      <alignment horizontal="right" vertical="center"/>
    </xf>
    <xf numFmtId="0" fontId="9" fillId="0" borderId="5" xfId="7" applyFont="1" applyBorder="1" applyAlignment="1">
      <alignment horizontal="left" vertical="center"/>
    </xf>
    <xf numFmtId="0" fontId="17" fillId="0" borderId="4" xfId="7" applyFont="1" applyBorder="1" applyAlignment="1">
      <alignment vertical="center"/>
    </xf>
    <xf numFmtId="0" fontId="17" fillId="0" borderId="5" xfId="11" applyNumberFormat="1" applyFont="1" applyFill="1" applyBorder="1" applyAlignment="1">
      <alignment vertical="center"/>
    </xf>
    <xf numFmtId="41" fontId="9" fillId="0" borderId="5" xfId="7" applyNumberFormat="1" applyFont="1" applyBorder="1" applyAlignment="1">
      <alignment vertical="center"/>
    </xf>
    <xf numFmtId="41" fontId="9" fillId="0" borderId="5" xfId="11" applyFont="1" applyFill="1" applyBorder="1" applyAlignment="1">
      <alignment horizontal="right" vertical="center"/>
    </xf>
    <xf numFmtId="0" fontId="9" fillId="0" borderId="5" xfId="7" applyFont="1" applyBorder="1" applyAlignment="1">
      <alignment vertical="center"/>
    </xf>
    <xf numFmtId="0" fontId="17" fillId="0" borderId="7" xfId="11" applyNumberFormat="1" applyFont="1" applyFill="1" applyBorder="1" applyAlignment="1">
      <alignment vertical="center"/>
    </xf>
    <xf numFmtId="184" fontId="17" fillId="0" borderId="0" xfId="7" applyNumberFormat="1" applyFont="1" applyAlignment="1">
      <alignment vertical="center"/>
    </xf>
    <xf numFmtId="0" fontId="10" fillId="0" borderId="0" xfId="7" applyFont="1" applyAlignment="1">
      <alignment horizontal="left" vertical="center"/>
    </xf>
    <xf numFmtId="41" fontId="11" fillId="0" borderId="5" xfId="2" applyNumberFormat="1" applyFont="1" applyBorder="1" applyAlignment="1">
      <alignment vertical="center"/>
    </xf>
    <xf numFmtId="0" fontId="17" fillId="0" borderId="0" xfId="7" applyFont="1" applyAlignment="1">
      <alignment horizontal="left" vertical="center"/>
    </xf>
    <xf numFmtId="0" fontId="17" fillId="0" borderId="12" xfId="7" applyFont="1" applyBorder="1" applyAlignment="1">
      <alignment horizontal="centerContinuous" vertical="center"/>
    </xf>
    <xf numFmtId="0" fontId="17" fillId="0" borderId="2" xfId="7" applyFont="1" applyBorder="1" applyAlignment="1">
      <alignment horizontal="centerContinuous" vertical="center"/>
    </xf>
    <xf numFmtId="183" fontId="17" fillId="0" borderId="0" xfId="11" applyNumberFormat="1" applyFont="1" applyFill="1" applyBorder="1" applyAlignment="1">
      <alignment vertical="center"/>
    </xf>
    <xf numFmtId="0" fontId="17" fillId="0" borderId="7" xfId="7" applyFont="1" applyBorder="1" applyAlignment="1">
      <alignment horizontal="center" vertical="center"/>
    </xf>
    <xf numFmtId="0" fontId="17" fillId="0" borderId="8" xfId="7" applyFont="1" applyBorder="1" applyAlignment="1">
      <alignment horizontal="center" vertical="center"/>
    </xf>
    <xf numFmtId="183" fontId="17" fillId="0" borderId="5" xfId="7" applyNumberFormat="1" applyFont="1" applyBorder="1" applyAlignment="1">
      <alignment vertical="center"/>
    </xf>
    <xf numFmtId="0" fontId="10" fillId="0" borderId="0" xfId="7" applyFont="1" applyAlignment="1">
      <alignment vertical="center"/>
    </xf>
    <xf numFmtId="0" fontId="9" fillId="0" borderId="9" xfId="7" applyFont="1" applyBorder="1" applyAlignment="1">
      <alignment horizontal="left" vertical="center"/>
    </xf>
    <xf numFmtId="0" fontId="10" fillId="0" borderId="7" xfId="7" applyFont="1" applyBorder="1" applyAlignment="1">
      <alignment vertical="center"/>
    </xf>
    <xf numFmtId="184" fontId="9" fillId="0" borderId="0" xfId="7" applyNumberFormat="1" applyFont="1" applyAlignment="1">
      <alignment vertical="center"/>
    </xf>
    <xf numFmtId="184" fontId="9" fillId="0" borderId="0" xfId="7" applyNumberFormat="1" applyFont="1" applyAlignment="1">
      <alignment horizontal="right" vertical="center"/>
    </xf>
    <xf numFmtId="3" fontId="9" fillId="0" borderId="12" xfId="6" applyNumberFormat="1" applyFont="1" applyBorder="1" applyAlignment="1">
      <alignment horizontal="center" vertical="center" wrapText="1"/>
    </xf>
    <xf numFmtId="0" fontId="9" fillId="0" borderId="13" xfId="7" applyFont="1" applyBorder="1" applyAlignment="1">
      <alignment horizontal="left" vertical="center"/>
    </xf>
    <xf numFmtId="181" fontId="9" fillId="0" borderId="10" xfId="7" applyNumberFormat="1" applyFont="1" applyBorder="1" applyAlignment="1">
      <alignment horizontal="center" vertical="center"/>
    </xf>
    <xf numFmtId="41" fontId="9" fillId="0" borderId="10" xfId="1" applyFont="1" applyFill="1" applyBorder="1" applyAlignment="1">
      <alignment vertical="center"/>
    </xf>
    <xf numFmtId="184" fontId="9" fillId="0" borderId="5" xfId="7" applyNumberFormat="1" applyFont="1" applyBorder="1" applyAlignment="1">
      <alignment horizontal="center" vertical="center"/>
    </xf>
    <xf numFmtId="181" fontId="9" fillId="0" borderId="5" xfId="7" applyNumberFormat="1" applyFont="1" applyBorder="1" applyAlignment="1">
      <alignment horizontal="center" vertical="center"/>
    </xf>
    <xf numFmtId="0" fontId="9" fillId="0" borderId="4" xfId="7" applyFont="1" applyBorder="1" applyAlignment="1">
      <alignment horizontal="left" vertical="center" shrinkToFit="1"/>
    </xf>
    <xf numFmtId="186" fontId="9" fillId="0" borderId="6" xfId="0" applyNumberFormat="1" applyFont="1" applyBorder="1" applyAlignment="1">
      <alignment horizontal="right" vertical="center"/>
    </xf>
    <xf numFmtId="0" fontId="10" fillId="0" borderId="5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41" fontId="10" fillId="0" borderId="5" xfId="0" applyNumberFormat="1" applyFont="1" applyBorder="1">
      <alignment vertical="center"/>
    </xf>
    <xf numFmtId="41" fontId="10" fillId="0" borderId="5" xfId="1" applyFont="1" applyFill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41" fontId="10" fillId="0" borderId="6" xfId="0" applyNumberFormat="1" applyFont="1" applyBorder="1">
      <alignment vertical="center"/>
    </xf>
    <xf numFmtId="0" fontId="9" fillId="0" borderId="0" xfId="7" applyFont="1" applyAlignment="1">
      <alignment horizontal="center" vertical="center"/>
    </xf>
    <xf numFmtId="0" fontId="9" fillId="0" borderId="13" xfId="7" applyFont="1" applyBorder="1" applyAlignment="1">
      <alignment vertical="center"/>
    </xf>
    <xf numFmtId="2" fontId="9" fillId="0" borderId="10" xfId="7" applyNumberFormat="1" applyFont="1" applyBorder="1" applyAlignment="1">
      <alignment horizontal="center" vertical="center"/>
    </xf>
    <xf numFmtId="2" fontId="9" fillId="0" borderId="0" xfId="7" applyNumberFormat="1" applyFont="1" applyAlignment="1">
      <alignment horizontal="center" vertical="center"/>
    </xf>
    <xf numFmtId="0" fontId="9" fillId="0" borderId="0" xfId="7" applyFont="1" applyAlignment="1">
      <alignment horizontal="centerContinuous" vertical="center"/>
    </xf>
    <xf numFmtId="2" fontId="9" fillId="0" borderId="5" xfId="7" applyNumberFormat="1" applyFont="1" applyBorder="1" applyAlignment="1">
      <alignment horizontal="center" vertical="center"/>
    </xf>
    <xf numFmtId="0" fontId="10" fillId="0" borderId="5" xfId="7" applyFont="1" applyBorder="1" applyAlignment="1">
      <alignment horizontal="left" vertical="center"/>
    </xf>
    <xf numFmtId="184" fontId="17" fillId="0" borderId="5" xfId="1" applyNumberFormat="1" applyFont="1" applyFill="1" applyBorder="1" applyAlignment="1">
      <alignment vertical="center"/>
    </xf>
    <xf numFmtId="2" fontId="17" fillId="0" borderId="0" xfId="7" applyNumberFormat="1" applyFont="1" applyAlignment="1">
      <alignment vertical="center"/>
    </xf>
    <xf numFmtId="0" fontId="10" fillId="0" borderId="4" xfId="0" applyFont="1" applyBorder="1">
      <alignment vertical="center"/>
    </xf>
    <xf numFmtId="0" fontId="10" fillId="0" borderId="5" xfId="0" applyFont="1" applyBorder="1" applyAlignment="1">
      <alignment horizontal="left" vertical="center"/>
    </xf>
    <xf numFmtId="41" fontId="10" fillId="0" borderId="5" xfId="11" applyFont="1" applyFill="1" applyBorder="1" applyAlignment="1">
      <alignment horizontal="center" vertical="center"/>
    </xf>
    <xf numFmtId="184" fontId="10" fillId="0" borderId="5" xfId="1" applyNumberFormat="1" applyFont="1" applyFill="1" applyBorder="1">
      <alignment vertical="center"/>
    </xf>
    <xf numFmtId="41" fontId="10" fillId="0" borderId="6" xfId="1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81" fontId="9" fillId="0" borderId="0" xfId="7" applyNumberFormat="1" applyFont="1" applyAlignment="1">
      <alignment horizontal="center" vertical="center"/>
    </xf>
    <xf numFmtId="2" fontId="9" fillId="0" borderId="0" xfId="7" applyNumberFormat="1" applyFont="1" applyAlignment="1">
      <alignment vertical="center"/>
    </xf>
    <xf numFmtId="184" fontId="9" fillId="0" borderId="5" xfId="1" applyNumberFormat="1" applyFont="1" applyFill="1" applyBorder="1" applyAlignment="1">
      <alignment vertical="center"/>
    </xf>
    <xf numFmtId="41" fontId="10" fillId="0" borderId="5" xfId="11" applyFont="1" applyFill="1" applyBorder="1" applyAlignment="1">
      <alignment horizontal="left" vertical="center"/>
    </xf>
    <xf numFmtId="2" fontId="9" fillId="0" borderId="5" xfId="7" applyNumberFormat="1" applyFont="1" applyBorder="1" applyAlignment="1">
      <alignment vertical="center"/>
    </xf>
    <xf numFmtId="0" fontId="17" fillId="0" borderId="5" xfId="7" applyFont="1" applyBorder="1" applyAlignment="1">
      <alignment horizontal="left" vertical="center"/>
    </xf>
    <xf numFmtId="0" fontId="17" fillId="0" borderId="5" xfId="7" applyFont="1" applyBorder="1" applyAlignment="1">
      <alignment vertical="center"/>
    </xf>
    <xf numFmtId="180" fontId="9" fillId="0" borderId="0" xfId="11" applyNumberFormat="1" applyFont="1" applyFill="1" applyBorder="1" applyAlignment="1">
      <alignment horizontal="center" vertical="center"/>
    </xf>
    <xf numFmtId="0" fontId="10" fillId="0" borderId="4" xfId="7" applyFont="1" applyBorder="1" applyAlignment="1">
      <alignment vertical="center"/>
    </xf>
    <xf numFmtId="0" fontId="9" fillId="0" borderId="4" xfId="9" applyFont="1" applyBorder="1" applyAlignment="1">
      <alignment horizontal="left" vertical="center"/>
    </xf>
    <xf numFmtId="0" fontId="9" fillId="0" borderId="5" xfId="9" applyFont="1" applyBorder="1" applyAlignment="1">
      <alignment horizontal="left" vertical="center"/>
    </xf>
    <xf numFmtId="0" fontId="9" fillId="0" borderId="4" xfId="3" applyFont="1" applyBorder="1" applyAlignment="1">
      <alignment vertical="center"/>
    </xf>
    <xf numFmtId="41" fontId="10" fillId="0" borderId="5" xfId="1" applyFont="1" applyFill="1" applyBorder="1">
      <alignment vertical="center"/>
    </xf>
    <xf numFmtId="41" fontId="10" fillId="0" borderId="7" xfId="1" applyFont="1" applyFill="1" applyBorder="1" applyAlignment="1">
      <alignment vertical="center"/>
    </xf>
    <xf numFmtId="0" fontId="9" fillId="0" borderId="5" xfId="9" applyFont="1" applyBorder="1" applyAlignment="1">
      <alignment vertical="center"/>
    </xf>
    <xf numFmtId="0" fontId="9" fillId="0" borderId="4" xfId="9" applyFont="1" applyBorder="1" applyAlignment="1">
      <alignment horizontal="left" vertical="center" shrinkToFit="1"/>
    </xf>
    <xf numFmtId="187" fontId="17" fillId="0" borderId="5" xfId="9" applyNumberFormat="1" applyFont="1" applyBorder="1" applyAlignment="1">
      <alignment horizontal="center" vertical="center"/>
    </xf>
    <xf numFmtId="0" fontId="17" fillId="0" borderId="13" xfId="7" applyFont="1" applyBorder="1" applyAlignment="1">
      <alignment vertical="center"/>
    </xf>
    <xf numFmtId="176" fontId="11" fillId="0" borderId="10" xfId="7" applyNumberFormat="1" applyFont="1" applyBorder="1" applyAlignment="1">
      <alignment vertical="center"/>
    </xf>
    <xf numFmtId="176" fontId="11" fillId="0" borderId="5" xfId="7" applyNumberFormat="1" applyFont="1" applyBorder="1" applyAlignment="1">
      <alignment vertical="center"/>
    </xf>
    <xf numFmtId="0" fontId="9" fillId="0" borderId="4" xfId="2" applyFont="1" applyBorder="1" applyAlignment="1">
      <alignment horizontal="left" vertical="center"/>
    </xf>
    <xf numFmtId="0" fontId="9" fillId="0" borderId="4" xfId="7" applyFont="1" applyBorder="1" applyAlignment="1">
      <alignment horizontal="center" vertical="center"/>
    </xf>
    <xf numFmtId="0" fontId="9" fillId="0" borderId="6" xfId="7" applyFont="1" applyBorder="1" applyAlignment="1">
      <alignment vertical="center"/>
    </xf>
    <xf numFmtId="0" fontId="18" fillId="0" borderId="5" xfId="7" applyFont="1" applyBorder="1" applyAlignment="1">
      <alignment vertical="center"/>
    </xf>
    <xf numFmtId="0" fontId="9" fillId="0" borderId="0" xfId="7" applyFont="1" applyAlignment="1">
      <alignment horizontal="left" vertical="center"/>
    </xf>
    <xf numFmtId="0" fontId="9" fillId="0" borderId="0" xfId="7" applyFont="1" applyAlignment="1">
      <alignment horizontal="right" vertical="center"/>
    </xf>
    <xf numFmtId="0" fontId="17" fillId="0" borderId="4" xfId="7" applyFont="1" applyBorder="1" applyAlignment="1">
      <alignment horizontal="center" vertical="center"/>
    </xf>
    <xf numFmtId="0" fontId="23" fillId="0" borderId="4" xfId="7" applyFont="1" applyBorder="1" applyAlignment="1">
      <alignment horizontal="left" vertical="center"/>
    </xf>
    <xf numFmtId="0" fontId="19" fillId="0" borderId="5" xfId="3" applyFont="1" applyBorder="1" applyAlignment="1">
      <alignment vertical="center"/>
    </xf>
    <xf numFmtId="0" fontId="10" fillId="0" borderId="4" xfId="6" applyFont="1" applyBorder="1" applyAlignment="1">
      <alignment vertical="center"/>
    </xf>
    <xf numFmtId="41" fontId="10" fillId="0" borderId="5" xfId="8" applyFont="1" applyFill="1" applyBorder="1" applyAlignment="1">
      <alignment horizontal="center" vertical="center"/>
    </xf>
    <xf numFmtId="41" fontId="13" fillId="0" borderId="6" xfId="5" applyFont="1" applyFill="1" applyBorder="1" applyAlignment="1">
      <alignment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vertical="center"/>
    </xf>
    <xf numFmtId="0" fontId="17" fillId="0" borderId="4" xfId="2" applyFont="1" applyBorder="1" applyAlignment="1">
      <alignment horizontal="left" vertical="center"/>
    </xf>
    <xf numFmtId="0" fontId="17" fillId="0" borderId="5" xfId="2" applyFont="1" applyBorder="1" applyAlignment="1">
      <alignment horizontal="center" vertical="center"/>
    </xf>
    <xf numFmtId="180" fontId="9" fillId="0" borderId="5" xfId="12" applyNumberFormat="1" applyFont="1" applyFill="1" applyBorder="1" applyAlignment="1">
      <alignment vertical="center"/>
    </xf>
    <xf numFmtId="41" fontId="9" fillId="0" borderId="5" xfId="2" applyNumberFormat="1" applyFont="1" applyBorder="1" applyAlignment="1">
      <alignment horizontal="center" vertical="center"/>
    </xf>
    <xf numFmtId="0" fontId="17" fillId="0" borderId="4" xfId="2" applyFont="1" applyBorder="1" applyAlignment="1">
      <alignment horizontal="left" vertical="center" shrinkToFit="1"/>
    </xf>
    <xf numFmtId="41" fontId="9" fillId="0" borderId="5" xfId="12" applyFont="1" applyFill="1" applyBorder="1" applyAlignment="1">
      <alignment vertical="center"/>
    </xf>
    <xf numFmtId="41" fontId="9" fillId="0" borderId="5" xfId="2" applyNumberFormat="1" applyFont="1" applyBorder="1" applyAlignment="1">
      <alignment vertical="center"/>
    </xf>
    <xf numFmtId="183" fontId="9" fillId="0" borderId="5" xfId="12" applyNumberFormat="1" applyFont="1" applyFill="1" applyBorder="1" applyAlignment="1">
      <alignment vertical="center"/>
    </xf>
    <xf numFmtId="41" fontId="18" fillId="0" borderId="6" xfId="12" applyFont="1" applyFill="1" applyBorder="1" applyAlignment="1">
      <alignment vertical="center"/>
    </xf>
    <xf numFmtId="0" fontId="10" fillId="0" borderId="4" xfId="2" applyFont="1" applyBorder="1" applyAlignment="1">
      <alignment horizontal="left" vertical="center"/>
    </xf>
    <xf numFmtId="41" fontId="10" fillId="0" borderId="0" xfId="12" applyFont="1" applyFill="1" applyBorder="1" applyAlignment="1">
      <alignment vertical="center"/>
    </xf>
    <xf numFmtId="0" fontId="9" fillId="0" borderId="4" xfId="2" applyFont="1" applyBorder="1" applyAlignment="1">
      <alignment vertical="center"/>
    </xf>
    <xf numFmtId="41" fontId="10" fillId="0" borderId="6" xfId="12" applyFont="1" applyFill="1" applyBorder="1" applyAlignment="1">
      <alignment vertical="center"/>
    </xf>
    <xf numFmtId="0" fontId="9" fillId="0" borderId="0" xfId="2" applyFont="1" applyAlignment="1">
      <alignment horizontal="right" vertical="center"/>
    </xf>
    <xf numFmtId="41" fontId="9" fillId="0" borderId="4" xfId="2" applyNumberFormat="1" applyFont="1" applyBorder="1" applyAlignment="1">
      <alignment vertical="center"/>
    </xf>
    <xf numFmtId="41" fontId="9" fillId="0" borderId="9" xfId="2" applyNumberFormat="1" applyFont="1" applyBorder="1" applyAlignment="1">
      <alignment vertical="center"/>
    </xf>
    <xf numFmtId="41" fontId="9" fillId="0" borderId="7" xfId="2" applyNumberFormat="1" applyFont="1" applyBorder="1" applyAlignment="1">
      <alignment vertical="center"/>
    </xf>
    <xf numFmtId="183" fontId="9" fillId="0" borderId="7" xfId="12" applyNumberFormat="1" applyFont="1" applyFill="1" applyBorder="1" applyAlignment="1">
      <alignment vertical="center"/>
    </xf>
    <xf numFmtId="41" fontId="10" fillId="0" borderId="8" xfId="12" applyFont="1" applyFill="1" applyBorder="1" applyAlignment="1">
      <alignment vertical="center"/>
    </xf>
    <xf numFmtId="183" fontId="20" fillId="0" borderId="5" xfId="12" applyNumberFormat="1" applyFont="1" applyFill="1" applyBorder="1" applyAlignment="1">
      <alignment vertical="center"/>
    </xf>
    <xf numFmtId="0" fontId="17" fillId="0" borderId="13" xfId="7" applyFont="1" applyBorder="1" applyAlignment="1">
      <alignment horizontal="center" vertical="center"/>
    </xf>
    <xf numFmtId="41" fontId="11" fillId="0" borderId="10" xfId="7" applyNumberFormat="1" applyFont="1" applyBorder="1" applyAlignment="1">
      <alignment vertical="center"/>
    </xf>
    <xf numFmtId="41" fontId="17" fillId="0" borderId="10" xfId="1" applyFont="1" applyFill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17" fillId="0" borderId="5" xfId="7" applyFont="1" applyBorder="1" applyAlignment="1">
      <alignment horizontal="center" vertical="center"/>
    </xf>
    <xf numFmtId="0" fontId="23" fillId="0" borderId="5" xfId="7" applyFont="1" applyBorder="1" applyAlignment="1">
      <alignment horizontal="left" vertical="center"/>
    </xf>
    <xf numFmtId="0" fontId="23" fillId="0" borderId="9" xfId="7" applyFont="1" applyBorder="1" applyAlignment="1">
      <alignment horizontal="left" vertical="center"/>
    </xf>
    <xf numFmtId="187" fontId="10" fillId="0" borderId="5" xfId="7" applyNumberFormat="1" applyFont="1" applyBorder="1" applyAlignment="1">
      <alignment vertical="center"/>
    </xf>
    <xf numFmtId="187" fontId="9" fillId="0" borderId="5" xfId="7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10" fillId="0" borderId="7" xfId="0" applyFont="1" applyBorder="1" applyAlignment="1">
      <alignment horizontal="center" vertical="center"/>
    </xf>
    <xf numFmtId="41" fontId="10" fillId="0" borderId="7" xfId="0" applyNumberFormat="1" applyFont="1" applyBorder="1">
      <alignment vertical="center"/>
    </xf>
    <xf numFmtId="187" fontId="10" fillId="0" borderId="7" xfId="0" applyNumberFormat="1" applyFont="1" applyBorder="1">
      <alignment vertical="center"/>
    </xf>
    <xf numFmtId="41" fontId="10" fillId="0" borderId="8" xfId="0" applyNumberFormat="1" applyFont="1" applyBorder="1">
      <alignment vertical="center"/>
    </xf>
    <xf numFmtId="0" fontId="9" fillId="0" borderId="4" xfId="7" applyFont="1" applyBorder="1" applyAlignment="1">
      <alignment horizontal="centerContinuous" vertical="center"/>
    </xf>
    <xf numFmtId="0" fontId="9" fillId="0" borderId="5" xfId="7" applyFont="1" applyBorder="1" applyAlignment="1">
      <alignment horizontal="center" vertical="center"/>
    </xf>
    <xf numFmtId="41" fontId="9" fillId="0" borderId="5" xfId="1" applyFont="1" applyFill="1" applyBorder="1" applyAlignment="1">
      <alignment horizontal="center" vertical="center"/>
    </xf>
    <xf numFmtId="41" fontId="9" fillId="0" borderId="6" xfId="11" applyFont="1" applyFill="1" applyBorder="1" applyAlignment="1">
      <alignment horizontal="center" vertical="center"/>
    </xf>
    <xf numFmtId="0" fontId="16" fillId="0" borderId="0" xfId="7" applyFont="1" applyAlignment="1">
      <alignment vertical="center"/>
    </xf>
    <xf numFmtId="2" fontId="9" fillId="0" borderId="10" xfId="7" applyNumberFormat="1" applyFont="1" applyBorder="1" applyAlignment="1">
      <alignment vertical="center"/>
    </xf>
    <xf numFmtId="0" fontId="9" fillId="0" borderId="5" xfId="0" applyFont="1" applyBorder="1" applyAlignment="1">
      <alignment horizontal="left" vertical="center"/>
    </xf>
    <xf numFmtId="0" fontId="17" fillId="0" borderId="7" xfId="7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41" fontId="11" fillId="0" borderId="5" xfId="0" applyNumberFormat="1" applyFont="1" applyBorder="1">
      <alignment vertical="center"/>
    </xf>
    <xf numFmtId="0" fontId="22" fillId="0" borderId="0" xfId="7" applyFont="1" applyAlignment="1">
      <alignment horizontal="left" vertical="center"/>
    </xf>
    <xf numFmtId="0" fontId="17" fillId="0" borderId="4" xfId="9" applyFont="1" applyBorder="1" applyAlignment="1">
      <alignment vertical="center"/>
    </xf>
    <xf numFmtId="0" fontId="17" fillId="0" borderId="4" xfId="9" applyFont="1" applyBorder="1" applyAlignment="1">
      <alignment horizontal="center" vertical="center"/>
    </xf>
    <xf numFmtId="0" fontId="23" fillId="0" borderId="4" xfId="9" applyFont="1" applyBorder="1" applyAlignment="1">
      <alignment horizontal="left" vertical="center"/>
    </xf>
    <xf numFmtId="0" fontId="10" fillId="0" borderId="4" xfId="9" applyFont="1" applyBorder="1" applyAlignment="1">
      <alignment horizontal="left" vertical="center"/>
    </xf>
    <xf numFmtId="0" fontId="10" fillId="0" borderId="5" xfId="9" applyFont="1" applyBorder="1" applyAlignment="1">
      <alignment vertical="center"/>
    </xf>
    <xf numFmtId="183" fontId="10" fillId="0" borderId="5" xfId="9" applyNumberFormat="1" applyFont="1" applyBorder="1" applyAlignment="1">
      <alignment vertical="center"/>
    </xf>
    <xf numFmtId="183" fontId="18" fillId="0" borderId="5" xfId="9" applyNumberFormat="1" applyFont="1" applyBorder="1" applyAlignment="1">
      <alignment vertical="center"/>
    </xf>
    <xf numFmtId="0" fontId="18" fillId="0" borderId="5" xfId="9" applyFont="1" applyBorder="1" applyAlignment="1">
      <alignment vertical="center"/>
    </xf>
    <xf numFmtId="0" fontId="23" fillId="0" borderId="9" xfId="9" applyFont="1" applyBorder="1" applyAlignment="1">
      <alignment horizontal="left" vertical="center"/>
    </xf>
    <xf numFmtId="0" fontId="10" fillId="0" borderId="7" xfId="9" applyFont="1" applyBorder="1" applyAlignment="1">
      <alignment vertical="center"/>
    </xf>
    <xf numFmtId="180" fontId="17" fillId="0" borderId="5" xfId="1" applyNumberFormat="1" applyFont="1" applyFill="1" applyBorder="1" applyAlignment="1">
      <alignment vertical="center"/>
    </xf>
    <xf numFmtId="180" fontId="19" fillId="0" borderId="5" xfId="3" applyNumberFormat="1" applyFont="1" applyBorder="1" applyAlignment="1">
      <alignment vertical="center"/>
    </xf>
    <xf numFmtId="0" fontId="10" fillId="0" borderId="9" xfId="6" applyFont="1" applyBorder="1" applyAlignment="1">
      <alignment vertical="center"/>
    </xf>
    <xf numFmtId="0" fontId="17" fillId="0" borderId="13" xfId="2" applyFont="1" applyBorder="1" applyAlignment="1">
      <alignment horizontal="left" vertical="center"/>
    </xf>
    <xf numFmtId="0" fontId="17" fillId="0" borderId="10" xfId="2" applyFont="1" applyBorder="1" applyAlignment="1">
      <alignment horizontal="center" vertical="center"/>
    </xf>
    <xf numFmtId="180" fontId="9" fillId="0" borderId="10" xfId="12" applyNumberFormat="1" applyFont="1" applyFill="1" applyBorder="1" applyAlignment="1">
      <alignment vertical="center"/>
    </xf>
    <xf numFmtId="180" fontId="9" fillId="0" borderId="11" xfId="1" applyNumberFormat="1" applyFont="1" applyFill="1" applyBorder="1" applyAlignment="1">
      <alignment horizontal="center" vertical="center"/>
    </xf>
    <xf numFmtId="0" fontId="9" fillId="0" borderId="9" xfId="2" applyFont="1" applyBorder="1" applyAlignment="1">
      <alignment vertical="center"/>
    </xf>
    <xf numFmtId="41" fontId="9" fillId="0" borderId="6" xfId="1" applyFont="1" applyFill="1" applyBorder="1" applyAlignment="1">
      <alignment vertical="center"/>
    </xf>
    <xf numFmtId="180" fontId="18" fillId="0" borderId="6" xfId="12" applyNumberFormat="1" applyFont="1" applyFill="1" applyBorder="1" applyAlignment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17" fillId="0" borderId="3" xfId="7" applyFont="1" applyBorder="1" applyAlignment="1">
      <alignment horizontal="center" vertical="center" shrinkToFit="1"/>
    </xf>
    <xf numFmtId="0" fontId="17" fillId="0" borderId="2" xfId="7" applyFont="1" applyBorder="1" applyAlignment="1">
      <alignment horizontal="center" vertical="center" shrinkToFit="1"/>
    </xf>
    <xf numFmtId="0" fontId="17" fillId="0" borderId="12" xfId="7" applyFont="1" applyBorder="1" applyAlignment="1">
      <alignment horizontal="center" vertical="center" shrinkToFit="1"/>
    </xf>
    <xf numFmtId="0" fontId="17" fillId="0" borderId="3" xfId="7" applyFont="1" applyBorder="1" applyAlignment="1">
      <alignment horizontal="center" vertical="center"/>
    </xf>
    <xf numFmtId="0" fontId="17" fillId="0" borderId="12" xfId="7" applyFont="1" applyBorder="1" applyAlignment="1">
      <alignment horizontal="center" vertical="center"/>
    </xf>
    <xf numFmtId="0" fontId="17" fillId="0" borderId="2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0" fontId="17" fillId="0" borderId="10" xfId="7" applyFont="1" applyBorder="1" applyAlignment="1">
      <alignment horizontal="center" vertical="center"/>
    </xf>
    <xf numFmtId="0" fontId="17" fillId="0" borderId="7" xfId="7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8" xfId="7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 shrinkToFit="1"/>
    </xf>
    <xf numFmtId="0" fontId="9" fillId="0" borderId="2" xfId="2" applyFont="1" applyBorder="1" applyAlignment="1">
      <alignment horizontal="center" vertical="center" shrinkToFit="1"/>
    </xf>
    <xf numFmtId="0" fontId="9" fillId="0" borderId="12" xfId="2" applyFont="1" applyBorder="1" applyAlignment="1">
      <alignment horizontal="center" vertical="center" shrinkToFit="1"/>
    </xf>
    <xf numFmtId="0" fontId="9" fillId="0" borderId="10" xfId="7" applyFont="1" applyBorder="1" applyAlignment="1">
      <alignment horizontal="center" vertical="center"/>
    </xf>
    <xf numFmtId="0" fontId="9" fillId="0" borderId="7" xfId="7" applyFont="1" applyBorder="1" applyAlignment="1">
      <alignment horizontal="center" vertical="center"/>
    </xf>
    <xf numFmtId="0" fontId="9" fillId="0" borderId="14" xfId="7" applyFont="1" applyBorder="1" applyAlignment="1">
      <alignment horizontal="center" vertical="center"/>
    </xf>
    <xf numFmtId="0" fontId="9" fillId="0" borderId="15" xfId="7" applyFont="1" applyBorder="1" applyAlignment="1">
      <alignment horizontal="center" vertical="center"/>
    </xf>
    <xf numFmtId="0" fontId="9" fillId="0" borderId="13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9" fillId="0" borderId="3" xfId="7" applyFont="1" applyBorder="1" applyAlignment="1">
      <alignment horizontal="center" vertical="center" shrinkToFit="1"/>
    </xf>
    <xf numFmtId="0" fontId="9" fillId="0" borderId="12" xfId="7" applyFont="1" applyBorder="1" applyAlignment="1">
      <alignment horizontal="center" vertical="center" shrinkToFit="1"/>
    </xf>
    <xf numFmtId="0" fontId="9" fillId="0" borderId="2" xfId="7" applyFont="1" applyBorder="1" applyAlignment="1">
      <alignment horizontal="center" vertical="center" shrinkToFit="1"/>
    </xf>
    <xf numFmtId="0" fontId="9" fillId="0" borderId="3" xfId="6" applyFont="1" applyBorder="1" applyAlignment="1">
      <alignment horizontal="center" vertical="center" wrapText="1"/>
    </xf>
    <xf numFmtId="0" fontId="9" fillId="0" borderId="12" xfId="6" applyFont="1" applyBorder="1" applyAlignment="1">
      <alignment horizontal="center" vertical="center" wrapText="1"/>
    </xf>
    <xf numFmtId="0" fontId="9" fillId="0" borderId="2" xfId="6" applyFont="1" applyBorder="1" applyAlignment="1">
      <alignment horizontal="center" vertical="center" wrapText="1"/>
    </xf>
    <xf numFmtId="0" fontId="9" fillId="0" borderId="13" xfId="7" applyFont="1" applyBorder="1" applyAlignment="1">
      <alignment horizontal="center" vertical="center"/>
    </xf>
    <xf numFmtId="0" fontId="9" fillId="0" borderId="9" xfId="7" applyFont="1" applyBorder="1" applyAlignment="1">
      <alignment horizontal="center" vertical="center"/>
    </xf>
    <xf numFmtId="0" fontId="9" fillId="0" borderId="11" xfId="7" applyFont="1" applyBorder="1" applyAlignment="1">
      <alignment horizontal="center" vertical="center"/>
    </xf>
    <xf numFmtId="0" fontId="9" fillId="0" borderId="8" xfId="7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 wrapText="1" shrinkToFit="1"/>
    </xf>
    <xf numFmtId="0" fontId="9" fillId="0" borderId="12" xfId="6" applyFont="1" applyBorder="1" applyAlignment="1">
      <alignment horizontal="center" vertical="center" shrinkToFit="1"/>
    </xf>
    <xf numFmtId="0" fontId="9" fillId="0" borderId="3" xfId="6" applyFont="1" applyBorder="1" applyAlignment="1">
      <alignment horizontal="center" vertical="center" shrinkToFit="1"/>
    </xf>
    <xf numFmtId="0" fontId="9" fillId="0" borderId="2" xfId="6" applyFont="1" applyBorder="1" applyAlignment="1">
      <alignment horizontal="center" vertical="center" shrinkToFit="1"/>
    </xf>
  </cellXfs>
  <cellStyles count="13">
    <cellStyle name="쉼표 [0]" xfId="1" builtinId="6"/>
    <cellStyle name="콤마 [0]_가설공사(1)" xfId="5" xr:uid="{00000000-0005-0000-0000-000002000000}"/>
    <cellStyle name="콤마 [0]_가설공사(2)" xfId="8" xr:uid="{00000000-0005-0000-0000-000003000000}"/>
    <cellStyle name="콤마 [0]_기초공사" xfId="10" xr:uid="{00000000-0005-0000-0000-000004000000}"/>
    <cellStyle name="콤마 [0]_조경공사" xfId="12" xr:uid="{00000000-0005-0000-0000-000005000000}"/>
    <cellStyle name="콤마 [0]_토공사" xfId="11" xr:uid="{00000000-0005-0000-0000-000006000000}"/>
    <cellStyle name="표준" xfId="0" builtinId="0"/>
    <cellStyle name="표준_Sheet1" xfId="4" xr:uid="{00000000-0005-0000-0000-000008000000}"/>
    <cellStyle name="표준_가설공사(1)" xfId="3" xr:uid="{00000000-0005-0000-0000-000009000000}"/>
    <cellStyle name="표준_가설공사(2)" xfId="6" xr:uid="{00000000-0005-0000-0000-00000A000000}"/>
    <cellStyle name="표준_기초공사" xfId="9" xr:uid="{00000000-0005-0000-0000-00000B000000}"/>
    <cellStyle name="표준_조경공사" xfId="2" xr:uid="{00000000-0005-0000-0000-00000C000000}"/>
    <cellStyle name="표준_토공사" xfId="7" xr:uid="{00000000-0005-0000-0000-00000D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3470-0560-44B4-92B2-DE17FAC5865F}">
  <sheetPr>
    <pageSetUpPr fitToPage="1"/>
  </sheetPr>
  <dimension ref="A1:R1074"/>
  <sheetViews>
    <sheetView tabSelected="1" zoomScaleNormal="100" workbookViewId="0">
      <selection activeCell="P16" sqref="P16"/>
    </sheetView>
  </sheetViews>
  <sheetFormatPr defaultColWidth="9" defaultRowHeight="12.95" customHeight="1" x14ac:dyDescent="0.3"/>
  <cols>
    <col min="1" max="1" width="2.625" style="1" customWidth="1"/>
    <col min="2" max="2" width="15.625" style="1" customWidth="1"/>
    <col min="3" max="3" width="15.625" style="2" customWidth="1"/>
    <col min="4" max="4" width="4.625" style="1" customWidth="1"/>
    <col min="5" max="5" width="11.625" style="1" customWidth="1"/>
    <col min="6" max="6" width="8.625" style="1" customWidth="1"/>
    <col min="7" max="7" width="11.625" style="1" customWidth="1"/>
    <col min="8" max="8" width="8.625" style="1" customWidth="1"/>
    <col min="9" max="9" width="11.625" style="1" customWidth="1"/>
    <col min="10" max="10" width="8.625" style="1" customWidth="1"/>
    <col min="11" max="11" width="11.625" style="1" customWidth="1"/>
    <col min="12" max="12" width="8.625" style="1" customWidth="1"/>
    <col min="13" max="13" width="11.625" style="1" customWidth="1"/>
    <col min="14" max="14" width="2.625" style="1" customWidth="1"/>
    <col min="15" max="15" width="11.625" style="1" customWidth="1"/>
    <col min="16" max="16384" width="9" style="1"/>
  </cols>
  <sheetData>
    <row r="1" spans="1:15" ht="12.95" customHeight="1" x14ac:dyDescent="0.3">
      <c r="A1" s="86"/>
      <c r="B1" s="88" t="s">
        <v>41</v>
      </c>
      <c r="C1" s="89"/>
      <c r="D1" s="90"/>
    </row>
    <row r="2" spans="1:15" ht="12.95" customHeight="1" x14ac:dyDescent="0.15">
      <c r="A2" s="87"/>
      <c r="B2" s="90" t="s">
        <v>170</v>
      </c>
    </row>
    <row r="3" spans="1:15" ht="12.95" customHeight="1" x14ac:dyDescent="0.3">
      <c r="B3" s="91" t="s">
        <v>171</v>
      </c>
      <c r="M3" s="92" t="s">
        <v>172</v>
      </c>
    </row>
    <row r="4" spans="1:15" ht="12.95" customHeight="1" x14ac:dyDescent="0.3">
      <c r="B4" s="337" t="s">
        <v>14</v>
      </c>
      <c r="C4" s="337" t="s">
        <v>18</v>
      </c>
      <c r="D4" s="317" t="s">
        <v>19</v>
      </c>
      <c r="E4" s="317" t="s">
        <v>15</v>
      </c>
      <c r="F4" s="344" t="s">
        <v>178</v>
      </c>
      <c r="G4" s="345"/>
      <c r="H4" s="344" t="s">
        <v>179</v>
      </c>
      <c r="I4" s="345"/>
      <c r="J4" s="353" t="s">
        <v>43</v>
      </c>
      <c r="K4" s="354"/>
      <c r="L4" s="344" t="s">
        <v>180</v>
      </c>
      <c r="M4" s="345"/>
    </row>
    <row r="5" spans="1:15" ht="12.95" customHeight="1" x14ac:dyDescent="0.3">
      <c r="B5" s="338"/>
      <c r="C5" s="338"/>
      <c r="D5" s="340"/>
      <c r="E5" s="340"/>
      <c r="F5" s="93" t="s">
        <v>176</v>
      </c>
      <c r="G5" s="94">
        <v>3.6</v>
      </c>
      <c r="H5" s="93" t="s">
        <v>176</v>
      </c>
      <c r="I5" s="94">
        <v>2.7</v>
      </c>
      <c r="J5" s="93" t="s">
        <v>176</v>
      </c>
      <c r="K5" s="94">
        <v>2.2000000000000002</v>
      </c>
      <c r="L5" s="93" t="s">
        <v>176</v>
      </c>
      <c r="M5" s="94">
        <v>1.2</v>
      </c>
    </row>
    <row r="6" spans="1:15" ht="12.95" customHeight="1" x14ac:dyDescent="0.3">
      <c r="B6" s="339"/>
      <c r="C6" s="339"/>
      <c r="D6" s="318"/>
      <c r="E6" s="318"/>
      <c r="F6" s="96" t="s">
        <v>174</v>
      </c>
      <c r="G6" s="97" t="s">
        <v>175</v>
      </c>
      <c r="H6" s="96" t="s">
        <v>174</v>
      </c>
      <c r="I6" s="97" t="s">
        <v>175</v>
      </c>
      <c r="J6" s="96" t="s">
        <v>174</v>
      </c>
      <c r="K6" s="97" t="s">
        <v>175</v>
      </c>
      <c r="L6" s="96" t="s">
        <v>174</v>
      </c>
      <c r="M6" s="97" t="s">
        <v>175</v>
      </c>
    </row>
    <row r="7" spans="1:15" ht="12.95" customHeight="1" x14ac:dyDescent="0.3">
      <c r="B7" s="98" t="s">
        <v>1</v>
      </c>
      <c r="C7" s="98"/>
      <c r="D7" s="99" t="s">
        <v>33</v>
      </c>
      <c r="E7" s="100">
        <v>226122</v>
      </c>
      <c r="F7" s="101">
        <v>1</v>
      </c>
      <c r="G7" s="3">
        <f t="shared" ref="G7" si="0">TRUNC($E7*F7,1)</f>
        <v>226122</v>
      </c>
      <c r="H7" s="101">
        <v>1</v>
      </c>
      <c r="I7" s="3">
        <f t="shared" ref="I7" si="1">TRUNC($E7*H7,1)</f>
        <v>226122</v>
      </c>
      <c r="J7" s="101">
        <v>1</v>
      </c>
      <c r="K7" s="3">
        <f t="shared" ref="K7" si="2">TRUNC($E7*J7,1)</f>
        <v>226122</v>
      </c>
      <c r="L7" s="101">
        <v>1</v>
      </c>
      <c r="M7" s="3">
        <f t="shared" ref="M7" si="3">TRUNC($E7*L7,1)</f>
        <v>226122</v>
      </c>
    </row>
    <row r="8" spans="1:15" ht="12.95" customHeight="1" x14ac:dyDescent="0.3">
      <c r="B8" s="102" t="s">
        <v>23</v>
      </c>
      <c r="C8" s="103"/>
      <c r="D8" s="104"/>
      <c r="E8" s="105"/>
      <c r="F8" s="106"/>
      <c r="G8" s="107">
        <f>TRUNC(SUM(G7:G7))</f>
        <v>226122</v>
      </c>
      <c r="H8" s="106"/>
      <c r="I8" s="107">
        <f>TRUNC(SUM(I7:I7))</f>
        <v>226122</v>
      </c>
      <c r="J8" s="106"/>
      <c r="K8" s="107">
        <f>TRUNC(SUM(K7:K7))</f>
        <v>226122</v>
      </c>
      <c r="L8" s="106"/>
      <c r="M8" s="107">
        <f>TRUNC(SUM(M7:M7))</f>
        <v>226122</v>
      </c>
    </row>
    <row r="9" spans="1:15" ht="12.95" customHeight="1" x14ac:dyDescent="0.3">
      <c r="B9" s="108"/>
      <c r="C9" s="108"/>
      <c r="D9" s="109"/>
      <c r="E9" s="110"/>
      <c r="F9" s="111"/>
      <c r="G9" s="112"/>
      <c r="H9" s="111"/>
      <c r="I9" s="112"/>
      <c r="J9" s="111"/>
      <c r="K9" s="112"/>
      <c r="L9" s="111"/>
      <c r="M9" s="112"/>
    </row>
    <row r="10" spans="1:15" ht="12.95" customHeight="1" x14ac:dyDescent="0.3">
      <c r="B10" s="113" t="s">
        <v>26</v>
      </c>
      <c r="C10" s="108"/>
      <c r="D10" s="109"/>
      <c r="E10" s="114"/>
      <c r="F10" s="115"/>
      <c r="G10" s="116">
        <f>SUM(G8)</f>
        <v>226122</v>
      </c>
      <c r="H10" s="115"/>
      <c r="I10" s="116">
        <f>SUM(I8)</f>
        <v>226122</v>
      </c>
      <c r="J10" s="115"/>
      <c r="K10" s="116">
        <f>SUM(K8)</f>
        <v>226122</v>
      </c>
      <c r="L10" s="115"/>
      <c r="M10" s="116">
        <f>SUM(M8)</f>
        <v>226122</v>
      </c>
    </row>
    <row r="11" spans="1:15" ht="12.95" customHeight="1" x14ac:dyDescent="0.3">
      <c r="B11" s="117" t="s">
        <v>177</v>
      </c>
      <c r="C11" s="118"/>
      <c r="D11" s="119"/>
      <c r="E11" s="120"/>
      <c r="F11" s="121"/>
      <c r="G11" s="122">
        <f>TRUNC(G10/G5)</f>
        <v>62811</v>
      </c>
      <c r="H11" s="121"/>
      <c r="I11" s="122">
        <f>TRUNC(I10/I5)</f>
        <v>83748</v>
      </c>
      <c r="J11" s="121"/>
      <c r="K11" s="122">
        <f>TRUNC(K10/K5)</f>
        <v>102782</v>
      </c>
      <c r="L11" s="121"/>
      <c r="M11" s="122">
        <f>TRUNC(M10/M5)</f>
        <v>188435</v>
      </c>
    </row>
    <row r="12" spans="1:15" ht="12.95" customHeight="1" x14ac:dyDescent="0.3">
      <c r="B12" s="123"/>
      <c r="C12" s="124"/>
      <c r="D12" s="123"/>
      <c r="E12" s="125"/>
      <c r="F12" s="126"/>
      <c r="G12" s="126"/>
      <c r="N12" s="23"/>
      <c r="O12" s="23"/>
    </row>
    <row r="13" spans="1:15" ht="12.95" customHeight="1" x14ac:dyDescent="0.3">
      <c r="B13" s="6" t="s">
        <v>181</v>
      </c>
      <c r="C13" s="6"/>
      <c r="D13" s="6"/>
      <c r="E13" s="127"/>
      <c r="F13" s="4"/>
      <c r="G13" s="4"/>
      <c r="H13" s="4"/>
      <c r="I13" s="4"/>
      <c r="J13" s="4"/>
      <c r="K13" s="128"/>
      <c r="M13" s="128" t="s">
        <v>42</v>
      </c>
      <c r="N13" s="23"/>
      <c r="O13" s="23"/>
    </row>
    <row r="14" spans="1:15" ht="12.95" customHeight="1" x14ac:dyDescent="0.3">
      <c r="B14" s="312" t="s">
        <v>14</v>
      </c>
      <c r="C14" s="314" t="s">
        <v>31</v>
      </c>
      <c r="D14" s="316" t="s">
        <v>19</v>
      </c>
      <c r="E14" s="317" t="s">
        <v>15</v>
      </c>
      <c r="F14" s="344" t="s">
        <v>44</v>
      </c>
      <c r="G14" s="345"/>
      <c r="H14" s="344" t="s">
        <v>45</v>
      </c>
      <c r="I14" s="345"/>
      <c r="J14" s="344" t="s">
        <v>46</v>
      </c>
      <c r="K14" s="345"/>
      <c r="L14" s="344" t="s">
        <v>47</v>
      </c>
      <c r="M14" s="345"/>
      <c r="N14" s="23"/>
      <c r="O14" s="23"/>
    </row>
    <row r="15" spans="1:15" ht="12.95" customHeight="1" x14ac:dyDescent="0.3">
      <c r="B15" s="313"/>
      <c r="C15" s="315"/>
      <c r="D15" s="316"/>
      <c r="E15" s="318"/>
      <c r="F15" s="96" t="s">
        <v>16</v>
      </c>
      <c r="G15" s="97" t="s">
        <v>17</v>
      </c>
      <c r="H15" s="96" t="s">
        <v>16</v>
      </c>
      <c r="I15" s="97" t="s">
        <v>17</v>
      </c>
      <c r="J15" s="96" t="s">
        <v>16</v>
      </c>
      <c r="K15" s="97" t="s">
        <v>17</v>
      </c>
      <c r="L15" s="96" t="s">
        <v>16</v>
      </c>
      <c r="M15" s="97" t="s">
        <v>17</v>
      </c>
      <c r="N15" s="23"/>
      <c r="O15" s="23"/>
    </row>
    <row r="16" spans="1:15" ht="12.95" customHeight="1" x14ac:dyDescent="0.3">
      <c r="B16" s="129" t="s">
        <v>0</v>
      </c>
      <c r="C16" s="129" t="s">
        <v>48</v>
      </c>
      <c r="D16" s="130" t="s">
        <v>28</v>
      </c>
      <c r="E16" s="131">
        <v>17463</v>
      </c>
      <c r="F16" s="85">
        <v>0.3</v>
      </c>
      <c r="G16" s="132">
        <f t="shared" ref="G16" si="4">TRUNC($E16*F16,1)</f>
        <v>5238.8999999999996</v>
      </c>
      <c r="H16" s="85">
        <v>0.48</v>
      </c>
      <c r="I16" s="132">
        <f t="shared" ref="I16" si="5">TRUNC($E16*H16,1)</f>
        <v>8382.2000000000007</v>
      </c>
      <c r="J16" s="85">
        <v>0.6</v>
      </c>
      <c r="K16" s="132">
        <f t="shared" ref="K16" si="6">TRUNC($E16*J16,1)</f>
        <v>10477.799999999999</v>
      </c>
      <c r="L16" s="85">
        <v>0.96</v>
      </c>
      <c r="M16" s="3">
        <f t="shared" ref="M16" si="7">TRUNC($E16*L16,1)</f>
        <v>16764.400000000001</v>
      </c>
      <c r="N16" s="23"/>
      <c r="O16" s="23"/>
    </row>
    <row r="17" spans="2:15" ht="12.95" customHeight="1" x14ac:dyDescent="0.2">
      <c r="B17" s="6" t="s">
        <v>49</v>
      </c>
      <c r="C17" s="133" t="s">
        <v>50</v>
      </c>
      <c r="D17" s="109" t="s">
        <v>29</v>
      </c>
      <c r="E17" s="134"/>
      <c r="F17" s="111">
        <v>1</v>
      </c>
      <c r="G17" s="135">
        <f>TRUNC(SUM(G20:G21)*0.01,1)</f>
        <v>1008.9</v>
      </c>
      <c r="H17" s="111">
        <v>1</v>
      </c>
      <c r="I17" s="135">
        <f>TRUNC(SUM(I20:I21)*0.01,1)</f>
        <v>1272.7</v>
      </c>
      <c r="J17" s="111">
        <v>1</v>
      </c>
      <c r="K17" s="135">
        <f>TRUNC(SUM(K20:K21)*0.01,1)</f>
        <v>1788.3</v>
      </c>
      <c r="L17" s="111">
        <v>1</v>
      </c>
      <c r="M17" s="135">
        <f>TRUNC(SUM(M20:M21)*0.01,1)</f>
        <v>2915.6</v>
      </c>
      <c r="N17" s="23"/>
      <c r="O17" s="23"/>
    </row>
    <row r="18" spans="2:15" ht="12.95" customHeight="1" x14ac:dyDescent="0.2">
      <c r="B18" s="136" t="s">
        <v>22</v>
      </c>
      <c r="C18" s="137"/>
      <c r="D18" s="104"/>
      <c r="E18" s="138"/>
      <c r="F18" s="139"/>
      <c r="G18" s="107">
        <f>TRUNC(SUM(G16:G17))</f>
        <v>6247</v>
      </c>
      <c r="H18" s="139"/>
      <c r="I18" s="107">
        <f>TRUNC(SUM(I16:I17))</f>
        <v>9654</v>
      </c>
      <c r="J18" s="139"/>
      <c r="K18" s="107">
        <f>TRUNC(SUM(K16:K17))</f>
        <v>12266</v>
      </c>
      <c r="L18" s="139"/>
      <c r="M18" s="107">
        <f>TRUNC(SUM(M16:M17))</f>
        <v>19680</v>
      </c>
      <c r="N18" s="23"/>
      <c r="O18" s="23"/>
    </row>
    <row r="19" spans="2:15" ht="12.95" customHeight="1" x14ac:dyDescent="0.2">
      <c r="B19" s="6"/>
      <c r="C19" s="140"/>
      <c r="D19" s="109"/>
      <c r="E19" s="141"/>
      <c r="F19" s="110"/>
      <c r="G19" s="112"/>
      <c r="H19" s="110"/>
      <c r="I19" s="112"/>
      <c r="J19" s="110"/>
      <c r="K19" s="112"/>
      <c r="L19" s="110"/>
      <c r="M19" s="112"/>
      <c r="N19" s="23"/>
      <c r="O19" s="23"/>
    </row>
    <row r="20" spans="2:15" ht="12.95" customHeight="1" x14ac:dyDescent="0.3">
      <c r="B20" s="6" t="s">
        <v>7</v>
      </c>
      <c r="C20" s="140"/>
      <c r="D20" s="109" t="s">
        <v>21</v>
      </c>
      <c r="E20" s="131">
        <v>222306</v>
      </c>
      <c r="F20" s="22">
        <v>0.33</v>
      </c>
      <c r="G20" s="132">
        <f t="shared" ref="G20:G22" si="8">TRUNC($E20*F20,1)</f>
        <v>73360.899999999994</v>
      </c>
      <c r="H20" s="22">
        <v>0.41</v>
      </c>
      <c r="I20" s="132">
        <f t="shared" ref="I20:I22" si="9">TRUNC($E20*H20,1)</f>
        <v>91145.4</v>
      </c>
      <c r="J20" s="22">
        <v>0.57999999999999996</v>
      </c>
      <c r="K20" s="132">
        <f t="shared" ref="K20:K22" si="10">TRUNC($E20*J20,1)</f>
        <v>128937.4</v>
      </c>
      <c r="L20" s="22">
        <v>0.94</v>
      </c>
      <c r="M20" s="3">
        <f t="shared" ref="M20:M22" si="11">TRUNC($E20*L20,1)</f>
        <v>208967.6</v>
      </c>
      <c r="N20" s="23"/>
      <c r="O20" s="23"/>
    </row>
    <row r="21" spans="2:15" ht="12.95" customHeight="1" x14ac:dyDescent="0.3">
      <c r="B21" s="6" t="s">
        <v>4</v>
      </c>
      <c r="C21" s="140"/>
      <c r="D21" s="109" t="s">
        <v>21</v>
      </c>
      <c r="E21" s="142">
        <v>172068</v>
      </c>
      <c r="F21" s="22">
        <v>0.16</v>
      </c>
      <c r="G21" s="132">
        <f t="shared" si="8"/>
        <v>27530.799999999999</v>
      </c>
      <c r="H21" s="22">
        <v>0.21</v>
      </c>
      <c r="I21" s="132">
        <f t="shared" si="9"/>
        <v>36134.199999999997</v>
      </c>
      <c r="J21" s="22">
        <v>0.28999999999999998</v>
      </c>
      <c r="K21" s="132">
        <f t="shared" si="10"/>
        <v>49899.7</v>
      </c>
      <c r="L21" s="22">
        <v>0.48</v>
      </c>
      <c r="M21" s="3">
        <f t="shared" si="11"/>
        <v>82592.600000000006</v>
      </c>
      <c r="N21" s="23"/>
      <c r="O21" s="23"/>
    </row>
    <row r="22" spans="2:15" ht="12.95" customHeight="1" x14ac:dyDescent="0.3">
      <c r="B22" s="143" t="s">
        <v>0</v>
      </c>
      <c r="C22" s="133" t="s">
        <v>48</v>
      </c>
      <c r="D22" s="109" t="s">
        <v>28</v>
      </c>
      <c r="E22" s="131">
        <v>58925</v>
      </c>
      <c r="F22" s="22">
        <v>0.3</v>
      </c>
      <c r="G22" s="132">
        <f t="shared" si="8"/>
        <v>17677.5</v>
      </c>
      <c r="H22" s="22">
        <v>0.48</v>
      </c>
      <c r="I22" s="132">
        <f t="shared" si="9"/>
        <v>28284</v>
      </c>
      <c r="J22" s="22">
        <v>0.6</v>
      </c>
      <c r="K22" s="132">
        <f t="shared" si="10"/>
        <v>35355</v>
      </c>
      <c r="L22" s="22">
        <v>0.96</v>
      </c>
      <c r="M22" s="3">
        <f t="shared" si="11"/>
        <v>56568</v>
      </c>
      <c r="N22" s="23"/>
      <c r="O22" s="23"/>
    </row>
    <row r="23" spans="2:15" ht="12.95" customHeight="1" x14ac:dyDescent="0.2">
      <c r="B23" s="102" t="s">
        <v>23</v>
      </c>
      <c r="C23" s="144"/>
      <c r="D23" s="104"/>
      <c r="E23" s="138"/>
      <c r="F23" s="145"/>
      <c r="G23" s="107">
        <f>TRUNC(SUM(G20:G22))</f>
        <v>118569</v>
      </c>
      <c r="H23" s="145"/>
      <c r="I23" s="107">
        <f>TRUNC(SUM(I20:I22))</f>
        <v>155563</v>
      </c>
      <c r="J23" s="145"/>
      <c r="K23" s="107">
        <f>TRUNC(SUM(K20:K22))</f>
        <v>214192</v>
      </c>
      <c r="L23" s="145"/>
      <c r="M23" s="107">
        <f>TRUNC(SUM(M20:M22))</f>
        <v>348128</v>
      </c>
      <c r="N23" s="23"/>
      <c r="O23" s="23"/>
    </row>
    <row r="24" spans="2:15" ht="12.95" customHeight="1" x14ac:dyDescent="0.2">
      <c r="B24" s="6"/>
      <c r="C24" s="146"/>
      <c r="D24" s="109"/>
      <c r="E24" s="141"/>
      <c r="F24" s="22"/>
      <c r="G24" s="112"/>
      <c r="H24" s="22"/>
      <c r="I24" s="112"/>
      <c r="J24" s="22"/>
      <c r="K24" s="112"/>
      <c r="L24" s="22"/>
      <c r="M24" s="112"/>
      <c r="N24" s="23"/>
      <c r="O24" s="23"/>
    </row>
    <row r="25" spans="2:15" ht="12.95" customHeight="1" x14ac:dyDescent="0.3">
      <c r="B25" s="143" t="s">
        <v>0</v>
      </c>
      <c r="C25" s="133" t="s">
        <v>48</v>
      </c>
      <c r="D25" s="109" t="s">
        <v>28</v>
      </c>
      <c r="E25" s="131">
        <v>3491</v>
      </c>
      <c r="F25" s="22">
        <v>0.3</v>
      </c>
      <c r="G25" s="132">
        <f t="shared" ref="G25:G26" si="12">TRUNC($E25*F25,1)</f>
        <v>1047.3</v>
      </c>
      <c r="H25" s="22">
        <v>0.48</v>
      </c>
      <c r="I25" s="132">
        <f t="shared" ref="I25:I26" si="13">TRUNC($E25*H25,1)</f>
        <v>1675.6</v>
      </c>
      <c r="J25" s="22">
        <v>0.6</v>
      </c>
      <c r="K25" s="132">
        <f t="shared" ref="K25:K26" si="14">TRUNC($E25*J25,1)</f>
        <v>2094.6</v>
      </c>
      <c r="L25" s="22">
        <v>0.96</v>
      </c>
      <c r="M25" s="3">
        <f t="shared" ref="M25:M26" si="15">TRUNC($E25*L25,1)</f>
        <v>3351.3</v>
      </c>
      <c r="N25" s="23"/>
      <c r="O25" s="23"/>
    </row>
    <row r="26" spans="2:15" ht="12.95" customHeight="1" x14ac:dyDescent="0.3">
      <c r="B26" s="143" t="s">
        <v>51</v>
      </c>
      <c r="C26" s="147" t="s">
        <v>52</v>
      </c>
      <c r="D26" s="109" t="s">
        <v>28</v>
      </c>
      <c r="E26" s="131">
        <v>494</v>
      </c>
      <c r="F26" s="22">
        <v>1.26</v>
      </c>
      <c r="G26" s="132">
        <f t="shared" si="12"/>
        <v>622.4</v>
      </c>
      <c r="H26" s="22">
        <v>1.68</v>
      </c>
      <c r="I26" s="132">
        <f t="shared" si="13"/>
        <v>829.9</v>
      </c>
      <c r="J26" s="22">
        <v>2.4</v>
      </c>
      <c r="K26" s="132">
        <f t="shared" si="14"/>
        <v>1185.5999999999999</v>
      </c>
      <c r="L26" s="22">
        <v>3.9</v>
      </c>
      <c r="M26" s="3">
        <f t="shared" si="15"/>
        <v>1926.6</v>
      </c>
      <c r="N26" s="23"/>
      <c r="O26" s="23"/>
    </row>
    <row r="27" spans="2:15" ht="12.95" customHeight="1" x14ac:dyDescent="0.3">
      <c r="B27" s="136" t="s">
        <v>24</v>
      </c>
      <c r="C27" s="148"/>
      <c r="D27" s="104"/>
      <c r="E27" s="149"/>
      <c r="F27" s="139"/>
      <c r="G27" s="107">
        <f>TRUNC(SUM(G25:G26))</f>
        <v>1669</v>
      </c>
      <c r="H27" s="139"/>
      <c r="I27" s="107">
        <f>TRUNC(SUM(I25:I26))</f>
        <v>2505</v>
      </c>
      <c r="J27" s="145"/>
      <c r="K27" s="107">
        <f>TRUNC(SUM(K25:K26))</f>
        <v>3280</v>
      </c>
      <c r="L27" s="139"/>
      <c r="M27" s="107">
        <f>TRUNC(SUM(M25:M26))</f>
        <v>5277</v>
      </c>
      <c r="N27" s="23"/>
      <c r="O27" s="23"/>
    </row>
    <row r="28" spans="2:15" ht="12.95" customHeight="1" x14ac:dyDescent="0.3">
      <c r="B28" s="6"/>
      <c r="C28" s="146"/>
      <c r="D28" s="109"/>
      <c r="E28" s="129"/>
      <c r="F28" s="110"/>
      <c r="G28" s="112"/>
      <c r="H28" s="110"/>
      <c r="I28" s="112"/>
      <c r="J28" s="110"/>
      <c r="K28" s="112"/>
      <c r="L28" s="110"/>
      <c r="M28" s="112"/>
      <c r="O28" s="23"/>
    </row>
    <row r="29" spans="2:15" ht="12.95" customHeight="1" x14ac:dyDescent="0.3">
      <c r="B29" s="117" t="s">
        <v>26</v>
      </c>
      <c r="C29" s="150"/>
      <c r="D29" s="119"/>
      <c r="E29" s="151"/>
      <c r="F29" s="121"/>
      <c r="G29" s="122">
        <f>SUM(G18+G23+G27)</f>
        <v>126485</v>
      </c>
      <c r="H29" s="121"/>
      <c r="I29" s="122">
        <f>SUM(I18+I23+I27)</f>
        <v>167722</v>
      </c>
      <c r="J29" s="121"/>
      <c r="K29" s="122">
        <f>SUM(K18+K23+K27)</f>
        <v>229738</v>
      </c>
      <c r="L29" s="121"/>
      <c r="M29" s="122">
        <f>SUM(M18+M23+M27)</f>
        <v>373085</v>
      </c>
      <c r="O29" s="23"/>
    </row>
    <row r="31" spans="2:15" ht="12.95" customHeight="1" x14ac:dyDescent="0.3">
      <c r="B31" s="91" t="s">
        <v>189</v>
      </c>
    </row>
    <row r="32" spans="2:15" ht="12.95" customHeight="1" x14ac:dyDescent="0.3">
      <c r="B32" s="152" t="s">
        <v>190</v>
      </c>
      <c r="C32" s="152"/>
      <c r="D32" s="24"/>
      <c r="E32" s="24"/>
      <c r="F32" s="153"/>
      <c r="G32" s="153"/>
      <c r="H32" s="153"/>
      <c r="I32" s="24"/>
      <c r="J32" s="154"/>
      <c r="K32" s="92" t="s">
        <v>172</v>
      </c>
    </row>
    <row r="33" spans="2:11" ht="12.95" customHeight="1" x14ac:dyDescent="0.3">
      <c r="B33" s="337" t="s">
        <v>14</v>
      </c>
      <c r="C33" s="337" t="s">
        <v>18</v>
      </c>
      <c r="D33" s="317" t="s">
        <v>19</v>
      </c>
      <c r="E33" s="317" t="s">
        <v>15</v>
      </c>
      <c r="F33" s="344" t="s">
        <v>186</v>
      </c>
      <c r="G33" s="345"/>
      <c r="H33" s="344" t="s">
        <v>187</v>
      </c>
      <c r="I33" s="345"/>
      <c r="J33" s="351" t="s">
        <v>188</v>
      </c>
      <c r="K33" s="352"/>
    </row>
    <row r="34" spans="2:11" ht="12.95" customHeight="1" x14ac:dyDescent="0.3">
      <c r="B34" s="338"/>
      <c r="C34" s="338"/>
      <c r="D34" s="340"/>
      <c r="E34" s="340"/>
      <c r="F34" s="93" t="s">
        <v>176</v>
      </c>
      <c r="G34" s="94">
        <v>930</v>
      </c>
      <c r="H34" s="93" t="s">
        <v>176</v>
      </c>
      <c r="I34" s="94">
        <v>560</v>
      </c>
      <c r="J34" s="93" t="s">
        <v>176</v>
      </c>
      <c r="K34" s="94">
        <v>310</v>
      </c>
    </row>
    <row r="35" spans="2:11" ht="12.95" customHeight="1" x14ac:dyDescent="0.3">
      <c r="B35" s="339"/>
      <c r="C35" s="339"/>
      <c r="D35" s="318"/>
      <c r="E35" s="318"/>
      <c r="F35" s="96" t="s">
        <v>174</v>
      </c>
      <c r="G35" s="97" t="s">
        <v>175</v>
      </c>
      <c r="H35" s="96" t="s">
        <v>174</v>
      </c>
      <c r="I35" s="97" t="s">
        <v>175</v>
      </c>
      <c r="J35" s="96" t="s">
        <v>174</v>
      </c>
      <c r="K35" s="97" t="s">
        <v>175</v>
      </c>
    </row>
    <row r="36" spans="2:11" ht="12.95" customHeight="1" x14ac:dyDescent="0.3">
      <c r="B36" s="155" t="s">
        <v>183</v>
      </c>
      <c r="C36" s="29" t="s">
        <v>185</v>
      </c>
      <c r="D36" s="30" t="s">
        <v>57</v>
      </c>
      <c r="E36" s="31">
        <v>72646</v>
      </c>
      <c r="F36" s="51">
        <v>8</v>
      </c>
      <c r="G36" s="3">
        <f t="shared" ref="G36:G38" si="16">TRUNC($E36*F36,1)</f>
        <v>581168</v>
      </c>
      <c r="H36" s="51">
        <v>0</v>
      </c>
      <c r="I36" s="3">
        <f t="shared" ref="I36:I38" si="17">TRUNC($E36*H36,1)</f>
        <v>0</v>
      </c>
      <c r="J36" s="51">
        <v>0</v>
      </c>
      <c r="K36" s="3">
        <f t="shared" ref="K36:K38" si="18">TRUNC($E36*J36,1)</f>
        <v>0</v>
      </c>
    </row>
    <row r="37" spans="2:11" ht="12.95" customHeight="1" x14ac:dyDescent="0.3">
      <c r="B37" s="155" t="s">
        <v>183</v>
      </c>
      <c r="C37" s="29" t="s">
        <v>184</v>
      </c>
      <c r="D37" s="30" t="s">
        <v>39</v>
      </c>
      <c r="E37" s="31">
        <v>43657</v>
      </c>
      <c r="F37" s="51">
        <v>0</v>
      </c>
      <c r="G37" s="3">
        <f t="shared" si="16"/>
        <v>0</v>
      </c>
      <c r="H37" s="51">
        <v>8</v>
      </c>
      <c r="I37" s="3">
        <f t="shared" si="17"/>
        <v>349256</v>
      </c>
      <c r="J37" s="51">
        <v>0</v>
      </c>
      <c r="K37" s="3">
        <f t="shared" si="18"/>
        <v>0</v>
      </c>
    </row>
    <row r="38" spans="2:11" ht="12.95" customHeight="1" x14ac:dyDescent="0.3">
      <c r="B38" s="156" t="s">
        <v>276</v>
      </c>
      <c r="C38" s="29" t="s">
        <v>60</v>
      </c>
      <c r="D38" s="30" t="s">
        <v>39</v>
      </c>
      <c r="E38" s="31">
        <v>35814</v>
      </c>
      <c r="F38" s="51">
        <v>0</v>
      </c>
      <c r="G38" s="3">
        <f t="shared" si="16"/>
        <v>0</v>
      </c>
      <c r="H38" s="51">
        <v>0</v>
      </c>
      <c r="I38" s="3">
        <f t="shared" si="17"/>
        <v>0</v>
      </c>
      <c r="J38" s="51">
        <v>8</v>
      </c>
      <c r="K38" s="3">
        <f t="shared" si="18"/>
        <v>286512</v>
      </c>
    </row>
    <row r="39" spans="2:11" ht="12.95" customHeight="1" x14ac:dyDescent="0.3">
      <c r="B39" s="136" t="s">
        <v>22</v>
      </c>
      <c r="C39" s="157"/>
      <c r="D39" s="157"/>
      <c r="E39" s="34"/>
      <c r="F39" s="51"/>
      <c r="G39" s="45">
        <f>TRUNC(SUM(G36:G38))</f>
        <v>581168</v>
      </c>
      <c r="H39" s="51"/>
      <c r="I39" s="45">
        <f>TRUNC(SUM(I36:I38))</f>
        <v>349256</v>
      </c>
      <c r="J39" s="51"/>
      <c r="K39" s="45">
        <f>TRUNC(SUM(K36:K38))</f>
        <v>286512</v>
      </c>
    </row>
    <row r="40" spans="2:11" ht="12.95" customHeight="1" x14ac:dyDescent="0.3">
      <c r="B40" s="158"/>
      <c r="C40" s="157"/>
      <c r="D40" s="157"/>
      <c r="E40" s="34"/>
      <c r="F40" s="51"/>
      <c r="G40" s="35"/>
      <c r="H40" s="51"/>
      <c r="I40" s="35"/>
      <c r="J40" s="51"/>
      <c r="K40" s="35"/>
    </row>
    <row r="41" spans="2:11" ht="12.95" customHeight="1" x14ac:dyDescent="0.3">
      <c r="B41" s="155" t="s">
        <v>183</v>
      </c>
      <c r="C41" s="29" t="s">
        <v>185</v>
      </c>
      <c r="D41" s="30" t="s">
        <v>57</v>
      </c>
      <c r="E41" s="31">
        <v>58925</v>
      </c>
      <c r="F41" s="51">
        <v>8</v>
      </c>
      <c r="G41" s="3">
        <f t="shared" ref="G41:G43" si="19">TRUNC($E41*F41,1)</f>
        <v>471400</v>
      </c>
      <c r="H41" s="51">
        <v>0</v>
      </c>
      <c r="I41" s="3">
        <f t="shared" ref="I41:I43" si="20">TRUNC($E41*H41,1)</f>
        <v>0</v>
      </c>
      <c r="J41" s="51">
        <v>0</v>
      </c>
      <c r="K41" s="3">
        <f t="shared" ref="K41:K43" si="21">TRUNC($E41*J41,1)</f>
        <v>0</v>
      </c>
    </row>
    <row r="42" spans="2:11" ht="12.95" customHeight="1" x14ac:dyDescent="0.3">
      <c r="B42" s="155" t="s">
        <v>183</v>
      </c>
      <c r="C42" s="29" t="s">
        <v>184</v>
      </c>
      <c r="D42" s="30" t="s">
        <v>57</v>
      </c>
      <c r="E42" s="31">
        <v>58925</v>
      </c>
      <c r="F42" s="51">
        <v>0</v>
      </c>
      <c r="G42" s="3">
        <f t="shared" si="19"/>
        <v>0</v>
      </c>
      <c r="H42" s="51">
        <v>8</v>
      </c>
      <c r="I42" s="3">
        <f t="shared" si="20"/>
        <v>471400</v>
      </c>
      <c r="J42" s="51">
        <v>0</v>
      </c>
      <c r="K42" s="3">
        <f t="shared" si="21"/>
        <v>0</v>
      </c>
    </row>
    <row r="43" spans="2:11" ht="12.95" customHeight="1" x14ac:dyDescent="0.3">
      <c r="B43" s="156" t="s">
        <v>276</v>
      </c>
      <c r="C43" s="29" t="s">
        <v>60</v>
      </c>
      <c r="D43" s="30" t="s">
        <v>57</v>
      </c>
      <c r="E43" s="31">
        <v>58925</v>
      </c>
      <c r="F43" s="51">
        <v>0</v>
      </c>
      <c r="G43" s="3">
        <f t="shared" si="19"/>
        <v>0</v>
      </c>
      <c r="H43" s="51">
        <v>0</v>
      </c>
      <c r="I43" s="3">
        <f t="shared" si="20"/>
        <v>0</v>
      </c>
      <c r="J43" s="51">
        <v>8</v>
      </c>
      <c r="K43" s="3">
        <f t="shared" si="21"/>
        <v>471400</v>
      </c>
    </row>
    <row r="44" spans="2:11" ht="12.95" customHeight="1" x14ac:dyDescent="0.3">
      <c r="B44" s="102" t="s">
        <v>23</v>
      </c>
      <c r="C44" s="159"/>
      <c r="D44" s="159"/>
      <c r="E44" s="160"/>
      <c r="F44" s="51"/>
      <c r="G44" s="45">
        <f>TRUNC(SUM(G41:G43))</f>
        <v>471400</v>
      </c>
      <c r="H44" s="51"/>
      <c r="I44" s="45">
        <f>TRUNC(SUM(I41:I43))</f>
        <v>471400</v>
      </c>
      <c r="J44" s="51"/>
      <c r="K44" s="45">
        <f>TRUNC(SUM(K41:K43))</f>
        <v>471400</v>
      </c>
    </row>
    <row r="45" spans="2:11" ht="12.95" customHeight="1" x14ac:dyDescent="0.3">
      <c r="B45" s="158"/>
      <c r="C45" s="157"/>
      <c r="D45" s="157"/>
      <c r="E45" s="34"/>
      <c r="F45" s="51"/>
      <c r="G45" s="35"/>
      <c r="H45" s="51"/>
      <c r="I45" s="35"/>
      <c r="J45" s="51"/>
      <c r="K45" s="35"/>
    </row>
    <row r="46" spans="2:11" ht="12.95" customHeight="1" x14ac:dyDescent="0.3">
      <c r="B46" s="155" t="s">
        <v>183</v>
      </c>
      <c r="C46" s="29" t="s">
        <v>185</v>
      </c>
      <c r="D46" s="30" t="s">
        <v>57</v>
      </c>
      <c r="E46" s="31">
        <v>47752</v>
      </c>
      <c r="F46" s="51">
        <v>8</v>
      </c>
      <c r="G46" s="3">
        <f t="shared" ref="G46:G48" si="22">TRUNC($E46*F46,1)</f>
        <v>382016</v>
      </c>
      <c r="H46" s="51">
        <v>0</v>
      </c>
      <c r="I46" s="3">
        <f t="shared" ref="I46:I48" si="23">TRUNC($E46*H46,1)</f>
        <v>0</v>
      </c>
      <c r="J46" s="51">
        <v>0</v>
      </c>
      <c r="K46" s="3">
        <f t="shared" ref="K46:K48" si="24">TRUNC($E46*J46,1)</f>
        <v>0</v>
      </c>
    </row>
    <row r="47" spans="2:11" ht="12.95" customHeight="1" x14ac:dyDescent="0.3">
      <c r="B47" s="155" t="s">
        <v>183</v>
      </c>
      <c r="C47" s="29" t="s">
        <v>184</v>
      </c>
      <c r="D47" s="30" t="s">
        <v>57</v>
      </c>
      <c r="E47" s="31">
        <v>35884</v>
      </c>
      <c r="F47" s="51">
        <v>0</v>
      </c>
      <c r="G47" s="3">
        <f t="shared" si="22"/>
        <v>0</v>
      </c>
      <c r="H47" s="51">
        <v>8</v>
      </c>
      <c r="I47" s="3">
        <f t="shared" si="23"/>
        <v>287072</v>
      </c>
      <c r="J47" s="51">
        <v>0</v>
      </c>
      <c r="K47" s="3">
        <f t="shared" si="24"/>
        <v>0</v>
      </c>
    </row>
    <row r="48" spans="2:11" ht="12.95" customHeight="1" x14ac:dyDescent="0.3">
      <c r="B48" s="156" t="s">
        <v>276</v>
      </c>
      <c r="C48" s="29" t="s">
        <v>60</v>
      </c>
      <c r="D48" s="30" t="s">
        <v>57</v>
      </c>
      <c r="E48" s="31">
        <v>29621</v>
      </c>
      <c r="F48" s="51">
        <v>0</v>
      </c>
      <c r="G48" s="3">
        <f t="shared" si="22"/>
        <v>0</v>
      </c>
      <c r="H48" s="51">
        <v>0</v>
      </c>
      <c r="I48" s="3">
        <f t="shared" si="23"/>
        <v>0</v>
      </c>
      <c r="J48" s="51">
        <v>8</v>
      </c>
      <c r="K48" s="3">
        <f t="shared" si="24"/>
        <v>236968</v>
      </c>
    </row>
    <row r="49" spans="2:11" ht="12.95" customHeight="1" x14ac:dyDescent="0.3">
      <c r="B49" s="136" t="s">
        <v>24</v>
      </c>
      <c r="C49" s="39"/>
      <c r="D49" s="39"/>
      <c r="E49" s="37"/>
      <c r="F49" s="40"/>
      <c r="G49" s="45">
        <f>TRUNC(SUM(G46:G48))</f>
        <v>382016</v>
      </c>
      <c r="H49" s="40"/>
      <c r="I49" s="45">
        <f>TRUNC(SUM(I46:I48))</f>
        <v>287072</v>
      </c>
      <c r="J49" s="40"/>
      <c r="K49" s="45">
        <f>TRUNC(SUM(K46:K48))</f>
        <v>236968</v>
      </c>
    </row>
    <row r="50" spans="2:11" ht="12.95" customHeight="1" x14ac:dyDescent="0.3">
      <c r="B50" s="158"/>
      <c r="C50" s="157"/>
      <c r="D50" s="157"/>
      <c r="E50" s="34"/>
      <c r="F50" s="32"/>
      <c r="G50" s="35"/>
      <c r="H50" s="32"/>
      <c r="I50" s="35"/>
      <c r="J50" s="32"/>
      <c r="K50" s="35"/>
    </row>
    <row r="51" spans="2:11" ht="12.95" customHeight="1" x14ac:dyDescent="0.3">
      <c r="B51" s="113" t="s">
        <v>26</v>
      </c>
      <c r="C51" s="39"/>
      <c r="D51" s="39"/>
      <c r="E51" s="37"/>
      <c r="F51" s="40"/>
      <c r="G51" s="35">
        <f>SUM(G39+G44+G49)</f>
        <v>1434584</v>
      </c>
      <c r="H51" s="40"/>
      <c r="I51" s="35">
        <f>SUM(I39+I44+I49)</f>
        <v>1107728</v>
      </c>
      <c r="J51" s="40"/>
      <c r="K51" s="35">
        <f>SUM(K39+K44+K49)</f>
        <v>994880</v>
      </c>
    </row>
    <row r="52" spans="2:11" ht="12.95" customHeight="1" x14ac:dyDescent="0.3">
      <c r="B52" s="117" t="s">
        <v>177</v>
      </c>
      <c r="C52" s="118"/>
      <c r="D52" s="119"/>
      <c r="E52" s="120"/>
      <c r="F52" s="121"/>
      <c r="G52" s="122">
        <f>TRUNC(G51/G34)</f>
        <v>1542</v>
      </c>
      <c r="H52" s="121"/>
      <c r="I52" s="122">
        <f>TRUNC(I51/I34)</f>
        <v>1978</v>
      </c>
      <c r="J52" s="121"/>
      <c r="K52" s="122">
        <f>TRUNC(K51/K34)</f>
        <v>3209</v>
      </c>
    </row>
    <row r="54" spans="2:11" ht="12.95" customHeight="1" x14ac:dyDescent="0.3">
      <c r="B54" s="152" t="s">
        <v>191</v>
      </c>
      <c r="C54" s="152"/>
      <c r="D54" s="24"/>
      <c r="E54" s="24"/>
      <c r="F54" s="153"/>
      <c r="G54" s="153"/>
      <c r="H54" s="153"/>
      <c r="I54" s="24"/>
      <c r="J54" s="154"/>
      <c r="K54" s="92" t="s">
        <v>172</v>
      </c>
    </row>
    <row r="55" spans="2:11" ht="12.95" customHeight="1" x14ac:dyDescent="0.3">
      <c r="B55" s="337" t="s">
        <v>14</v>
      </c>
      <c r="C55" s="337" t="s">
        <v>18</v>
      </c>
      <c r="D55" s="317" t="s">
        <v>19</v>
      </c>
      <c r="E55" s="317" t="s">
        <v>15</v>
      </c>
      <c r="F55" s="344" t="s">
        <v>186</v>
      </c>
      <c r="G55" s="345"/>
      <c r="H55" s="344" t="s">
        <v>187</v>
      </c>
      <c r="I55" s="345"/>
      <c r="J55" s="351" t="s">
        <v>188</v>
      </c>
      <c r="K55" s="352"/>
    </row>
    <row r="56" spans="2:11" ht="12.95" customHeight="1" x14ac:dyDescent="0.3">
      <c r="B56" s="338"/>
      <c r="C56" s="338"/>
      <c r="D56" s="340"/>
      <c r="E56" s="340"/>
      <c r="F56" s="93" t="s">
        <v>176</v>
      </c>
      <c r="G56" s="94">
        <v>640</v>
      </c>
      <c r="H56" s="93" t="s">
        <v>176</v>
      </c>
      <c r="I56" s="94">
        <v>390</v>
      </c>
      <c r="J56" s="93" t="s">
        <v>176</v>
      </c>
      <c r="K56" s="94">
        <v>230</v>
      </c>
    </row>
    <row r="57" spans="2:11" ht="12.95" customHeight="1" x14ac:dyDescent="0.3">
      <c r="B57" s="339"/>
      <c r="C57" s="339"/>
      <c r="D57" s="318"/>
      <c r="E57" s="318"/>
      <c r="F57" s="96" t="s">
        <v>174</v>
      </c>
      <c r="G57" s="97" t="s">
        <v>175</v>
      </c>
      <c r="H57" s="96" t="s">
        <v>174</v>
      </c>
      <c r="I57" s="97" t="s">
        <v>175</v>
      </c>
      <c r="J57" s="96" t="s">
        <v>174</v>
      </c>
      <c r="K57" s="97" t="s">
        <v>175</v>
      </c>
    </row>
    <row r="58" spans="2:11" ht="12.95" customHeight="1" x14ac:dyDescent="0.3">
      <c r="B58" s="155" t="s">
        <v>183</v>
      </c>
      <c r="C58" s="29" t="s">
        <v>185</v>
      </c>
      <c r="D58" s="30" t="s">
        <v>57</v>
      </c>
      <c r="E58" s="31">
        <v>72646</v>
      </c>
      <c r="F58" s="51">
        <v>8</v>
      </c>
      <c r="G58" s="3">
        <f t="shared" ref="G58:G60" si="25">TRUNC($E58*F58,1)</f>
        <v>581168</v>
      </c>
      <c r="H58" s="51">
        <v>0</v>
      </c>
      <c r="I58" s="3">
        <f t="shared" ref="I58:I60" si="26">TRUNC($E58*H58,1)</f>
        <v>0</v>
      </c>
      <c r="J58" s="51">
        <v>0</v>
      </c>
      <c r="K58" s="3">
        <f t="shared" ref="K58:K60" si="27">TRUNC($E58*J58,1)</f>
        <v>0</v>
      </c>
    </row>
    <row r="59" spans="2:11" ht="12.95" customHeight="1" x14ac:dyDescent="0.3">
      <c r="B59" s="155" t="s">
        <v>183</v>
      </c>
      <c r="C59" s="29" t="s">
        <v>184</v>
      </c>
      <c r="D59" s="30" t="s">
        <v>39</v>
      </c>
      <c r="E59" s="31">
        <v>43657</v>
      </c>
      <c r="F59" s="51">
        <v>0</v>
      </c>
      <c r="G59" s="3">
        <f t="shared" si="25"/>
        <v>0</v>
      </c>
      <c r="H59" s="51">
        <v>8</v>
      </c>
      <c r="I59" s="3">
        <f t="shared" si="26"/>
        <v>349256</v>
      </c>
      <c r="J59" s="51">
        <v>0</v>
      </c>
      <c r="K59" s="3">
        <f t="shared" si="27"/>
        <v>0</v>
      </c>
    </row>
    <row r="60" spans="2:11" ht="12.95" customHeight="1" x14ac:dyDescent="0.3">
      <c r="B60" s="156" t="s">
        <v>276</v>
      </c>
      <c r="C60" s="29" t="s">
        <v>60</v>
      </c>
      <c r="D60" s="30" t="s">
        <v>39</v>
      </c>
      <c r="E60" s="31">
        <v>35814</v>
      </c>
      <c r="F60" s="51">
        <v>0</v>
      </c>
      <c r="G60" s="3">
        <f t="shared" si="25"/>
        <v>0</v>
      </c>
      <c r="H60" s="51">
        <v>0</v>
      </c>
      <c r="I60" s="3">
        <f t="shared" si="26"/>
        <v>0</v>
      </c>
      <c r="J60" s="51">
        <v>8</v>
      </c>
      <c r="K60" s="3">
        <f t="shared" si="27"/>
        <v>286512</v>
      </c>
    </row>
    <row r="61" spans="2:11" ht="12.95" customHeight="1" x14ac:dyDescent="0.3">
      <c r="B61" s="136" t="s">
        <v>22</v>
      </c>
      <c r="C61" s="157"/>
      <c r="D61" s="157"/>
      <c r="E61" s="34"/>
      <c r="F61" s="51"/>
      <c r="G61" s="45">
        <f>TRUNC(SUM(G58:G60))</f>
        <v>581168</v>
      </c>
      <c r="H61" s="51"/>
      <c r="I61" s="45">
        <f>TRUNC(SUM(I58:I60))</f>
        <v>349256</v>
      </c>
      <c r="J61" s="51"/>
      <c r="K61" s="45">
        <f>TRUNC(SUM(K58:K60))</f>
        <v>286512</v>
      </c>
    </row>
    <row r="62" spans="2:11" ht="12.95" customHeight="1" x14ac:dyDescent="0.3">
      <c r="B62" s="158"/>
      <c r="C62" s="157"/>
      <c r="D62" s="157"/>
      <c r="E62" s="34"/>
      <c r="F62" s="51"/>
      <c r="G62" s="35"/>
      <c r="H62" s="51"/>
      <c r="I62" s="35"/>
      <c r="J62" s="51"/>
      <c r="K62" s="35"/>
    </row>
    <row r="63" spans="2:11" ht="12.95" customHeight="1" x14ac:dyDescent="0.3">
      <c r="B63" s="155" t="s">
        <v>183</v>
      </c>
      <c r="C63" s="29" t="s">
        <v>185</v>
      </c>
      <c r="D63" s="30" t="s">
        <v>57</v>
      </c>
      <c r="E63" s="31">
        <v>58925</v>
      </c>
      <c r="F63" s="51">
        <v>8</v>
      </c>
      <c r="G63" s="3">
        <f t="shared" ref="G63:G65" si="28">TRUNC($E63*F63,1)</f>
        <v>471400</v>
      </c>
      <c r="H63" s="51">
        <v>0</v>
      </c>
      <c r="I63" s="3">
        <f t="shared" ref="I63:I65" si="29">TRUNC($E63*H63,1)</f>
        <v>0</v>
      </c>
      <c r="J63" s="51">
        <v>0</v>
      </c>
      <c r="K63" s="3">
        <f t="shared" ref="K63:K65" si="30">TRUNC($E63*J63,1)</f>
        <v>0</v>
      </c>
    </row>
    <row r="64" spans="2:11" ht="12.95" customHeight="1" x14ac:dyDescent="0.3">
      <c r="B64" s="155" t="s">
        <v>183</v>
      </c>
      <c r="C64" s="29" t="s">
        <v>184</v>
      </c>
      <c r="D64" s="30" t="s">
        <v>57</v>
      </c>
      <c r="E64" s="31">
        <v>58925</v>
      </c>
      <c r="F64" s="51">
        <v>0</v>
      </c>
      <c r="G64" s="3">
        <f t="shared" si="28"/>
        <v>0</v>
      </c>
      <c r="H64" s="51">
        <v>8</v>
      </c>
      <c r="I64" s="3">
        <f t="shared" si="29"/>
        <v>471400</v>
      </c>
      <c r="J64" s="51">
        <v>0</v>
      </c>
      <c r="K64" s="3">
        <f t="shared" si="30"/>
        <v>0</v>
      </c>
    </row>
    <row r="65" spans="2:13" ht="12.95" customHeight="1" x14ac:dyDescent="0.3">
      <c r="B65" s="156" t="s">
        <v>276</v>
      </c>
      <c r="C65" s="29" t="s">
        <v>60</v>
      </c>
      <c r="D65" s="30" t="s">
        <v>57</v>
      </c>
      <c r="E65" s="31">
        <v>58925</v>
      </c>
      <c r="F65" s="51">
        <v>0</v>
      </c>
      <c r="G65" s="3">
        <f t="shared" si="28"/>
        <v>0</v>
      </c>
      <c r="H65" s="51">
        <v>0</v>
      </c>
      <c r="I65" s="3">
        <f t="shared" si="29"/>
        <v>0</v>
      </c>
      <c r="J65" s="51">
        <v>8</v>
      </c>
      <c r="K65" s="3">
        <f t="shared" si="30"/>
        <v>471400</v>
      </c>
    </row>
    <row r="66" spans="2:13" ht="12.95" customHeight="1" x14ac:dyDescent="0.3">
      <c r="B66" s="102" t="s">
        <v>23</v>
      </c>
      <c r="C66" s="159"/>
      <c r="D66" s="159"/>
      <c r="E66" s="160"/>
      <c r="F66" s="51"/>
      <c r="G66" s="45">
        <f>TRUNC(SUM(G63:G65))</f>
        <v>471400</v>
      </c>
      <c r="H66" s="51"/>
      <c r="I66" s="45">
        <f>TRUNC(SUM(I63:I65))</f>
        <v>471400</v>
      </c>
      <c r="J66" s="51"/>
      <c r="K66" s="45">
        <f>TRUNC(SUM(K63:K65))</f>
        <v>471400</v>
      </c>
    </row>
    <row r="67" spans="2:13" ht="12.95" customHeight="1" x14ac:dyDescent="0.3">
      <c r="B67" s="158"/>
      <c r="C67" s="157"/>
      <c r="D67" s="157"/>
      <c r="E67" s="34"/>
      <c r="F67" s="51"/>
      <c r="G67" s="35"/>
      <c r="H67" s="51"/>
      <c r="I67" s="35"/>
      <c r="J67" s="51"/>
      <c r="K67" s="35"/>
    </row>
    <row r="68" spans="2:13" ht="12.95" customHeight="1" x14ac:dyDescent="0.3">
      <c r="B68" s="155" t="s">
        <v>183</v>
      </c>
      <c r="C68" s="29" t="s">
        <v>185</v>
      </c>
      <c r="D68" s="30" t="s">
        <v>57</v>
      </c>
      <c r="E68" s="31">
        <v>47752</v>
      </c>
      <c r="F68" s="51">
        <v>8</v>
      </c>
      <c r="G68" s="3">
        <f t="shared" ref="G68:G70" si="31">TRUNC($E68*F68,1)</f>
        <v>382016</v>
      </c>
      <c r="H68" s="51">
        <v>0</v>
      </c>
      <c r="I68" s="3">
        <f t="shared" ref="I68:I70" si="32">TRUNC($E68*H68,1)</f>
        <v>0</v>
      </c>
      <c r="J68" s="51">
        <v>0</v>
      </c>
      <c r="K68" s="3">
        <f t="shared" ref="K68:K70" si="33">TRUNC($E68*J68,1)</f>
        <v>0</v>
      </c>
    </row>
    <row r="69" spans="2:13" ht="12.95" customHeight="1" x14ac:dyDescent="0.3">
      <c r="B69" s="155" t="s">
        <v>183</v>
      </c>
      <c r="C69" s="29" t="s">
        <v>184</v>
      </c>
      <c r="D69" s="30" t="s">
        <v>57</v>
      </c>
      <c r="E69" s="31">
        <v>35884</v>
      </c>
      <c r="F69" s="51">
        <v>0</v>
      </c>
      <c r="G69" s="3">
        <f t="shared" si="31"/>
        <v>0</v>
      </c>
      <c r="H69" s="51">
        <v>8</v>
      </c>
      <c r="I69" s="3">
        <f t="shared" si="32"/>
        <v>287072</v>
      </c>
      <c r="J69" s="51">
        <v>0</v>
      </c>
      <c r="K69" s="3">
        <f t="shared" si="33"/>
        <v>0</v>
      </c>
    </row>
    <row r="70" spans="2:13" ht="12.95" customHeight="1" x14ac:dyDescent="0.3">
      <c r="B70" s="156" t="s">
        <v>276</v>
      </c>
      <c r="C70" s="29" t="s">
        <v>60</v>
      </c>
      <c r="D70" s="30" t="s">
        <v>57</v>
      </c>
      <c r="E70" s="31">
        <v>29621</v>
      </c>
      <c r="F70" s="51">
        <v>0</v>
      </c>
      <c r="G70" s="3">
        <f t="shared" si="31"/>
        <v>0</v>
      </c>
      <c r="H70" s="51">
        <v>0</v>
      </c>
      <c r="I70" s="3">
        <f t="shared" si="32"/>
        <v>0</v>
      </c>
      <c r="J70" s="51">
        <v>8</v>
      </c>
      <c r="K70" s="3">
        <f t="shared" si="33"/>
        <v>236968</v>
      </c>
    </row>
    <row r="71" spans="2:13" ht="12.95" customHeight="1" x14ac:dyDescent="0.3">
      <c r="B71" s="136" t="s">
        <v>24</v>
      </c>
      <c r="C71" s="39"/>
      <c r="D71" s="39"/>
      <c r="E71" s="37"/>
      <c r="F71" s="40"/>
      <c r="G71" s="45">
        <f>TRUNC(SUM(G68:G70))</f>
        <v>382016</v>
      </c>
      <c r="H71" s="40"/>
      <c r="I71" s="45">
        <f>TRUNC(SUM(I68:I70))</f>
        <v>287072</v>
      </c>
      <c r="J71" s="40"/>
      <c r="K71" s="45">
        <f>TRUNC(SUM(K68:K70))</f>
        <v>236968</v>
      </c>
    </row>
    <row r="72" spans="2:13" ht="12.95" customHeight="1" x14ac:dyDescent="0.3">
      <c r="B72" s="158"/>
      <c r="C72" s="157"/>
      <c r="D72" s="157"/>
      <c r="E72" s="34"/>
      <c r="F72" s="32"/>
      <c r="G72" s="35"/>
      <c r="H72" s="32"/>
      <c r="I72" s="35"/>
      <c r="J72" s="32"/>
      <c r="K72" s="35"/>
    </row>
    <row r="73" spans="2:13" ht="12.95" customHeight="1" x14ac:dyDescent="0.3">
      <c r="B73" s="113" t="s">
        <v>26</v>
      </c>
      <c r="C73" s="39"/>
      <c r="D73" s="39"/>
      <c r="E73" s="37"/>
      <c r="F73" s="40"/>
      <c r="G73" s="35">
        <f>SUM(G61+G66+G71)</f>
        <v>1434584</v>
      </c>
      <c r="H73" s="40"/>
      <c r="I73" s="35">
        <f>SUM(I61+I66+I71)</f>
        <v>1107728</v>
      </c>
      <c r="J73" s="40"/>
      <c r="K73" s="35">
        <f>SUM(K61+K66+K71)</f>
        <v>994880</v>
      </c>
    </row>
    <row r="74" spans="2:13" ht="12.95" customHeight="1" x14ac:dyDescent="0.3">
      <c r="B74" s="117" t="s">
        <v>177</v>
      </c>
      <c r="C74" s="118"/>
      <c r="D74" s="119"/>
      <c r="E74" s="120"/>
      <c r="F74" s="121"/>
      <c r="G74" s="122">
        <f>TRUNC(G73/G56)</f>
        <v>2241</v>
      </c>
      <c r="H74" s="121"/>
      <c r="I74" s="122">
        <f>TRUNC(I73/I56)</f>
        <v>2840</v>
      </c>
      <c r="J74" s="121"/>
      <c r="K74" s="122">
        <f>TRUNC(K73/K56)</f>
        <v>4325</v>
      </c>
    </row>
    <row r="76" spans="2:13" ht="12.95" customHeight="1" x14ac:dyDescent="0.3">
      <c r="B76" s="152" t="s">
        <v>251</v>
      </c>
      <c r="C76" s="152"/>
      <c r="D76" s="24"/>
      <c r="E76" s="24"/>
      <c r="F76" s="153"/>
      <c r="G76" s="153"/>
      <c r="H76" s="154"/>
      <c r="I76" s="153"/>
      <c r="J76" s="153"/>
      <c r="K76" s="153"/>
      <c r="L76" s="154"/>
      <c r="M76" s="92" t="s">
        <v>172</v>
      </c>
    </row>
    <row r="77" spans="2:13" ht="12.95" customHeight="1" x14ac:dyDescent="0.3">
      <c r="B77" s="337" t="s">
        <v>14</v>
      </c>
      <c r="C77" s="337" t="s">
        <v>18</v>
      </c>
      <c r="D77" s="317" t="s">
        <v>19</v>
      </c>
      <c r="E77" s="317" t="s">
        <v>15</v>
      </c>
      <c r="F77" s="344" t="s">
        <v>192</v>
      </c>
      <c r="G77" s="345"/>
      <c r="H77" s="351" t="s">
        <v>45</v>
      </c>
      <c r="I77" s="352"/>
      <c r="J77" s="344" t="s">
        <v>193</v>
      </c>
      <c r="K77" s="345"/>
      <c r="L77" s="351" t="s">
        <v>47</v>
      </c>
      <c r="M77" s="352"/>
    </row>
    <row r="78" spans="2:13" ht="12.95" customHeight="1" x14ac:dyDescent="0.3">
      <c r="B78" s="338"/>
      <c r="C78" s="338"/>
      <c r="D78" s="340"/>
      <c r="E78" s="340"/>
      <c r="F78" s="93" t="s">
        <v>176</v>
      </c>
      <c r="G78" s="94">
        <v>65</v>
      </c>
      <c r="H78" s="93" t="s">
        <v>176</v>
      </c>
      <c r="I78" s="94">
        <v>50</v>
      </c>
      <c r="J78" s="93" t="s">
        <v>176</v>
      </c>
      <c r="K78" s="94">
        <v>30</v>
      </c>
      <c r="L78" s="93" t="s">
        <v>176</v>
      </c>
      <c r="M78" s="94">
        <v>25</v>
      </c>
    </row>
    <row r="79" spans="2:13" ht="12.95" customHeight="1" x14ac:dyDescent="0.3">
      <c r="B79" s="339"/>
      <c r="C79" s="339"/>
      <c r="D79" s="318"/>
      <c r="E79" s="318"/>
      <c r="F79" s="96" t="s">
        <v>174</v>
      </c>
      <c r="G79" s="97" t="s">
        <v>175</v>
      </c>
      <c r="H79" s="96" t="s">
        <v>174</v>
      </c>
      <c r="I79" s="97" t="s">
        <v>175</v>
      </c>
      <c r="J79" s="96" t="s">
        <v>174</v>
      </c>
      <c r="K79" s="97" t="s">
        <v>175</v>
      </c>
      <c r="L79" s="96" t="s">
        <v>174</v>
      </c>
      <c r="M79" s="97" t="s">
        <v>175</v>
      </c>
    </row>
    <row r="80" spans="2:13" ht="12.95" customHeight="1" x14ac:dyDescent="0.3">
      <c r="B80" s="156" t="s">
        <v>276</v>
      </c>
      <c r="C80" s="29" t="s">
        <v>60</v>
      </c>
      <c r="D80" s="30" t="s">
        <v>39</v>
      </c>
      <c r="E80" s="31">
        <v>35814</v>
      </c>
      <c r="F80" s="51">
        <v>8</v>
      </c>
      <c r="G80" s="3">
        <f t="shared" ref="G80" si="34">TRUNC($E80*F80,1)</f>
        <v>286512</v>
      </c>
      <c r="H80" s="51">
        <v>8</v>
      </c>
      <c r="I80" s="3">
        <f t="shared" ref="I80" si="35">TRUNC($E80*H80,1)</f>
        <v>286512</v>
      </c>
      <c r="J80" s="51">
        <v>8</v>
      </c>
      <c r="K80" s="3">
        <f t="shared" ref="K80" si="36">TRUNC($E80*J80,1)</f>
        <v>286512</v>
      </c>
      <c r="L80" s="51">
        <v>8</v>
      </c>
      <c r="M80" s="3">
        <f t="shared" ref="M80" si="37">TRUNC($E80*L80,1)</f>
        <v>286512</v>
      </c>
    </row>
    <row r="81" spans="2:13" ht="12.95" customHeight="1" x14ac:dyDescent="0.3">
      <c r="B81" s="136" t="s">
        <v>22</v>
      </c>
      <c r="C81" s="157"/>
      <c r="D81" s="157"/>
      <c r="E81" s="34"/>
      <c r="F81" s="51"/>
      <c r="G81" s="45">
        <f>TRUNC(SUM(G80:G80))</f>
        <v>286512</v>
      </c>
      <c r="H81" s="51"/>
      <c r="I81" s="45">
        <f>TRUNC(SUM(I80:I80))</f>
        <v>286512</v>
      </c>
      <c r="J81" s="51"/>
      <c r="K81" s="45">
        <f>TRUNC(SUM(K80:K80))</f>
        <v>286512</v>
      </c>
      <c r="L81" s="51"/>
      <c r="M81" s="45">
        <f>TRUNC(SUM(M80:M80))</f>
        <v>286512</v>
      </c>
    </row>
    <row r="82" spans="2:13" ht="12.95" customHeight="1" x14ac:dyDescent="0.3">
      <c r="B82" s="158"/>
      <c r="C82" s="157"/>
      <c r="D82" s="157"/>
      <c r="E82" s="34"/>
      <c r="F82" s="51"/>
      <c r="G82" s="35"/>
      <c r="H82" s="51"/>
      <c r="I82" s="35"/>
      <c r="J82" s="51"/>
      <c r="K82" s="35"/>
      <c r="L82" s="51"/>
      <c r="M82" s="35"/>
    </row>
    <row r="83" spans="2:13" ht="12.95" customHeight="1" x14ac:dyDescent="0.3">
      <c r="B83" s="156" t="s">
        <v>276</v>
      </c>
      <c r="C83" s="29" t="s">
        <v>60</v>
      </c>
      <c r="D83" s="30" t="s">
        <v>57</v>
      </c>
      <c r="E83" s="31">
        <v>58925</v>
      </c>
      <c r="F83" s="51">
        <v>8</v>
      </c>
      <c r="G83" s="3">
        <f t="shared" ref="G83" si="38">TRUNC($E83*F83,1)</f>
        <v>471400</v>
      </c>
      <c r="H83" s="51">
        <v>8</v>
      </c>
      <c r="I83" s="3">
        <f t="shared" ref="I83" si="39">TRUNC($E83*H83,1)</f>
        <v>471400</v>
      </c>
      <c r="J83" s="51">
        <v>8</v>
      </c>
      <c r="K83" s="3">
        <f t="shared" ref="K83" si="40">TRUNC($E83*J83,1)</f>
        <v>471400</v>
      </c>
      <c r="L83" s="51">
        <v>8</v>
      </c>
      <c r="M83" s="3">
        <f t="shared" ref="M83" si="41">TRUNC($E83*L83,1)</f>
        <v>471400</v>
      </c>
    </row>
    <row r="84" spans="2:13" ht="12.95" customHeight="1" x14ac:dyDescent="0.3">
      <c r="B84" s="102" t="s">
        <v>23</v>
      </c>
      <c r="C84" s="159"/>
      <c r="D84" s="159"/>
      <c r="E84" s="160"/>
      <c r="F84" s="51"/>
      <c r="G84" s="45">
        <f>TRUNC(SUM(G83:G83))</f>
        <v>471400</v>
      </c>
      <c r="H84" s="51"/>
      <c r="I84" s="45">
        <f>TRUNC(SUM(I83:I83))</f>
        <v>471400</v>
      </c>
      <c r="J84" s="51"/>
      <c r="K84" s="45">
        <f>TRUNC(SUM(K83:K83))</f>
        <v>471400</v>
      </c>
      <c r="L84" s="51"/>
      <c r="M84" s="45">
        <f>TRUNC(SUM(M83:M83))</f>
        <v>471400</v>
      </c>
    </row>
    <row r="85" spans="2:13" ht="12.95" customHeight="1" x14ac:dyDescent="0.3">
      <c r="B85" s="158"/>
      <c r="C85" s="157"/>
      <c r="D85" s="157"/>
      <c r="E85" s="34"/>
      <c r="F85" s="51"/>
      <c r="G85" s="35"/>
      <c r="H85" s="51"/>
      <c r="I85" s="35"/>
      <c r="J85" s="51"/>
      <c r="K85" s="35"/>
      <c r="L85" s="51"/>
      <c r="M85" s="35"/>
    </row>
    <row r="86" spans="2:13" ht="12.95" customHeight="1" x14ac:dyDescent="0.3">
      <c r="B86" s="156" t="s">
        <v>276</v>
      </c>
      <c r="C86" s="29" t="s">
        <v>60</v>
      </c>
      <c r="D86" s="30" t="s">
        <v>57</v>
      </c>
      <c r="E86" s="31">
        <v>29621</v>
      </c>
      <c r="F86" s="51">
        <v>8</v>
      </c>
      <c r="G86" s="3">
        <f t="shared" ref="G86:G87" si="42">TRUNC($E86*F86,1)</f>
        <v>236968</v>
      </c>
      <c r="H86" s="51">
        <v>8</v>
      </c>
      <c r="I86" s="3">
        <f t="shared" ref="I86:I87" si="43">TRUNC($E86*H86,1)</f>
        <v>236968</v>
      </c>
      <c r="J86" s="51">
        <v>8</v>
      </c>
      <c r="K86" s="3">
        <f t="shared" ref="K86:K87" si="44">TRUNC($E86*J86,1)</f>
        <v>236968</v>
      </c>
      <c r="L86" s="51">
        <v>8</v>
      </c>
      <c r="M86" s="3">
        <f t="shared" ref="M86:M87" si="45">TRUNC($E86*L86,1)</f>
        <v>236968</v>
      </c>
    </row>
    <row r="87" spans="2:13" ht="12.95" customHeight="1" x14ac:dyDescent="0.3">
      <c r="B87" s="156" t="s">
        <v>65</v>
      </c>
      <c r="C87" s="29" t="s">
        <v>60</v>
      </c>
      <c r="D87" s="30" t="s">
        <v>57</v>
      </c>
      <c r="E87" s="31">
        <v>18939</v>
      </c>
      <c r="F87" s="51">
        <v>8</v>
      </c>
      <c r="G87" s="3">
        <f t="shared" si="42"/>
        <v>151512</v>
      </c>
      <c r="H87" s="51">
        <v>8</v>
      </c>
      <c r="I87" s="3">
        <f t="shared" si="43"/>
        <v>151512</v>
      </c>
      <c r="J87" s="51">
        <v>8</v>
      </c>
      <c r="K87" s="3">
        <f t="shared" si="44"/>
        <v>151512</v>
      </c>
      <c r="L87" s="51">
        <v>8</v>
      </c>
      <c r="M87" s="3">
        <f t="shared" si="45"/>
        <v>151512</v>
      </c>
    </row>
    <row r="88" spans="2:13" ht="12.95" customHeight="1" x14ac:dyDescent="0.3">
      <c r="B88" s="136" t="s">
        <v>24</v>
      </c>
      <c r="C88" s="39"/>
      <c r="D88" s="39"/>
      <c r="E88" s="37"/>
      <c r="F88" s="40"/>
      <c r="G88" s="45">
        <f>TRUNC(SUM(G86:G87))</f>
        <v>388480</v>
      </c>
      <c r="H88" s="40"/>
      <c r="I88" s="45">
        <f>TRUNC(SUM(I86:I87))</f>
        <v>388480</v>
      </c>
      <c r="J88" s="40"/>
      <c r="K88" s="45">
        <f>TRUNC(SUM(K86:K87))</f>
        <v>388480</v>
      </c>
      <c r="L88" s="40"/>
      <c r="M88" s="45">
        <f>TRUNC(SUM(M86:M87))</f>
        <v>388480</v>
      </c>
    </row>
    <row r="89" spans="2:13" ht="12.95" customHeight="1" x14ac:dyDescent="0.3">
      <c r="B89" s="158"/>
      <c r="C89" s="157"/>
      <c r="D89" s="157"/>
      <c r="E89" s="34"/>
      <c r="F89" s="32"/>
      <c r="G89" s="35"/>
      <c r="H89" s="32"/>
      <c r="I89" s="35"/>
      <c r="J89" s="32"/>
      <c r="K89" s="35"/>
      <c r="L89" s="32"/>
      <c r="M89" s="35"/>
    </row>
    <row r="90" spans="2:13" ht="12.95" customHeight="1" x14ac:dyDescent="0.3">
      <c r="B90" s="113" t="s">
        <v>26</v>
      </c>
      <c r="C90" s="39"/>
      <c r="D90" s="39"/>
      <c r="E90" s="37"/>
      <c r="F90" s="40"/>
      <c r="G90" s="35">
        <f>SUM(G81+G84+G88)</f>
        <v>1146392</v>
      </c>
      <c r="H90" s="40"/>
      <c r="I90" s="35">
        <f>SUM(I81+I84+I88)</f>
        <v>1146392</v>
      </c>
      <c r="J90" s="40"/>
      <c r="K90" s="35">
        <f>SUM(K81+K84+K88)</f>
        <v>1146392</v>
      </c>
      <c r="L90" s="40"/>
      <c r="M90" s="35">
        <f>SUM(M81+M84+M88)</f>
        <v>1146392</v>
      </c>
    </row>
    <row r="91" spans="2:13" ht="12.95" customHeight="1" x14ac:dyDescent="0.3">
      <c r="B91" s="117" t="s">
        <v>177</v>
      </c>
      <c r="C91" s="118"/>
      <c r="D91" s="119"/>
      <c r="E91" s="120"/>
      <c r="F91" s="121"/>
      <c r="G91" s="122">
        <f>TRUNC(G90/G78)</f>
        <v>17636</v>
      </c>
      <c r="H91" s="121"/>
      <c r="I91" s="122">
        <f>TRUNC(I90/I78)</f>
        <v>22927</v>
      </c>
      <c r="J91" s="121"/>
      <c r="K91" s="122">
        <f>TRUNC(K90/K78)</f>
        <v>38213</v>
      </c>
      <c r="L91" s="121"/>
      <c r="M91" s="122">
        <f>TRUNC(M90/M78)</f>
        <v>45855</v>
      </c>
    </row>
    <row r="93" spans="2:13" ht="12.95" customHeight="1" x14ac:dyDescent="0.3">
      <c r="B93" s="152" t="s">
        <v>194</v>
      </c>
      <c r="C93" s="152"/>
      <c r="D93" s="24"/>
      <c r="E93" s="24"/>
      <c r="F93" s="153"/>
      <c r="G93" s="153"/>
      <c r="H93" s="154"/>
      <c r="I93" s="153"/>
      <c r="J93" s="153"/>
      <c r="K93" s="153"/>
      <c r="L93" s="154"/>
      <c r="M93" s="92" t="s">
        <v>172</v>
      </c>
    </row>
    <row r="94" spans="2:13" ht="12.95" customHeight="1" x14ac:dyDescent="0.3">
      <c r="B94" s="337" t="s">
        <v>14</v>
      </c>
      <c r="C94" s="337" t="s">
        <v>18</v>
      </c>
      <c r="D94" s="317" t="s">
        <v>19</v>
      </c>
      <c r="E94" s="317" t="s">
        <v>15</v>
      </c>
      <c r="F94" s="344" t="s">
        <v>192</v>
      </c>
      <c r="G94" s="345"/>
      <c r="H94" s="351" t="s">
        <v>45</v>
      </c>
      <c r="I94" s="352"/>
      <c r="J94" s="344" t="s">
        <v>193</v>
      </c>
      <c r="K94" s="345"/>
      <c r="L94" s="351" t="s">
        <v>47</v>
      </c>
      <c r="M94" s="352"/>
    </row>
    <row r="95" spans="2:13" ht="12.95" customHeight="1" x14ac:dyDescent="0.3">
      <c r="B95" s="338"/>
      <c r="C95" s="338"/>
      <c r="D95" s="340"/>
      <c r="E95" s="340"/>
      <c r="F95" s="93" t="s">
        <v>176</v>
      </c>
      <c r="G95" s="94">
        <v>550</v>
      </c>
      <c r="H95" s="93" t="s">
        <v>176</v>
      </c>
      <c r="I95" s="94">
        <v>520</v>
      </c>
      <c r="J95" s="93" t="s">
        <v>176</v>
      </c>
      <c r="K95" s="94">
        <v>450</v>
      </c>
      <c r="L95" s="93" t="s">
        <v>176</v>
      </c>
      <c r="M95" s="94">
        <v>450</v>
      </c>
    </row>
    <row r="96" spans="2:13" ht="12.95" customHeight="1" x14ac:dyDescent="0.3">
      <c r="B96" s="339"/>
      <c r="C96" s="339"/>
      <c r="D96" s="318"/>
      <c r="E96" s="318"/>
      <c r="F96" s="96" t="s">
        <v>174</v>
      </c>
      <c r="G96" s="97" t="s">
        <v>175</v>
      </c>
      <c r="H96" s="96" t="s">
        <v>174</v>
      </c>
      <c r="I96" s="97" t="s">
        <v>175</v>
      </c>
      <c r="J96" s="96" t="s">
        <v>174</v>
      </c>
      <c r="K96" s="97" t="s">
        <v>175</v>
      </c>
      <c r="L96" s="96" t="s">
        <v>174</v>
      </c>
      <c r="M96" s="97" t="s">
        <v>175</v>
      </c>
    </row>
    <row r="97" spans="2:13" ht="12.95" customHeight="1" x14ac:dyDescent="0.3">
      <c r="B97" s="155" t="s">
        <v>183</v>
      </c>
      <c r="C97" s="29" t="s">
        <v>185</v>
      </c>
      <c r="D97" s="30" t="s">
        <v>57</v>
      </c>
      <c r="E97" s="31">
        <v>72646</v>
      </c>
      <c r="F97" s="51">
        <v>8</v>
      </c>
      <c r="G97" s="3">
        <f t="shared" ref="G97" si="46">TRUNC($E97*F97,1)</f>
        <v>581168</v>
      </c>
      <c r="H97" s="51">
        <v>8</v>
      </c>
      <c r="I97" s="3">
        <f t="shared" ref="I97" si="47">TRUNC($E97*H97,1)</f>
        <v>581168</v>
      </c>
      <c r="J97" s="51">
        <v>8</v>
      </c>
      <c r="K97" s="3">
        <f t="shared" ref="K97" si="48">TRUNC($E97*J97,1)</f>
        <v>581168</v>
      </c>
      <c r="L97" s="51">
        <v>8</v>
      </c>
      <c r="M97" s="3">
        <f t="shared" ref="M97" si="49">TRUNC($E97*L97,1)</f>
        <v>581168</v>
      </c>
    </row>
    <row r="98" spans="2:13" ht="12.95" customHeight="1" x14ac:dyDescent="0.3">
      <c r="B98" s="136" t="s">
        <v>22</v>
      </c>
      <c r="C98" s="157"/>
      <c r="D98" s="157"/>
      <c r="E98" s="34"/>
      <c r="F98" s="51"/>
      <c r="G98" s="45">
        <f>TRUNC(SUM(G97:G97))</f>
        <v>581168</v>
      </c>
      <c r="H98" s="51"/>
      <c r="I98" s="45">
        <f>TRUNC(SUM(I97:I97))</f>
        <v>581168</v>
      </c>
      <c r="J98" s="51"/>
      <c r="K98" s="45">
        <f>TRUNC(SUM(K97:K97))</f>
        <v>581168</v>
      </c>
      <c r="L98" s="51"/>
      <c r="M98" s="45">
        <f>TRUNC(SUM(M97:M97))</f>
        <v>581168</v>
      </c>
    </row>
    <row r="99" spans="2:13" ht="12.95" customHeight="1" x14ac:dyDescent="0.3">
      <c r="B99" s="158"/>
      <c r="C99" s="157"/>
      <c r="D99" s="157"/>
      <c r="E99" s="34"/>
      <c r="F99" s="51"/>
      <c r="G99" s="35"/>
      <c r="H99" s="51"/>
      <c r="I99" s="35"/>
      <c r="J99" s="51"/>
      <c r="K99" s="35"/>
      <c r="L99" s="51"/>
      <c r="M99" s="35"/>
    </row>
    <row r="100" spans="2:13" ht="12.95" customHeight="1" x14ac:dyDescent="0.3">
      <c r="B100" s="155" t="s">
        <v>183</v>
      </c>
      <c r="C100" s="29" t="s">
        <v>185</v>
      </c>
      <c r="D100" s="30" t="s">
        <v>57</v>
      </c>
      <c r="E100" s="31">
        <v>58925</v>
      </c>
      <c r="F100" s="51">
        <v>8</v>
      </c>
      <c r="G100" s="3">
        <f t="shared" ref="G100" si="50">TRUNC($E100*F100,1)</f>
        <v>471400</v>
      </c>
      <c r="H100" s="51">
        <v>8</v>
      </c>
      <c r="I100" s="3">
        <f t="shared" ref="I100" si="51">TRUNC($E100*H100,1)</f>
        <v>471400</v>
      </c>
      <c r="J100" s="51">
        <v>8</v>
      </c>
      <c r="K100" s="3">
        <f t="shared" ref="K100" si="52">TRUNC($E100*J100,1)</f>
        <v>471400</v>
      </c>
      <c r="L100" s="51">
        <v>8</v>
      </c>
      <c r="M100" s="3">
        <f t="shared" ref="M100" si="53">TRUNC($E100*L100,1)</f>
        <v>471400</v>
      </c>
    </row>
    <row r="101" spans="2:13" ht="12.95" customHeight="1" x14ac:dyDescent="0.3">
      <c r="B101" s="102" t="s">
        <v>23</v>
      </c>
      <c r="C101" s="159"/>
      <c r="D101" s="159"/>
      <c r="E101" s="160"/>
      <c r="F101" s="51"/>
      <c r="G101" s="45">
        <f>TRUNC(SUM(G100:G100))</f>
        <v>471400</v>
      </c>
      <c r="H101" s="51"/>
      <c r="I101" s="45">
        <f>TRUNC(SUM(I100:I100))</f>
        <v>471400</v>
      </c>
      <c r="J101" s="51"/>
      <c r="K101" s="45">
        <f>TRUNC(SUM(K100:K100))</f>
        <v>471400</v>
      </c>
      <c r="L101" s="51"/>
      <c r="M101" s="45">
        <f>TRUNC(SUM(M100:M100))</f>
        <v>471400</v>
      </c>
    </row>
    <row r="102" spans="2:13" ht="12.95" customHeight="1" x14ac:dyDescent="0.3">
      <c r="B102" s="158"/>
      <c r="C102" s="157"/>
      <c r="D102" s="157"/>
      <c r="E102" s="34"/>
      <c r="F102" s="51"/>
      <c r="G102" s="35"/>
      <c r="H102" s="51"/>
      <c r="I102" s="35"/>
      <c r="J102" s="51"/>
      <c r="K102" s="35"/>
      <c r="L102" s="51"/>
      <c r="M102" s="35"/>
    </row>
    <row r="103" spans="2:13" ht="12.95" customHeight="1" x14ac:dyDescent="0.3">
      <c r="B103" s="155" t="s">
        <v>183</v>
      </c>
      <c r="C103" s="29" t="s">
        <v>185</v>
      </c>
      <c r="D103" s="30" t="s">
        <v>57</v>
      </c>
      <c r="E103" s="31">
        <v>47752</v>
      </c>
      <c r="F103" s="51">
        <v>8</v>
      </c>
      <c r="G103" s="3">
        <f t="shared" ref="G103" si="54">TRUNC($E103*F103,1)</f>
        <v>382016</v>
      </c>
      <c r="H103" s="51">
        <v>8</v>
      </c>
      <c r="I103" s="3">
        <f t="shared" ref="I103" si="55">TRUNC($E103*H103,1)</f>
        <v>382016</v>
      </c>
      <c r="J103" s="51">
        <v>8</v>
      </c>
      <c r="K103" s="3">
        <f t="shared" ref="K103" si="56">TRUNC($E103*J103,1)</f>
        <v>382016</v>
      </c>
      <c r="L103" s="51">
        <v>8</v>
      </c>
      <c r="M103" s="3">
        <f t="shared" ref="M103" si="57">TRUNC($E103*L103,1)</f>
        <v>382016</v>
      </c>
    </row>
    <row r="104" spans="2:13" ht="12.95" customHeight="1" x14ac:dyDescent="0.3">
      <c r="B104" s="136" t="s">
        <v>24</v>
      </c>
      <c r="C104" s="39"/>
      <c r="D104" s="39"/>
      <c r="E104" s="37"/>
      <c r="F104" s="40"/>
      <c r="G104" s="45">
        <f>TRUNC(SUM(G103:G103))</f>
        <v>382016</v>
      </c>
      <c r="H104" s="40"/>
      <c r="I104" s="45">
        <f>TRUNC(SUM(I103:I103))</f>
        <v>382016</v>
      </c>
      <c r="J104" s="40"/>
      <c r="K104" s="45">
        <f>TRUNC(SUM(K103:K103))</f>
        <v>382016</v>
      </c>
      <c r="L104" s="40"/>
      <c r="M104" s="45">
        <f>TRUNC(SUM(M103:M103))</f>
        <v>382016</v>
      </c>
    </row>
    <row r="105" spans="2:13" ht="12.95" customHeight="1" x14ac:dyDescent="0.3">
      <c r="B105" s="158"/>
      <c r="C105" s="157"/>
      <c r="D105" s="157"/>
      <c r="E105" s="34"/>
      <c r="F105" s="32"/>
      <c r="G105" s="35"/>
      <c r="H105" s="32"/>
      <c r="I105" s="35"/>
      <c r="J105" s="32"/>
      <c r="K105" s="35"/>
      <c r="L105" s="32"/>
      <c r="M105" s="35"/>
    </row>
    <row r="106" spans="2:13" ht="12.95" customHeight="1" x14ac:dyDescent="0.3">
      <c r="B106" s="113" t="s">
        <v>26</v>
      </c>
      <c r="C106" s="39"/>
      <c r="D106" s="39"/>
      <c r="E106" s="37"/>
      <c r="F106" s="40"/>
      <c r="G106" s="35">
        <f>SUM(G98+G101+G104)</f>
        <v>1434584</v>
      </c>
      <c r="H106" s="40"/>
      <c r="I106" s="35">
        <f>SUM(I98+I101+I104)</f>
        <v>1434584</v>
      </c>
      <c r="J106" s="40"/>
      <c r="K106" s="35">
        <f>SUM(K98+K101+K104)</f>
        <v>1434584</v>
      </c>
      <c r="L106" s="40"/>
      <c r="M106" s="35">
        <f>SUM(M98+M101+M104)</f>
        <v>1434584</v>
      </c>
    </row>
    <row r="107" spans="2:13" ht="12.95" customHeight="1" x14ac:dyDescent="0.3">
      <c r="B107" s="117" t="s">
        <v>177</v>
      </c>
      <c r="C107" s="118"/>
      <c r="D107" s="119"/>
      <c r="E107" s="120"/>
      <c r="F107" s="121"/>
      <c r="G107" s="122">
        <f>TRUNC(G106/G95)</f>
        <v>2608</v>
      </c>
      <c r="H107" s="121"/>
      <c r="I107" s="122">
        <f>TRUNC(I106/I95)</f>
        <v>2758</v>
      </c>
      <c r="J107" s="121"/>
      <c r="K107" s="122">
        <f>TRUNC(K106/K95)</f>
        <v>3187</v>
      </c>
      <c r="L107" s="121"/>
      <c r="M107" s="122">
        <f>TRUNC(M106/M95)</f>
        <v>3187</v>
      </c>
    </row>
    <row r="109" spans="2:13" ht="12.95" customHeight="1" x14ac:dyDescent="0.3">
      <c r="B109" s="91" t="s">
        <v>195</v>
      </c>
    </row>
    <row r="110" spans="2:13" ht="12.95" customHeight="1" x14ac:dyDescent="0.3">
      <c r="B110" s="152" t="s">
        <v>190</v>
      </c>
      <c r="C110" s="152"/>
      <c r="D110" s="24"/>
      <c r="E110" s="24"/>
      <c r="F110" s="153"/>
      <c r="G110" s="153"/>
      <c r="H110" s="153"/>
      <c r="I110" s="24"/>
      <c r="J110" s="154"/>
      <c r="K110" s="92" t="s">
        <v>172</v>
      </c>
    </row>
    <row r="111" spans="2:13" ht="12.95" customHeight="1" x14ac:dyDescent="0.3">
      <c r="B111" s="337" t="s">
        <v>14</v>
      </c>
      <c r="C111" s="337" t="s">
        <v>18</v>
      </c>
      <c r="D111" s="317" t="s">
        <v>19</v>
      </c>
      <c r="E111" s="317" t="s">
        <v>15</v>
      </c>
      <c r="F111" s="344" t="s">
        <v>196</v>
      </c>
      <c r="G111" s="345"/>
      <c r="H111" s="344" t="s">
        <v>198</v>
      </c>
      <c r="I111" s="345"/>
      <c r="J111" s="351" t="s">
        <v>197</v>
      </c>
      <c r="K111" s="352"/>
    </row>
    <row r="112" spans="2:13" ht="12.95" customHeight="1" x14ac:dyDescent="0.3">
      <c r="B112" s="338"/>
      <c r="C112" s="338"/>
      <c r="D112" s="340"/>
      <c r="E112" s="340"/>
      <c r="F112" s="93" t="s">
        <v>176</v>
      </c>
      <c r="G112" s="94">
        <v>560</v>
      </c>
      <c r="H112" s="93" t="s">
        <v>176</v>
      </c>
      <c r="I112" s="94">
        <v>420</v>
      </c>
      <c r="J112" s="93" t="s">
        <v>176</v>
      </c>
      <c r="K112" s="94">
        <v>190</v>
      </c>
    </row>
    <row r="113" spans="2:11" ht="12.95" customHeight="1" x14ac:dyDescent="0.3">
      <c r="B113" s="339"/>
      <c r="C113" s="339"/>
      <c r="D113" s="318"/>
      <c r="E113" s="318"/>
      <c r="F113" s="96" t="s">
        <v>174</v>
      </c>
      <c r="G113" s="97" t="s">
        <v>175</v>
      </c>
      <c r="H113" s="96" t="s">
        <v>174</v>
      </c>
      <c r="I113" s="97" t="s">
        <v>175</v>
      </c>
      <c r="J113" s="96" t="s">
        <v>174</v>
      </c>
      <c r="K113" s="97" t="s">
        <v>175</v>
      </c>
    </row>
    <row r="114" spans="2:11" ht="12.95" customHeight="1" x14ac:dyDescent="0.3">
      <c r="B114" s="156" t="s">
        <v>276</v>
      </c>
      <c r="C114" s="29" t="s">
        <v>60</v>
      </c>
      <c r="D114" s="30" t="s">
        <v>39</v>
      </c>
      <c r="E114" s="31">
        <v>35814</v>
      </c>
      <c r="F114" s="51">
        <v>8</v>
      </c>
      <c r="G114" s="3">
        <f t="shared" ref="G114:G115" si="58">TRUNC($E114*F114,1)</f>
        <v>286512</v>
      </c>
      <c r="H114" s="51">
        <v>8</v>
      </c>
      <c r="I114" s="3">
        <f t="shared" ref="I114:I115" si="59">TRUNC($E114*H114,1)</f>
        <v>286512</v>
      </c>
      <c r="J114" s="51">
        <v>0</v>
      </c>
      <c r="K114" s="3">
        <f t="shared" ref="K114:K115" si="60">TRUNC($E114*J114,1)</f>
        <v>0</v>
      </c>
    </row>
    <row r="115" spans="2:11" ht="12.95" customHeight="1" x14ac:dyDescent="0.3">
      <c r="B115" s="156" t="s">
        <v>276</v>
      </c>
      <c r="C115" s="29" t="s">
        <v>130</v>
      </c>
      <c r="D115" s="30" t="s">
        <v>39</v>
      </c>
      <c r="E115" s="31">
        <v>18733</v>
      </c>
      <c r="F115" s="51">
        <v>0</v>
      </c>
      <c r="G115" s="3">
        <f t="shared" si="58"/>
        <v>0</v>
      </c>
      <c r="H115" s="51">
        <v>0</v>
      </c>
      <c r="I115" s="3">
        <f t="shared" si="59"/>
        <v>0</v>
      </c>
      <c r="J115" s="51">
        <v>8</v>
      </c>
      <c r="K115" s="3">
        <f t="shared" si="60"/>
        <v>149864</v>
      </c>
    </row>
    <row r="116" spans="2:11" ht="12.95" customHeight="1" x14ac:dyDescent="0.3">
      <c r="B116" s="136" t="s">
        <v>22</v>
      </c>
      <c r="C116" s="157"/>
      <c r="D116" s="157"/>
      <c r="E116" s="34"/>
      <c r="F116" s="51"/>
      <c r="G116" s="45">
        <f>TRUNC(SUM(G114:G115))</f>
        <v>286512</v>
      </c>
      <c r="H116" s="51"/>
      <c r="I116" s="45">
        <f>TRUNC(SUM(I114:I115))</f>
        <v>286512</v>
      </c>
      <c r="J116" s="51"/>
      <c r="K116" s="45">
        <f>TRUNC(SUM(K114:K115))</f>
        <v>149864</v>
      </c>
    </row>
    <row r="117" spans="2:11" ht="12.95" customHeight="1" x14ac:dyDescent="0.3">
      <c r="B117" s="158"/>
      <c r="C117" s="157"/>
      <c r="D117" s="157"/>
      <c r="E117" s="34"/>
      <c r="F117" s="51"/>
      <c r="G117" s="35"/>
      <c r="H117" s="51"/>
      <c r="I117" s="35"/>
      <c r="J117" s="51"/>
      <c r="K117" s="35"/>
    </row>
    <row r="118" spans="2:11" ht="12.95" customHeight="1" x14ac:dyDescent="0.3">
      <c r="B118" s="156" t="s">
        <v>276</v>
      </c>
      <c r="C118" s="29" t="s">
        <v>60</v>
      </c>
      <c r="D118" s="30" t="s">
        <v>57</v>
      </c>
      <c r="E118" s="31">
        <v>58925</v>
      </c>
      <c r="F118" s="51">
        <v>8</v>
      </c>
      <c r="G118" s="3">
        <f t="shared" ref="G118:G119" si="61">TRUNC($E118*F118,1)</f>
        <v>471400</v>
      </c>
      <c r="H118" s="51">
        <v>8</v>
      </c>
      <c r="I118" s="3">
        <f t="shared" ref="I118:I119" si="62">TRUNC($E118*H118,1)</f>
        <v>471400</v>
      </c>
      <c r="J118" s="51">
        <v>0</v>
      </c>
      <c r="K118" s="3">
        <f t="shared" ref="K118:K119" si="63">TRUNC($E118*J118,1)</f>
        <v>0</v>
      </c>
    </row>
    <row r="119" spans="2:11" ht="12.95" customHeight="1" x14ac:dyDescent="0.3">
      <c r="B119" s="156" t="s">
        <v>276</v>
      </c>
      <c r="C119" s="29" t="s">
        <v>130</v>
      </c>
      <c r="D119" s="30" t="s">
        <v>57</v>
      </c>
      <c r="E119" s="31">
        <v>58925</v>
      </c>
      <c r="F119" s="51">
        <v>0</v>
      </c>
      <c r="G119" s="3">
        <f t="shared" si="61"/>
        <v>0</v>
      </c>
      <c r="H119" s="51">
        <v>0</v>
      </c>
      <c r="I119" s="3">
        <f t="shared" si="62"/>
        <v>0</v>
      </c>
      <c r="J119" s="51">
        <v>8</v>
      </c>
      <c r="K119" s="3">
        <f t="shared" si="63"/>
        <v>471400</v>
      </c>
    </row>
    <row r="120" spans="2:11" ht="12.95" customHeight="1" x14ac:dyDescent="0.3">
      <c r="B120" s="102" t="s">
        <v>23</v>
      </c>
      <c r="C120" s="159"/>
      <c r="D120" s="159"/>
      <c r="E120" s="160"/>
      <c r="F120" s="51"/>
      <c r="G120" s="45">
        <f>TRUNC(SUM(G118:G119))</f>
        <v>471400</v>
      </c>
      <c r="H120" s="51"/>
      <c r="I120" s="45">
        <f>TRUNC(SUM(I118:I119))</f>
        <v>471400</v>
      </c>
      <c r="J120" s="51"/>
      <c r="K120" s="45">
        <f>TRUNC(SUM(K118:K119))</f>
        <v>471400</v>
      </c>
    </row>
    <row r="121" spans="2:11" ht="12.95" customHeight="1" x14ac:dyDescent="0.3">
      <c r="B121" s="158"/>
      <c r="C121" s="157"/>
      <c r="D121" s="157"/>
      <c r="E121" s="34"/>
      <c r="F121" s="51"/>
      <c r="G121" s="35"/>
      <c r="H121" s="51"/>
      <c r="I121" s="35"/>
      <c r="J121" s="51"/>
      <c r="K121" s="35"/>
    </row>
    <row r="122" spans="2:11" ht="12.95" customHeight="1" x14ac:dyDescent="0.3">
      <c r="B122" s="156" t="s">
        <v>276</v>
      </c>
      <c r="C122" s="29" t="s">
        <v>60</v>
      </c>
      <c r="D122" s="30" t="s">
        <v>57</v>
      </c>
      <c r="E122" s="31">
        <v>29621</v>
      </c>
      <c r="F122" s="51">
        <v>8</v>
      </c>
      <c r="G122" s="3">
        <f t="shared" ref="G122:G123" si="64">TRUNC($E122*F122,1)</f>
        <v>236968</v>
      </c>
      <c r="H122" s="51">
        <v>8</v>
      </c>
      <c r="I122" s="3">
        <f t="shared" ref="I122:I123" si="65">TRUNC($E122*H122,1)</f>
        <v>236968</v>
      </c>
      <c r="J122" s="51">
        <v>0</v>
      </c>
      <c r="K122" s="3">
        <f t="shared" ref="K122:K123" si="66">TRUNC($E122*J122,1)</f>
        <v>0</v>
      </c>
    </row>
    <row r="123" spans="2:11" ht="12.95" customHeight="1" x14ac:dyDescent="0.3">
      <c r="B123" s="156" t="s">
        <v>276</v>
      </c>
      <c r="C123" s="29" t="s">
        <v>130</v>
      </c>
      <c r="D123" s="30" t="s">
        <v>57</v>
      </c>
      <c r="E123" s="31">
        <v>23423</v>
      </c>
      <c r="F123" s="51">
        <v>0</v>
      </c>
      <c r="G123" s="3">
        <f t="shared" si="64"/>
        <v>0</v>
      </c>
      <c r="H123" s="51">
        <v>0</v>
      </c>
      <c r="I123" s="3">
        <f t="shared" si="65"/>
        <v>0</v>
      </c>
      <c r="J123" s="51">
        <v>8</v>
      </c>
      <c r="K123" s="3">
        <f t="shared" si="66"/>
        <v>187384</v>
      </c>
    </row>
    <row r="124" spans="2:11" ht="12.95" customHeight="1" x14ac:dyDescent="0.3">
      <c r="B124" s="136" t="s">
        <v>24</v>
      </c>
      <c r="C124" s="39"/>
      <c r="D124" s="39"/>
      <c r="E124" s="37"/>
      <c r="F124" s="40"/>
      <c r="G124" s="45">
        <f>TRUNC(SUM(G122:G123))</f>
        <v>236968</v>
      </c>
      <c r="H124" s="40"/>
      <c r="I124" s="45">
        <f>TRUNC(SUM(I122:I123))</f>
        <v>236968</v>
      </c>
      <c r="J124" s="40"/>
      <c r="K124" s="45">
        <f>TRUNC(SUM(K122:K123))</f>
        <v>187384</v>
      </c>
    </row>
    <row r="125" spans="2:11" ht="12.95" customHeight="1" x14ac:dyDescent="0.3">
      <c r="B125" s="158"/>
      <c r="C125" s="157"/>
      <c r="D125" s="157"/>
      <c r="E125" s="34"/>
      <c r="F125" s="32"/>
      <c r="G125" s="35"/>
      <c r="H125" s="32"/>
      <c r="I125" s="35"/>
      <c r="J125" s="32"/>
      <c r="K125" s="35"/>
    </row>
    <row r="126" spans="2:11" ht="12.95" customHeight="1" x14ac:dyDescent="0.3">
      <c r="B126" s="113" t="s">
        <v>26</v>
      </c>
      <c r="C126" s="39"/>
      <c r="D126" s="39"/>
      <c r="E126" s="37"/>
      <c r="F126" s="40"/>
      <c r="G126" s="35">
        <f>SUM(G116+G120+G124)</f>
        <v>994880</v>
      </c>
      <c r="H126" s="40"/>
      <c r="I126" s="35">
        <f>SUM(I116+I120+I124)</f>
        <v>994880</v>
      </c>
      <c r="J126" s="40"/>
      <c r="K126" s="35">
        <f>SUM(K116+K120+K124)</f>
        <v>808648</v>
      </c>
    </row>
    <row r="127" spans="2:11" ht="12.95" customHeight="1" x14ac:dyDescent="0.3">
      <c r="B127" s="117" t="s">
        <v>177</v>
      </c>
      <c r="C127" s="118"/>
      <c r="D127" s="119"/>
      <c r="E127" s="120"/>
      <c r="F127" s="121"/>
      <c r="G127" s="122">
        <f>TRUNC(G126/G112)</f>
        <v>1776</v>
      </c>
      <c r="H127" s="121"/>
      <c r="I127" s="122">
        <f>TRUNC(I126/I112)</f>
        <v>2368</v>
      </c>
      <c r="J127" s="121"/>
      <c r="K127" s="122">
        <f>TRUNC(K126/K112)</f>
        <v>4256</v>
      </c>
    </row>
    <row r="129" spans="2:11" ht="12.95" customHeight="1" x14ac:dyDescent="0.3">
      <c r="B129" s="152" t="s">
        <v>191</v>
      </c>
      <c r="C129" s="152"/>
      <c r="D129" s="24"/>
      <c r="E129" s="24"/>
      <c r="F129" s="153"/>
      <c r="G129" s="153"/>
      <c r="H129" s="153"/>
      <c r="I129" s="24"/>
      <c r="J129" s="154"/>
      <c r="K129" s="92" t="s">
        <v>172</v>
      </c>
    </row>
    <row r="130" spans="2:11" ht="12.95" customHeight="1" x14ac:dyDescent="0.3">
      <c r="B130" s="337" t="s">
        <v>14</v>
      </c>
      <c r="C130" s="337" t="s">
        <v>18</v>
      </c>
      <c r="D130" s="317" t="s">
        <v>19</v>
      </c>
      <c r="E130" s="317" t="s">
        <v>15</v>
      </c>
      <c r="F130" s="344" t="s">
        <v>196</v>
      </c>
      <c r="G130" s="345"/>
      <c r="H130" s="344" t="s">
        <v>198</v>
      </c>
      <c r="I130" s="345"/>
      <c r="J130" s="351" t="s">
        <v>197</v>
      </c>
      <c r="K130" s="352"/>
    </row>
    <row r="131" spans="2:11" ht="12.95" customHeight="1" x14ac:dyDescent="0.3">
      <c r="B131" s="338"/>
      <c r="C131" s="338"/>
      <c r="D131" s="340"/>
      <c r="E131" s="340"/>
      <c r="F131" s="93" t="s">
        <v>176</v>
      </c>
      <c r="G131" s="94">
        <v>390</v>
      </c>
      <c r="H131" s="93" t="s">
        <v>176</v>
      </c>
      <c r="I131" s="94">
        <v>300</v>
      </c>
      <c r="J131" s="93" t="s">
        <v>176</v>
      </c>
      <c r="K131" s="94">
        <v>150</v>
      </c>
    </row>
    <row r="132" spans="2:11" ht="12.95" customHeight="1" x14ac:dyDescent="0.3">
      <c r="B132" s="339"/>
      <c r="C132" s="339"/>
      <c r="D132" s="318"/>
      <c r="E132" s="318"/>
      <c r="F132" s="96" t="s">
        <v>174</v>
      </c>
      <c r="G132" s="97" t="s">
        <v>175</v>
      </c>
      <c r="H132" s="96" t="s">
        <v>174</v>
      </c>
      <c r="I132" s="97" t="s">
        <v>175</v>
      </c>
      <c r="J132" s="96" t="s">
        <v>174</v>
      </c>
      <c r="K132" s="97" t="s">
        <v>175</v>
      </c>
    </row>
    <row r="133" spans="2:11" ht="12.95" customHeight="1" x14ac:dyDescent="0.3">
      <c r="B133" s="156" t="s">
        <v>276</v>
      </c>
      <c r="C133" s="29" t="s">
        <v>60</v>
      </c>
      <c r="D133" s="30" t="s">
        <v>39</v>
      </c>
      <c r="E133" s="31">
        <v>35814</v>
      </c>
      <c r="F133" s="51">
        <v>8</v>
      </c>
      <c r="G133" s="3">
        <f t="shared" ref="G133:G134" si="67">TRUNC($E133*F133,1)</f>
        <v>286512</v>
      </c>
      <c r="H133" s="51">
        <v>8</v>
      </c>
      <c r="I133" s="3">
        <f t="shared" ref="I133:I134" si="68">TRUNC($E133*H133,1)</f>
        <v>286512</v>
      </c>
      <c r="J133" s="51">
        <v>0</v>
      </c>
      <c r="K133" s="3">
        <f t="shared" ref="K133:K134" si="69">TRUNC($E133*J133,1)</f>
        <v>0</v>
      </c>
    </row>
    <row r="134" spans="2:11" ht="12.95" customHeight="1" x14ac:dyDescent="0.3">
      <c r="B134" s="156" t="s">
        <v>276</v>
      </c>
      <c r="C134" s="29" t="s">
        <v>130</v>
      </c>
      <c r="D134" s="30" t="s">
        <v>39</v>
      </c>
      <c r="E134" s="31">
        <v>18733</v>
      </c>
      <c r="F134" s="51">
        <v>0</v>
      </c>
      <c r="G134" s="3">
        <f t="shared" si="67"/>
        <v>0</v>
      </c>
      <c r="H134" s="51">
        <v>0</v>
      </c>
      <c r="I134" s="3">
        <f t="shared" si="68"/>
        <v>0</v>
      </c>
      <c r="J134" s="51">
        <v>8</v>
      </c>
      <c r="K134" s="3">
        <f t="shared" si="69"/>
        <v>149864</v>
      </c>
    </row>
    <row r="135" spans="2:11" ht="12.95" customHeight="1" x14ac:dyDescent="0.3">
      <c r="B135" s="136" t="s">
        <v>22</v>
      </c>
      <c r="C135" s="157"/>
      <c r="D135" s="157"/>
      <c r="E135" s="34"/>
      <c r="F135" s="51"/>
      <c r="G135" s="45">
        <f>TRUNC(SUM(G133:G134))</f>
        <v>286512</v>
      </c>
      <c r="H135" s="51"/>
      <c r="I135" s="45">
        <f>TRUNC(SUM(I133:I134))</f>
        <v>286512</v>
      </c>
      <c r="J135" s="51"/>
      <c r="K135" s="45">
        <f>TRUNC(SUM(K133:K134))</f>
        <v>149864</v>
      </c>
    </row>
    <row r="136" spans="2:11" ht="12.95" customHeight="1" x14ac:dyDescent="0.3">
      <c r="B136" s="158"/>
      <c r="C136" s="157"/>
      <c r="D136" s="157"/>
      <c r="E136" s="34"/>
      <c r="F136" s="51"/>
      <c r="G136" s="35"/>
      <c r="H136" s="51"/>
      <c r="I136" s="35"/>
      <c r="J136" s="51"/>
      <c r="K136" s="35"/>
    </row>
    <row r="137" spans="2:11" ht="12.95" customHeight="1" x14ac:dyDescent="0.3">
      <c r="B137" s="156" t="s">
        <v>276</v>
      </c>
      <c r="C137" s="29" t="s">
        <v>60</v>
      </c>
      <c r="D137" s="30" t="s">
        <v>57</v>
      </c>
      <c r="E137" s="31">
        <v>58925</v>
      </c>
      <c r="F137" s="51">
        <v>8</v>
      </c>
      <c r="G137" s="3">
        <f t="shared" ref="G137:G138" si="70">TRUNC($E137*F137,1)</f>
        <v>471400</v>
      </c>
      <c r="H137" s="51">
        <v>8</v>
      </c>
      <c r="I137" s="3">
        <f t="shared" ref="I137:I138" si="71">TRUNC($E137*H137,1)</f>
        <v>471400</v>
      </c>
      <c r="J137" s="51">
        <v>0</v>
      </c>
      <c r="K137" s="3">
        <f t="shared" ref="K137:K138" si="72">TRUNC($E137*J137,1)</f>
        <v>0</v>
      </c>
    </row>
    <row r="138" spans="2:11" ht="12.95" customHeight="1" x14ac:dyDescent="0.3">
      <c r="B138" s="156" t="s">
        <v>276</v>
      </c>
      <c r="C138" s="29" t="s">
        <v>130</v>
      </c>
      <c r="D138" s="30" t="s">
        <v>57</v>
      </c>
      <c r="E138" s="31">
        <v>58925</v>
      </c>
      <c r="F138" s="51">
        <v>0</v>
      </c>
      <c r="G138" s="3">
        <f t="shared" si="70"/>
        <v>0</v>
      </c>
      <c r="H138" s="51">
        <v>0</v>
      </c>
      <c r="I138" s="3">
        <f t="shared" si="71"/>
        <v>0</v>
      </c>
      <c r="J138" s="51">
        <v>8</v>
      </c>
      <c r="K138" s="3">
        <f t="shared" si="72"/>
        <v>471400</v>
      </c>
    </row>
    <row r="139" spans="2:11" ht="12.95" customHeight="1" x14ac:dyDescent="0.3">
      <c r="B139" s="102" t="s">
        <v>23</v>
      </c>
      <c r="C139" s="159"/>
      <c r="D139" s="159"/>
      <c r="E139" s="160"/>
      <c r="F139" s="51"/>
      <c r="G139" s="45">
        <f>TRUNC(SUM(G137:G138))</f>
        <v>471400</v>
      </c>
      <c r="H139" s="51"/>
      <c r="I139" s="45">
        <f>TRUNC(SUM(I137:I138))</f>
        <v>471400</v>
      </c>
      <c r="J139" s="51"/>
      <c r="K139" s="45">
        <f>TRUNC(SUM(K137:K138))</f>
        <v>471400</v>
      </c>
    </row>
    <row r="140" spans="2:11" ht="12.95" customHeight="1" x14ac:dyDescent="0.3">
      <c r="B140" s="158"/>
      <c r="C140" s="157"/>
      <c r="D140" s="157"/>
      <c r="E140" s="34"/>
      <c r="F140" s="51"/>
      <c r="G140" s="35"/>
      <c r="H140" s="51"/>
      <c r="I140" s="35"/>
      <c r="J140" s="51"/>
      <c r="K140" s="35"/>
    </row>
    <row r="141" spans="2:11" ht="12.95" customHeight="1" x14ac:dyDescent="0.3">
      <c r="B141" s="156" t="s">
        <v>276</v>
      </c>
      <c r="C141" s="29" t="s">
        <v>60</v>
      </c>
      <c r="D141" s="30" t="s">
        <v>57</v>
      </c>
      <c r="E141" s="31">
        <v>29621</v>
      </c>
      <c r="F141" s="51">
        <v>8</v>
      </c>
      <c r="G141" s="3">
        <f t="shared" ref="G141:G142" si="73">TRUNC($E141*F141,1)</f>
        <v>236968</v>
      </c>
      <c r="H141" s="51">
        <v>8</v>
      </c>
      <c r="I141" s="3">
        <f t="shared" ref="I141:I142" si="74">TRUNC($E141*H141,1)</f>
        <v>236968</v>
      </c>
      <c r="J141" s="51">
        <v>0</v>
      </c>
      <c r="K141" s="3">
        <f t="shared" ref="K141:K142" si="75">TRUNC($E141*J141,1)</f>
        <v>0</v>
      </c>
    </row>
    <row r="142" spans="2:11" ht="12.95" customHeight="1" x14ac:dyDescent="0.3">
      <c r="B142" s="156" t="s">
        <v>276</v>
      </c>
      <c r="C142" s="29" t="s">
        <v>130</v>
      </c>
      <c r="D142" s="30" t="s">
        <v>57</v>
      </c>
      <c r="E142" s="31">
        <v>23423</v>
      </c>
      <c r="F142" s="51">
        <v>0</v>
      </c>
      <c r="G142" s="3">
        <f t="shared" si="73"/>
        <v>0</v>
      </c>
      <c r="H142" s="51">
        <v>0</v>
      </c>
      <c r="I142" s="3">
        <f t="shared" si="74"/>
        <v>0</v>
      </c>
      <c r="J142" s="51">
        <v>8</v>
      </c>
      <c r="K142" s="3">
        <f t="shared" si="75"/>
        <v>187384</v>
      </c>
    </row>
    <row r="143" spans="2:11" ht="12.95" customHeight="1" x14ac:dyDescent="0.3">
      <c r="B143" s="136" t="s">
        <v>24</v>
      </c>
      <c r="C143" s="39"/>
      <c r="D143" s="39"/>
      <c r="E143" s="37"/>
      <c r="F143" s="40"/>
      <c r="G143" s="45">
        <f>TRUNC(SUM(G141:G142))</f>
        <v>236968</v>
      </c>
      <c r="H143" s="40"/>
      <c r="I143" s="45">
        <f>TRUNC(SUM(I141:I142))</f>
        <v>236968</v>
      </c>
      <c r="J143" s="40"/>
      <c r="K143" s="45">
        <f>TRUNC(SUM(K141:K142))</f>
        <v>187384</v>
      </c>
    </row>
    <row r="144" spans="2:11" ht="12.95" customHeight="1" x14ac:dyDescent="0.3">
      <c r="B144" s="158"/>
      <c r="C144" s="157"/>
      <c r="D144" s="157"/>
      <c r="E144" s="34"/>
      <c r="F144" s="32"/>
      <c r="G144" s="35"/>
      <c r="H144" s="32"/>
      <c r="I144" s="35"/>
      <c r="J144" s="32"/>
      <c r="K144" s="35"/>
    </row>
    <row r="145" spans="2:13" ht="12.95" customHeight="1" x14ac:dyDescent="0.3">
      <c r="B145" s="113" t="s">
        <v>26</v>
      </c>
      <c r="C145" s="39"/>
      <c r="D145" s="39"/>
      <c r="E145" s="37"/>
      <c r="F145" s="40"/>
      <c r="G145" s="35">
        <f>SUM(G135+G139+G143)</f>
        <v>994880</v>
      </c>
      <c r="H145" s="40"/>
      <c r="I145" s="35">
        <f>SUM(I135+I139+I143)</f>
        <v>994880</v>
      </c>
      <c r="J145" s="40"/>
      <c r="K145" s="35">
        <f>SUM(K135+K139+K143)</f>
        <v>808648</v>
      </c>
    </row>
    <row r="146" spans="2:13" ht="12.95" customHeight="1" x14ac:dyDescent="0.3">
      <c r="B146" s="117" t="s">
        <v>177</v>
      </c>
      <c r="C146" s="118"/>
      <c r="D146" s="119"/>
      <c r="E146" s="120"/>
      <c r="F146" s="121"/>
      <c r="G146" s="122">
        <f>TRUNC(G145/G131)</f>
        <v>2550</v>
      </c>
      <c r="H146" s="121"/>
      <c r="I146" s="122">
        <f>TRUNC(I145/I131)</f>
        <v>3316</v>
      </c>
      <c r="J146" s="121"/>
      <c r="K146" s="122">
        <f>TRUNC(K145/K131)</f>
        <v>5390</v>
      </c>
    </row>
    <row r="148" spans="2:13" ht="12.95" customHeight="1" x14ac:dyDescent="0.3">
      <c r="B148" s="152" t="s">
        <v>251</v>
      </c>
      <c r="C148" s="152"/>
      <c r="D148" s="24"/>
      <c r="E148" s="24"/>
      <c r="F148" s="153"/>
      <c r="G148" s="153"/>
      <c r="H148" s="154"/>
      <c r="I148" s="153"/>
      <c r="J148" s="153"/>
      <c r="K148" s="153"/>
      <c r="L148" s="154"/>
      <c r="M148" s="92" t="s">
        <v>172</v>
      </c>
    </row>
    <row r="149" spans="2:13" ht="12.95" customHeight="1" x14ac:dyDescent="0.3">
      <c r="B149" s="337" t="s">
        <v>14</v>
      </c>
      <c r="C149" s="317" t="s">
        <v>18</v>
      </c>
      <c r="D149" s="317" t="s">
        <v>19</v>
      </c>
      <c r="E149" s="317" t="s">
        <v>15</v>
      </c>
      <c r="F149" s="344" t="s">
        <v>196</v>
      </c>
      <c r="G149" s="345"/>
      <c r="H149" s="345"/>
      <c r="I149" s="345"/>
      <c r="J149" s="345"/>
      <c r="K149" s="345"/>
      <c r="L149" s="345"/>
      <c r="M149" s="345"/>
    </row>
    <row r="150" spans="2:13" ht="12.95" customHeight="1" x14ac:dyDescent="0.3">
      <c r="B150" s="338"/>
      <c r="C150" s="340"/>
      <c r="D150" s="340"/>
      <c r="E150" s="340"/>
      <c r="F150" s="344" t="s">
        <v>192</v>
      </c>
      <c r="G150" s="345"/>
      <c r="H150" s="351" t="s">
        <v>45</v>
      </c>
      <c r="I150" s="352"/>
      <c r="J150" s="344" t="s">
        <v>193</v>
      </c>
      <c r="K150" s="345"/>
      <c r="L150" s="351" t="s">
        <v>47</v>
      </c>
      <c r="M150" s="352"/>
    </row>
    <row r="151" spans="2:13" ht="12.95" customHeight="1" x14ac:dyDescent="0.3">
      <c r="B151" s="338"/>
      <c r="C151" s="340"/>
      <c r="D151" s="340"/>
      <c r="E151" s="340"/>
      <c r="F151" s="93" t="s">
        <v>176</v>
      </c>
      <c r="G151" s="94">
        <v>38</v>
      </c>
      <c r="H151" s="93" t="s">
        <v>176</v>
      </c>
      <c r="I151" s="94">
        <v>30</v>
      </c>
      <c r="J151" s="93" t="s">
        <v>176</v>
      </c>
      <c r="K151" s="94">
        <v>22</v>
      </c>
      <c r="L151" s="93" t="s">
        <v>176</v>
      </c>
      <c r="M151" s="94">
        <v>16</v>
      </c>
    </row>
    <row r="152" spans="2:13" ht="12.95" customHeight="1" x14ac:dyDescent="0.3">
      <c r="B152" s="339"/>
      <c r="C152" s="318"/>
      <c r="D152" s="318"/>
      <c r="E152" s="318"/>
      <c r="F152" s="96" t="s">
        <v>174</v>
      </c>
      <c r="G152" s="97" t="s">
        <v>175</v>
      </c>
      <c r="H152" s="96" t="s">
        <v>174</v>
      </c>
      <c r="I152" s="97" t="s">
        <v>175</v>
      </c>
      <c r="J152" s="96" t="s">
        <v>174</v>
      </c>
      <c r="K152" s="97" t="s">
        <v>175</v>
      </c>
      <c r="L152" s="96" t="s">
        <v>174</v>
      </c>
      <c r="M152" s="97" t="s">
        <v>175</v>
      </c>
    </row>
    <row r="153" spans="2:13" ht="12.95" customHeight="1" x14ac:dyDescent="0.3">
      <c r="B153" s="156" t="s">
        <v>276</v>
      </c>
      <c r="C153" s="29" t="s">
        <v>60</v>
      </c>
      <c r="D153" s="30" t="s">
        <v>39</v>
      </c>
      <c r="E153" s="31">
        <v>35814</v>
      </c>
      <c r="F153" s="51">
        <v>8</v>
      </c>
      <c r="G153" s="3">
        <f t="shared" ref="G153" si="76">TRUNC($E153*F153,1)</f>
        <v>286512</v>
      </c>
      <c r="H153" s="51">
        <v>8</v>
      </c>
      <c r="I153" s="3">
        <f t="shared" ref="I153" si="77">TRUNC($E153*H153,1)</f>
        <v>286512</v>
      </c>
      <c r="J153" s="51">
        <v>8</v>
      </c>
      <c r="K153" s="3">
        <f t="shared" ref="K153" si="78">TRUNC($E153*J153,1)</f>
        <v>286512</v>
      </c>
      <c r="L153" s="51">
        <v>8</v>
      </c>
      <c r="M153" s="3">
        <f t="shared" ref="M153" si="79">TRUNC($E153*L153,1)</f>
        <v>286512</v>
      </c>
    </row>
    <row r="154" spans="2:13" ht="12.95" customHeight="1" x14ac:dyDescent="0.3">
      <c r="B154" s="136" t="s">
        <v>22</v>
      </c>
      <c r="C154" s="157"/>
      <c r="D154" s="157"/>
      <c r="E154" s="34"/>
      <c r="F154" s="51"/>
      <c r="G154" s="45">
        <f>TRUNC(SUM(G153:G153))</f>
        <v>286512</v>
      </c>
      <c r="H154" s="51"/>
      <c r="I154" s="45">
        <f>TRUNC(SUM(I153:I153))</f>
        <v>286512</v>
      </c>
      <c r="J154" s="51"/>
      <c r="K154" s="45">
        <f>TRUNC(SUM(K153:K153))</f>
        <v>286512</v>
      </c>
      <c r="L154" s="51"/>
      <c r="M154" s="45">
        <f>TRUNC(SUM(M153:M153))</f>
        <v>286512</v>
      </c>
    </row>
    <row r="155" spans="2:13" ht="12.95" customHeight="1" x14ac:dyDescent="0.3">
      <c r="B155" s="158"/>
      <c r="C155" s="157"/>
      <c r="D155" s="157"/>
      <c r="E155" s="34"/>
      <c r="F155" s="51"/>
      <c r="G155" s="35"/>
      <c r="H155" s="51"/>
      <c r="I155" s="35"/>
      <c r="J155" s="51"/>
      <c r="K155" s="35"/>
      <c r="L155" s="51"/>
      <c r="M155" s="35"/>
    </row>
    <row r="156" spans="2:13" ht="12.95" customHeight="1" x14ac:dyDescent="0.3">
      <c r="B156" s="156" t="s">
        <v>276</v>
      </c>
      <c r="C156" s="29" t="s">
        <v>60</v>
      </c>
      <c r="D156" s="30" t="s">
        <v>57</v>
      </c>
      <c r="E156" s="31">
        <v>58925</v>
      </c>
      <c r="F156" s="51">
        <v>8</v>
      </c>
      <c r="G156" s="3">
        <f t="shared" ref="G156" si="80">TRUNC($E156*F156,1)</f>
        <v>471400</v>
      </c>
      <c r="H156" s="51">
        <v>8</v>
      </c>
      <c r="I156" s="3">
        <f t="shared" ref="I156" si="81">TRUNC($E156*H156,1)</f>
        <v>471400</v>
      </c>
      <c r="J156" s="51">
        <v>8</v>
      </c>
      <c r="K156" s="3">
        <f t="shared" ref="K156" si="82">TRUNC($E156*J156,1)</f>
        <v>471400</v>
      </c>
      <c r="L156" s="51">
        <v>8</v>
      </c>
      <c r="M156" s="3">
        <f t="shared" ref="M156" si="83">TRUNC($E156*L156,1)</f>
        <v>471400</v>
      </c>
    </row>
    <row r="157" spans="2:13" ht="12.95" customHeight="1" x14ac:dyDescent="0.3">
      <c r="B157" s="102" t="s">
        <v>23</v>
      </c>
      <c r="C157" s="159"/>
      <c r="D157" s="159"/>
      <c r="E157" s="160"/>
      <c r="F157" s="51"/>
      <c r="G157" s="45">
        <f>TRUNC(SUM(G156:G156))</f>
        <v>471400</v>
      </c>
      <c r="H157" s="51"/>
      <c r="I157" s="45">
        <f>TRUNC(SUM(I156:I156))</f>
        <v>471400</v>
      </c>
      <c r="J157" s="51"/>
      <c r="K157" s="45">
        <f>TRUNC(SUM(K156:K156))</f>
        <v>471400</v>
      </c>
      <c r="L157" s="51"/>
      <c r="M157" s="45">
        <f>TRUNC(SUM(M156:M156))</f>
        <v>471400</v>
      </c>
    </row>
    <row r="158" spans="2:13" ht="12.95" customHeight="1" x14ac:dyDescent="0.3">
      <c r="B158" s="158"/>
      <c r="C158" s="157"/>
      <c r="D158" s="157"/>
      <c r="E158" s="34"/>
      <c r="F158" s="51"/>
      <c r="G158" s="35"/>
      <c r="H158" s="51"/>
      <c r="I158" s="35"/>
      <c r="J158" s="51"/>
      <c r="K158" s="35"/>
      <c r="L158" s="51"/>
      <c r="M158" s="35"/>
    </row>
    <row r="159" spans="2:13" ht="12.95" customHeight="1" x14ac:dyDescent="0.3">
      <c r="B159" s="156" t="s">
        <v>276</v>
      </c>
      <c r="C159" s="29" t="s">
        <v>60</v>
      </c>
      <c r="D159" s="30" t="s">
        <v>57</v>
      </c>
      <c r="E159" s="31">
        <v>29621</v>
      </c>
      <c r="F159" s="51">
        <v>8</v>
      </c>
      <c r="G159" s="3">
        <f t="shared" ref="G159:G160" si="84">TRUNC($E159*F159,1)</f>
        <v>236968</v>
      </c>
      <c r="H159" s="51">
        <v>8</v>
      </c>
      <c r="I159" s="3">
        <f t="shared" ref="I159:I160" si="85">TRUNC($E159*H159,1)</f>
        <v>236968</v>
      </c>
      <c r="J159" s="51">
        <v>8</v>
      </c>
      <c r="K159" s="3">
        <f t="shared" ref="K159:K160" si="86">TRUNC($E159*J159,1)</f>
        <v>236968</v>
      </c>
      <c r="L159" s="51">
        <v>8</v>
      </c>
      <c r="M159" s="3">
        <f t="shared" ref="M159:M160" si="87">TRUNC($E159*L159,1)</f>
        <v>236968</v>
      </c>
    </row>
    <row r="160" spans="2:13" ht="12.95" customHeight="1" x14ac:dyDescent="0.3">
      <c r="B160" s="156" t="s">
        <v>65</v>
      </c>
      <c r="C160" s="29" t="s">
        <v>60</v>
      </c>
      <c r="D160" s="30" t="s">
        <v>57</v>
      </c>
      <c r="E160" s="31">
        <v>18939</v>
      </c>
      <c r="F160" s="51">
        <v>8</v>
      </c>
      <c r="G160" s="3">
        <f t="shared" si="84"/>
        <v>151512</v>
      </c>
      <c r="H160" s="51">
        <v>8</v>
      </c>
      <c r="I160" s="3">
        <f t="shared" si="85"/>
        <v>151512</v>
      </c>
      <c r="J160" s="51">
        <v>8</v>
      </c>
      <c r="K160" s="3">
        <f t="shared" si="86"/>
        <v>151512</v>
      </c>
      <c r="L160" s="51">
        <v>8</v>
      </c>
      <c r="M160" s="3">
        <f t="shared" si="87"/>
        <v>151512</v>
      </c>
    </row>
    <row r="161" spans="2:13" ht="12.95" customHeight="1" x14ac:dyDescent="0.3">
      <c r="B161" s="136" t="s">
        <v>24</v>
      </c>
      <c r="C161" s="39"/>
      <c r="D161" s="39"/>
      <c r="E161" s="37"/>
      <c r="F161" s="40"/>
      <c r="G161" s="45">
        <f>TRUNC(SUM(G159:G160))</f>
        <v>388480</v>
      </c>
      <c r="H161" s="40"/>
      <c r="I161" s="45">
        <f>TRUNC(SUM(I159:I160))</f>
        <v>388480</v>
      </c>
      <c r="J161" s="40"/>
      <c r="K161" s="45">
        <f>TRUNC(SUM(K159:K160))</f>
        <v>388480</v>
      </c>
      <c r="L161" s="40"/>
      <c r="M161" s="45">
        <f>TRUNC(SUM(M159:M160))</f>
        <v>388480</v>
      </c>
    </row>
    <row r="162" spans="2:13" ht="12.95" customHeight="1" x14ac:dyDescent="0.3">
      <c r="B162" s="158"/>
      <c r="C162" s="157"/>
      <c r="D162" s="157"/>
      <c r="E162" s="34"/>
      <c r="F162" s="32"/>
      <c r="G162" s="35"/>
      <c r="H162" s="32"/>
      <c r="I162" s="35"/>
      <c r="J162" s="32"/>
      <c r="K162" s="35"/>
      <c r="L162" s="32"/>
      <c r="M162" s="35"/>
    </row>
    <row r="163" spans="2:13" ht="12.95" customHeight="1" x14ac:dyDescent="0.3">
      <c r="B163" s="113" t="s">
        <v>26</v>
      </c>
      <c r="C163" s="39"/>
      <c r="D163" s="39"/>
      <c r="E163" s="37"/>
      <c r="F163" s="40"/>
      <c r="G163" s="35">
        <f>SUM(G154+G157+G161)</f>
        <v>1146392</v>
      </c>
      <c r="H163" s="40"/>
      <c r="I163" s="35">
        <f>SUM(I154+I157+I161)</f>
        <v>1146392</v>
      </c>
      <c r="J163" s="40"/>
      <c r="K163" s="35">
        <f>SUM(K154+K157+K161)</f>
        <v>1146392</v>
      </c>
      <c r="L163" s="40"/>
      <c r="M163" s="35">
        <f>SUM(M154+M157+M161)</f>
        <v>1146392</v>
      </c>
    </row>
    <row r="164" spans="2:13" ht="12.95" customHeight="1" x14ac:dyDescent="0.3">
      <c r="B164" s="117" t="s">
        <v>177</v>
      </c>
      <c r="C164" s="118"/>
      <c r="D164" s="119"/>
      <c r="E164" s="120"/>
      <c r="F164" s="121"/>
      <c r="G164" s="122">
        <f>TRUNC(G163/G151)</f>
        <v>30168</v>
      </c>
      <c r="H164" s="121"/>
      <c r="I164" s="122">
        <f>TRUNC(I163/I151)</f>
        <v>38213</v>
      </c>
      <c r="J164" s="121"/>
      <c r="K164" s="122">
        <f>TRUNC(K163/K151)</f>
        <v>52108</v>
      </c>
      <c r="L164" s="121"/>
      <c r="M164" s="122">
        <f>TRUNC(M163/M151)</f>
        <v>71649</v>
      </c>
    </row>
    <row r="165" spans="2:13" ht="12.95" customHeight="1" x14ac:dyDescent="0.3">
      <c r="B165" s="337" t="s">
        <v>14</v>
      </c>
      <c r="C165" s="317" t="s">
        <v>18</v>
      </c>
      <c r="D165" s="317" t="s">
        <v>19</v>
      </c>
      <c r="E165" s="317" t="s">
        <v>15</v>
      </c>
      <c r="F165" s="344" t="s">
        <v>198</v>
      </c>
      <c r="G165" s="345"/>
      <c r="H165" s="345"/>
      <c r="I165" s="345"/>
      <c r="J165" s="345"/>
      <c r="K165" s="345"/>
      <c r="L165" s="345"/>
      <c r="M165" s="345"/>
    </row>
    <row r="166" spans="2:13" ht="12.95" customHeight="1" x14ac:dyDescent="0.3">
      <c r="B166" s="338"/>
      <c r="C166" s="340"/>
      <c r="D166" s="340"/>
      <c r="E166" s="340"/>
      <c r="F166" s="344" t="s">
        <v>192</v>
      </c>
      <c r="G166" s="345"/>
      <c r="H166" s="351" t="s">
        <v>45</v>
      </c>
      <c r="I166" s="352"/>
      <c r="J166" s="344" t="s">
        <v>193</v>
      </c>
      <c r="K166" s="345"/>
      <c r="L166" s="351" t="s">
        <v>47</v>
      </c>
      <c r="M166" s="352"/>
    </row>
    <row r="167" spans="2:13" ht="12.95" customHeight="1" x14ac:dyDescent="0.3">
      <c r="B167" s="338"/>
      <c r="C167" s="340"/>
      <c r="D167" s="340"/>
      <c r="E167" s="340"/>
      <c r="F167" s="93" t="s">
        <v>176</v>
      </c>
      <c r="G167" s="94">
        <v>35</v>
      </c>
      <c r="H167" s="93" t="s">
        <v>176</v>
      </c>
      <c r="I167" s="94">
        <v>28</v>
      </c>
      <c r="J167" s="93" t="s">
        <v>176</v>
      </c>
      <c r="K167" s="94">
        <v>19</v>
      </c>
      <c r="L167" s="93" t="s">
        <v>176</v>
      </c>
      <c r="M167" s="94">
        <v>14</v>
      </c>
    </row>
    <row r="168" spans="2:13" ht="12.95" customHeight="1" x14ac:dyDescent="0.3">
      <c r="B168" s="339"/>
      <c r="C168" s="318"/>
      <c r="D168" s="318"/>
      <c r="E168" s="318"/>
      <c r="F168" s="96" t="s">
        <v>174</v>
      </c>
      <c r="G168" s="97" t="s">
        <v>175</v>
      </c>
      <c r="H168" s="96" t="s">
        <v>174</v>
      </c>
      <c r="I168" s="97" t="s">
        <v>175</v>
      </c>
      <c r="J168" s="96" t="s">
        <v>174</v>
      </c>
      <c r="K168" s="97" t="s">
        <v>175</v>
      </c>
      <c r="L168" s="96" t="s">
        <v>174</v>
      </c>
      <c r="M168" s="97" t="s">
        <v>175</v>
      </c>
    </row>
    <row r="169" spans="2:13" ht="12.95" customHeight="1" x14ac:dyDescent="0.3">
      <c r="B169" s="156" t="s">
        <v>276</v>
      </c>
      <c r="C169" s="29" t="s">
        <v>60</v>
      </c>
      <c r="D169" s="30" t="s">
        <v>39</v>
      </c>
      <c r="E169" s="31">
        <v>35814</v>
      </c>
      <c r="F169" s="51">
        <v>8</v>
      </c>
      <c r="G169" s="3">
        <f t="shared" ref="G169" si="88">TRUNC($E169*F169,1)</f>
        <v>286512</v>
      </c>
      <c r="H169" s="51">
        <v>8</v>
      </c>
      <c r="I169" s="3">
        <f t="shared" ref="I169" si="89">TRUNC($E169*H169,1)</f>
        <v>286512</v>
      </c>
      <c r="J169" s="51">
        <v>8</v>
      </c>
      <c r="K169" s="3">
        <f t="shared" ref="K169" si="90">TRUNC($E169*J169,1)</f>
        <v>286512</v>
      </c>
      <c r="L169" s="51">
        <v>8</v>
      </c>
      <c r="M169" s="3">
        <f t="shared" ref="M169" si="91">TRUNC($E169*L169,1)</f>
        <v>286512</v>
      </c>
    </row>
    <row r="170" spans="2:13" ht="12.95" customHeight="1" x14ac:dyDescent="0.3">
      <c r="B170" s="136" t="s">
        <v>22</v>
      </c>
      <c r="C170" s="157"/>
      <c r="D170" s="157"/>
      <c r="E170" s="34"/>
      <c r="F170" s="51"/>
      <c r="G170" s="45">
        <f>TRUNC(SUM(G169:G169))</f>
        <v>286512</v>
      </c>
      <c r="H170" s="51"/>
      <c r="I170" s="45">
        <f>TRUNC(SUM(I169:I169))</f>
        <v>286512</v>
      </c>
      <c r="J170" s="51"/>
      <c r="K170" s="45">
        <f>TRUNC(SUM(K169:K169))</f>
        <v>286512</v>
      </c>
      <c r="L170" s="51"/>
      <c r="M170" s="45">
        <f>TRUNC(SUM(M169:M169))</f>
        <v>286512</v>
      </c>
    </row>
    <row r="171" spans="2:13" ht="12.95" customHeight="1" x14ac:dyDescent="0.3">
      <c r="B171" s="158"/>
      <c r="C171" s="157"/>
      <c r="D171" s="157"/>
      <c r="E171" s="34"/>
      <c r="F171" s="51"/>
      <c r="G171" s="35"/>
      <c r="H171" s="51"/>
      <c r="I171" s="35"/>
      <c r="J171" s="51"/>
      <c r="K171" s="35"/>
      <c r="L171" s="51"/>
      <c r="M171" s="35"/>
    </row>
    <row r="172" spans="2:13" ht="12.95" customHeight="1" x14ac:dyDescent="0.3">
      <c r="B172" s="156" t="s">
        <v>276</v>
      </c>
      <c r="C172" s="29" t="s">
        <v>60</v>
      </c>
      <c r="D172" s="30" t="s">
        <v>57</v>
      </c>
      <c r="E172" s="31">
        <v>58925</v>
      </c>
      <c r="F172" s="51">
        <v>8</v>
      </c>
      <c r="G172" s="3">
        <f t="shared" ref="G172" si="92">TRUNC($E172*F172,1)</f>
        <v>471400</v>
      </c>
      <c r="H172" s="51">
        <v>8</v>
      </c>
      <c r="I172" s="3">
        <f t="shared" ref="I172" si="93">TRUNC($E172*H172,1)</f>
        <v>471400</v>
      </c>
      <c r="J172" s="51">
        <v>8</v>
      </c>
      <c r="K172" s="3">
        <f t="shared" ref="K172" si="94">TRUNC($E172*J172,1)</f>
        <v>471400</v>
      </c>
      <c r="L172" s="51">
        <v>8</v>
      </c>
      <c r="M172" s="3">
        <f t="shared" ref="M172" si="95">TRUNC($E172*L172,1)</f>
        <v>471400</v>
      </c>
    </row>
    <row r="173" spans="2:13" ht="12.95" customHeight="1" x14ac:dyDescent="0.3">
      <c r="B173" s="102" t="s">
        <v>23</v>
      </c>
      <c r="C173" s="159"/>
      <c r="D173" s="159"/>
      <c r="E173" s="160"/>
      <c r="F173" s="51"/>
      <c r="G173" s="45">
        <f>TRUNC(SUM(G172:G172))</f>
        <v>471400</v>
      </c>
      <c r="H173" s="51"/>
      <c r="I173" s="45">
        <f>TRUNC(SUM(I172:I172))</f>
        <v>471400</v>
      </c>
      <c r="J173" s="51"/>
      <c r="K173" s="45">
        <f>TRUNC(SUM(K172:K172))</f>
        <v>471400</v>
      </c>
      <c r="L173" s="51"/>
      <c r="M173" s="45">
        <f>TRUNC(SUM(M172:M172))</f>
        <v>471400</v>
      </c>
    </row>
    <row r="174" spans="2:13" ht="12.95" customHeight="1" x14ac:dyDescent="0.3">
      <c r="B174" s="158"/>
      <c r="C174" s="157"/>
      <c r="D174" s="157"/>
      <c r="E174" s="34"/>
      <c r="F174" s="51"/>
      <c r="G174" s="35"/>
      <c r="H174" s="51"/>
      <c r="I174" s="35"/>
      <c r="J174" s="51"/>
      <c r="K174" s="35"/>
      <c r="L174" s="51"/>
      <c r="M174" s="35"/>
    </row>
    <row r="175" spans="2:13" ht="12.95" customHeight="1" x14ac:dyDescent="0.3">
      <c r="B175" s="156" t="s">
        <v>276</v>
      </c>
      <c r="C175" s="29" t="s">
        <v>60</v>
      </c>
      <c r="D175" s="30" t="s">
        <v>57</v>
      </c>
      <c r="E175" s="31">
        <v>29621</v>
      </c>
      <c r="F175" s="51">
        <v>8</v>
      </c>
      <c r="G175" s="3">
        <f t="shared" ref="G175:G176" si="96">TRUNC($E175*F175,1)</f>
        <v>236968</v>
      </c>
      <c r="H175" s="51">
        <v>8</v>
      </c>
      <c r="I175" s="3">
        <f t="shared" ref="I175:I176" si="97">TRUNC($E175*H175,1)</f>
        <v>236968</v>
      </c>
      <c r="J175" s="51">
        <v>8</v>
      </c>
      <c r="K175" s="3">
        <f t="shared" ref="K175:K176" si="98">TRUNC($E175*J175,1)</f>
        <v>236968</v>
      </c>
      <c r="L175" s="51">
        <v>8</v>
      </c>
      <c r="M175" s="3">
        <f t="shared" ref="M175:M176" si="99">TRUNC($E175*L175,1)</f>
        <v>236968</v>
      </c>
    </row>
    <row r="176" spans="2:13" ht="12.95" customHeight="1" x14ac:dyDescent="0.3">
      <c r="B176" s="156" t="s">
        <v>65</v>
      </c>
      <c r="C176" s="29" t="s">
        <v>60</v>
      </c>
      <c r="D176" s="30" t="s">
        <v>57</v>
      </c>
      <c r="E176" s="31">
        <v>18939</v>
      </c>
      <c r="F176" s="51">
        <v>8</v>
      </c>
      <c r="G176" s="3">
        <f t="shared" si="96"/>
        <v>151512</v>
      </c>
      <c r="H176" s="51">
        <v>8</v>
      </c>
      <c r="I176" s="3">
        <f t="shared" si="97"/>
        <v>151512</v>
      </c>
      <c r="J176" s="51">
        <v>8</v>
      </c>
      <c r="K176" s="3">
        <f t="shared" si="98"/>
        <v>151512</v>
      </c>
      <c r="L176" s="51">
        <v>8</v>
      </c>
      <c r="M176" s="3">
        <f t="shared" si="99"/>
        <v>151512</v>
      </c>
    </row>
    <row r="177" spans="2:15" ht="12.95" customHeight="1" x14ac:dyDescent="0.3">
      <c r="B177" s="136" t="s">
        <v>24</v>
      </c>
      <c r="C177" s="39"/>
      <c r="D177" s="39"/>
      <c r="E177" s="37"/>
      <c r="F177" s="40"/>
      <c r="G177" s="45">
        <f>TRUNC(SUM(G175:G176))</f>
        <v>388480</v>
      </c>
      <c r="H177" s="40"/>
      <c r="I177" s="45">
        <f>TRUNC(SUM(I175:I176))</f>
        <v>388480</v>
      </c>
      <c r="J177" s="40"/>
      <c r="K177" s="45">
        <f>TRUNC(SUM(K175:K176))</f>
        <v>388480</v>
      </c>
      <c r="L177" s="40"/>
      <c r="M177" s="45">
        <f>TRUNC(SUM(M175:M176))</f>
        <v>388480</v>
      </c>
    </row>
    <row r="178" spans="2:15" ht="12.95" customHeight="1" x14ac:dyDescent="0.3">
      <c r="B178" s="158"/>
      <c r="C178" s="157"/>
      <c r="D178" s="157"/>
      <c r="E178" s="34"/>
      <c r="F178" s="32"/>
      <c r="G178" s="35"/>
      <c r="H178" s="32"/>
      <c r="I178" s="35"/>
      <c r="J178" s="32"/>
      <c r="K178" s="35"/>
      <c r="L178" s="32"/>
      <c r="M178" s="35"/>
    </row>
    <row r="179" spans="2:15" ht="12.95" customHeight="1" x14ac:dyDescent="0.3">
      <c r="B179" s="113" t="s">
        <v>26</v>
      </c>
      <c r="C179" s="39"/>
      <c r="D179" s="39"/>
      <c r="E179" s="37"/>
      <c r="F179" s="40"/>
      <c r="G179" s="35">
        <f>SUM(G170+G173+G177)</f>
        <v>1146392</v>
      </c>
      <c r="H179" s="40"/>
      <c r="I179" s="35">
        <f>SUM(I170+I173+I177)</f>
        <v>1146392</v>
      </c>
      <c r="J179" s="40"/>
      <c r="K179" s="35">
        <f>SUM(K170+K173+K177)</f>
        <v>1146392</v>
      </c>
      <c r="L179" s="40"/>
      <c r="M179" s="35">
        <f>SUM(M170+M173+M177)</f>
        <v>1146392</v>
      </c>
    </row>
    <row r="180" spans="2:15" ht="12.95" customHeight="1" x14ac:dyDescent="0.3">
      <c r="B180" s="117" t="s">
        <v>177</v>
      </c>
      <c r="C180" s="118"/>
      <c r="D180" s="119"/>
      <c r="E180" s="120"/>
      <c r="F180" s="121"/>
      <c r="G180" s="122">
        <f>TRUNC(G179/G167)</f>
        <v>32754</v>
      </c>
      <c r="H180" s="121"/>
      <c r="I180" s="122">
        <f>TRUNC(I179/I167)</f>
        <v>40942</v>
      </c>
      <c r="J180" s="121"/>
      <c r="K180" s="122">
        <f>TRUNC(K179/K167)</f>
        <v>60336</v>
      </c>
      <c r="L180" s="121"/>
      <c r="M180" s="122">
        <f>TRUNC(M179/M167)</f>
        <v>81885</v>
      </c>
    </row>
    <row r="182" spans="2:15" ht="12.95" customHeight="1" x14ac:dyDescent="0.3">
      <c r="B182" s="90" t="s">
        <v>253</v>
      </c>
    </row>
    <row r="183" spans="2:15" ht="12.95" customHeight="1" x14ac:dyDescent="0.3">
      <c r="B183" s="152" t="s">
        <v>254</v>
      </c>
      <c r="C183" s="152"/>
      <c r="D183" s="24"/>
      <c r="E183" s="24"/>
      <c r="F183" s="153"/>
      <c r="G183" s="161" t="s">
        <v>42</v>
      </c>
      <c r="H183" s="153"/>
      <c r="I183" s="24"/>
      <c r="J183" s="154"/>
      <c r="K183" s="154"/>
      <c r="L183" s="24"/>
      <c r="M183" s="24"/>
    </row>
    <row r="184" spans="2:15" ht="12.95" customHeight="1" x14ac:dyDescent="0.3">
      <c r="B184" s="347" t="s">
        <v>14</v>
      </c>
      <c r="C184" s="333" t="s">
        <v>31</v>
      </c>
      <c r="D184" s="333" t="s">
        <v>53</v>
      </c>
      <c r="E184" s="333" t="s">
        <v>15</v>
      </c>
      <c r="F184" s="333" t="s">
        <v>54</v>
      </c>
      <c r="G184" s="349" t="s">
        <v>17</v>
      </c>
      <c r="H184" s="25"/>
      <c r="I184" s="54"/>
      <c r="J184" s="24"/>
      <c r="K184" s="24"/>
      <c r="L184" s="24"/>
      <c r="M184" s="24"/>
    </row>
    <row r="185" spans="2:15" ht="12.95" customHeight="1" x14ac:dyDescent="0.3">
      <c r="B185" s="348"/>
      <c r="C185" s="334"/>
      <c r="D185" s="334"/>
      <c r="E185" s="334"/>
      <c r="F185" s="334"/>
      <c r="G185" s="350"/>
      <c r="H185" s="25"/>
      <c r="I185" s="54"/>
      <c r="J185" s="24"/>
      <c r="K185" s="24"/>
      <c r="L185" s="24"/>
      <c r="M185" s="24"/>
    </row>
    <row r="186" spans="2:15" ht="12.95" customHeight="1" x14ac:dyDescent="0.3">
      <c r="B186" s="155" t="s">
        <v>55</v>
      </c>
      <c r="C186" s="29" t="s">
        <v>56</v>
      </c>
      <c r="D186" s="30" t="s">
        <v>57</v>
      </c>
      <c r="E186" s="31">
        <v>34441</v>
      </c>
      <c r="F186" s="46">
        <v>0.1</v>
      </c>
      <c r="G186" s="3">
        <f t="shared" ref="G186:G187" si="100">TRUNC($E186*F186,1)</f>
        <v>3444.1</v>
      </c>
      <c r="H186" s="26"/>
      <c r="I186" s="27"/>
      <c r="J186" s="24"/>
      <c r="K186" s="24"/>
      <c r="L186" s="24"/>
      <c r="M186" s="24"/>
    </row>
    <row r="187" spans="2:15" ht="12.95" customHeight="1" x14ac:dyDescent="0.3">
      <c r="B187" s="156" t="s">
        <v>276</v>
      </c>
      <c r="C187" s="29" t="s">
        <v>60</v>
      </c>
      <c r="D187" s="30" t="s">
        <v>39</v>
      </c>
      <c r="E187" s="31">
        <v>35814</v>
      </c>
      <c r="F187" s="46">
        <v>0.04</v>
      </c>
      <c r="G187" s="3">
        <f t="shared" si="100"/>
        <v>1432.5</v>
      </c>
      <c r="H187" s="24"/>
      <c r="I187" s="24"/>
      <c r="J187" s="24"/>
      <c r="K187" s="24"/>
      <c r="L187" s="24"/>
      <c r="M187" s="24"/>
    </row>
    <row r="188" spans="2:15" ht="12.95" customHeight="1" x14ac:dyDescent="0.3">
      <c r="B188" s="136" t="s">
        <v>22</v>
      </c>
      <c r="C188" s="157"/>
      <c r="D188" s="157"/>
      <c r="E188" s="34"/>
      <c r="F188" s="46"/>
      <c r="G188" s="45">
        <f>TRUNC(SUM(G186:G187))</f>
        <v>4876</v>
      </c>
      <c r="H188" s="152"/>
      <c r="I188" s="152"/>
      <c r="J188" s="24"/>
      <c r="K188" s="24"/>
      <c r="L188" s="24"/>
      <c r="M188" s="24"/>
    </row>
    <row r="189" spans="2:15" ht="12.95" customHeight="1" x14ac:dyDescent="0.3">
      <c r="B189" s="158"/>
      <c r="C189" s="157"/>
      <c r="D189" s="157"/>
      <c r="E189" s="34"/>
      <c r="F189" s="46"/>
      <c r="G189" s="35"/>
      <c r="H189" s="152"/>
      <c r="I189" s="152"/>
      <c r="J189" s="24"/>
      <c r="K189" s="24"/>
      <c r="L189" s="24"/>
      <c r="M189" s="24"/>
    </row>
    <row r="190" spans="2:15" ht="12.95" customHeight="1" x14ac:dyDescent="0.3">
      <c r="B190" s="156" t="s">
        <v>66</v>
      </c>
      <c r="C190" s="162"/>
      <c r="D190" s="157" t="s">
        <v>33</v>
      </c>
      <c r="E190" s="31">
        <v>272448</v>
      </c>
      <c r="F190" s="47">
        <v>0.04</v>
      </c>
      <c r="G190" s="3">
        <f t="shared" ref="G190:G193" si="101">TRUNC($E190*F190,1)</f>
        <v>10897.9</v>
      </c>
      <c r="H190" s="24"/>
      <c r="I190" s="24"/>
      <c r="J190" s="24"/>
      <c r="K190" s="24"/>
      <c r="L190" s="24"/>
      <c r="M190" s="24"/>
    </row>
    <row r="191" spans="2:15" ht="12.95" customHeight="1" x14ac:dyDescent="0.3">
      <c r="B191" s="156" t="s">
        <v>25</v>
      </c>
      <c r="C191" s="29"/>
      <c r="D191" s="157" t="s">
        <v>33</v>
      </c>
      <c r="E191" s="31">
        <v>172068</v>
      </c>
      <c r="F191" s="46">
        <v>0.06</v>
      </c>
      <c r="G191" s="3">
        <f t="shared" si="101"/>
        <v>10324</v>
      </c>
      <c r="H191" s="24"/>
      <c r="I191" s="24"/>
      <c r="J191" s="24"/>
      <c r="K191" s="24"/>
      <c r="L191" s="24"/>
      <c r="M191" s="24"/>
      <c r="N191" s="24"/>
      <c r="O191" s="24"/>
    </row>
    <row r="192" spans="2:15" ht="12.95" customHeight="1" x14ac:dyDescent="0.3">
      <c r="B192" s="155" t="s">
        <v>55</v>
      </c>
      <c r="C192" s="29" t="s">
        <v>56</v>
      </c>
      <c r="D192" s="30" t="s">
        <v>57</v>
      </c>
      <c r="E192" s="31">
        <v>58925</v>
      </c>
      <c r="F192" s="46">
        <v>0.1</v>
      </c>
      <c r="G192" s="3">
        <f t="shared" si="101"/>
        <v>5892.5</v>
      </c>
      <c r="H192" s="24"/>
      <c r="I192" s="24"/>
      <c r="J192" s="24"/>
      <c r="K192" s="24"/>
      <c r="L192" s="24"/>
      <c r="M192" s="24"/>
      <c r="N192" s="24"/>
      <c r="O192" s="24"/>
    </row>
    <row r="193" spans="2:15" ht="12.95" customHeight="1" x14ac:dyDescent="0.3">
      <c r="B193" s="156" t="s">
        <v>276</v>
      </c>
      <c r="C193" s="29" t="s">
        <v>60</v>
      </c>
      <c r="D193" s="30" t="s">
        <v>57</v>
      </c>
      <c r="E193" s="31">
        <v>58925</v>
      </c>
      <c r="F193" s="46">
        <v>0.04</v>
      </c>
      <c r="G193" s="3">
        <f t="shared" si="101"/>
        <v>2357</v>
      </c>
      <c r="H193" s="24"/>
      <c r="I193" s="24"/>
      <c r="J193" s="24"/>
      <c r="K193" s="24"/>
      <c r="L193" s="24"/>
      <c r="M193" s="24"/>
      <c r="N193" s="24"/>
      <c r="O193" s="24"/>
    </row>
    <row r="194" spans="2:15" ht="12.95" customHeight="1" x14ac:dyDescent="0.3">
      <c r="B194" s="102" t="s">
        <v>23</v>
      </c>
      <c r="C194" s="159"/>
      <c r="D194" s="159"/>
      <c r="E194" s="160"/>
      <c r="F194" s="46"/>
      <c r="G194" s="45">
        <f>TRUNC(SUM(G190:G193))</f>
        <v>29471</v>
      </c>
      <c r="H194" s="24"/>
      <c r="I194" s="24"/>
      <c r="J194" s="24"/>
      <c r="K194" s="24"/>
      <c r="L194" s="24"/>
      <c r="M194" s="24"/>
      <c r="N194" s="24"/>
      <c r="O194" s="24"/>
    </row>
    <row r="195" spans="2:15" ht="12.95" customHeight="1" x14ac:dyDescent="0.3">
      <c r="B195" s="158"/>
      <c r="C195" s="157"/>
      <c r="D195" s="157"/>
      <c r="E195" s="34"/>
      <c r="F195" s="46"/>
      <c r="G195" s="35"/>
      <c r="H195" s="152"/>
      <c r="I195" s="152"/>
      <c r="J195" s="24"/>
      <c r="K195" s="24"/>
      <c r="L195" s="24"/>
      <c r="M195" s="24"/>
      <c r="N195" s="24"/>
      <c r="O195" s="24"/>
    </row>
    <row r="196" spans="2:15" ht="12.95" customHeight="1" x14ac:dyDescent="0.3">
      <c r="B196" s="155" t="s">
        <v>55</v>
      </c>
      <c r="C196" s="29" t="s">
        <v>56</v>
      </c>
      <c r="D196" s="30" t="s">
        <v>57</v>
      </c>
      <c r="E196" s="31">
        <v>25136</v>
      </c>
      <c r="F196" s="46">
        <v>0.1</v>
      </c>
      <c r="G196" s="3">
        <f t="shared" ref="G196:G198" si="102">TRUNC($E196*F196,1)</f>
        <v>2513.6</v>
      </c>
      <c r="H196" s="24"/>
      <c r="I196" s="24"/>
      <c r="J196" s="24"/>
      <c r="K196" s="24"/>
      <c r="L196" s="24"/>
      <c r="M196" s="24"/>
      <c r="N196" s="24"/>
      <c r="O196" s="24"/>
    </row>
    <row r="197" spans="2:15" ht="12.95" customHeight="1" x14ac:dyDescent="0.3">
      <c r="B197" s="156" t="s">
        <v>276</v>
      </c>
      <c r="C197" s="29" t="s">
        <v>60</v>
      </c>
      <c r="D197" s="30" t="s">
        <v>57</v>
      </c>
      <c r="E197" s="31">
        <v>29621</v>
      </c>
      <c r="F197" s="46">
        <v>0.04</v>
      </c>
      <c r="G197" s="3">
        <f t="shared" si="102"/>
        <v>1184.8</v>
      </c>
      <c r="H197" s="24"/>
      <c r="I197" s="24"/>
      <c r="J197" s="24"/>
      <c r="K197" s="24"/>
      <c r="L197" s="24"/>
      <c r="M197" s="24"/>
      <c r="N197" s="24"/>
      <c r="O197" s="24"/>
    </row>
    <row r="198" spans="2:15" ht="12.95" customHeight="1" x14ac:dyDescent="0.3">
      <c r="B198" s="156" t="s">
        <v>65</v>
      </c>
      <c r="C198" s="29" t="s">
        <v>60</v>
      </c>
      <c r="D198" s="30" t="s">
        <v>57</v>
      </c>
      <c r="E198" s="31">
        <v>18939</v>
      </c>
      <c r="F198" s="46">
        <v>0.04</v>
      </c>
      <c r="G198" s="3">
        <f t="shared" si="102"/>
        <v>757.5</v>
      </c>
      <c r="H198" s="24"/>
      <c r="I198" s="24"/>
      <c r="J198" s="24"/>
      <c r="K198" s="24"/>
      <c r="L198" s="24"/>
      <c r="M198" s="24"/>
      <c r="N198" s="24"/>
      <c r="O198" s="24"/>
    </row>
    <row r="199" spans="2:15" ht="12.95" customHeight="1" x14ac:dyDescent="0.3">
      <c r="B199" s="136" t="s">
        <v>24</v>
      </c>
      <c r="C199" s="39"/>
      <c r="D199" s="39"/>
      <c r="E199" s="37"/>
      <c r="F199" s="40"/>
      <c r="G199" s="45">
        <f>TRUNC(SUM(G196:G198))</f>
        <v>4455</v>
      </c>
      <c r="H199" s="24"/>
      <c r="I199" s="24"/>
      <c r="J199" s="24"/>
      <c r="K199" s="24"/>
      <c r="L199" s="24"/>
      <c r="M199" s="24"/>
      <c r="N199" s="24"/>
      <c r="O199" s="24"/>
    </row>
    <row r="200" spans="2:15" ht="12.95" customHeight="1" x14ac:dyDescent="0.3">
      <c r="B200" s="158"/>
      <c r="C200" s="157"/>
      <c r="D200" s="157"/>
      <c r="E200" s="34"/>
      <c r="F200" s="32"/>
      <c r="G200" s="35"/>
      <c r="H200" s="152"/>
      <c r="I200" s="152"/>
      <c r="J200" s="24"/>
      <c r="K200" s="24"/>
      <c r="L200" s="24"/>
      <c r="M200" s="24"/>
      <c r="N200" s="24"/>
      <c r="O200" s="24"/>
    </row>
    <row r="201" spans="2:15" ht="12.95" customHeight="1" x14ac:dyDescent="0.3">
      <c r="B201" s="117" t="s">
        <v>26</v>
      </c>
      <c r="C201" s="41"/>
      <c r="D201" s="41"/>
      <c r="E201" s="42"/>
      <c r="F201" s="43"/>
      <c r="G201" s="44">
        <f>SUM(G188+G194+G199)</f>
        <v>38802</v>
      </c>
      <c r="H201" s="24"/>
      <c r="I201" s="24"/>
      <c r="J201" s="24"/>
      <c r="K201" s="24"/>
      <c r="L201" s="24"/>
      <c r="M201" s="24"/>
      <c r="N201" s="24"/>
      <c r="O201" s="24"/>
    </row>
    <row r="202" spans="2:15" ht="12.95" customHeight="1" x14ac:dyDescent="0.3">
      <c r="N202" s="24"/>
      <c r="O202" s="24"/>
    </row>
    <row r="203" spans="2:15" ht="12.95" customHeight="1" x14ac:dyDescent="0.3">
      <c r="B203" s="152" t="s">
        <v>255</v>
      </c>
      <c r="C203" s="152"/>
      <c r="D203" s="24"/>
      <c r="E203" s="24"/>
      <c r="F203" s="153"/>
      <c r="G203" s="161" t="s">
        <v>42</v>
      </c>
      <c r="H203" s="153"/>
      <c r="I203" s="24"/>
      <c r="J203" s="154"/>
      <c r="K203" s="154"/>
      <c r="L203" s="24"/>
      <c r="M203" s="24"/>
      <c r="N203" s="24"/>
      <c r="O203" s="24"/>
    </row>
    <row r="204" spans="2:15" ht="12.95" customHeight="1" x14ac:dyDescent="0.3">
      <c r="B204" s="347" t="s">
        <v>14</v>
      </c>
      <c r="C204" s="333" t="s">
        <v>31</v>
      </c>
      <c r="D204" s="333" t="s">
        <v>53</v>
      </c>
      <c r="E204" s="333" t="s">
        <v>15</v>
      </c>
      <c r="F204" s="333" t="s">
        <v>54</v>
      </c>
      <c r="G204" s="349" t="s">
        <v>17</v>
      </c>
      <c r="H204" s="25"/>
      <c r="I204" s="54"/>
      <c r="J204" s="24"/>
      <c r="K204" s="24"/>
      <c r="L204" s="24"/>
      <c r="M204" s="24"/>
      <c r="N204" s="24"/>
      <c r="O204" s="24"/>
    </row>
    <row r="205" spans="2:15" ht="12.95" customHeight="1" x14ac:dyDescent="0.3">
      <c r="B205" s="348"/>
      <c r="C205" s="334"/>
      <c r="D205" s="334"/>
      <c r="E205" s="334"/>
      <c r="F205" s="334"/>
      <c r="G205" s="350"/>
      <c r="H205" s="25"/>
      <c r="I205" s="54"/>
      <c r="J205" s="24"/>
      <c r="K205" s="24"/>
      <c r="L205" s="24"/>
      <c r="M205" s="24"/>
      <c r="N205" s="24"/>
      <c r="O205" s="24"/>
    </row>
    <row r="206" spans="2:15" ht="12.95" customHeight="1" x14ac:dyDescent="0.3">
      <c r="B206" s="155" t="s">
        <v>55</v>
      </c>
      <c r="C206" s="29" t="s">
        <v>56</v>
      </c>
      <c r="D206" s="30" t="s">
        <v>57</v>
      </c>
      <c r="E206" s="31">
        <v>34441</v>
      </c>
      <c r="F206" s="32">
        <v>0.08</v>
      </c>
      <c r="G206" s="3">
        <f t="shared" ref="G206:G207" si="103">TRUNC($E206*F206,1)</f>
        <v>2755.2</v>
      </c>
      <c r="H206" s="26"/>
      <c r="I206" s="27"/>
      <c r="J206" s="24"/>
      <c r="K206" s="24"/>
      <c r="L206" s="24"/>
      <c r="M206" s="24"/>
      <c r="N206" s="24"/>
      <c r="O206" s="24"/>
    </row>
    <row r="207" spans="2:15" ht="12.95" customHeight="1" x14ac:dyDescent="0.3">
      <c r="B207" s="156" t="s">
        <v>276</v>
      </c>
      <c r="C207" s="29" t="s">
        <v>60</v>
      </c>
      <c r="D207" s="30" t="s">
        <v>39</v>
      </c>
      <c r="E207" s="31">
        <v>35814</v>
      </c>
      <c r="F207" s="32">
        <v>2.5000000000000001E-2</v>
      </c>
      <c r="G207" s="3">
        <f t="shared" si="103"/>
        <v>895.3</v>
      </c>
      <c r="H207" s="24"/>
      <c r="I207" s="24"/>
      <c r="J207" s="24"/>
      <c r="K207" s="24"/>
      <c r="L207" s="24"/>
      <c r="M207" s="24"/>
      <c r="N207" s="24"/>
      <c r="O207" s="24"/>
    </row>
    <row r="208" spans="2:15" ht="12.95" customHeight="1" x14ac:dyDescent="0.3">
      <c r="B208" s="136" t="s">
        <v>22</v>
      </c>
      <c r="C208" s="157"/>
      <c r="D208" s="157"/>
      <c r="E208" s="34"/>
      <c r="F208" s="32"/>
      <c r="G208" s="45">
        <f>TRUNC(SUM(G206:G207))</f>
        <v>3650</v>
      </c>
      <c r="H208" s="152"/>
      <c r="I208" s="152"/>
      <c r="J208" s="24"/>
      <c r="K208" s="24"/>
      <c r="L208" s="24"/>
      <c r="M208" s="24"/>
      <c r="N208" s="24"/>
      <c r="O208" s="24"/>
    </row>
    <row r="209" spans="2:15" ht="12.95" customHeight="1" x14ac:dyDescent="0.3">
      <c r="B209" s="158"/>
      <c r="C209" s="157"/>
      <c r="D209" s="157"/>
      <c r="E209" s="34"/>
      <c r="F209" s="32"/>
      <c r="G209" s="35"/>
      <c r="H209" s="152"/>
      <c r="I209" s="152"/>
      <c r="J209" s="24"/>
      <c r="K209" s="24"/>
      <c r="L209" s="24"/>
      <c r="M209" s="24"/>
      <c r="N209" s="24"/>
      <c r="O209" s="24"/>
    </row>
    <row r="210" spans="2:15" ht="12.95" customHeight="1" x14ac:dyDescent="0.3">
      <c r="B210" s="156" t="s">
        <v>66</v>
      </c>
      <c r="C210" s="162"/>
      <c r="D210" s="157" t="s">
        <v>33</v>
      </c>
      <c r="E210" s="31">
        <v>272448</v>
      </c>
      <c r="F210" s="36">
        <v>2.3E-2</v>
      </c>
      <c r="G210" s="3">
        <f t="shared" ref="G210:G213" si="104">TRUNC($E210*F210,1)</f>
        <v>6266.3</v>
      </c>
      <c r="H210" s="24"/>
      <c r="I210" s="24"/>
      <c r="J210" s="24"/>
      <c r="K210" s="24"/>
      <c r="L210" s="24"/>
      <c r="M210" s="24"/>
      <c r="N210" s="24"/>
      <c r="O210" s="24"/>
    </row>
    <row r="211" spans="2:15" ht="12.95" customHeight="1" x14ac:dyDescent="0.3">
      <c r="B211" s="156" t="s">
        <v>25</v>
      </c>
      <c r="C211" s="29"/>
      <c r="D211" s="157" t="s">
        <v>33</v>
      </c>
      <c r="E211" s="31">
        <v>172068</v>
      </c>
      <c r="F211" s="32">
        <v>3.2000000000000001E-2</v>
      </c>
      <c r="G211" s="3">
        <f t="shared" si="104"/>
        <v>5506.1</v>
      </c>
      <c r="H211" s="24"/>
      <c r="I211" s="24"/>
      <c r="J211" s="24"/>
      <c r="K211" s="24"/>
      <c r="L211" s="24"/>
      <c r="M211" s="24"/>
      <c r="N211" s="24"/>
      <c r="O211" s="24"/>
    </row>
    <row r="212" spans="2:15" ht="12.95" customHeight="1" x14ac:dyDescent="0.3">
      <c r="B212" s="155" t="s">
        <v>55</v>
      </c>
      <c r="C212" s="29" t="s">
        <v>56</v>
      </c>
      <c r="D212" s="30" t="s">
        <v>57</v>
      </c>
      <c r="E212" s="31">
        <v>58925</v>
      </c>
      <c r="F212" s="32">
        <v>0.08</v>
      </c>
      <c r="G212" s="3">
        <f t="shared" si="104"/>
        <v>4714</v>
      </c>
      <c r="H212" s="24"/>
      <c r="I212" s="24"/>
      <c r="J212" s="24"/>
      <c r="K212" s="24"/>
      <c r="L212" s="24"/>
      <c r="M212" s="24"/>
      <c r="N212" s="24"/>
      <c r="O212" s="24"/>
    </row>
    <row r="213" spans="2:15" ht="12.95" customHeight="1" x14ac:dyDescent="0.3">
      <c r="B213" s="156" t="s">
        <v>276</v>
      </c>
      <c r="C213" s="29" t="s">
        <v>60</v>
      </c>
      <c r="D213" s="30" t="s">
        <v>57</v>
      </c>
      <c r="E213" s="31">
        <v>58925</v>
      </c>
      <c r="F213" s="32">
        <v>2.5000000000000001E-2</v>
      </c>
      <c r="G213" s="3">
        <f t="shared" si="104"/>
        <v>1473.1</v>
      </c>
      <c r="H213" s="24"/>
      <c r="I213" s="24"/>
      <c r="J213" s="24"/>
      <c r="K213" s="24"/>
      <c r="L213" s="24"/>
      <c r="M213" s="24"/>
      <c r="N213" s="24"/>
      <c r="O213" s="24"/>
    </row>
    <row r="214" spans="2:15" ht="12.95" customHeight="1" x14ac:dyDescent="0.3">
      <c r="B214" s="102" t="s">
        <v>23</v>
      </c>
      <c r="C214" s="159"/>
      <c r="D214" s="159"/>
      <c r="E214" s="160"/>
      <c r="F214" s="32"/>
      <c r="G214" s="45">
        <f>TRUNC(SUM(G210:G213))</f>
        <v>17959</v>
      </c>
      <c r="H214" s="24"/>
      <c r="I214" s="24"/>
      <c r="J214" s="24"/>
      <c r="K214" s="24"/>
      <c r="L214" s="24"/>
      <c r="M214" s="24"/>
    </row>
    <row r="215" spans="2:15" ht="12.95" customHeight="1" x14ac:dyDescent="0.3">
      <c r="B215" s="158"/>
      <c r="C215" s="157"/>
      <c r="D215" s="157"/>
      <c r="E215" s="34"/>
      <c r="F215" s="32"/>
      <c r="G215" s="35"/>
      <c r="H215" s="152"/>
      <c r="I215" s="152"/>
      <c r="J215" s="24"/>
      <c r="K215" s="24"/>
      <c r="L215" s="24"/>
      <c r="M215" s="24"/>
    </row>
    <row r="216" spans="2:15" ht="12.95" customHeight="1" x14ac:dyDescent="0.3">
      <c r="B216" s="155" t="s">
        <v>55</v>
      </c>
      <c r="C216" s="29" t="s">
        <v>56</v>
      </c>
      <c r="D216" s="30" t="s">
        <v>57</v>
      </c>
      <c r="E216" s="31">
        <v>25136</v>
      </c>
      <c r="F216" s="32">
        <v>0.08</v>
      </c>
      <c r="G216" s="3">
        <f t="shared" ref="G216:G218" si="105">TRUNC($E216*F216,1)</f>
        <v>2010.8</v>
      </c>
      <c r="H216" s="24"/>
      <c r="I216" s="24"/>
      <c r="J216" s="24"/>
      <c r="K216" s="24"/>
      <c r="L216" s="24"/>
      <c r="M216" s="24"/>
    </row>
    <row r="217" spans="2:15" ht="12.95" customHeight="1" x14ac:dyDescent="0.3">
      <c r="B217" s="156" t="s">
        <v>276</v>
      </c>
      <c r="C217" s="29" t="s">
        <v>60</v>
      </c>
      <c r="D217" s="30" t="s">
        <v>57</v>
      </c>
      <c r="E217" s="31">
        <v>29621</v>
      </c>
      <c r="F217" s="32">
        <v>2.5000000000000001E-2</v>
      </c>
      <c r="G217" s="3">
        <f t="shared" si="105"/>
        <v>740.5</v>
      </c>
      <c r="H217" s="24"/>
      <c r="I217" s="24"/>
      <c r="J217" s="24"/>
      <c r="K217" s="24"/>
      <c r="L217" s="24"/>
      <c r="M217" s="24"/>
    </row>
    <row r="218" spans="2:15" ht="12.95" customHeight="1" x14ac:dyDescent="0.3">
      <c r="B218" s="156" t="s">
        <v>65</v>
      </c>
      <c r="C218" s="29" t="s">
        <v>60</v>
      </c>
      <c r="D218" s="30" t="s">
        <v>57</v>
      </c>
      <c r="E218" s="31">
        <v>18939</v>
      </c>
      <c r="F218" s="32">
        <v>2.5000000000000001E-2</v>
      </c>
      <c r="G218" s="3">
        <f t="shared" si="105"/>
        <v>473.4</v>
      </c>
      <c r="H218" s="24"/>
      <c r="I218" s="24"/>
      <c r="J218" s="24"/>
      <c r="K218" s="24"/>
      <c r="L218" s="24"/>
      <c r="M218" s="24"/>
    </row>
    <row r="219" spans="2:15" ht="12.95" customHeight="1" x14ac:dyDescent="0.3">
      <c r="B219" s="136" t="s">
        <v>24</v>
      </c>
      <c r="C219" s="39"/>
      <c r="D219" s="39"/>
      <c r="E219" s="37"/>
      <c r="F219" s="40"/>
      <c r="G219" s="45">
        <f>TRUNC(SUM(G216:G218))</f>
        <v>3224</v>
      </c>
      <c r="H219" s="24"/>
      <c r="I219" s="24"/>
      <c r="J219" s="24"/>
      <c r="K219" s="24"/>
      <c r="L219" s="24"/>
      <c r="M219" s="24"/>
    </row>
    <row r="220" spans="2:15" ht="12.95" customHeight="1" x14ac:dyDescent="0.3">
      <c r="B220" s="158"/>
      <c r="C220" s="157"/>
      <c r="D220" s="157"/>
      <c r="E220" s="34"/>
      <c r="F220" s="32"/>
      <c r="G220" s="35"/>
      <c r="H220" s="152"/>
      <c r="I220" s="152"/>
      <c r="J220" s="24"/>
      <c r="K220" s="24"/>
      <c r="L220" s="24"/>
      <c r="M220" s="24"/>
    </row>
    <row r="221" spans="2:15" ht="12.95" customHeight="1" x14ac:dyDescent="0.3">
      <c r="B221" s="117" t="s">
        <v>26</v>
      </c>
      <c r="C221" s="41"/>
      <c r="D221" s="41"/>
      <c r="E221" s="42"/>
      <c r="F221" s="43"/>
      <c r="G221" s="44">
        <f>SUM(G208+G214+G219)</f>
        <v>24833</v>
      </c>
      <c r="H221" s="24"/>
      <c r="I221" s="24"/>
      <c r="J221" s="24"/>
      <c r="K221" s="24"/>
      <c r="L221" s="24"/>
      <c r="M221" s="24"/>
    </row>
    <row r="223" spans="2:15" ht="12.95" customHeight="1" x14ac:dyDescent="0.3">
      <c r="B223" s="152" t="s">
        <v>256</v>
      </c>
      <c r="C223" s="152"/>
      <c r="D223" s="24"/>
      <c r="E223" s="24"/>
      <c r="F223" s="153"/>
      <c r="G223" s="161" t="s">
        <v>42</v>
      </c>
      <c r="H223" s="153"/>
      <c r="I223" s="24"/>
      <c r="J223" s="154"/>
      <c r="K223" s="154"/>
      <c r="L223" s="24"/>
      <c r="M223" s="24"/>
    </row>
    <row r="224" spans="2:15" ht="12.95" customHeight="1" x14ac:dyDescent="0.3">
      <c r="B224" s="347" t="s">
        <v>14</v>
      </c>
      <c r="C224" s="333" t="s">
        <v>31</v>
      </c>
      <c r="D224" s="333" t="s">
        <v>53</v>
      </c>
      <c r="E224" s="333" t="s">
        <v>15</v>
      </c>
      <c r="F224" s="333" t="s">
        <v>54</v>
      </c>
      <c r="G224" s="349" t="s">
        <v>17</v>
      </c>
      <c r="H224" s="25"/>
      <c r="I224" s="54"/>
      <c r="J224" s="24"/>
      <c r="K224" s="24"/>
      <c r="L224" s="24"/>
      <c r="M224" s="24"/>
    </row>
    <row r="225" spans="2:13" ht="12.95" customHeight="1" x14ac:dyDescent="0.3">
      <c r="B225" s="348"/>
      <c r="C225" s="334"/>
      <c r="D225" s="334"/>
      <c r="E225" s="334"/>
      <c r="F225" s="334"/>
      <c r="G225" s="350"/>
      <c r="H225" s="25"/>
      <c r="I225" s="54"/>
      <c r="J225" s="24"/>
      <c r="K225" s="24"/>
      <c r="L225" s="24"/>
      <c r="M225" s="24"/>
    </row>
    <row r="226" spans="2:13" ht="12.95" customHeight="1" x14ac:dyDescent="0.3">
      <c r="B226" s="155" t="s">
        <v>55</v>
      </c>
      <c r="C226" s="29" t="s">
        <v>56</v>
      </c>
      <c r="D226" s="30" t="s">
        <v>57</v>
      </c>
      <c r="E226" s="31">
        <v>34441</v>
      </c>
      <c r="F226" s="32">
        <v>4.9000000000000002E-2</v>
      </c>
      <c r="G226" s="3">
        <f t="shared" ref="G226:G227" si="106">TRUNC($E226*F226,1)</f>
        <v>1687.6</v>
      </c>
      <c r="H226" s="26"/>
      <c r="I226" s="27"/>
      <c r="J226" s="24"/>
      <c r="K226" s="24"/>
      <c r="L226" s="24"/>
      <c r="M226" s="24"/>
    </row>
    <row r="227" spans="2:13" ht="12.95" customHeight="1" x14ac:dyDescent="0.3">
      <c r="B227" s="156" t="s">
        <v>276</v>
      </c>
      <c r="C227" s="29" t="s">
        <v>60</v>
      </c>
      <c r="D227" s="30" t="s">
        <v>39</v>
      </c>
      <c r="E227" s="31">
        <v>35814</v>
      </c>
      <c r="F227" s="32">
        <v>1.2999999999999999E-2</v>
      </c>
      <c r="G227" s="3">
        <f t="shared" si="106"/>
        <v>465.5</v>
      </c>
      <c r="H227" s="24"/>
      <c r="I227" s="24"/>
      <c r="J227" s="24"/>
      <c r="K227" s="24"/>
      <c r="L227" s="24"/>
      <c r="M227" s="24"/>
    </row>
    <row r="228" spans="2:13" ht="12.95" customHeight="1" x14ac:dyDescent="0.3">
      <c r="B228" s="136" t="s">
        <v>22</v>
      </c>
      <c r="C228" s="157"/>
      <c r="D228" s="157"/>
      <c r="E228" s="34"/>
      <c r="F228" s="32"/>
      <c r="G228" s="45">
        <f>TRUNC(SUM(G226:G227))</f>
        <v>2153</v>
      </c>
      <c r="H228" s="152"/>
      <c r="I228" s="152"/>
      <c r="J228" s="24"/>
      <c r="K228" s="24"/>
      <c r="L228" s="24"/>
      <c r="M228" s="24"/>
    </row>
    <row r="229" spans="2:13" ht="12.95" customHeight="1" x14ac:dyDescent="0.3">
      <c r="B229" s="158"/>
      <c r="C229" s="157"/>
      <c r="D229" s="157"/>
      <c r="E229" s="34"/>
      <c r="F229" s="32"/>
      <c r="G229" s="35"/>
      <c r="H229" s="152"/>
      <c r="I229" s="152"/>
      <c r="J229" s="24"/>
      <c r="K229" s="24"/>
      <c r="L229" s="24"/>
      <c r="M229" s="24"/>
    </row>
    <row r="230" spans="2:13" ht="12.95" customHeight="1" x14ac:dyDescent="0.3">
      <c r="B230" s="156" t="s">
        <v>66</v>
      </c>
      <c r="C230" s="162"/>
      <c r="D230" s="157" t="s">
        <v>33</v>
      </c>
      <c r="E230" s="31">
        <v>272448</v>
      </c>
      <c r="F230" s="36">
        <v>1.2E-2</v>
      </c>
      <c r="G230" s="3">
        <f t="shared" ref="G230:G233" si="107">TRUNC($E230*F230,1)</f>
        <v>3269.3</v>
      </c>
      <c r="H230" s="24"/>
      <c r="I230" s="24"/>
      <c r="J230" s="24"/>
      <c r="K230" s="24"/>
      <c r="L230" s="24"/>
      <c r="M230" s="24"/>
    </row>
    <row r="231" spans="2:13" ht="12.95" customHeight="1" x14ac:dyDescent="0.3">
      <c r="B231" s="156" t="s">
        <v>25</v>
      </c>
      <c r="C231" s="29"/>
      <c r="D231" s="157" t="s">
        <v>33</v>
      </c>
      <c r="E231" s="31">
        <v>172068</v>
      </c>
      <c r="F231" s="32">
        <v>1.7000000000000001E-2</v>
      </c>
      <c r="G231" s="3">
        <f t="shared" si="107"/>
        <v>2925.1</v>
      </c>
      <c r="H231" s="24"/>
      <c r="I231" s="24"/>
      <c r="J231" s="24"/>
      <c r="K231" s="24"/>
      <c r="L231" s="24"/>
      <c r="M231" s="24"/>
    </row>
    <row r="232" spans="2:13" ht="12.95" customHeight="1" x14ac:dyDescent="0.3">
      <c r="B232" s="155" t="s">
        <v>55</v>
      </c>
      <c r="C232" s="29" t="s">
        <v>56</v>
      </c>
      <c r="D232" s="30" t="s">
        <v>57</v>
      </c>
      <c r="E232" s="31">
        <v>58925</v>
      </c>
      <c r="F232" s="32">
        <v>4.9000000000000002E-2</v>
      </c>
      <c r="G232" s="3">
        <f t="shared" si="107"/>
        <v>2887.3</v>
      </c>
      <c r="H232" s="24"/>
      <c r="I232" s="24"/>
      <c r="J232" s="24"/>
      <c r="K232" s="24"/>
      <c r="L232" s="24"/>
      <c r="M232" s="24"/>
    </row>
    <row r="233" spans="2:13" ht="12.95" customHeight="1" x14ac:dyDescent="0.3">
      <c r="B233" s="156" t="s">
        <v>276</v>
      </c>
      <c r="C233" s="29" t="s">
        <v>60</v>
      </c>
      <c r="D233" s="30" t="s">
        <v>57</v>
      </c>
      <c r="E233" s="31">
        <v>58925</v>
      </c>
      <c r="F233" s="32">
        <v>1.2999999999999999E-2</v>
      </c>
      <c r="G233" s="3">
        <f t="shared" si="107"/>
        <v>766</v>
      </c>
      <c r="H233" s="24"/>
      <c r="I233" s="24"/>
      <c r="J233" s="24"/>
      <c r="K233" s="24"/>
      <c r="L233" s="24"/>
      <c r="M233" s="24"/>
    </row>
    <row r="234" spans="2:13" ht="12.95" customHeight="1" x14ac:dyDescent="0.3">
      <c r="B234" s="102" t="s">
        <v>23</v>
      </c>
      <c r="C234" s="159"/>
      <c r="D234" s="159"/>
      <c r="E234" s="160"/>
      <c r="F234" s="32"/>
      <c r="G234" s="45">
        <f>TRUNC(SUM(G230:G233))</f>
        <v>9847</v>
      </c>
      <c r="H234" s="24"/>
      <c r="I234" s="24"/>
      <c r="J234" s="24"/>
      <c r="K234" s="24"/>
      <c r="L234" s="24"/>
      <c r="M234" s="24"/>
    </row>
    <row r="235" spans="2:13" ht="12.95" customHeight="1" x14ac:dyDescent="0.3">
      <c r="B235" s="158"/>
      <c r="C235" s="157"/>
      <c r="D235" s="157"/>
      <c r="E235" s="34"/>
      <c r="F235" s="32"/>
      <c r="G235" s="35"/>
      <c r="H235" s="152"/>
      <c r="I235" s="152"/>
      <c r="J235" s="24"/>
      <c r="K235" s="24"/>
      <c r="L235" s="24"/>
      <c r="M235" s="24"/>
    </row>
    <row r="236" spans="2:13" ht="12.95" customHeight="1" x14ac:dyDescent="0.3">
      <c r="B236" s="155" t="s">
        <v>55</v>
      </c>
      <c r="C236" s="29" t="s">
        <v>56</v>
      </c>
      <c r="D236" s="30" t="s">
        <v>57</v>
      </c>
      <c r="E236" s="31">
        <v>25136</v>
      </c>
      <c r="F236" s="32">
        <v>4.9000000000000002E-2</v>
      </c>
      <c r="G236" s="3">
        <f t="shared" ref="G236:G237" si="108">TRUNC($E236*F236,1)</f>
        <v>1231.5999999999999</v>
      </c>
      <c r="H236" s="24"/>
      <c r="I236" s="24"/>
      <c r="J236" s="24"/>
      <c r="K236" s="24"/>
      <c r="L236" s="24"/>
      <c r="M236" s="24"/>
    </row>
    <row r="237" spans="2:13" ht="12.95" customHeight="1" x14ac:dyDescent="0.3">
      <c r="B237" s="156" t="s">
        <v>276</v>
      </c>
      <c r="C237" s="29" t="s">
        <v>60</v>
      </c>
      <c r="D237" s="30" t="s">
        <v>57</v>
      </c>
      <c r="E237" s="31">
        <v>29621</v>
      </c>
      <c r="F237" s="32">
        <v>1.2999999999999999E-2</v>
      </c>
      <c r="G237" s="3">
        <f t="shared" si="108"/>
        <v>385</v>
      </c>
      <c r="H237" s="24"/>
      <c r="I237" s="24"/>
      <c r="J237" s="24"/>
      <c r="K237" s="24"/>
      <c r="L237" s="24"/>
      <c r="M237" s="24"/>
    </row>
    <row r="238" spans="2:13" ht="12.95" customHeight="1" x14ac:dyDescent="0.3">
      <c r="B238" s="136" t="s">
        <v>24</v>
      </c>
      <c r="C238" s="39"/>
      <c r="D238" s="39"/>
      <c r="E238" s="37"/>
      <c r="F238" s="40"/>
      <c r="G238" s="45">
        <f>TRUNC(SUM(G236:G237))</f>
        <v>1616</v>
      </c>
      <c r="H238" s="24"/>
      <c r="I238" s="24"/>
      <c r="J238" s="24"/>
      <c r="K238" s="24"/>
      <c r="L238" s="24"/>
      <c r="M238" s="24"/>
    </row>
    <row r="239" spans="2:13" ht="12.95" customHeight="1" x14ac:dyDescent="0.3">
      <c r="B239" s="158"/>
      <c r="C239" s="157"/>
      <c r="D239" s="157"/>
      <c r="E239" s="34"/>
      <c r="F239" s="32"/>
      <c r="G239" s="35"/>
      <c r="H239" s="152"/>
      <c r="I239" s="152"/>
      <c r="J239" s="24"/>
      <c r="K239" s="24"/>
      <c r="L239" s="24"/>
      <c r="M239" s="24"/>
    </row>
    <row r="240" spans="2:13" ht="12.95" customHeight="1" x14ac:dyDescent="0.3">
      <c r="B240" s="117" t="s">
        <v>26</v>
      </c>
      <c r="C240" s="41"/>
      <c r="D240" s="41"/>
      <c r="E240" s="42"/>
      <c r="F240" s="43"/>
      <c r="G240" s="44">
        <f>SUM(G228+G234+G238)</f>
        <v>13616</v>
      </c>
      <c r="H240" s="24"/>
      <c r="I240" s="24"/>
      <c r="J240" s="24"/>
      <c r="K240" s="24"/>
      <c r="L240" s="24"/>
      <c r="M240" s="24"/>
    </row>
    <row r="242" spans="2:13" ht="12.95" customHeight="1" x14ac:dyDescent="0.3">
      <c r="B242" s="152" t="s">
        <v>257</v>
      </c>
      <c r="C242" s="152"/>
      <c r="D242" s="24"/>
      <c r="E242" s="24"/>
      <c r="F242" s="153"/>
      <c r="G242" s="161" t="s">
        <v>42</v>
      </c>
      <c r="H242" s="153"/>
      <c r="I242" s="24"/>
      <c r="J242" s="154"/>
      <c r="K242" s="154"/>
      <c r="L242" s="24"/>
      <c r="M242" s="24"/>
    </row>
    <row r="243" spans="2:13" ht="12.95" customHeight="1" x14ac:dyDescent="0.3">
      <c r="B243" s="347" t="s">
        <v>14</v>
      </c>
      <c r="C243" s="333" t="s">
        <v>31</v>
      </c>
      <c r="D243" s="333" t="s">
        <v>53</v>
      </c>
      <c r="E243" s="333" t="s">
        <v>15</v>
      </c>
      <c r="F243" s="333" t="s">
        <v>54</v>
      </c>
      <c r="G243" s="349" t="s">
        <v>17</v>
      </c>
      <c r="H243" s="25"/>
      <c r="I243" s="54"/>
      <c r="J243" s="24"/>
      <c r="K243" s="24"/>
      <c r="L243" s="24"/>
      <c r="M243" s="24"/>
    </row>
    <row r="244" spans="2:13" ht="12.95" customHeight="1" x14ac:dyDescent="0.3">
      <c r="B244" s="348"/>
      <c r="C244" s="334"/>
      <c r="D244" s="334"/>
      <c r="E244" s="334"/>
      <c r="F244" s="334"/>
      <c r="G244" s="350"/>
      <c r="H244" s="25"/>
      <c r="I244" s="54"/>
      <c r="J244" s="24"/>
      <c r="K244" s="24"/>
      <c r="L244" s="24"/>
      <c r="M244" s="24"/>
    </row>
    <row r="245" spans="2:13" ht="12.95" customHeight="1" x14ac:dyDescent="0.3">
      <c r="B245" s="155" t="s">
        <v>55</v>
      </c>
      <c r="C245" s="29" t="s">
        <v>56</v>
      </c>
      <c r="D245" s="30" t="s">
        <v>57</v>
      </c>
      <c r="E245" s="31">
        <v>34441</v>
      </c>
      <c r="F245" s="32">
        <v>2.1000000000000001E-2</v>
      </c>
      <c r="G245" s="3">
        <f t="shared" ref="G245:G246" si="109">TRUNC($E245*F245,1)</f>
        <v>723.2</v>
      </c>
      <c r="H245" s="26"/>
      <c r="I245" s="27"/>
      <c r="J245" s="24"/>
      <c r="K245" s="24"/>
      <c r="L245" s="24"/>
      <c r="M245" s="24"/>
    </row>
    <row r="246" spans="2:13" ht="12.95" customHeight="1" x14ac:dyDescent="0.3">
      <c r="B246" s="156" t="s">
        <v>276</v>
      </c>
      <c r="C246" s="29" t="s">
        <v>60</v>
      </c>
      <c r="D246" s="30" t="s">
        <v>39</v>
      </c>
      <c r="E246" s="31">
        <v>35814</v>
      </c>
      <c r="F246" s="32">
        <v>8.9999999999999993E-3</v>
      </c>
      <c r="G246" s="3">
        <f t="shared" si="109"/>
        <v>322.3</v>
      </c>
      <c r="H246" s="24"/>
      <c r="I246" s="24"/>
      <c r="J246" s="24"/>
      <c r="K246" s="24"/>
      <c r="L246" s="24"/>
      <c r="M246" s="24"/>
    </row>
    <row r="247" spans="2:13" ht="12.95" customHeight="1" x14ac:dyDescent="0.3">
      <c r="B247" s="136" t="s">
        <v>22</v>
      </c>
      <c r="C247" s="157"/>
      <c r="D247" s="157"/>
      <c r="E247" s="34"/>
      <c r="F247" s="32"/>
      <c r="G247" s="45">
        <f>TRUNC(SUM(G245:G246))</f>
        <v>1045</v>
      </c>
      <c r="H247" s="152"/>
      <c r="I247" s="152"/>
      <c r="J247" s="24"/>
      <c r="K247" s="24"/>
      <c r="L247" s="24"/>
      <c r="M247" s="24"/>
    </row>
    <row r="248" spans="2:13" ht="12.95" customHeight="1" x14ac:dyDescent="0.3">
      <c r="B248" s="158"/>
      <c r="C248" s="157"/>
      <c r="D248" s="157"/>
      <c r="E248" s="34"/>
      <c r="F248" s="32"/>
      <c r="G248" s="35"/>
      <c r="H248" s="152"/>
      <c r="I248" s="152"/>
      <c r="J248" s="24"/>
      <c r="K248" s="24"/>
      <c r="L248" s="24"/>
      <c r="M248" s="24"/>
    </row>
    <row r="249" spans="2:13" ht="12.95" customHeight="1" x14ac:dyDescent="0.3">
      <c r="B249" s="156" t="s">
        <v>66</v>
      </c>
      <c r="C249" s="162"/>
      <c r="D249" s="157" t="s">
        <v>33</v>
      </c>
      <c r="E249" s="31">
        <v>272448</v>
      </c>
      <c r="F249" s="36">
        <v>7.0000000000000001E-3</v>
      </c>
      <c r="G249" s="3">
        <f t="shared" ref="G249:G252" si="110">TRUNC($E249*F249,1)</f>
        <v>1907.1</v>
      </c>
      <c r="H249" s="24"/>
      <c r="I249" s="24"/>
      <c r="J249" s="24"/>
      <c r="K249" s="24"/>
      <c r="L249" s="24"/>
      <c r="M249" s="24"/>
    </row>
    <row r="250" spans="2:13" ht="12.95" customHeight="1" x14ac:dyDescent="0.3">
      <c r="B250" s="156" t="s">
        <v>25</v>
      </c>
      <c r="C250" s="29"/>
      <c r="D250" s="157" t="s">
        <v>33</v>
      </c>
      <c r="E250" s="31">
        <v>172068</v>
      </c>
      <c r="F250" s="32">
        <v>8.9999999999999993E-3</v>
      </c>
      <c r="G250" s="3">
        <f t="shared" si="110"/>
        <v>1548.6</v>
      </c>
      <c r="H250" s="24"/>
      <c r="I250" s="24"/>
      <c r="J250" s="24"/>
      <c r="K250" s="24"/>
      <c r="L250" s="24"/>
      <c r="M250" s="24"/>
    </row>
    <row r="251" spans="2:13" ht="12.95" customHeight="1" x14ac:dyDescent="0.3">
      <c r="B251" s="155" t="s">
        <v>55</v>
      </c>
      <c r="C251" s="29" t="s">
        <v>56</v>
      </c>
      <c r="D251" s="30" t="s">
        <v>57</v>
      </c>
      <c r="E251" s="31">
        <v>58925</v>
      </c>
      <c r="F251" s="32">
        <v>2.1000000000000001E-2</v>
      </c>
      <c r="G251" s="3">
        <f t="shared" si="110"/>
        <v>1237.4000000000001</v>
      </c>
      <c r="H251" s="24"/>
      <c r="I251" s="24"/>
      <c r="J251" s="24"/>
      <c r="K251" s="24"/>
      <c r="L251" s="24"/>
      <c r="M251" s="24"/>
    </row>
    <row r="252" spans="2:13" ht="12.95" customHeight="1" x14ac:dyDescent="0.3">
      <c r="B252" s="156" t="s">
        <v>276</v>
      </c>
      <c r="C252" s="29" t="s">
        <v>60</v>
      </c>
      <c r="D252" s="30" t="s">
        <v>57</v>
      </c>
      <c r="E252" s="31">
        <v>58925</v>
      </c>
      <c r="F252" s="32">
        <v>8.9999999999999993E-3</v>
      </c>
      <c r="G252" s="3">
        <f t="shared" si="110"/>
        <v>530.29999999999995</v>
      </c>
      <c r="H252" s="24"/>
      <c r="I252" s="24"/>
      <c r="J252" s="24"/>
      <c r="K252" s="24"/>
      <c r="L252" s="24"/>
      <c r="M252" s="24"/>
    </row>
    <row r="253" spans="2:13" ht="12.95" customHeight="1" x14ac:dyDescent="0.3">
      <c r="B253" s="102" t="s">
        <v>23</v>
      </c>
      <c r="C253" s="159"/>
      <c r="D253" s="159"/>
      <c r="E253" s="160"/>
      <c r="F253" s="32"/>
      <c r="G253" s="45">
        <f>TRUNC(SUM(G249:G252))</f>
        <v>5223</v>
      </c>
      <c r="H253" s="24"/>
      <c r="I253" s="24"/>
      <c r="J253" s="24"/>
      <c r="K253" s="24"/>
      <c r="L253" s="24"/>
      <c r="M253" s="24"/>
    </row>
    <row r="254" spans="2:13" ht="12.95" customHeight="1" x14ac:dyDescent="0.3">
      <c r="B254" s="158"/>
      <c r="C254" s="157"/>
      <c r="D254" s="157"/>
      <c r="E254" s="34"/>
      <c r="F254" s="32"/>
      <c r="G254" s="35"/>
      <c r="H254" s="152"/>
      <c r="I254" s="152"/>
      <c r="J254" s="24"/>
      <c r="K254" s="24"/>
      <c r="L254" s="24"/>
      <c r="M254" s="24"/>
    </row>
    <row r="255" spans="2:13" ht="12.95" customHeight="1" x14ac:dyDescent="0.3">
      <c r="B255" s="155" t="s">
        <v>55</v>
      </c>
      <c r="C255" s="29" t="s">
        <v>56</v>
      </c>
      <c r="D255" s="30" t="s">
        <v>57</v>
      </c>
      <c r="E255" s="31">
        <v>25136</v>
      </c>
      <c r="F255" s="32">
        <v>2.1000000000000001E-2</v>
      </c>
      <c r="G255" s="3">
        <f t="shared" ref="G255:G256" si="111">TRUNC($E255*F255,1)</f>
        <v>527.79999999999995</v>
      </c>
      <c r="H255" s="24"/>
      <c r="I255" s="24"/>
      <c r="J255" s="24"/>
      <c r="K255" s="24"/>
      <c r="L255" s="24"/>
      <c r="M255" s="24"/>
    </row>
    <row r="256" spans="2:13" ht="12.95" customHeight="1" x14ac:dyDescent="0.3">
      <c r="B256" s="156" t="s">
        <v>276</v>
      </c>
      <c r="C256" s="29" t="s">
        <v>60</v>
      </c>
      <c r="D256" s="30" t="s">
        <v>57</v>
      </c>
      <c r="E256" s="31">
        <v>29621</v>
      </c>
      <c r="F256" s="32">
        <v>8.9999999999999993E-3</v>
      </c>
      <c r="G256" s="3">
        <f t="shared" si="111"/>
        <v>266.5</v>
      </c>
      <c r="H256" s="24"/>
      <c r="I256" s="24"/>
      <c r="J256" s="24"/>
      <c r="K256" s="24"/>
      <c r="L256" s="24"/>
      <c r="M256" s="24"/>
    </row>
    <row r="257" spans="2:13" ht="12.95" customHeight="1" x14ac:dyDescent="0.3">
      <c r="B257" s="136" t="s">
        <v>24</v>
      </c>
      <c r="C257" s="39"/>
      <c r="D257" s="39"/>
      <c r="E257" s="37"/>
      <c r="F257" s="40"/>
      <c r="G257" s="45">
        <f>TRUNC(SUM(G255:G256))</f>
        <v>794</v>
      </c>
      <c r="H257" s="24"/>
      <c r="I257" s="24"/>
      <c r="J257" s="24"/>
      <c r="K257" s="24"/>
      <c r="L257" s="24"/>
      <c r="M257" s="24"/>
    </row>
    <row r="258" spans="2:13" ht="12.95" customHeight="1" x14ac:dyDescent="0.3">
      <c r="B258" s="158"/>
      <c r="C258" s="157"/>
      <c r="D258" s="157"/>
      <c r="E258" s="34"/>
      <c r="F258" s="32"/>
      <c r="G258" s="35"/>
      <c r="H258" s="152"/>
      <c r="I258" s="152"/>
      <c r="J258" s="24"/>
      <c r="K258" s="24"/>
      <c r="L258" s="24"/>
      <c r="M258" s="24"/>
    </row>
    <row r="259" spans="2:13" ht="12.95" customHeight="1" x14ac:dyDescent="0.3">
      <c r="B259" s="117" t="s">
        <v>26</v>
      </c>
      <c r="C259" s="41"/>
      <c r="D259" s="41"/>
      <c r="E259" s="42"/>
      <c r="F259" s="43"/>
      <c r="G259" s="44">
        <f>SUM(G247+G253+G257)</f>
        <v>7062</v>
      </c>
      <c r="H259" s="24"/>
      <c r="I259" s="24"/>
      <c r="J259" s="24"/>
      <c r="K259" s="24"/>
      <c r="L259" s="24"/>
      <c r="M259" s="24"/>
    </row>
    <row r="261" spans="2:13" ht="12.95" customHeight="1" x14ac:dyDescent="0.3">
      <c r="B261" s="152" t="s">
        <v>258</v>
      </c>
      <c r="C261" s="152"/>
      <c r="D261" s="24"/>
      <c r="E261" s="24"/>
      <c r="F261" s="153"/>
      <c r="G261" s="161" t="s">
        <v>42</v>
      </c>
      <c r="H261" s="153"/>
      <c r="I261" s="24"/>
      <c r="J261" s="154"/>
      <c r="K261" s="154"/>
      <c r="L261" s="24"/>
      <c r="M261" s="24"/>
    </row>
    <row r="262" spans="2:13" ht="12.95" customHeight="1" x14ac:dyDescent="0.3">
      <c r="B262" s="347" t="s">
        <v>14</v>
      </c>
      <c r="C262" s="333" t="s">
        <v>31</v>
      </c>
      <c r="D262" s="333" t="s">
        <v>53</v>
      </c>
      <c r="E262" s="333" t="s">
        <v>15</v>
      </c>
      <c r="F262" s="333" t="s">
        <v>54</v>
      </c>
      <c r="G262" s="349" t="s">
        <v>17</v>
      </c>
      <c r="H262" s="25"/>
      <c r="I262" s="54"/>
      <c r="J262" s="24"/>
      <c r="K262" s="24"/>
      <c r="L262" s="24"/>
      <c r="M262" s="24"/>
    </row>
    <row r="263" spans="2:13" ht="12.95" customHeight="1" x14ac:dyDescent="0.3">
      <c r="B263" s="348"/>
      <c r="C263" s="334"/>
      <c r="D263" s="334"/>
      <c r="E263" s="334"/>
      <c r="F263" s="334"/>
      <c r="G263" s="350"/>
      <c r="H263" s="25"/>
      <c r="I263" s="54"/>
      <c r="J263" s="24"/>
      <c r="K263" s="24"/>
      <c r="L263" s="24"/>
      <c r="M263" s="24"/>
    </row>
    <row r="264" spans="2:13" ht="12.95" customHeight="1" x14ac:dyDescent="0.3">
      <c r="B264" s="155" t="s">
        <v>55</v>
      </c>
      <c r="C264" s="29" t="s">
        <v>56</v>
      </c>
      <c r="D264" s="30" t="s">
        <v>57</v>
      </c>
      <c r="E264" s="31">
        <v>34441</v>
      </c>
      <c r="F264" s="32">
        <v>1.4E-2</v>
      </c>
      <c r="G264" s="3">
        <f t="shared" ref="G264:G265" si="112">TRUNC($E264*F264,1)</f>
        <v>482.1</v>
      </c>
      <c r="H264" s="26"/>
      <c r="I264" s="27"/>
      <c r="J264" s="24"/>
      <c r="K264" s="24"/>
      <c r="L264" s="24"/>
      <c r="M264" s="24"/>
    </row>
    <row r="265" spans="2:13" ht="12.95" customHeight="1" x14ac:dyDescent="0.3">
      <c r="B265" s="156" t="s">
        <v>276</v>
      </c>
      <c r="C265" s="29" t="s">
        <v>60</v>
      </c>
      <c r="D265" s="30" t="s">
        <v>39</v>
      </c>
      <c r="E265" s="31">
        <v>35814</v>
      </c>
      <c r="F265" s="32">
        <v>8.0000000000000002E-3</v>
      </c>
      <c r="G265" s="3">
        <f t="shared" si="112"/>
        <v>286.5</v>
      </c>
      <c r="H265" s="24"/>
      <c r="I265" s="24"/>
      <c r="J265" s="24"/>
      <c r="K265" s="24"/>
      <c r="L265" s="24"/>
      <c r="M265" s="24"/>
    </row>
    <row r="266" spans="2:13" ht="12.95" customHeight="1" x14ac:dyDescent="0.3">
      <c r="B266" s="136" t="s">
        <v>22</v>
      </c>
      <c r="C266" s="157"/>
      <c r="D266" s="157"/>
      <c r="E266" s="34"/>
      <c r="F266" s="32"/>
      <c r="G266" s="45">
        <f>TRUNC(SUM(G264:G265))</f>
        <v>768</v>
      </c>
      <c r="H266" s="152"/>
      <c r="I266" s="152"/>
      <c r="J266" s="24"/>
      <c r="K266" s="24"/>
      <c r="L266" s="24"/>
      <c r="M266" s="24"/>
    </row>
    <row r="267" spans="2:13" ht="12.95" customHeight="1" x14ac:dyDescent="0.3">
      <c r="B267" s="158"/>
      <c r="C267" s="157"/>
      <c r="D267" s="157"/>
      <c r="E267" s="34"/>
      <c r="F267" s="32"/>
      <c r="G267" s="35"/>
      <c r="H267" s="152"/>
      <c r="I267" s="152"/>
      <c r="J267" s="24"/>
      <c r="K267" s="24"/>
      <c r="L267" s="24"/>
      <c r="M267" s="24"/>
    </row>
    <row r="268" spans="2:13" ht="12.95" customHeight="1" x14ac:dyDescent="0.3">
      <c r="B268" s="156" t="s">
        <v>66</v>
      </c>
      <c r="C268" s="162"/>
      <c r="D268" s="157" t="s">
        <v>33</v>
      </c>
      <c r="E268" s="31">
        <v>272448</v>
      </c>
      <c r="F268" s="36">
        <v>4.0000000000000001E-3</v>
      </c>
      <c r="G268" s="3">
        <f t="shared" ref="G268:G271" si="113">TRUNC($E268*F268,1)</f>
        <v>1089.7</v>
      </c>
      <c r="H268" s="24"/>
      <c r="I268" s="24"/>
      <c r="J268" s="24"/>
      <c r="K268" s="24"/>
      <c r="L268" s="24"/>
      <c r="M268" s="24"/>
    </row>
    <row r="269" spans="2:13" ht="12.95" customHeight="1" x14ac:dyDescent="0.3">
      <c r="B269" s="156" t="s">
        <v>25</v>
      </c>
      <c r="C269" s="29"/>
      <c r="D269" s="157" t="s">
        <v>33</v>
      </c>
      <c r="E269" s="31">
        <v>172068</v>
      </c>
      <c r="F269" s="32">
        <v>6.0000000000000001E-3</v>
      </c>
      <c r="G269" s="3">
        <f t="shared" si="113"/>
        <v>1032.4000000000001</v>
      </c>
      <c r="H269" s="24"/>
      <c r="I269" s="24"/>
      <c r="J269" s="24"/>
      <c r="K269" s="24"/>
      <c r="L269" s="24"/>
      <c r="M269" s="24"/>
    </row>
    <row r="270" spans="2:13" ht="12.95" customHeight="1" x14ac:dyDescent="0.3">
      <c r="B270" s="155" t="s">
        <v>55</v>
      </c>
      <c r="C270" s="29" t="s">
        <v>56</v>
      </c>
      <c r="D270" s="30" t="s">
        <v>57</v>
      </c>
      <c r="E270" s="31">
        <v>58925</v>
      </c>
      <c r="F270" s="32">
        <v>1.4E-2</v>
      </c>
      <c r="G270" s="3">
        <f t="shared" si="113"/>
        <v>824.9</v>
      </c>
      <c r="H270" s="24"/>
      <c r="I270" s="24"/>
      <c r="J270" s="24"/>
      <c r="K270" s="24"/>
      <c r="L270" s="24"/>
      <c r="M270" s="24"/>
    </row>
    <row r="271" spans="2:13" ht="12.95" customHeight="1" x14ac:dyDescent="0.3">
      <c r="B271" s="156" t="s">
        <v>276</v>
      </c>
      <c r="C271" s="29" t="s">
        <v>60</v>
      </c>
      <c r="D271" s="30" t="s">
        <v>57</v>
      </c>
      <c r="E271" s="31">
        <v>58925</v>
      </c>
      <c r="F271" s="32">
        <v>8.0000000000000002E-3</v>
      </c>
      <c r="G271" s="3">
        <f t="shared" si="113"/>
        <v>471.4</v>
      </c>
      <c r="H271" s="24"/>
      <c r="I271" s="24"/>
      <c r="J271" s="24"/>
      <c r="K271" s="24"/>
      <c r="L271" s="24"/>
      <c r="M271" s="24"/>
    </row>
    <row r="272" spans="2:13" ht="12.95" customHeight="1" x14ac:dyDescent="0.3">
      <c r="B272" s="102" t="s">
        <v>23</v>
      </c>
      <c r="C272" s="159"/>
      <c r="D272" s="159"/>
      <c r="E272" s="160"/>
      <c r="F272" s="32"/>
      <c r="G272" s="45">
        <f>TRUNC(SUM(G268:G271))</f>
        <v>3418</v>
      </c>
      <c r="H272" s="24"/>
      <c r="I272" s="24"/>
      <c r="J272" s="24"/>
      <c r="K272" s="24"/>
      <c r="L272" s="24"/>
      <c r="M272" s="24"/>
    </row>
    <row r="273" spans="2:15" ht="12.95" customHeight="1" x14ac:dyDescent="0.3">
      <c r="B273" s="158"/>
      <c r="C273" s="157"/>
      <c r="D273" s="157"/>
      <c r="E273" s="34"/>
      <c r="F273" s="32"/>
      <c r="G273" s="35"/>
      <c r="H273" s="152"/>
      <c r="I273" s="152"/>
      <c r="J273" s="24"/>
      <c r="K273" s="24"/>
      <c r="L273" s="24"/>
      <c r="M273" s="24"/>
      <c r="N273" s="4"/>
    </row>
    <row r="274" spans="2:15" ht="12.95" customHeight="1" x14ac:dyDescent="0.3">
      <c r="B274" s="155" t="s">
        <v>55</v>
      </c>
      <c r="C274" s="29" t="s">
        <v>56</v>
      </c>
      <c r="D274" s="30" t="s">
        <v>57</v>
      </c>
      <c r="E274" s="31">
        <v>25136</v>
      </c>
      <c r="F274" s="32">
        <v>1.4E-2</v>
      </c>
      <c r="G274" s="3">
        <f t="shared" ref="G274:G275" si="114">TRUNC($E274*F274,1)</f>
        <v>351.9</v>
      </c>
      <c r="H274" s="24"/>
      <c r="I274" s="24"/>
      <c r="J274" s="24"/>
      <c r="K274" s="24"/>
      <c r="L274" s="24"/>
      <c r="M274" s="24"/>
      <c r="N274" s="4"/>
    </row>
    <row r="275" spans="2:15" ht="12.95" customHeight="1" x14ac:dyDescent="0.3">
      <c r="B275" s="156" t="s">
        <v>276</v>
      </c>
      <c r="C275" s="29" t="s">
        <v>60</v>
      </c>
      <c r="D275" s="30" t="s">
        <v>57</v>
      </c>
      <c r="E275" s="31">
        <v>29621</v>
      </c>
      <c r="F275" s="32">
        <v>8.0000000000000002E-3</v>
      </c>
      <c r="G275" s="3">
        <f t="shared" si="114"/>
        <v>236.9</v>
      </c>
      <c r="H275" s="24"/>
      <c r="I275" s="24"/>
      <c r="J275" s="24"/>
      <c r="K275" s="24"/>
      <c r="L275" s="24"/>
      <c r="M275" s="24"/>
      <c r="N275" s="4"/>
      <c r="O275" s="4"/>
    </row>
    <row r="276" spans="2:15" ht="12.95" customHeight="1" x14ac:dyDescent="0.3">
      <c r="B276" s="136" t="s">
        <v>24</v>
      </c>
      <c r="C276" s="39"/>
      <c r="D276" s="39"/>
      <c r="E276" s="37"/>
      <c r="F276" s="40"/>
      <c r="G276" s="45">
        <f>TRUNC(SUM(G274:G275))</f>
        <v>588</v>
      </c>
      <c r="H276" s="24"/>
      <c r="I276" s="24"/>
      <c r="J276" s="24"/>
      <c r="K276" s="24"/>
      <c r="L276" s="24"/>
      <c r="M276" s="24"/>
      <c r="N276" s="4"/>
      <c r="O276" s="4"/>
    </row>
    <row r="277" spans="2:15" ht="12.95" customHeight="1" x14ac:dyDescent="0.3">
      <c r="B277" s="158"/>
      <c r="C277" s="157"/>
      <c r="D277" s="157"/>
      <c r="E277" s="34"/>
      <c r="F277" s="32"/>
      <c r="G277" s="35"/>
      <c r="H277" s="152"/>
      <c r="I277" s="152"/>
      <c r="J277" s="24"/>
      <c r="K277" s="24"/>
      <c r="L277" s="24"/>
      <c r="M277" s="24"/>
      <c r="N277" s="4"/>
      <c r="O277" s="4"/>
    </row>
    <row r="278" spans="2:15" ht="12.95" customHeight="1" x14ac:dyDescent="0.3">
      <c r="B278" s="117" t="s">
        <v>26</v>
      </c>
      <c r="C278" s="41"/>
      <c r="D278" s="41"/>
      <c r="E278" s="42"/>
      <c r="F278" s="43"/>
      <c r="G278" s="44">
        <f>SUM(G266+G272+G276)</f>
        <v>4774</v>
      </c>
      <c r="H278" s="24"/>
      <c r="I278" s="24"/>
      <c r="J278" s="24"/>
      <c r="K278" s="24"/>
      <c r="L278" s="24"/>
      <c r="M278" s="24"/>
      <c r="N278" s="4"/>
      <c r="O278" s="4"/>
    </row>
    <row r="279" spans="2:15" ht="12.95" customHeight="1" x14ac:dyDescent="0.3">
      <c r="O279" s="4"/>
    </row>
    <row r="280" spans="2:15" ht="12.95" customHeight="1" x14ac:dyDescent="0.3">
      <c r="B280" s="152" t="s">
        <v>259</v>
      </c>
      <c r="C280" s="152"/>
      <c r="D280" s="24"/>
      <c r="E280" s="24"/>
      <c r="F280" s="153"/>
      <c r="G280" s="161" t="s">
        <v>42</v>
      </c>
      <c r="H280" s="153"/>
      <c r="I280" s="24"/>
      <c r="J280" s="154"/>
      <c r="K280" s="154"/>
      <c r="L280" s="24"/>
      <c r="M280" s="24"/>
      <c r="O280" s="4"/>
    </row>
    <row r="281" spans="2:15" ht="12.95" customHeight="1" x14ac:dyDescent="0.3">
      <c r="B281" s="347" t="s">
        <v>14</v>
      </c>
      <c r="C281" s="333" t="s">
        <v>31</v>
      </c>
      <c r="D281" s="333" t="s">
        <v>53</v>
      </c>
      <c r="E281" s="333" t="s">
        <v>15</v>
      </c>
      <c r="F281" s="333" t="s">
        <v>54</v>
      </c>
      <c r="G281" s="349" t="s">
        <v>17</v>
      </c>
      <c r="H281" s="25"/>
      <c r="I281" s="54"/>
      <c r="J281" s="24"/>
      <c r="K281" s="24"/>
      <c r="L281" s="24"/>
      <c r="M281" s="24"/>
      <c r="N281" s="6"/>
    </row>
    <row r="282" spans="2:15" ht="12.95" customHeight="1" x14ac:dyDescent="0.3">
      <c r="B282" s="348"/>
      <c r="C282" s="334"/>
      <c r="D282" s="334"/>
      <c r="E282" s="334"/>
      <c r="F282" s="334"/>
      <c r="G282" s="350"/>
      <c r="H282" s="25"/>
      <c r="I282" s="54"/>
      <c r="J282" s="24"/>
      <c r="K282" s="24"/>
      <c r="L282" s="24"/>
      <c r="M282" s="24"/>
      <c r="N282" s="6"/>
    </row>
    <row r="283" spans="2:15" ht="12.95" customHeight="1" x14ac:dyDescent="0.3">
      <c r="B283" s="155" t="s">
        <v>55</v>
      </c>
      <c r="C283" s="29" t="s">
        <v>56</v>
      </c>
      <c r="D283" s="30" t="s">
        <v>57</v>
      </c>
      <c r="E283" s="31">
        <v>34441</v>
      </c>
      <c r="F283" s="32">
        <v>1.2E-2</v>
      </c>
      <c r="G283" s="3">
        <f t="shared" ref="G283:G284" si="115">TRUNC($E283*F283,1)</f>
        <v>413.2</v>
      </c>
      <c r="H283" s="26"/>
      <c r="I283" s="27"/>
      <c r="J283" s="24"/>
      <c r="K283" s="24"/>
      <c r="L283" s="24"/>
      <c r="M283" s="24"/>
      <c r="N283" s="6"/>
      <c r="O283" s="6"/>
    </row>
    <row r="284" spans="2:15" ht="12.95" customHeight="1" x14ac:dyDescent="0.3">
      <c r="B284" s="156" t="s">
        <v>276</v>
      </c>
      <c r="C284" s="29" t="s">
        <v>60</v>
      </c>
      <c r="D284" s="30" t="s">
        <v>39</v>
      </c>
      <c r="E284" s="31">
        <v>35814</v>
      </c>
      <c r="F284" s="32">
        <v>4.0000000000000001E-3</v>
      </c>
      <c r="G284" s="3">
        <f t="shared" si="115"/>
        <v>143.19999999999999</v>
      </c>
      <c r="H284" s="24"/>
      <c r="I284" s="24"/>
      <c r="J284" s="24"/>
      <c r="K284" s="24"/>
      <c r="L284" s="24"/>
      <c r="M284" s="24"/>
      <c r="N284" s="6"/>
      <c r="O284" s="6"/>
    </row>
    <row r="285" spans="2:15" ht="12.95" customHeight="1" x14ac:dyDescent="0.3">
      <c r="B285" s="136" t="s">
        <v>22</v>
      </c>
      <c r="C285" s="157"/>
      <c r="D285" s="157"/>
      <c r="E285" s="34"/>
      <c r="F285" s="32"/>
      <c r="G285" s="45">
        <f>TRUNC(SUM(G283:G284))</f>
        <v>556</v>
      </c>
      <c r="H285" s="152"/>
      <c r="I285" s="152"/>
      <c r="J285" s="24"/>
      <c r="K285" s="24"/>
      <c r="L285" s="24"/>
      <c r="M285" s="24"/>
      <c r="N285" s="6"/>
      <c r="O285" s="6"/>
    </row>
    <row r="286" spans="2:15" ht="12.95" customHeight="1" x14ac:dyDescent="0.3">
      <c r="B286" s="158"/>
      <c r="C286" s="157"/>
      <c r="D286" s="157"/>
      <c r="E286" s="34"/>
      <c r="F286" s="32"/>
      <c r="G286" s="35"/>
      <c r="H286" s="152"/>
      <c r="I286" s="152"/>
      <c r="J286" s="24"/>
      <c r="K286" s="24"/>
      <c r="L286" s="24"/>
      <c r="M286" s="24"/>
      <c r="N286" s="6"/>
      <c r="O286" s="6"/>
    </row>
    <row r="287" spans="2:15" ht="12.95" customHeight="1" x14ac:dyDescent="0.3">
      <c r="B287" s="156" t="s">
        <v>66</v>
      </c>
      <c r="C287" s="162"/>
      <c r="D287" s="157" t="s">
        <v>33</v>
      </c>
      <c r="E287" s="31">
        <v>272448</v>
      </c>
      <c r="F287" s="36">
        <v>2E-3</v>
      </c>
      <c r="G287" s="3">
        <f t="shared" ref="G287:G290" si="116">TRUNC($E287*F287,1)</f>
        <v>544.79999999999995</v>
      </c>
      <c r="H287" s="24"/>
      <c r="I287" s="24"/>
      <c r="J287" s="24"/>
      <c r="K287" s="24"/>
      <c r="L287" s="24"/>
      <c r="M287" s="24"/>
      <c r="O287" s="6"/>
    </row>
    <row r="288" spans="2:15" ht="12.95" customHeight="1" x14ac:dyDescent="0.3">
      <c r="B288" s="156" t="s">
        <v>25</v>
      </c>
      <c r="C288" s="29"/>
      <c r="D288" s="157" t="s">
        <v>33</v>
      </c>
      <c r="E288" s="31">
        <v>172068</v>
      </c>
      <c r="F288" s="32">
        <v>3.0000000000000001E-3</v>
      </c>
      <c r="G288" s="3">
        <f t="shared" si="116"/>
        <v>516.20000000000005</v>
      </c>
      <c r="H288" s="24"/>
      <c r="I288" s="24"/>
      <c r="J288" s="24"/>
      <c r="K288" s="24"/>
      <c r="L288" s="24"/>
      <c r="M288" s="24"/>
      <c r="O288" s="6"/>
    </row>
    <row r="289" spans="2:17" ht="12.95" customHeight="1" x14ac:dyDescent="0.3">
      <c r="B289" s="155" t="s">
        <v>55</v>
      </c>
      <c r="C289" s="29" t="s">
        <v>56</v>
      </c>
      <c r="D289" s="30" t="s">
        <v>57</v>
      </c>
      <c r="E289" s="31">
        <v>58925</v>
      </c>
      <c r="F289" s="32">
        <v>1.2E-2</v>
      </c>
      <c r="G289" s="3">
        <f t="shared" si="116"/>
        <v>707.1</v>
      </c>
      <c r="H289" s="24"/>
      <c r="I289" s="24"/>
      <c r="J289" s="24"/>
      <c r="K289" s="24"/>
      <c r="L289" s="24"/>
      <c r="M289" s="24"/>
      <c r="N289" s="4"/>
    </row>
    <row r="290" spans="2:17" ht="12.95" customHeight="1" x14ac:dyDescent="0.3">
      <c r="B290" s="156" t="s">
        <v>276</v>
      </c>
      <c r="C290" s="29" t="s">
        <v>60</v>
      </c>
      <c r="D290" s="30" t="s">
        <v>57</v>
      </c>
      <c r="E290" s="31">
        <v>58925</v>
      </c>
      <c r="F290" s="32">
        <v>4.0000000000000001E-3</v>
      </c>
      <c r="G290" s="3">
        <f t="shared" si="116"/>
        <v>235.7</v>
      </c>
      <c r="H290" s="24"/>
      <c r="I290" s="24"/>
      <c r="J290" s="24"/>
      <c r="K290" s="24"/>
      <c r="L290" s="24"/>
      <c r="M290" s="24"/>
      <c r="N290" s="4"/>
    </row>
    <row r="291" spans="2:17" ht="12.95" customHeight="1" x14ac:dyDescent="0.3">
      <c r="B291" s="102" t="s">
        <v>23</v>
      </c>
      <c r="C291" s="159"/>
      <c r="D291" s="159"/>
      <c r="E291" s="160"/>
      <c r="F291" s="32"/>
      <c r="G291" s="45">
        <f>TRUNC(SUM(G287:G290))</f>
        <v>2003</v>
      </c>
      <c r="H291" s="24"/>
      <c r="I291" s="24"/>
      <c r="J291" s="24"/>
      <c r="K291" s="24"/>
      <c r="L291" s="24"/>
      <c r="M291" s="24"/>
      <c r="N291" s="4"/>
      <c r="O291" s="4"/>
    </row>
    <row r="292" spans="2:17" ht="12.95" customHeight="1" x14ac:dyDescent="0.3">
      <c r="B292" s="158"/>
      <c r="C292" s="157"/>
      <c r="D292" s="157"/>
      <c r="E292" s="34"/>
      <c r="F292" s="32"/>
      <c r="G292" s="35"/>
      <c r="H292" s="152"/>
      <c r="I292" s="152"/>
      <c r="J292" s="24"/>
      <c r="K292" s="24"/>
      <c r="L292" s="24"/>
      <c r="M292" s="24"/>
      <c r="N292" s="4"/>
      <c r="O292" s="4"/>
    </row>
    <row r="293" spans="2:17" ht="12.95" customHeight="1" x14ac:dyDescent="0.3">
      <c r="B293" s="155" t="s">
        <v>55</v>
      </c>
      <c r="C293" s="29" t="s">
        <v>56</v>
      </c>
      <c r="D293" s="30" t="s">
        <v>57</v>
      </c>
      <c r="E293" s="31">
        <v>25136</v>
      </c>
      <c r="F293" s="32">
        <v>1.2E-2</v>
      </c>
      <c r="G293" s="3">
        <f t="shared" ref="G293:G294" si="117">TRUNC($E293*F293,1)</f>
        <v>301.60000000000002</v>
      </c>
      <c r="H293" s="24"/>
      <c r="I293" s="24"/>
      <c r="J293" s="24"/>
      <c r="K293" s="24"/>
      <c r="L293" s="24"/>
      <c r="M293" s="24"/>
      <c r="N293" s="4"/>
      <c r="O293" s="4"/>
    </row>
    <row r="294" spans="2:17" ht="12.95" customHeight="1" x14ac:dyDescent="0.3">
      <c r="B294" s="156" t="s">
        <v>276</v>
      </c>
      <c r="C294" s="29" t="s">
        <v>60</v>
      </c>
      <c r="D294" s="30" t="s">
        <v>57</v>
      </c>
      <c r="E294" s="31">
        <v>29621</v>
      </c>
      <c r="F294" s="32">
        <v>4.0000000000000001E-3</v>
      </c>
      <c r="G294" s="3">
        <f t="shared" si="117"/>
        <v>118.4</v>
      </c>
      <c r="H294" s="24"/>
      <c r="I294" s="24"/>
      <c r="J294" s="24"/>
      <c r="K294" s="24"/>
      <c r="L294" s="24"/>
      <c r="M294" s="24"/>
      <c r="N294" s="4"/>
      <c r="O294" s="4"/>
    </row>
    <row r="295" spans="2:17" ht="12.95" customHeight="1" x14ac:dyDescent="0.3">
      <c r="B295" s="136" t="s">
        <v>24</v>
      </c>
      <c r="C295" s="39"/>
      <c r="D295" s="39"/>
      <c r="E295" s="37"/>
      <c r="F295" s="40"/>
      <c r="G295" s="45">
        <f>TRUNC(SUM(G293:G294))</f>
        <v>420</v>
      </c>
      <c r="H295" s="24"/>
      <c r="I295" s="24"/>
      <c r="J295" s="24"/>
      <c r="K295" s="24"/>
      <c r="L295" s="24"/>
      <c r="M295" s="24"/>
      <c r="N295" s="4"/>
      <c r="O295" s="4"/>
    </row>
    <row r="296" spans="2:17" ht="12.95" customHeight="1" x14ac:dyDescent="0.3">
      <c r="B296" s="158"/>
      <c r="C296" s="157"/>
      <c r="D296" s="157"/>
      <c r="E296" s="34"/>
      <c r="F296" s="32"/>
      <c r="G296" s="35"/>
      <c r="H296" s="152"/>
      <c r="I296" s="152"/>
      <c r="J296" s="24"/>
      <c r="K296" s="24"/>
      <c r="L296" s="24"/>
      <c r="M296" s="24"/>
      <c r="N296" s="4"/>
      <c r="O296" s="4"/>
    </row>
    <row r="297" spans="2:17" ht="12.95" customHeight="1" x14ac:dyDescent="0.3">
      <c r="B297" s="117" t="s">
        <v>26</v>
      </c>
      <c r="C297" s="41"/>
      <c r="D297" s="41"/>
      <c r="E297" s="42"/>
      <c r="F297" s="43"/>
      <c r="G297" s="44">
        <f>SUM(G285+G291+G295)</f>
        <v>2979</v>
      </c>
      <c r="H297" s="24"/>
      <c r="I297" s="24"/>
      <c r="J297" s="24"/>
      <c r="K297" s="24"/>
      <c r="L297" s="24"/>
      <c r="M297" s="24"/>
      <c r="N297" s="4"/>
      <c r="O297" s="4"/>
    </row>
    <row r="298" spans="2:17" ht="12.95" customHeight="1" x14ac:dyDescent="0.3">
      <c r="N298" s="24"/>
      <c r="O298" s="24"/>
      <c r="P298" s="4"/>
      <c r="Q298" s="4"/>
    </row>
    <row r="299" spans="2:17" ht="12.95" customHeight="1" x14ac:dyDescent="0.3">
      <c r="B299" s="152" t="s">
        <v>182</v>
      </c>
      <c r="C299" s="152"/>
      <c r="D299" s="24"/>
      <c r="E299" s="24"/>
      <c r="F299" s="153"/>
      <c r="G299" s="161" t="s">
        <v>42</v>
      </c>
      <c r="H299" s="24"/>
      <c r="I299" s="24"/>
      <c r="J299" s="24"/>
      <c r="K299" s="24"/>
      <c r="L299" s="24"/>
      <c r="M299" s="24"/>
      <c r="N299" s="24"/>
      <c r="O299" s="24"/>
      <c r="P299" s="4"/>
      <c r="Q299" s="4"/>
    </row>
    <row r="300" spans="2:17" ht="12.95" customHeight="1" x14ac:dyDescent="0.3">
      <c r="B300" s="347" t="s">
        <v>14</v>
      </c>
      <c r="C300" s="333" t="s">
        <v>31</v>
      </c>
      <c r="D300" s="333" t="s">
        <v>53</v>
      </c>
      <c r="E300" s="333" t="s">
        <v>15</v>
      </c>
      <c r="F300" s="333" t="s">
        <v>54</v>
      </c>
      <c r="G300" s="349" t="s">
        <v>17</v>
      </c>
      <c r="H300" s="24"/>
      <c r="I300" s="24"/>
      <c r="J300" s="24"/>
      <c r="K300" s="24"/>
      <c r="L300" s="24"/>
      <c r="M300" s="24"/>
      <c r="N300" s="24"/>
      <c r="O300" s="24"/>
      <c r="P300" s="4"/>
      <c r="Q300" s="4"/>
    </row>
    <row r="301" spans="2:17" ht="12.95" customHeight="1" x14ac:dyDescent="0.3">
      <c r="B301" s="348"/>
      <c r="C301" s="334"/>
      <c r="D301" s="334"/>
      <c r="E301" s="334"/>
      <c r="F301" s="334"/>
      <c r="G301" s="350"/>
      <c r="H301" s="24"/>
      <c r="I301" s="24"/>
      <c r="J301" s="24"/>
      <c r="K301" s="24"/>
      <c r="L301" s="24"/>
      <c r="M301" s="24"/>
      <c r="N301" s="24"/>
      <c r="O301" s="24"/>
      <c r="P301" s="4"/>
      <c r="Q301" s="4"/>
    </row>
    <row r="302" spans="2:17" ht="12.95" customHeight="1" x14ac:dyDescent="0.3">
      <c r="B302" s="163" t="s">
        <v>68</v>
      </c>
      <c r="C302" s="164"/>
      <c r="D302" s="51" t="s">
        <v>77</v>
      </c>
      <c r="E302" s="165">
        <v>0</v>
      </c>
      <c r="F302" s="32">
        <v>0.35</v>
      </c>
      <c r="G302" s="3">
        <f t="shared" ref="G302:G305" si="118">TRUNC($E302*F302,1)</f>
        <v>0</v>
      </c>
      <c r="H302" s="24"/>
      <c r="I302" s="24"/>
      <c r="J302" s="24"/>
      <c r="K302" s="24"/>
      <c r="L302" s="24"/>
      <c r="M302" s="24"/>
      <c r="N302" s="24"/>
      <c r="O302" s="24"/>
      <c r="P302" s="4"/>
      <c r="Q302" s="4"/>
    </row>
    <row r="303" spans="2:17" ht="12.95" customHeight="1" x14ac:dyDescent="0.3">
      <c r="B303" s="163" t="s">
        <v>69</v>
      </c>
      <c r="C303" s="164"/>
      <c r="D303" s="51" t="s">
        <v>70</v>
      </c>
      <c r="E303" s="37">
        <v>0</v>
      </c>
      <c r="F303" s="32">
        <v>1</v>
      </c>
      <c r="G303" s="3">
        <f t="shared" si="118"/>
        <v>0</v>
      </c>
      <c r="H303" s="24"/>
      <c r="I303" s="24"/>
      <c r="J303" s="24"/>
      <c r="K303" s="24"/>
      <c r="L303" s="24"/>
      <c r="M303" s="24"/>
      <c r="N303" s="24"/>
      <c r="O303" s="24"/>
      <c r="P303" s="4"/>
      <c r="Q303" s="4"/>
    </row>
    <row r="304" spans="2:17" ht="12.95" customHeight="1" x14ac:dyDescent="0.3">
      <c r="B304" s="163" t="s">
        <v>71</v>
      </c>
      <c r="C304" s="164"/>
      <c r="D304" s="51" t="s">
        <v>70</v>
      </c>
      <c r="E304" s="166">
        <v>0</v>
      </c>
      <c r="F304" s="32">
        <v>8.0000000000000002E-3</v>
      </c>
      <c r="G304" s="3">
        <f t="shared" si="118"/>
        <v>0</v>
      </c>
      <c r="H304" s="24"/>
      <c r="I304" s="24"/>
      <c r="J304" s="24"/>
      <c r="K304" s="24"/>
      <c r="L304" s="24"/>
      <c r="M304" s="24"/>
      <c r="N304" s="24"/>
      <c r="O304" s="24"/>
      <c r="P304" s="4"/>
      <c r="Q304" s="4"/>
    </row>
    <row r="305" spans="2:17" ht="12.95" customHeight="1" x14ac:dyDescent="0.3">
      <c r="B305" s="156" t="s">
        <v>72</v>
      </c>
      <c r="C305" s="55" t="s">
        <v>73</v>
      </c>
      <c r="D305" s="30" t="s">
        <v>57</v>
      </c>
      <c r="E305" s="31">
        <v>24797</v>
      </c>
      <c r="F305" s="32">
        <v>7.3999999999999996E-2</v>
      </c>
      <c r="G305" s="3">
        <f t="shared" si="118"/>
        <v>1834.9</v>
      </c>
      <c r="H305" s="24"/>
      <c r="I305" s="24"/>
      <c r="J305" s="24"/>
      <c r="K305" s="24"/>
      <c r="L305" s="24"/>
      <c r="M305" s="24"/>
      <c r="N305" s="24"/>
      <c r="O305" s="24"/>
      <c r="P305" s="4"/>
      <c r="Q305" s="4"/>
    </row>
    <row r="306" spans="2:17" ht="12.95" customHeight="1" x14ac:dyDescent="0.3">
      <c r="B306" s="136" t="s">
        <v>22</v>
      </c>
      <c r="C306" s="167"/>
      <c r="D306" s="157"/>
      <c r="E306" s="34"/>
      <c r="F306" s="32"/>
      <c r="G306" s="45">
        <f>TRUNC(SUM(G302:G305))</f>
        <v>1834</v>
      </c>
      <c r="H306" s="24"/>
      <c r="I306" s="24"/>
      <c r="J306" s="24"/>
      <c r="K306" s="24"/>
      <c r="L306" s="24"/>
      <c r="M306" s="24"/>
      <c r="N306" s="24"/>
      <c r="O306" s="24"/>
      <c r="Q306" s="4"/>
    </row>
    <row r="307" spans="2:17" ht="12.95" customHeight="1" x14ac:dyDescent="0.3">
      <c r="B307" s="158"/>
      <c r="C307" s="167"/>
      <c r="D307" s="157"/>
      <c r="E307" s="34"/>
      <c r="F307" s="32"/>
      <c r="G307" s="35"/>
      <c r="H307" s="24"/>
      <c r="I307" s="24"/>
      <c r="J307" s="24"/>
      <c r="K307" s="24"/>
      <c r="L307" s="24"/>
      <c r="M307" s="24"/>
      <c r="N307" s="24"/>
      <c r="O307" s="24"/>
      <c r="Q307" s="4"/>
    </row>
    <row r="308" spans="2:17" ht="12.95" customHeight="1" x14ac:dyDescent="0.3">
      <c r="B308" s="156" t="s">
        <v>66</v>
      </c>
      <c r="C308" s="167"/>
      <c r="D308" s="157" t="s">
        <v>33</v>
      </c>
      <c r="E308" s="31">
        <v>272448</v>
      </c>
      <c r="F308" s="32">
        <v>4.1000000000000002E-2</v>
      </c>
      <c r="G308" s="3">
        <f t="shared" ref="G308:G311" si="119">TRUNC($E308*F308,1)</f>
        <v>11170.3</v>
      </c>
      <c r="H308" s="24"/>
      <c r="I308" s="24"/>
      <c r="J308" s="24"/>
      <c r="K308" s="24"/>
      <c r="L308" s="24"/>
      <c r="M308" s="24"/>
      <c r="N308" s="24"/>
      <c r="O308" s="24"/>
    </row>
    <row r="309" spans="2:17" ht="12.95" customHeight="1" x14ac:dyDescent="0.3">
      <c r="B309" s="156" t="s">
        <v>25</v>
      </c>
      <c r="C309" s="55"/>
      <c r="D309" s="157" t="s">
        <v>33</v>
      </c>
      <c r="E309" s="31">
        <v>172068</v>
      </c>
      <c r="F309" s="32">
        <v>0.10299999999999999</v>
      </c>
      <c r="G309" s="3">
        <f t="shared" si="119"/>
        <v>17723</v>
      </c>
      <c r="H309" s="24"/>
      <c r="I309" s="24"/>
      <c r="J309" s="24"/>
      <c r="K309" s="24"/>
      <c r="L309" s="24"/>
      <c r="M309" s="24"/>
      <c r="N309" s="24"/>
      <c r="O309" s="24"/>
    </row>
    <row r="310" spans="2:17" ht="12.95" customHeight="1" x14ac:dyDescent="0.3">
      <c r="B310" s="155" t="s">
        <v>74</v>
      </c>
      <c r="C310" s="167"/>
      <c r="D310" s="157" t="s">
        <v>33</v>
      </c>
      <c r="E310" s="31">
        <v>222306</v>
      </c>
      <c r="F310" s="32">
        <v>4.1000000000000002E-2</v>
      </c>
      <c r="G310" s="3">
        <f t="shared" si="119"/>
        <v>9114.5</v>
      </c>
      <c r="H310" s="24"/>
      <c r="I310" s="24"/>
      <c r="J310" s="24"/>
      <c r="K310" s="24"/>
      <c r="L310" s="24"/>
      <c r="M310" s="24"/>
      <c r="N310" s="24"/>
      <c r="O310" s="24"/>
    </row>
    <row r="311" spans="2:17" ht="12.95" customHeight="1" x14ac:dyDescent="0.3">
      <c r="B311" s="156" t="s">
        <v>72</v>
      </c>
      <c r="C311" s="55" t="s">
        <v>73</v>
      </c>
      <c r="D311" s="30" t="s">
        <v>57</v>
      </c>
      <c r="E311" s="31">
        <v>58925</v>
      </c>
      <c r="F311" s="32">
        <v>7.3999999999999996E-2</v>
      </c>
      <c r="G311" s="3">
        <f t="shared" si="119"/>
        <v>4360.3999999999996</v>
      </c>
      <c r="H311" s="24"/>
      <c r="I311" s="24"/>
      <c r="J311" s="24"/>
      <c r="K311" s="24"/>
      <c r="L311" s="24"/>
      <c r="M311" s="24"/>
      <c r="N311" s="24"/>
      <c r="O311" s="24"/>
    </row>
    <row r="312" spans="2:17" ht="12.95" customHeight="1" x14ac:dyDescent="0.3">
      <c r="B312" s="102" t="s">
        <v>23</v>
      </c>
      <c r="C312" s="160"/>
      <c r="D312" s="159"/>
      <c r="E312" s="160"/>
      <c r="F312" s="32"/>
      <c r="G312" s="45">
        <f>TRUNC(SUM(G308:G311))</f>
        <v>42368</v>
      </c>
      <c r="H312" s="24"/>
      <c r="I312" s="24"/>
      <c r="J312" s="24"/>
      <c r="K312" s="24"/>
      <c r="L312" s="24"/>
      <c r="M312" s="24"/>
      <c r="N312" s="24"/>
      <c r="O312" s="24"/>
    </row>
    <row r="313" spans="2:17" ht="12.95" customHeight="1" x14ac:dyDescent="0.3">
      <c r="B313" s="158"/>
      <c r="C313" s="160"/>
      <c r="D313" s="159"/>
      <c r="E313" s="160"/>
      <c r="F313" s="32"/>
      <c r="G313" s="35"/>
      <c r="H313" s="24"/>
      <c r="I313" s="24"/>
      <c r="J313" s="24"/>
      <c r="K313" s="24"/>
      <c r="L313" s="24"/>
      <c r="M313" s="24"/>
      <c r="N313" s="24"/>
      <c r="O313" s="24"/>
    </row>
    <row r="314" spans="2:17" ht="12.95" customHeight="1" x14ac:dyDescent="0.3">
      <c r="B314" s="155" t="s">
        <v>75</v>
      </c>
      <c r="C314" s="55" t="s">
        <v>76</v>
      </c>
      <c r="D314" s="30" t="s">
        <v>57</v>
      </c>
      <c r="E314" s="31">
        <v>776</v>
      </c>
      <c r="F314" s="32">
        <v>0.20300000000000001</v>
      </c>
      <c r="G314" s="3">
        <f t="shared" ref="G314:G315" si="120">TRUNC($E314*F314,1)</f>
        <v>157.5</v>
      </c>
      <c r="H314" s="24"/>
      <c r="I314" s="24"/>
      <c r="J314" s="24"/>
      <c r="K314" s="24"/>
      <c r="L314" s="24"/>
      <c r="M314" s="24"/>
      <c r="N314" s="24"/>
      <c r="O314" s="24"/>
    </row>
    <row r="315" spans="2:17" ht="12.95" customHeight="1" x14ac:dyDescent="0.3">
      <c r="B315" s="156" t="s">
        <v>72</v>
      </c>
      <c r="C315" s="55" t="s">
        <v>73</v>
      </c>
      <c r="D315" s="30" t="s">
        <v>57</v>
      </c>
      <c r="E315" s="31">
        <v>5883</v>
      </c>
      <c r="F315" s="32">
        <v>7.3999999999999996E-2</v>
      </c>
      <c r="G315" s="3">
        <f t="shared" si="120"/>
        <v>435.3</v>
      </c>
      <c r="H315" s="24"/>
      <c r="I315" s="24"/>
      <c r="J315" s="24"/>
      <c r="K315" s="24"/>
      <c r="L315" s="24"/>
      <c r="M315" s="24"/>
      <c r="N315" s="24"/>
      <c r="O315" s="24"/>
    </row>
    <row r="316" spans="2:17" ht="12.95" customHeight="1" x14ac:dyDescent="0.3">
      <c r="B316" s="136" t="s">
        <v>24</v>
      </c>
      <c r="C316" s="164"/>
      <c r="D316" s="39"/>
      <c r="E316" s="37"/>
      <c r="F316" s="40"/>
      <c r="G316" s="45">
        <f>TRUNC(SUM(G314:G315))</f>
        <v>592</v>
      </c>
      <c r="H316" s="24"/>
      <c r="I316" s="24"/>
      <c r="J316" s="24"/>
      <c r="K316" s="24"/>
      <c r="L316" s="24"/>
      <c r="M316" s="24"/>
      <c r="N316" s="24"/>
      <c r="O316" s="24"/>
      <c r="P316" s="6"/>
    </row>
    <row r="317" spans="2:17" ht="12.95" customHeight="1" x14ac:dyDescent="0.3">
      <c r="B317" s="158"/>
      <c r="C317" s="164"/>
      <c r="D317" s="39"/>
      <c r="E317" s="37"/>
      <c r="F317" s="40"/>
      <c r="G317" s="35"/>
      <c r="H317" s="24"/>
      <c r="I317" s="24"/>
      <c r="J317" s="24"/>
      <c r="K317" s="24"/>
      <c r="L317" s="24"/>
      <c r="M317" s="24"/>
      <c r="N317" s="24"/>
      <c r="O317" s="24"/>
      <c r="P317" s="6"/>
    </row>
    <row r="318" spans="2:17" ht="12.95" customHeight="1" x14ac:dyDescent="0.3">
      <c r="B318" s="117" t="s">
        <v>26</v>
      </c>
      <c r="C318" s="168"/>
      <c r="D318" s="41"/>
      <c r="E318" s="42"/>
      <c r="F318" s="43"/>
      <c r="G318" s="44">
        <f>SUM(G306+G312+G316)</f>
        <v>44794</v>
      </c>
      <c r="H318" s="169"/>
      <c r="I318" s="53"/>
      <c r="J318" s="54"/>
      <c r="K318" s="152"/>
      <c r="L318" s="24"/>
      <c r="M318" s="24"/>
      <c r="N318" s="24"/>
      <c r="O318" s="24"/>
      <c r="P318" s="6"/>
    </row>
    <row r="319" spans="2:17" ht="12.95" customHeight="1" x14ac:dyDescent="0.3">
      <c r="B319" s="170"/>
      <c r="C319" s="49"/>
      <c r="D319" s="49"/>
      <c r="E319" s="50"/>
      <c r="F319" s="27"/>
      <c r="G319" s="27"/>
      <c r="H319" s="169"/>
      <c r="I319" s="53"/>
      <c r="J319" s="54"/>
      <c r="K319" s="152"/>
      <c r="L319" s="24"/>
      <c r="M319" s="24"/>
      <c r="N319" s="24"/>
      <c r="O319" s="24"/>
      <c r="P319" s="6"/>
    </row>
    <row r="320" spans="2:17" ht="12.95" customHeight="1" x14ac:dyDescent="0.3">
      <c r="B320" s="152" t="s">
        <v>260</v>
      </c>
      <c r="C320" s="152"/>
      <c r="D320" s="24"/>
      <c r="E320" s="24"/>
      <c r="F320" s="153"/>
      <c r="G320" s="161" t="s">
        <v>42</v>
      </c>
      <c r="H320" s="153"/>
      <c r="I320" s="24"/>
      <c r="J320" s="154"/>
      <c r="K320" s="154"/>
      <c r="N320" s="24"/>
      <c r="O320" s="24"/>
      <c r="P320" s="6"/>
    </row>
    <row r="321" spans="2:18" ht="12.95" customHeight="1" x14ac:dyDescent="0.3">
      <c r="B321" s="347" t="s">
        <v>14</v>
      </c>
      <c r="C321" s="333" t="s">
        <v>31</v>
      </c>
      <c r="D321" s="333" t="s">
        <v>53</v>
      </c>
      <c r="E321" s="333" t="s">
        <v>15</v>
      </c>
      <c r="F321" s="333" t="s">
        <v>54</v>
      </c>
      <c r="G321" s="349" t="s">
        <v>17</v>
      </c>
      <c r="H321" s="25"/>
      <c r="I321" s="54"/>
      <c r="J321" s="24"/>
      <c r="K321" s="24"/>
      <c r="N321" s="24"/>
      <c r="O321" s="24"/>
      <c r="P321" s="6"/>
    </row>
    <row r="322" spans="2:18" ht="12.95" customHeight="1" x14ac:dyDescent="0.3">
      <c r="B322" s="348"/>
      <c r="C322" s="334"/>
      <c r="D322" s="334"/>
      <c r="E322" s="334"/>
      <c r="F322" s="334"/>
      <c r="G322" s="350"/>
      <c r="H322" s="25"/>
      <c r="I322" s="54"/>
      <c r="J322" s="24"/>
      <c r="K322" s="24"/>
      <c r="L322" s="24"/>
      <c r="M322" s="24"/>
      <c r="N322" s="24"/>
      <c r="O322" s="24"/>
      <c r="P322" s="6"/>
    </row>
    <row r="323" spans="2:18" ht="12.95" customHeight="1" x14ac:dyDescent="0.3">
      <c r="B323" s="155" t="s">
        <v>55</v>
      </c>
      <c r="C323" s="29" t="s">
        <v>56</v>
      </c>
      <c r="D323" s="30" t="s">
        <v>57</v>
      </c>
      <c r="E323" s="31">
        <v>34441</v>
      </c>
      <c r="F323" s="32">
        <v>0.121</v>
      </c>
      <c r="G323" s="3">
        <f>TRUNC($E323*F323,1)</f>
        <v>4167.3</v>
      </c>
      <c r="H323" s="26"/>
      <c r="I323" s="27"/>
      <c r="J323" s="24"/>
      <c r="K323" s="24"/>
      <c r="L323" s="24"/>
      <c r="M323" s="24"/>
      <c r="N323" s="24"/>
      <c r="O323" s="24"/>
    </row>
    <row r="324" spans="2:18" ht="12.95" customHeight="1" x14ac:dyDescent="0.3">
      <c r="B324" s="155" t="s">
        <v>58</v>
      </c>
      <c r="C324" s="29" t="s">
        <v>59</v>
      </c>
      <c r="D324" s="30" t="s">
        <v>39</v>
      </c>
      <c r="E324" s="31">
        <v>8027</v>
      </c>
      <c r="F324" s="32">
        <v>0.48599999999999999</v>
      </c>
      <c r="G324" s="3">
        <f>TRUNC($E324*F324,1)</f>
        <v>3901.1</v>
      </c>
      <c r="H324" s="26"/>
      <c r="I324" s="27"/>
      <c r="J324" s="24"/>
      <c r="K324" s="24"/>
      <c r="L324" s="24"/>
      <c r="M324" s="24"/>
      <c r="N324" s="24"/>
      <c r="O324" s="24"/>
    </row>
    <row r="325" spans="2:18" ht="12.95" customHeight="1" x14ac:dyDescent="0.3">
      <c r="B325" s="156" t="s">
        <v>276</v>
      </c>
      <c r="C325" s="29" t="s">
        <v>60</v>
      </c>
      <c r="D325" s="30" t="s">
        <v>39</v>
      </c>
      <c r="E325" s="31">
        <v>35814</v>
      </c>
      <c r="F325" s="32">
        <v>0.121</v>
      </c>
      <c r="G325" s="3">
        <f>TRUNC($E325*F325,1)</f>
        <v>4333.3999999999996</v>
      </c>
      <c r="H325" s="24"/>
      <c r="I325" s="24"/>
      <c r="J325" s="24"/>
      <c r="K325" s="24"/>
      <c r="L325" s="24"/>
      <c r="M325" s="24"/>
      <c r="N325" s="24"/>
      <c r="O325" s="24"/>
    </row>
    <row r="326" spans="2:18" ht="12.95" customHeight="1" x14ac:dyDescent="0.3">
      <c r="B326" s="136" t="s">
        <v>22</v>
      </c>
      <c r="C326" s="157"/>
      <c r="D326" s="157"/>
      <c r="E326" s="34"/>
      <c r="F326" s="32"/>
      <c r="G326" s="45">
        <f>TRUNC(SUM(G323:G325))</f>
        <v>12401</v>
      </c>
      <c r="H326" s="152"/>
      <c r="I326" s="152"/>
      <c r="J326" s="24"/>
      <c r="K326" s="24"/>
      <c r="L326" s="24"/>
      <c r="M326" s="24"/>
      <c r="N326" s="24"/>
      <c r="O326" s="24"/>
    </row>
    <row r="327" spans="2:18" ht="12.95" customHeight="1" x14ac:dyDescent="0.3">
      <c r="B327" s="158"/>
      <c r="C327" s="157"/>
      <c r="D327" s="157"/>
      <c r="E327" s="34"/>
      <c r="F327" s="32"/>
      <c r="G327" s="35"/>
      <c r="H327" s="152"/>
      <c r="I327" s="152"/>
      <c r="J327" s="24"/>
      <c r="K327" s="24"/>
      <c r="L327" s="24"/>
      <c r="M327" s="24"/>
      <c r="N327" s="67"/>
      <c r="O327" s="63"/>
      <c r="P327" s="24"/>
      <c r="Q327" s="24"/>
    </row>
    <row r="328" spans="2:18" ht="12.95" customHeight="1" x14ac:dyDescent="0.3">
      <c r="B328" s="156" t="s">
        <v>62</v>
      </c>
      <c r="C328" s="167"/>
      <c r="D328" s="30" t="s">
        <v>33</v>
      </c>
      <c r="E328" s="171">
        <v>241698</v>
      </c>
      <c r="F328" s="36">
        <v>6.8000000000000005E-2</v>
      </c>
      <c r="G328" s="3">
        <f>TRUNC($E328*F328,1)</f>
        <v>16435.400000000001</v>
      </c>
      <c r="H328" s="24"/>
      <c r="I328" s="24"/>
      <c r="J328" s="24"/>
      <c r="K328" s="24"/>
      <c r="L328" s="24"/>
      <c r="M328" s="24"/>
      <c r="N328" s="65"/>
      <c r="O328" s="66"/>
      <c r="P328" s="24"/>
      <c r="Q328" s="24"/>
      <c r="R328" s="4"/>
    </row>
    <row r="329" spans="2:18" ht="12.95" customHeight="1" x14ac:dyDescent="0.3">
      <c r="B329" s="156" t="s">
        <v>1</v>
      </c>
      <c r="C329" s="30"/>
      <c r="D329" s="30" t="s">
        <v>33</v>
      </c>
      <c r="E329" s="31">
        <v>226122</v>
      </c>
      <c r="F329" s="32">
        <v>0.27100000000000002</v>
      </c>
      <c r="G329" s="3">
        <f>TRUNC($E329*F329,1)</f>
        <v>61279</v>
      </c>
      <c r="H329" s="24"/>
      <c r="I329" s="24"/>
      <c r="J329" s="24"/>
      <c r="K329" s="24"/>
      <c r="L329" s="24"/>
      <c r="M329" s="24"/>
      <c r="N329" s="64"/>
      <c r="O329" s="64"/>
      <c r="P329" s="24"/>
      <c r="Q329" s="24"/>
      <c r="R329" s="4"/>
    </row>
    <row r="330" spans="2:18" ht="12.95" customHeight="1" x14ac:dyDescent="0.3">
      <c r="B330" s="155" t="s">
        <v>55</v>
      </c>
      <c r="C330" s="29" t="s">
        <v>56</v>
      </c>
      <c r="D330" s="30" t="s">
        <v>57</v>
      </c>
      <c r="E330" s="31">
        <v>58925</v>
      </c>
      <c r="F330" s="32">
        <v>0.121</v>
      </c>
      <c r="G330" s="3">
        <f>TRUNC($E330*F330,1)</f>
        <v>7129.9</v>
      </c>
      <c r="H330" s="24"/>
      <c r="I330" s="24"/>
      <c r="J330" s="24"/>
      <c r="K330" s="24"/>
      <c r="L330" s="24"/>
      <c r="M330" s="24"/>
      <c r="N330" s="64"/>
      <c r="O330" s="64"/>
      <c r="P330" s="24"/>
      <c r="Q330" s="24"/>
      <c r="R330" s="4"/>
    </row>
    <row r="331" spans="2:18" ht="12.95" customHeight="1" x14ac:dyDescent="0.3">
      <c r="B331" s="155" t="s">
        <v>58</v>
      </c>
      <c r="C331" s="29" t="s">
        <v>59</v>
      </c>
      <c r="D331" s="30" t="s">
        <v>57</v>
      </c>
      <c r="E331" s="31">
        <v>36190</v>
      </c>
      <c r="F331" s="32">
        <v>0.48599999999999999</v>
      </c>
      <c r="G331" s="3">
        <f>TRUNC($E331*F331,1)</f>
        <v>17588.3</v>
      </c>
      <c r="H331" s="24"/>
      <c r="I331" s="24"/>
      <c r="J331" s="24"/>
      <c r="K331" s="24"/>
      <c r="L331" s="24"/>
      <c r="M331" s="24"/>
      <c r="N331" s="61"/>
      <c r="O331" s="61"/>
      <c r="P331" s="4"/>
    </row>
    <row r="332" spans="2:18" ht="12.95" customHeight="1" x14ac:dyDescent="0.3">
      <c r="B332" s="156" t="s">
        <v>276</v>
      </c>
      <c r="C332" s="29" t="s">
        <v>60</v>
      </c>
      <c r="D332" s="30" t="s">
        <v>57</v>
      </c>
      <c r="E332" s="31">
        <v>58925</v>
      </c>
      <c r="F332" s="32">
        <v>0.121</v>
      </c>
      <c r="G332" s="3">
        <f>TRUNC($E332*F332,1)</f>
        <v>7129.9</v>
      </c>
      <c r="H332" s="24"/>
      <c r="I332" s="24"/>
      <c r="J332" s="24"/>
      <c r="K332" s="24"/>
      <c r="L332" s="24"/>
      <c r="M332" s="24"/>
      <c r="N332" s="61"/>
      <c r="O332" s="61"/>
      <c r="P332" s="4"/>
    </row>
    <row r="333" spans="2:18" ht="12.95" customHeight="1" x14ac:dyDescent="0.3">
      <c r="B333" s="102" t="s">
        <v>23</v>
      </c>
      <c r="C333" s="159"/>
      <c r="D333" s="159"/>
      <c r="E333" s="160"/>
      <c r="F333" s="38"/>
      <c r="G333" s="45">
        <f>TRUNC(SUM(G328:G332))</f>
        <v>109562</v>
      </c>
      <c r="H333" s="24"/>
      <c r="I333" s="24"/>
      <c r="J333" s="24"/>
      <c r="K333" s="24"/>
      <c r="L333" s="24"/>
      <c r="M333" s="24"/>
      <c r="N333" s="61"/>
      <c r="O333" s="61"/>
      <c r="P333" s="4"/>
    </row>
    <row r="334" spans="2:18" ht="12.95" customHeight="1" x14ac:dyDescent="0.3">
      <c r="B334" s="158"/>
      <c r="C334" s="157"/>
      <c r="D334" s="157"/>
      <c r="E334" s="34"/>
      <c r="F334" s="32"/>
      <c r="G334" s="35"/>
      <c r="H334" s="152"/>
      <c r="I334" s="152"/>
      <c r="J334" s="24"/>
      <c r="K334" s="24"/>
      <c r="L334" s="24"/>
      <c r="M334" s="24"/>
      <c r="N334" s="61"/>
      <c r="O334" s="61"/>
    </row>
    <row r="335" spans="2:18" ht="12.95" customHeight="1" x14ac:dyDescent="0.3">
      <c r="B335" s="155" t="s">
        <v>55</v>
      </c>
      <c r="C335" s="29" t="s">
        <v>56</v>
      </c>
      <c r="D335" s="30" t="s">
        <v>57</v>
      </c>
      <c r="E335" s="31">
        <v>25136</v>
      </c>
      <c r="F335" s="32">
        <v>0.121</v>
      </c>
      <c r="G335" s="3">
        <f>TRUNC($E335*F335,1)</f>
        <v>3041.4</v>
      </c>
      <c r="H335" s="24"/>
      <c r="I335" s="24"/>
      <c r="J335" s="24"/>
      <c r="K335" s="24"/>
      <c r="L335" s="24"/>
      <c r="M335" s="24"/>
      <c r="N335" s="68"/>
      <c r="O335" s="68"/>
    </row>
    <row r="336" spans="2:18" ht="12.95" customHeight="1" x14ac:dyDescent="0.3">
      <c r="B336" s="155" t="s">
        <v>58</v>
      </c>
      <c r="C336" s="29" t="s">
        <v>59</v>
      </c>
      <c r="D336" s="30" t="s">
        <v>57</v>
      </c>
      <c r="E336" s="31">
        <v>3413</v>
      </c>
      <c r="F336" s="32">
        <v>0.48599999999999999</v>
      </c>
      <c r="G336" s="3">
        <f>TRUNC($E336*F336,1)</f>
        <v>1658.7</v>
      </c>
      <c r="H336" s="24"/>
      <c r="I336" s="24"/>
      <c r="J336" s="24"/>
      <c r="K336" s="24"/>
      <c r="L336" s="24"/>
      <c r="M336" s="24"/>
      <c r="N336" s="68"/>
      <c r="O336" s="68"/>
      <c r="P336" s="6"/>
    </row>
    <row r="337" spans="2:16" ht="12.95" customHeight="1" x14ac:dyDescent="0.3">
      <c r="B337" s="155" t="s">
        <v>63</v>
      </c>
      <c r="C337" s="29" t="s">
        <v>64</v>
      </c>
      <c r="D337" s="30" t="s">
        <v>57</v>
      </c>
      <c r="E337" s="31">
        <v>5718</v>
      </c>
      <c r="F337" s="32">
        <v>0.48599999999999999</v>
      </c>
      <c r="G337" s="3">
        <f>TRUNC($E337*F337,1)</f>
        <v>2778.9</v>
      </c>
      <c r="H337" s="24"/>
      <c r="I337" s="24"/>
      <c r="J337" s="24"/>
      <c r="K337" s="24"/>
      <c r="L337" s="24"/>
      <c r="M337" s="24"/>
      <c r="N337" s="68"/>
      <c r="O337" s="68"/>
      <c r="P337" s="6"/>
    </row>
    <row r="338" spans="2:16" ht="12.95" customHeight="1" x14ac:dyDescent="0.3">
      <c r="B338" s="156" t="s">
        <v>276</v>
      </c>
      <c r="C338" s="29" t="s">
        <v>60</v>
      </c>
      <c r="D338" s="30" t="s">
        <v>57</v>
      </c>
      <c r="E338" s="31">
        <v>29621</v>
      </c>
      <c r="F338" s="32">
        <v>0.121</v>
      </c>
      <c r="G338" s="3">
        <f>TRUNC($E338*F338,1)</f>
        <v>3584.1</v>
      </c>
      <c r="H338" s="24"/>
      <c r="I338" s="24"/>
      <c r="J338" s="24"/>
      <c r="K338" s="24"/>
      <c r="L338" s="24"/>
      <c r="M338" s="24"/>
      <c r="N338" s="68"/>
      <c r="O338" s="68"/>
      <c r="P338" s="6"/>
    </row>
    <row r="339" spans="2:16" ht="12.95" customHeight="1" x14ac:dyDescent="0.3">
      <c r="B339" s="156" t="s">
        <v>65</v>
      </c>
      <c r="C339" s="29" t="s">
        <v>60</v>
      </c>
      <c r="D339" s="30" t="s">
        <v>57</v>
      </c>
      <c r="E339" s="31">
        <v>18939</v>
      </c>
      <c r="F339" s="32">
        <v>0.121</v>
      </c>
      <c r="G339" s="3">
        <f>TRUNC($E339*F339,1)</f>
        <v>2291.6</v>
      </c>
      <c r="H339" s="24"/>
      <c r="I339" s="24"/>
      <c r="J339" s="24"/>
      <c r="K339" s="24"/>
      <c r="L339" s="24"/>
      <c r="M339" s="24"/>
      <c r="N339" s="68"/>
      <c r="O339" s="68"/>
      <c r="P339" s="6"/>
    </row>
    <row r="340" spans="2:16" ht="12.95" customHeight="1" x14ac:dyDescent="0.3">
      <c r="B340" s="136" t="s">
        <v>24</v>
      </c>
      <c r="C340" s="39"/>
      <c r="D340" s="39"/>
      <c r="E340" s="37"/>
      <c r="F340" s="40"/>
      <c r="G340" s="45">
        <f>TRUNC(SUM(G335:G339))</f>
        <v>13354</v>
      </c>
      <c r="H340" s="24"/>
      <c r="I340" s="24"/>
      <c r="J340" s="24"/>
      <c r="K340" s="24"/>
      <c r="L340" s="24"/>
      <c r="M340" s="24"/>
      <c r="N340" s="68"/>
      <c r="O340" s="68"/>
      <c r="P340" s="6"/>
    </row>
    <row r="341" spans="2:16" ht="12.95" customHeight="1" x14ac:dyDescent="0.3">
      <c r="B341" s="158"/>
      <c r="C341" s="157"/>
      <c r="D341" s="157"/>
      <c r="E341" s="34"/>
      <c r="F341" s="32"/>
      <c r="G341" s="35"/>
      <c r="H341" s="152"/>
      <c r="I341" s="152"/>
      <c r="J341" s="24"/>
      <c r="K341" s="24"/>
      <c r="L341" s="24"/>
      <c r="M341" s="24"/>
      <c r="N341" s="68"/>
      <c r="O341" s="68"/>
      <c r="P341" s="4"/>
    </row>
    <row r="342" spans="2:16" ht="12.95" customHeight="1" x14ac:dyDescent="0.3">
      <c r="B342" s="117" t="s">
        <v>26</v>
      </c>
      <c r="C342" s="41"/>
      <c r="D342" s="41"/>
      <c r="E342" s="42"/>
      <c r="F342" s="43"/>
      <c r="G342" s="44">
        <f>SUM(G326+G333+G340)</f>
        <v>135317</v>
      </c>
      <c r="H342" s="24"/>
      <c r="I342" s="24"/>
      <c r="J342" s="24"/>
      <c r="K342" s="24"/>
      <c r="L342" s="24"/>
      <c r="M342" s="24"/>
      <c r="N342" s="68"/>
      <c r="O342" s="68"/>
    </row>
    <row r="343" spans="2:16" ht="12.95" customHeight="1" x14ac:dyDescent="0.3">
      <c r="N343" s="68"/>
      <c r="O343" s="68"/>
      <c r="P343" s="17"/>
    </row>
    <row r="344" spans="2:16" ht="12.95" customHeight="1" x14ac:dyDescent="0.3">
      <c r="B344" s="172" t="s">
        <v>261</v>
      </c>
      <c r="C344" s="24"/>
      <c r="D344" s="24"/>
      <c r="E344" s="24"/>
      <c r="F344" s="153"/>
      <c r="G344" s="161"/>
      <c r="H344" s="161"/>
      <c r="I344" s="161" t="s">
        <v>42</v>
      </c>
      <c r="J344" s="25"/>
      <c r="K344" s="53"/>
      <c r="L344" s="24"/>
      <c r="M344" s="24"/>
      <c r="N344" s="17"/>
    </row>
    <row r="345" spans="2:16" ht="12.95" customHeight="1" x14ac:dyDescent="0.3">
      <c r="B345" s="347" t="s">
        <v>14</v>
      </c>
      <c r="C345" s="333" t="s">
        <v>31</v>
      </c>
      <c r="D345" s="333" t="s">
        <v>53</v>
      </c>
      <c r="E345" s="333" t="s">
        <v>15</v>
      </c>
      <c r="F345" s="173" t="s">
        <v>78</v>
      </c>
      <c r="G345" s="174"/>
      <c r="H345" s="173" t="s">
        <v>82</v>
      </c>
      <c r="I345" s="173"/>
      <c r="J345" s="175"/>
      <c r="K345" s="53"/>
      <c r="L345" s="175"/>
      <c r="M345" s="53"/>
      <c r="N345" s="17"/>
      <c r="O345" s="4"/>
    </row>
    <row r="346" spans="2:16" ht="12.95" customHeight="1" x14ac:dyDescent="0.3">
      <c r="B346" s="348"/>
      <c r="C346" s="334"/>
      <c r="D346" s="334"/>
      <c r="E346" s="334"/>
      <c r="F346" s="176" t="s">
        <v>16</v>
      </c>
      <c r="G346" s="176" t="s">
        <v>17</v>
      </c>
      <c r="H346" s="176" t="s">
        <v>16</v>
      </c>
      <c r="I346" s="177" t="s">
        <v>17</v>
      </c>
      <c r="J346" s="26"/>
      <c r="K346" s="27"/>
      <c r="L346" s="26"/>
      <c r="M346" s="27"/>
    </row>
    <row r="347" spans="2:16" ht="12.95" customHeight="1" x14ac:dyDescent="0.3">
      <c r="B347" s="163" t="s">
        <v>79</v>
      </c>
      <c r="C347" s="156"/>
      <c r="D347" s="51" t="s">
        <v>77</v>
      </c>
      <c r="E347" s="39">
        <v>0</v>
      </c>
      <c r="F347" s="178">
        <v>0.96</v>
      </c>
      <c r="G347" s="48">
        <f>TRUNC($E347*F347*10)/10</f>
        <v>0</v>
      </c>
      <c r="H347" s="178">
        <v>0.92</v>
      </c>
      <c r="I347" s="33">
        <f>TRUNC($E347*H347*10)/10</f>
        <v>0</v>
      </c>
      <c r="J347" s="54"/>
      <c r="K347" s="152"/>
      <c r="L347" s="54"/>
      <c r="M347" s="152"/>
    </row>
    <row r="348" spans="2:16" ht="12.95" customHeight="1" x14ac:dyDescent="0.3">
      <c r="B348" s="163" t="s">
        <v>80</v>
      </c>
      <c r="C348" s="156"/>
      <c r="D348" s="51" t="s">
        <v>70</v>
      </c>
      <c r="E348" s="39">
        <v>0</v>
      </c>
      <c r="F348" s="56">
        <v>3</v>
      </c>
      <c r="G348" s="48">
        <f>TRUNC($E348*F348*10)/10</f>
        <v>0</v>
      </c>
      <c r="H348" s="56">
        <v>1.2</v>
      </c>
      <c r="I348" s="33">
        <f>TRUNC($E348*H348*10)/10</f>
        <v>0</v>
      </c>
      <c r="J348" s="25"/>
      <c r="K348" s="53"/>
      <c r="L348" s="25"/>
      <c r="M348" s="53"/>
    </row>
    <row r="349" spans="2:16" ht="12.95" customHeight="1" x14ac:dyDescent="0.3">
      <c r="B349" s="163" t="s">
        <v>81</v>
      </c>
      <c r="C349" s="156"/>
      <c r="D349" s="51" t="s">
        <v>70</v>
      </c>
      <c r="E349" s="39">
        <v>0</v>
      </c>
      <c r="F349" s="34">
        <v>8.9999999999999993E-3</v>
      </c>
      <c r="G349" s="48">
        <f>TRUNC($E349*F349*10)/10</f>
        <v>0</v>
      </c>
      <c r="H349" s="34">
        <v>6.0000000000000001E-3</v>
      </c>
      <c r="I349" s="33">
        <f>TRUNC($E349*H349*10)/10</f>
        <v>0</v>
      </c>
      <c r="J349" s="25"/>
      <c r="K349" s="53"/>
      <c r="L349" s="25"/>
      <c r="M349" s="53"/>
    </row>
    <row r="350" spans="2:16" ht="12.95" customHeight="1" x14ac:dyDescent="0.3">
      <c r="B350" s="163" t="s">
        <v>0</v>
      </c>
      <c r="C350" s="55" t="s">
        <v>73</v>
      </c>
      <c r="D350" s="30" t="s">
        <v>57</v>
      </c>
      <c r="E350" s="131">
        <v>24797</v>
      </c>
      <c r="F350" s="57">
        <v>0.158</v>
      </c>
      <c r="G350" s="48">
        <f>TRUNC($E350*F350*10)/10</f>
        <v>3917.9</v>
      </c>
      <c r="H350" s="57">
        <v>0.104</v>
      </c>
      <c r="I350" s="33">
        <f>TRUNC($E350*H350*10)/10</f>
        <v>2578.8000000000002</v>
      </c>
      <c r="J350" s="175"/>
      <c r="K350" s="53"/>
      <c r="L350" s="175"/>
      <c r="M350" s="53"/>
    </row>
    <row r="351" spans="2:16" ht="12.95" customHeight="1" x14ac:dyDescent="0.3">
      <c r="B351" s="136" t="s">
        <v>22</v>
      </c>
      <c r="C351" s="155"/>
      <c r="D351" s="155"/>
      <c r="E351" s="160"/>
      <c r="F351" s="58"/>
      <c r="G351" s="62">
        <f>TRUNC(SUM(G347:G350))</f>
        <v>3917</v>
      </c>
      <c r="H351" s="58"/>
      <c r="I351" s="45">
        <f>TRUNC(SUM(I347:I350))</f>
        <v>2578</v>
      </c>
      <c r="J351" s="175"/>
      <c r="K351" s="53"/>
      <c r="L351" s="175"/>
      <c r="M351" s="53"/>
    </row>
    <row r="352" spans="2:16" ht="12.95" customHeight="1" x14ac:dyDescent="0.3">
      <c r="B352" s="158"/>
      <c r="C352" s="155"/>
      <c r="D352" s="155"/>
      <c r="E352" s="160"/>
      <c r="F352" s="58"/>
      <c r="G352" s="40"/>
      <c r="H352" s="58"/>
      <c r="I352" s="35"/>
      <c r="J352" s="175"/>
      <c r="K352" s="53"/>
      <c r="L352" s="175"/>
      <c r="M352" s="53"/>
    </row>
    <row r="353" spans="2:13" ht="12.95" customHeight="1" x14ac:dyDescent="0.3">
      <c r="B353" s="156" t="s">
        <v>7</v>
      </c>
      <c r="C353" s="156"/>
      <c r="D353" s="157" t="s">
        <v>33</v>
      </c>
      <c r="E353" s="131">
        <v>222306</v>
      </c>
      <c r="F353" s="34">
        <v>9.4E-2</v>
      </c>
      <c r="G353" s="48">
        <f>TRUNC($E353*F353*10)/10</f>
        <v>20896.7</v>
      </c>
      <c r="H353" s="34">
        <v>6.4000000000000001E-2</v>
      </c>
      <c r="I353" s="33">
        <f>TRUNC($E353*H353*10)/10</f>
        <v>14227.5</v>
      </c>
      <c r="J353" s="26"/>
      <c r="K353" s="27"/>
      <c r="L353" s="26"/>
      <c r="M353" s="27"/>
    </row>
    <row r="354" spans="2:13" ht="12.95" customHeight="1" x14ac:dyDescent="0.3">
      <c r="B354" s="156" t="s">
        <v>66</v>
      </c>
      <c r="C354" s="156"/>
      <c r="D354" s="157" t="s">
        <v>33</v>
      </c>
      <c r="E354" s="131">
        <v>272448</v>
      </c>
      <c r="F354" s="34">
        <v>0.11</v>
      </c>
      <c r="G354" s="48">
        <f>TRUNC($E354*F354*10)/10</f>
        <v>29969.200000000001</v>
      </c>
      <c r="H354" s="57">
        <v>7.0000000000000007E-2</v>
      </c>
      <c r="I354" s="33">
        <f>TRUNC($E354*H354*10)/10</f>
        <v>19071.3</v>
      </c>
      <c r="J354" s="25"/>
      <c r="K354" s="53"/>
      <c r="L354" s="25"/>
      <c r="M354" s="53"/>
    </row>
    <row r="355" spans="2:13" ht="12.95" customHeight="1" x14ac:dyDescent="0.3">
      <c r="B355" s="156" t="s">
        <v>4</v>
      </c>
      <c r="C355" s="156"/>
      <c r="D355" s="157" t="s">
        <v>33</v>
      </c>
      <c r="E355" s="131">
        <v>172068</v>
      </c>
      <c r="F355" s="34">
        <v>0.19</v>
      </c>
      <c r="G355" s="48">
        <f>TRUNC($E355*F355*10)/10</f>
        <v>32692.9</v>
      </c>
      <c r="H355" s="57">
        <v>0.11</v>
      </c>
      <c r="I355" s="33">
        <f>TRUNC($E355*H355*10)/10</f>
        <v>18927.400000000001</v>
      </c>
      <c r="J355" s="175"/>
      <c r="K355" s="53"/>
      <c r="L355" s="175"/>
      <c r="M355" s="53"/>
    </row>
    <row r="356" spans="2:13" ht="12.95" customHeight="1" x14ac:dyDescent="0.3">
      <c r="B356" s="156" t="s">
        <v>5</v>
      </c>
      <c r="C356" s="156" t="s">
        <v>91</v>
      </c>
      <c r="D356" s="157" t="s">
        <v>33</v>
      </c>
      <c r="E356" s="131">
        <v>387342</v>
      </c>
      <c r="F356" s="34">
        <v>2</v>
      </c>
      <c r="G356" s="48">
        <f>TRUNC($E356*F356*10)/10</f>
        <v>774684</v>
      </c>
      <c r="H356" s="34">
        <v>1.2</v>
      </c>
      <c r="I356" s="33">
        <f>TRUNC($E356*H356*10)/10</f>
        <v>464810.4</v>
      </c>
      <c r="J356" s="26"/>
      <c r="K356" s="27"/>
      <c r="L356" s="26"/>
      <c r="M356" s="27"/>
    </row>
    <row r="357" spans="2:13" ht="12.95" customHeight="1" x14ac:dyDescent="0.3">
      <c r="B357" s="155" t="s">
        <v>0</v>
      </c>
      <c r="C357" s="55" t="s">
        <v>73</v>
      </c>
      <c r="D357" s="30" t="s">
        <v>57</v>
      </c>
      <c r="E357" s="131">
        <v>58925</v>
      </c>
      <c r="F357" s="34">
        <v>0.158</v>
      </c>
      <c r="G357" s="48">
        <f>TRUNC($E357*F357*10)/10</f>
        <v>9310.1</v>
      </c>
      <c r="H357" s="57">
        <v>0.104</v>
      </c>
      <c r="I357" s="33">
        <f>TRUNC($E357*H357*10)/10</f>
        <v>6128.2</v>
      </c>
      <c r="J357" s="179"/>
      <c r="K357" s="27"/>
      <c r="L357" s="179"/>
      <c r="M357" s="27"/>
    </row>
    <row r="358" spans="2:13" ht="12.95" customHeight="1" x14ac:dyDescent="0.3">
      <c r="B358" s="102" t="s">
        <v>23</v>
      </c>
      <c r="C358" s="155"/>
      <c r="D358" s="155"/>
      <c r="E358" s="40"/>
      <c r="F358" s="58"/>
      <c r="G358" s="62">
        <f>TRUNC(SUM(G353:G357))</f>
        <v>867552</v>
      </c>
      <c r="H358" s="58"/>
      <c r="I358" s="45">
        <f>TRUNC(SUM(I353:I357))</f>
        <v>523164</v>
      </c>
      <c r="J358" s="152"/>
      <c r="K358" s="152"/>
      <c r="L358" s="152"/>
      <c r="M358" s="152"/>
    </row>
    <row r="359" spans="2:13" ht="12.95" customHeight="1" x14ac:dyDescent="0.3">
      <c r="B359" s="158"/>
      <c r="C359" s="155"/>
      <c r="D359" s="155"/>
      <c r="E359" s="40"/>
      <c r="F359" s="58"/>
      <c r="G359" s="40"/>
      <c r="H359" s="58"/>
      <c r="I359" s="35"/>
      <c r="J359" s="152"/>
      <c r="K359" s="152"/>
      <c r="L359" s="152"/>
      <c r="M359" s="152"/>
    </row>
    <row r="360" spans="2:13" ht="12.95" customHeight="1" x14ac:dyDescent="0.3">
      <c r="B360" s="155" t="s">
        <v>75</v>
      </c>
      <c r="C360" s="55" t="s">
        <v>76</v>
      </c>
      <c r="D360" s="30" t="s">
        <v>57</v>
      </c>
      <c r="E360" s="131">
        <v>776</v>
      </c>
      <c r="F360" s="34">
        <v>0.47399999999999998</v>
      </c>
      <c r="G360" s="48">
        <f>TRUNC($E360*F360*10)/10</f>
        <v>367.8</v>
      </c>
      <c r="H360" s="34">
        <v>0.313</v>
      </c>
      <c r="I360" s="33">
        <f>TRUNC($E360*H360*10)/10</f>
        <v>242.8</v>
      </c>
      <c r="J360" s="152"/>
      <c r="K360" s="152"/>
      <c r="L360" s="24"/>
      <c r="M360" s="24"/>
    </row>
    <row r="361" spans="2:13" ht="12.95" customHeight="1" x14ac:dyDescent="0.3">
      <c r="B361" s="156" t="s">
        <v>0</v>
      </c>
      <c r="C361" s="55" t="s">
        <v>73</v>
      </c>
      <c r="D361" s="30" t="s">
        <v>57</v>
      </c>
      <c r="E361" s="131">
        <v>5883</v>
      </c>
      <c r="F361" s="57">
        <v>0.158</v>
      </c>
      <c r="G361" s="48">
        <f>TRUNC($E361*F361*10)/10</f>
        <v>929.5</v>
      </c>
      <c r="H361" s="57">
        <v>0.104</v>
      </c>
      <c r="I361" s="33">
        <f>TRUNC($E361*H361*10)/10</f>
        <v>611.79999999999995</v>
      </c>
      <c r="J361" s="152"/>
      <c r="K361" s="152"/>
      <c r="L361" s="24"/>
      <c r="M361" s="24"/>
    </row>
    <row r="362" spans="2:13" ht="12.95" customHeight="1" x14ac:dyDescent="0.3">
      <c r="B362" s="136" t="s">
        <v>24</v>
      </c>
      <c r="C362" s="155"/>
      <c r="D362" s="155"/>
      <c r="E362" s="160"/>
      <c r="F362" s="160"/>
      <c r="G362" s="62">
        <f>TRUNC(SUM(G360:G361))</f>
        <v>1297</v>
      </c>
      <c r="H362" s="160"/>
      <c r="I362" s="45">
        <f>TRUNC(SUM(I360:I361))</f>
        <v>854</v>
      </c>
      <c r="J362" s="24"/>
      <c r="K362" s="24"/>
      <c r="L362" s="24"/>
      <c r="M362" s="24"/>
    </row>
    <row r="363" spans="2:13" ht="12.95" customHeight="1" x14ac:dyDescent="0.3">
      <c r="B363" s="156"/>
      <c r="C363" s="156"/>
      <c r="D363" s="156"/>
      <c r="E363" s="165"/>
      <c r="F363" s="34"/>
      <c r="G363" s="48"/>
      <c r="H363" s="57"/>
      <c r="I363" s="33"/>
      <c r="J363" s="175"/>
      <c r="K363" s="53"/>
      <c r="L363" s="175"/>
      <c r="M363" s="53"/>
    </row>
    <row r="364" spans="2:13" ht="12.95" customHeight="1" x14ac:dyDescent="0.3">
      <c r="B364" s="117" t="s">
        <v>26</v>
      </c>
      <c r="C364" s="180"/>
      <c r="D364" s="180"/>
      <c r="E364" s="181"/>
      <c r="F364" s="181"/>
      <c r="G364" s="59">
        <f>TRUNC(G351+G358+G362)</f>
        <v>872766</v>
      </c>
      <c r="H364" s="181"/>
      <c r="I364" s="60">
        <f>TRUNC(I351+I358+I362)</f>
        <v>526596</v>
      </c>
      <c r="J364" s="24"/>
      <c r="K364" s="24"/>
      <c r="L364" s="24"/>
      <c r="M364" s="24"/>
    </row>
    <row r="365" spans="2:13" ht="12.95" customHeight="1" x14ac:dyDescent="0.3">
      <c r="B365" s="170"/>
      <c r="C365" s="179"/>
      <c r="D365" s="179"/>
      <c r="E365" s="28"/>
      <c r="F365" s="179"/>
      <c r="G365" s="28"/>
      <c r="H365" s="24"/>
      <c r="I365" s="24"/>
      <c r="J365" s="24"/>
      <c r="K365" s="24"/>
      <c r="L365" s="24"/>
      <c r="M365" s="24"/>
    </row>
    <row r="366" spans="2:13" ht="12.95" customHeight="1" x14ac:dyDescent="0.3">
      <c r="B366" s="90" t="s">
        <v>199</v>
      </c>
    </row>
    <row r="367" spans="2:13" ht="12.95" customHeight="1" x14ac:dyDescent="0.3">
      <c r="B367" s="152" t="s">
        <v>200</v>
      </c>
      <c r="C367" s="53"/>
      <c r="D367" s="182"/>
      <c r="E367" s="53"/>
      <c r="F367" s="24"/>
      <c r="G367" s="24"/>
      <c r="H367" s="68"/>
      <c r="I367" s="68"/>
      <c r="J367" s="24"/>
      <c r="K367" s="24"/>
    </row>
    <row r="368" spans="2:13" ht="12.95" customHeight="1" x14ac:dyDescent="0.3">
      <c r="B368" s="152" t="s">
        <v>201</v>
      </c>
      <c r="C368" s="53"/>
      <c r="D368" s="182"/>
      <c r="E368" s="53"/>
      <c r="F368" s="24"/>
      <c r="G368" s="24"/>
      <c r="H368" s="68"/>
      <c r="I368" s="183" t="s">
        <v>120</v>
      </c>
      <c r="J368" s="24"/>
      <c r="K368" s="24"/>
    </row>
    <row r="369" spans="2:16" ht="12.95" customHeight="1" x14ac:dyDescent="0.3">
      <c r="B369" s="337" t="s">
        <v>14</v>
      </c>
      <c r="C369" s="337" t="s">
        <v>18</v>
      </c>
      <c r="D369" s="317" t="s">
        <v>19</v>
      </c>
      <c r="E369" s="317" t="s">
        <v>15</v>
      </c>
      <c r="F369" s="344" t="s">
        <v>206</v>
      </c>
      <c r="G369" s="345"/>
      <c r="H369" s="344" t="s">
        <v>207</v>
      </c>
      <c r="I369" s="345"/>
      <c r="N369" s="24"/>
      <c r="O369" s="24"/>
      <c r="P369" s="4"/>
    </row>
    <row r="370" spans="2:16" ht="12.95" customHeight="1" x14ac:dyDescent="0.3">
      <c r="B370" s="338"/>
      <c r="C370" s="338"/>
      <c r="D370" s="340"/>
      <c r="E370" s="340"/>
      <c r="F370" s="93" t="s">
        <v>176</v>
      </c>
      <c r="G370" s="184">
        <v>1150</v>
      </c>
      <c r="H370" s="93" t="s">
        <v>176</v>
      </c>
      <c r="I370" s="94">
        <v>770</v>
      </c>
      <c r="N370" s="24"/>
      <c r="O370" s="24"/>
      <c r="P370" s="4"/>
    </row>
    <row r="371" spans="2:16" ht="12.95" customHeight="1" x14ac:dyDescent="0.3">
      <c r="B371" s="339"/>
      <c r="C371" s="339"/>
      <c r="D371" s="318"/>
      <c r="E371" s="318"/>
      <c r="F371" s="96" t="s">
        <v>174</v>
      </c>
      <c r="G371" s="97" t="s">
        <v>175</v>
      </c>
      <c r="H371" s="96" t="s">
        <v>174</v>
      </c>
      <c r="I371" s="97" t="s">
        <v>175</v>
      </c>
      <c r="N371" s="24"/>
      <c r="O371" s="24"/>
      <c r="P371" s="4"/>
    </row>
    <row r="372" spans="2:16" ht="12.95" customHeight="1" x14ac:dyDescent="0.3">
      <c r="B372" s="185" t="s">
        <v>202</v>
      </c>
      <c r="C372" s="73" t="s">
        <v>203</v>
      </c>
      <c r="D372" s="186" t="s">
        <v>57</v>
      </c>
      <c r="E372" s="74">
        <v>33899</v>
      </c>
      <c r="F372" s="187">
        <v>8</v>
      </c>
      <c r="G372" s="69">
        <f>TRUNC($E372*F372,1)</f>
        <v>271192</v>
      </c>
      <c r="H372" s="187">
        <v>8</v>
      </c>
      <c r="I372" s="69">
        <f>TRUNC($E372*H372,1)</f>
        <v>271192</v>
      </c>
      <c r="J372" s="24"/>
      <c r="K372" s="24"/>
      <c r="N372" s="24"/>
      <c r="O372" s="24"/>
      <c r="P372" s="4"/>
    </row>
    <row r="373" spans="2:16" ht="12.95" customHeight="1" x14ac:dyDescent="0.3">
      <c r="B373" s="155" t="s">
        <v>159</v>
      </c>
      <c r="C373" s="78" t="s">
        <v>34</v>
      </c>
      <c r="D373" s="188" t="s">
        <v>39</v>
      </c>
      <c r="E373" s="80">
        <v>28181</v>
      </c>
      <c r="F373" s="111">
        <v>8</v>
      </c>
      <c r="G373" s="70">
        <f>TRUNC($E373*F373,1)</f>
        <v>225448</v>
      </c>
      <c r="H373" s="111">
        <v>8</v>
      </c>
      <c r="I373" s="70">
        <f>TRUNC($E373*H373,1)</f>
        <v>225448</v>
      </c>
      <c r="J373" s="24"/>
      <c r="K373" s="24"/>
      <c r="N373" s="24"/>
      <c r="O373" s="24"/>
      <c r="P373" s="4"/>
    </row>
    <row r="374" spans="2:16" ht="12.95" customHeight="1" x14ac:dyDescent="0.3">
      <c r="B374" s="155" t="s">
        <v>275</v>
      </c>
      <c r="C374" s="29" t="s">
        <v>130</v>
      </c>
      <c r="D374" s="189" t="s">
        <v>57</v>
      </c>
      <c r="E374" s="80">
        <v>18733</v>
      </c>
      <c r="F374" s="111">
        <v>8</v>
      </c>
      <c r="G374" s="70">
        <f>TRUNC($E374*F374,1)</f>
        <v>149864</v>
      </c>
      <c r="H374" s="111">
        <v>8</v>
      </c>
      <c r="I374" s="70">
        <f>TRUNC($E374*H374,1)</f>
        <v>149864</v>
      </c>
      <c r="J374" s="24"/>
      <c r="K374" s="24"/>
      <c r="N374" s="4"/>
    </row>
    <row r="375" spans="2:16" ht="12.95" customHeight="1" x14ac:dyDescent="0.3">
      <c r="B375" s="190" t="s">
        <v>204</v>
      </c>
      <c r="C375" s="78" t="s">
        <v>205</v>
      </c>
      <c r="D375" s="188" t="s">
        <v>39</v>
      </c>
      <c r="E375" s="80">
        <v>25246</v>
      </c>
      <c r="F375" s="111">
        <v>4</v>
      </c>
      <c r="G375" s="70">
        <f>TRUNC($E375*F375,1)</f>
        <v>100984</v>
      </c>
      <c r="H375" s="111">
        <v>4</v>
      </c>
      <c r="I375" s="70">
        <f>TRUNC($E375*H375,1)</f>
        <v>100984</v>
      </c>
      <c r="J375" s="24"/>
      <c r="K375" s="24"/>
      <c r="N375" s="4"/>
    </row>
    <row r="376" spans="2:16" ht="12.95" customHeight="1" x14ac:dyDescent="0.3">
      <c r="B376" s="136" t="s">
        <v>22</v>
      </c>
      <c r="C376" s="76"/>
      <c r="D376" s="77"/>
      <c r="E376" s="40"/>
      <c r="F376" s="111"/>
      <c r="G376" s="45">
        <f>TRUNC(SUM(G372:G375))</f>
        <v>747488</v>
      </c>
      <c r="H376" s="111"/>
      <c r="I376" s="45">
        <f>TRUNC(SUM(I372:I375))</f>
        <v>747488</v>
      </c>
      <c r="J376" s="24"/>
      <c r="K376" s="24"/>
      <c r="N376" s="4"/>
    </row>
    <row r="377" spans="2:16" ht="12.95" customHeight="1" x14ac:dyDescent="0.3">
      <c r="B377" s="75"/>
      <c r="C377" s="76"/>
      <c r="D377" s="77"/>
      <c r="E377" s="40"/>
      <c r="F377" s="111"/>
      <c r="G377" s="35"/>
      <c r="H377" s="111"/>
      <c r="I377" s="35"/>
      <c r="J377" s="24"/>
      <c r="K377" s="24"/>
    </row>
    <row r="378" spans="2:16" ht="12.95" customHeight="1" x14ac:dyDescent="0.3">
      <c r="B378" s="98" t="s">
        <v>1</v>
      </c>
      <c r="C378" s="98"/>
      <c r="D378" s="99" t="s">
        <v>33</v>
      </c>
      <c r="E378" s="100">
        <v>226122</v>
      </c>
      <c r="F378" s="111">
        <v>1</v>
      </c>
      <c r="G378" s="191">
        <f>TRUNC($E378*F378,1)</f>
        <v>226122</v>
      </c>
      <c r="H378" s="111">
        <v>1</v>
      </c>
      <c r="I378" s="191">
        <f>TRUNC($E378*H378,1)</f>
        <v>226122</v>
      </c>
      <c r="J378" s="24"/>
      <c r="K378" s="24"/>
    </row>
    <row r="379" spans="2:16" ht="12.95" customHeight="1" x14ac:dyDescent="0.3">
      <c r="B379" s="155" t="s">
        <v>202</v>
      </c>
      <c r="C379" s="29" t="s">
        <v>203</v>
      </c>
      <c r="D379" s="189" t="s">
        <v>57</v>
      </c>
      <c r="E379" s="80">
        <v>58925</v>
      </c>
      <c r="F379" s="111">
        <v>8</v>
      </c>
      <c r="G379" s="79">
        <f>TRUNC($E379*F379,1)</f>
        <v>471400</v>
      </c>
      <c r="H379" s="111">
        <v>8</v>
      </c>
      <c r="I379" s="79">
        <f>TRUNC($E379*H379,1)</f>
        <v>471400</v>
      </c>
      <c r="J379" s="24"/>
      <c r="K379" s="24"/>
    </row>
    <row r="380" spans="2:16" ht="12.95" customHeight="1" x14ac:dyDescent="0.3">
      <c r="B380" s="155" t="s">
        <v>11</v>
      </c>
      <c r="C380" s="78" t="s">
        <v>35</v>
      </c>
      <c r="D380" s="189" t="s">
        <v>57</v>
      </c>
      <c r="E380" s="80">
        <v>58925</v>
      </c>
      <c r="F380" s="111">
        <v>8</v>
      </c>
      <c r="G380" s="79">
        <f>TRUNC($E380*F380,1)</f>
        <v>471400</v>
      </c>
      <c r="H380" s="111">
        <v>8</v>
      </c>
      <c r="I380" s="79">
        <f>TRUNC($E380*H380,1)</f>
        <v>471400</v>
      </c>
      <c r="J380" s="24"/>
      <c r="K380" s="24"/>
    </row>
    <row r="381" spans="2:16" ht="12.95" customHeight="1" x14ac:dyDescent="0.3">
      <c r="B381" s="155" t="s">
        <v>275</v>
      </c>
      <c r="C381" s="29" t="s">
        <v>12</v>
      </c>
      <c r="D381" s="189" t="s">
        <v>57</v>
      </c>
      <c r="E381" s="80">
        <v>58925</v>
      </c>
      <c r="F381" s="111">
        <v>8</v>
      </c>
      <c r="G381" s="79">
        <f>TRUNC($E381*F381,1)</f>
        <v>471400</v>
      </c>
      <c r="H381" s="111">
        <v>8</v>
      </c>
      <c r="I381" s="79">
        <f>TRUNC($E381*H381,1)</f>
        <v>471400</v>
      </c>
      <c r="J381" s="24"/>
      <c r="K381" s="24"/>
    </row>
    <row r="382" spans="2:16" ht="12.95" customHeight="1" x14ac:dyDescent="0.3">
      <c r="B382" s="190" t="s">
        <v>204</v>
      </c>
      <c r="C382" s="78" t="s">
        <v>205</v>
      </c>
      <c r="D382" s="189" t="s">
        <v>57</v>
      </c>
      <c r="E382" s="80">
        <v>49698</v>
      </c>
      <c r="F382" s="111">
        <v>4</v>
      </c>
      <c r="G382" s="79">
        <f>TRUNC($E382*F382,1)</f>
        <v>198792</v>
      </c>
      <c r="H382" s="111">
        <v>4</v>
      </c>
      <c r="I382" s="79">
        <f>TRUNC($E382*H382,1)</f>
        <v>198792</v>
      </c>
      <c r="J382" s="24"/>
      <c r="K382" s="24"/>
    </row>
    <row r="383" spans="2:16" ht="12.95" customHeight="1" x14ac:dyDescent="0.3">
      <c r="B383" s="102" t="s">
        <v>23</v>
      </c>
      <c r="C383" s="192"/>
      <c r="D383" s="193"/>
      <c r="E383" s="194"/>
      <c r="F383" s="195"/>
      <c r="G383" s="45">
        <f>TRUNC(SUM(G378:G382))</f>
        <v>1839114</v>
      </c>
      <c r="H383" s="195"/>
      <c r="I383" s="45">
        <f>TRUNC(SUM(I378:I382))</f>
        <v>1839114</v>
      </c>
      <c r="J383" s="24"/>
      <c r="K383" s="24"/>
    </row>
    <row r="384" spans="2:16" ht="12.95" customHeight="1" x14ac:dyDescent="0.3">
      <c r="B384" s="196"/>
      <c r="C384" s="192"/>
      <c r="D384" s="193"/>
      <c r="E384" s="194"/>
      <c r="F384" s="195"/>
      <c r="G384" s="35"/>
      <c r="H384" s="195"/>
      <c r="I384" s="35"/>
      <c r="J384" s="24"/>
      <c r="K384" s="24"/>
    </row>
    <row r="385" spans="2:15" ht="12.95" customHeight="1" x14ac:dyDescent="0.3">
      <c r="B385" s="155" t="s">
        <v>202</v>
      </c>
      <c r="C385" s="29" t="s">
        <v>203</v>
      </c>
      <c r="D385" s="189" t="s">
        <v>57</v>
      </c>
      <c r="E385" s="80">
        <v>46851</v>
      </c>
      <c r="F385" s="111">
        <v>8</v>
      </c>
      <c r="G385" s="70">
        <f>TRUNC($E385*F385,1)</f>
        <v>374808</v>
      </c>
      <c r="H385" s="111">
        <v>8</v>
      </c>
      <c r="I385" s="70">
        <f>TRUNC($E385*H385,1)</f>
        <v>374808</v>
      </c>
      <c r="J385" s="24"/>
      <c r="K385" s="24"/>
    </row>
    <row r="386" spans="2:15" ht="12.95" customHeight="1" x14ac:dyDescent="0.3">
      <c r="B386" s="155" t="s">
        <v>11</v>
      </c>
      <c r="C386" s="78" t="s">
        <v>35</v>
      </c>
      <c r="D386" s="189" t="s">
        <v>57</v>
      </c>
      <c r="E386" s="80">
        <v>26662</v>
      </c>
      <c r="F386" s="111">
        <v>8</v>
      </c>
      <c r="G386" s="70">
        <f>TRUNC($E386*F386,1)</f>
        <v>213296</v>
      </c>
      <c r="H386" s="111">
        <v>8</v>
      </c>
      <c r="I386" s="70">
        <f>TRUNC($E386*H386,1)</f>
        <v>213296</v>
      </c>
      <c r="J386" s="24"/>
      <c r="K386" s="24"/>
    </row>
    <row r="387" spans="2:15" ht="12.95" customHeight="1" x14ac:dyDescent="0.3">
      <c r="B387" s="155" t="s">
        <v>275</v>
      </c>
      <c r="C387" s="29" t="s">
        <v>12</v>
      </c>
      <c r="D387" s="189" t="s">
        <v>57</v>
      </c>
      <c r="E387" s="80">
        <v>23423</v>
      </c>
      <c r="F387" s="111">
        <v>8</v>
      </c>
      <c r="G387" s="70">
        <f>TRUNC($E387*F387,1)</f>
        <v>187384</v>
      </c>
      <c r="H387" s="111">
        <v>8</v>
      </c>
      <c r="I387" s="70">
        <f>TRUNC($E387*H387,1)</f>
        <v>187384</v>
      </c>
      <c r="J387" s="24"/>
      <c r="K387" s="24"/>
      <c r="L387" s="4"/>
    </row>
    <row r="388" spans="2:15" ht="12.95" customHeight="1" x14ac:dyDescent="0.3">
      <c r="B388" s="190" t="s">
        <v>204</v>
      </c>
      <c r="C388" s="78" t="s">
        <v>205</v>
      </c>
      <c r="D388" s="189" t="s">
        <v>57</v>
      </c>
      <c r="E388" s="80">
        <v>19154</v>
      </c>
      <c r="F388" s="111">
        <v>4</v>
      </c>
      <c r="G388" s="70">
        <f>TRUNC($E388*F388,1)</f>
        <v>76616</v>
      </c>
      <c r="H388" s="111">
        <v>4</v>
      </c>
      <c r="I388" s="70">
        <f>TRUNC($E388*H388,1)</f>
        <v>76616</v>
      </c>
      <c r="J388" s="24"/>
      <c r="K388" s="24"/>
      <c r="L388" s="24"/>
      <c r="M388" s="24"/>
    </row>
    <row r="389" spans="2:15" ht="12.95" customHeight="1" x14ac:dyDescent="0.3">
      <c r="B389" s="136" t="s">
        <v>24</v>
      </c>
      <c r="C389" s="192"/>
      <c r="D389" s="193"/>
      <c r="E389" s="194"/>
      <c r="F389" s="195"/>
      <c r="G389" s="45">
        <f>TRUNC(SUM(G385:G388))</f>
        <v>852104</v>
      </c>
      <c r="H389" s="195"/>
      <c r="I389" s="45">
        <f>TRUNC(SUM(I385:I388))</f>
        <v>852104</v>
      </c>
      <c r="J389" s="24"/>
      <c r="K389" s="24"/>
      <c r="L389" s="24"/>
      <c r="M389" s="24"/>
    </row>
    <row r="390" spans="2:15" ht="12.95" customHeight="1" x14ac:dyDescent="0.3">
      <c r="B390" s="158"/>
      <c r="C390" s="52"/>
      <c r="D390" s="189"/>
      <c r="E390" s="30"/>
      <c r="F390" s="111"/>
      <c r="G390" s="70"/>
      <c r="H390" s="111"/>
      <c r="I390" s="70"/>
      <c r="J390" s="24"/>
      <c r="K390" s="24"/>
      <c r="L390" s="24"/>
      <c r="M390" s="24"/>
    </row>
    <row r="391" spans="2:15" ht="12.95" customHeight="1" x14ac:dyDescent="0.3">
      <c r="B391" s="113" t="s">
        <v>26</v>
      </c>
      <c r="C391" s="192"/>
      <c r="D391" s="193"/>
      <c r="E391" s="194"/>
      <c r="F391" s="192"/>
      <c r="G391" s="197">
        <f>G376+G383+G389</f>
        <v>3438706</v>
      </c>
      <c r="H391" s="192"/>
      <c r="I391" s="197">
        <f>I376+I383+I389</f>
        <v>3438706</v>
      </c>
      <c r="J391" s="24"/>
      <c r="K391" s="24"/>
      <c r="L391" s="24"/>
      <c r="M391" s="24"/>
    </row>
    <row r="392" spans="2:15" ht="12.95" customHeight="1" x14ac:dyDescent="0.3">
      <c r="B392" s="117" t="s">
        <v>177</v>
      </c>
      <c r="C392" s="118"/>
      <c r="D392" s="119"/>
      <c r="E392" s="120"/>
      <c r="F392" s="121"/>
      <c r="G392" s="122">
        <f>TRUNC(G391/G370)</f>
        <v>2990</v>
      </c>
      <c r="H392" s="121"/>
      <c r="I392" s="122">
        <f>TRUNC(I391/I370)</f>
        <v>4465</v>
      </c>
      <c r="J392" s="24"/>
      <c r="K392" s="24"/>
      <c r="L392" s="24"/>
      <c r="M392" s="24"/>
    </row>
    <row r="393" spans="2:15" ht="12.95" customHeight="1" x14ac:dyDescent="0.3">
      <c r="B393" s="24"/>
      <c r="C393" s="24"/>
      <c r="D393" s="24"/>
      <c r="E393" s="24"/>
      <c r="F393" s="68"/>
      <c r="G393" s="68"/>
      <c r="H393" s="68"/>
      <c r="I393" s="68"/>
      <c r="L393" s="24"/>
      <c r="M393" s="24"/>
    </row>
    <row r="394" spans="2:15" ht="12.95" customHeight="1" x14ac:dyDescent="0.3">
      <c r="B394" s="152" t="s">
        <v>208</v>
      </c>
      <c r="C394" s="152"/>
      <c r="D394" s="24"/>
      <c r="E394" s="24"/>
      <c r="F394" s="154"/>
      <c r="G394" s="92" t="s">
        <v>172</v>
      </c>
      <c r="H394" s="4"/>
      <c r="I394" s="4"/>
    </row>
    <row r="395" spans="2:15" ht="12.95" customHeight="1" x14ac:dyDescent="0.3">
      <c r="B395" s="337" t="s">
        <v>14</v>
      </c>
      <c r="C395" s="317" t="s">
        <v>18</v>
      </c>
      <c r="D395" s="317" t="s">
        <v>19</v>
      </c>
      <c r="E395" s="317" t="s">
        <v>15</v>
      </c>
      <c r="F395" s="93" t="s">
        <v>176</v>
      </c>
      <c r="G395" s="184">
        <v>1300</v>
      </c>
      <c r="H395" s="4"/>
      <c r="I395" s="4"/>
    </row>
    <row r="396" spans="2:15" ht="12.95" customHeight="1" x14ac:dyDescent="0.3">
      <c r="B396" s="339"/>
      <c r="C396" s="318"/>
      <c r="D396" s="318"/>
      <c r="E396" s="318"/>
      <c r="F396" s="96" t="s">
        <v>174</v>
      </c>
      <c r="G396" s="97" t="s">
        <v>175</v>
      </c>
      <c r="H396" s="24"/>
      <c r="I396" s="24"/>
      <c r="J396" s="4"/>
      <c r="K396" s="4"/>
      <c r="N396" s="24"/>
      <c r="O396" s="24"/>
    </row>
    <row r="397" spans="2:15" ht="12.95" customHeight="1" x14ac:dyDescent="0.3">
      <c r="B397" s="155" t="s">
        <v>183</v>
      </c>
      <c r="C397" s="29" t="s">
        <v>185</v>
      </c>
      <c r="D397" s="30" t="s">
        <v>57</v>
      </c>
      <c r="E397" s="31">
        <v>72646</v>
      </c>
      <c r="F397" s="51">
        <v>8</v>
      </c>
      <c r="G397" s="3">
        <f t="shared" ref="G397" si="121">TRUNC($E397*F397,1)</f>
        <v>581168</v>
      </c>
      <c r="H397" s="24"/>
      <c r="I397" s="24"/>
      <c r="J397" s="4"/>
      <c r="K397" s="4"/>
      <c r="N397" s="24"/>
      <c r="O397" s="24"/>
    </row>
    <row r="398" spans="2:15" ht="12.95" customHeight="1" x14ac:dyDescent="0.3">
      <c r="B398" s="136" t="s">
        <v>22</v>
      </c>
      <c r="C398" s="157"/>
      <c r="D398" s="157"/>
      <c r="E398" s="34"/>
      <c r="F398" s="51"/>
      <c r="G398" s="45">
        <f>TRUNC(SUM(G397:G397))</f>
        <v>581168</v>
      </c>
      <c r="H398" s="24"/>
      <c r="I398" s="24"/>
      <c r="J398" s="4"/>
      <c r="K398" s="4"/>
      <c r="N398" s="24"/>
      <c r="O398" s="24"/>
    </row>
    <row r="399" spans="2:15" ht="12.95" customHeight="1" x14ac:dyDescent="0.3">
      <c r="B399" s="158"/>
      <c r="C399" s="157"/>
      <c r="D399" s="157"/>
      <c r="E399" s="34"/>
      <c r="F399" s="51"/>
      <c r="G399" s="35"/>
      <c r="H399" s="24"/>
      <c r="I399" s="24"/>
      <c r="J399" s="4"/>
      <c r="K399" s="4"/>
      <c r="N399" s="24"/>
      <c r="O399" s="24"/>
    </row>
    <row r="400" spans="2:15" ht="12.95" customHeight="1" x14ac:dyDescent="0.3">
      <c r="B400" s="155" t="s">
        <v>183</v>
      </c>
      <c r="C400" s="29" t="s">
        <v>185</v>
      </c>
      <c r="D400" s="30" t="s">
        <v>57</v>
      </c>
      <c r="E400" s="31">
        <v>58925</v>
      </c>
      <c r="F400" s="51">
        <v>8</v>
      </c>
      <c r="G400" s="3">
        <f t="shared" ref="G400" si="122">TRUNC($E400*F400,1)</f>
        <v>471400</v>
      </c>
      <c r="H400" s="24"/>
      <c r="I400" s="24"/>
      <c r="J400" s="4"/>
      <c r="K400" s="4"/>
      <c r="N400" s="24"/>
      <c r="O400" s="24"/>
    </row>
    <row r="401" spans="2:17" ht="12.95" customHeight="1" x14ac:dyDescent="0.3">
      <c r="B401" s="102" t="s">
        <v>23</v>
      </c>
      <c r="C401" s="159"/>
      <c r="D401" s="159"/>
      <c r="E401" s="160"/>
      <c r="F401" s="51"/>
      <c r="G401" s="45">
        <f>TRUNC(SUM(G400:G400))</f>
        <v>471400</v>
      </c>
      <c r="H401" s="4"/>
      <c r="I401" s="4"/>
      <c r="N401" s="24"/>
      <c r="O401" s="24"/>
    </row>
    <row r="402" spans="2:17" ht="12.95" customHeight="1" x14ac:dyDescent="0.3">
      <c r="B402" s="158"/>
      <c r="C402" s="157"/>
      <c r="D402" s="157"/>
      <c r="E402" s="34"/>
      <c r="F402" s="51"/>
      <c r="G402" s="35"/>
      <c r="H402" s="4"/>
      <c r="I402" s="4"/>
      <c r="N402" s="24"/>
      <c r="O402" s="24"/>
    </row>
    <row r="403" spans="2:17" ht="12.95" customHeight="1" x14ac:dyDescent="0.3">
      <c r="B403" s="155" t="s">
        <v>183</v>
      </c>
      <c r="C403" s="29" t="s">
        <v>185</v>
      </c>
      <c r="D403" s="30" t="s">
        <v>57</v>
      </c>
      <c r="E403" s="31">
        <v>47752</v>
      </c>
      <c r="F403" s="51">
        <v>8</v>
      </c>
      <c r="G403" s="3">
        <f t="shared" ref="G403" si="123">TRUNC($E403*F403,1)</f>
        <v>382016</v>
      </c>
      <c r="H403" s="4"/>
      <c r="I403" s="4"/>
      <c r="N403" s="24"/>
      <c r="O403" s="24"/>
      <c r="P403" s="4"/>
    </row>
    <row r="404" spans="2:17" ht="12.95" customHeight="1" x14ac:dyDescent="0.3">
      <c r="B404" s="136" t="s">
        <v>24</v>
      </c>
      <c r="C404" s="39"/>
      <c r="D404" s="39"/>
      <c r="E404" s="37"/>
      <c r="F404" s="40"/>
      <c r="G404" s="45">
        <f>TRUNC(SUM(G403:G403))</f>
        <v>382016</v>
      </c>
      <c r="H404" s="4"/>
      <c r="I404" s="4"/>
      <c r="N404" s="24"/>
      <c r="O404" s="24"/>
      <c r="P404" s="4"/>
    </row>
    <row r="405" spans="2:17" ht="12.95" customHeight="1" x14ac:dyDescent="0.3">
      <c r="B405" s="158"/>
      <c r="C405" s="157"/>
      <c r="D405" s="157"/>
      <c r="E405" s="34"/>
      <c r="F405" s="32"/>
      <c r="G405" s="35"/>
      <c r="I405" s="4"/>
      <c r="N405" s="24"/>
      <c r="O405" s="24"/>
      <c r="P405" s="4"/>
    </row>
    <row r="406" spans="2:17" ht="12.95" customHeight="1" x14ac:dyDescent="0.3">
      <c r="B406" s="113" t="s">
        <v>26</v>
      </c>
      <c r="C406" s="39"/>
      <c r="D406" s="39"/>
      <c r="E406" s="37"/>
      <c r="F406" s="40"/>
      <c r="G406" s="35">
        <f>SUM(G398+G401+G404)</f>
        <v>1434584</v>
      </c>
      <c r="I406" s="4"/>
      <c r="N406" s="24"/>
      <c r="O406" s="24"/>
      <c r="P406" s="4"/>
    </row>
    <row r="407" spans="2:17" ht="12.95" customHeight="1" x14ac:dyDescent="0.3">
      <c r="B407" s="117" t="s">
        <v>177</v>
      </c>
      <c r="C407" s="118"/>
      <c r="D407" s="119"/>
      <c r="E407" s="120"/>
      <c r="F407" s="121"/>
      <c r="G407" s="122">
        <f>TRUNC(G406/G395)</f>
        <v>1103</v>
      </c>
      <c r="N407" s="24"/>
      <c r="O407" s="24"/>
      <c r="P407" s="4"/>
    </row>
    <row r="408" spans="2:17" ht="12.95" customHeight="1" x14ac:dyDescent="0.3">
      <c r="N408" s="24"/>
      <c r="O408" s="24"/>
      <c r="P408" s="4"/>
    </row>
    <row r="409" spans="2:17" ht="12.95" customHeight="1" x14ac:dyDescent="0.3">
      <c r="B409" s="152" t="s">
        <v>209</v>
      </c>
      <c r="C409" s="53"/>
      <c r="D409" s="182"/>
      <c r="E409" s="53"/>
      <c r="F409" s="24"/>
      <c r="G409" s="183" t="s">
        <v>120</v>
      </c>
      <c r="H409" s="68"/>
      <c r="J409" s="24"/>
      <c r="K409" s="24"/>
      <c r="N409" s="24"/>
      <c r="O409" s="24"/>
      <c r="P409" s="4"/>
    </row>
    <row r="410" spans="2:17" ht="12.95" customHeight="1" x14ac:dyDescent="0.3">
      <c r="B410" s="312" t="s">
        <v>14</v>
      </c>
      <c r="C410" s="314" t="s">
        <v>31</v>
      </c>
      <c r="D410" s="316" t="s">
        <v>19</v>
      </c>
      <c r="E410" s="317" t="s">
        <v>15</v>
      </c>
      <c r="F410" s="93" t="s">
        <v>176</v>
      </c>
      <c r="G410" s="184">
        <v>1380</v>
      </c>
      <c r="H410" s="198"/>
      <c r="I410" s="198"/>
      <c r="J410" s="68"/>
      <c r="K410" s="68"/>
      <c r="L410" s="24"/>
      <c r="M410" s="24"/>
      <c r="N410" s="24"/>
      <c r="O410" s="24"/>
    </row>
    <row r="411" spans="2:17" ht="12.95" customHeight="1" x14ac:dyDescent="0.3">
      <c r="B411" s="313"/>
      <c r="C411" s="315"/>
      <c r="D411" s="316"/>
      <c r="E411" s="318"/>
      <c r="F411" s="96" t="s">
        <v>174</v>
      </c>
      <c r="G411" s="97" t="s">
        <v>175</v>
      </c>
      <c r="H411" s="198"/>
      <c r="I411" s="198"/>
      <c r="J411" s="24"/>
      <c r="K411" s="68"/>
      <c r="L411" s="24"/>
      <c r="M411" s="24"/>
      <c r="N411" s="24"/>
      <c r="O411" s="24"/>
    </row>
    <row r="412" spans="2:17" ht="12.95" customHeight="1" x14ac:dyDescent="0.3">
      <c r="B412" s="199" t="s">
        <v>96</v>
      </c>
      <c r="C412" s="29" t="s">
        <v>185</v>
      </c>
      <c r="D412" s="200" t="s">
        <v>57</v>
      </c>
      <c r="E412" s="74">
        <v>62530</v>
      </c>
      <c r="F412" s="51">
        <v>8</v>
      </c>
      <c r="G412" s="3">
        <f t="shared" ref="G412:G414" si="124">TRUNC($E412*F412,1)</f>
        <v>500240</v>
      </c>
      <c r="H412" s="201"/>
      <c r="I412" s="53"/>
      <c r="J412" s="202"/>
      <c r="K412" s="68"/>
      <c r="L412" s="24"/>
      <c r="M412" s="24"/>
      <c r="N412" s="24"/>
      <c r="O412" s="24"/>
      <c r="P412" s="24"/>
      <c r="Q412" s="24"/>
    </row>
    <row r="413" spans="2:17" ht="12.95" customHeight="1" x14ac:dyDescent="0.3">
      <c r="B413" s="156" t="s">
        <v>90</v>
      </c>
      <c r="C413" s="29" t="s">
        <v>34</v>
      </c>
      <c r="D413" s="203" t="s">
        <v>57</v>
      </c>
      <c r="E413" s="80">
        <v>28181</v>
      </c>
      <c r="F413" s="51">
        <v>8</v>
      </c>
      <c r="G413" s="3">
        <f t="shared" si="124"/>
        <v>225448</v>
      </c>
      <c r="H413" s="201"/>
      <c r="I413" s="53"/>
      <c r="J413" s="202"/>
      <c r="K413" s="68"/>
      <c r="L413" s="24"/>
      <c r="M413" s="24"/>
      <c r="N413" s="24"/>
      <c r="O413" s="24"/>
    </row>
    <row r="414" spans="2:17" ht="12.95" customHeight="1" x14ac:dyDescent="0.3">
      <c r="B414" s="155" t="s">
        <v>183</v>
      </c>
      <c r="C414" s="29" t="s">
        <v>185</v>
      </c>
      <c r="D414" s="30" t="s">
        <v>57</v>
      </c>
      <c r="E414" s="31">
        <v>72646</v>
      </c>
      <c r="F414" s="51">
        <v>8</v>
      </c>
      <c r="G414" s="3">
        <f t="shared" si="124"/>
        <v>581168</v>
      </c>
      <c r="H414" s="201"/>
      <c r="I414" s="53"/>
      <c r="J414" s="202"/>
      <c r="K414" s="68"/>
      <c r="L414" s="24"/>
      <c r="M414" s="24"/>
      <c r="N414" s="24"/>
      <c r="O414" s="24"/>
    </row>
    <row r="415" spans="2:17" ht="12.95" customHeight="1" x14ac:dyDescent="0.3">
      <c r="B415" s="136" t="s">
        <v>22</v>
      </c>
      <c r="C415" s="204"/>
      <c r="D415" s="160"/>
      <c r="E415" s="40"/>
      <c r="F415" s="205"/>
      <c r="G415" s="45">
        <f>TRUNC(SUM(G412:G414))</f>
        <v>1306856</v>
      </c>
      <c r="H415" s="206"/>
      <c r="I415" s="27"/>
      <c r="J415" s="68"/>
      <c r="K415" s="68"/>
      <c r="L415" s="24"/>
      <c r="M415" s="24"/>
      <c r="N415" s="24"/>
      <c r="O415" s="24"/>
    </row>
    <row r="416" spans="2:17" ht="12.95" customHeight="1" x14ac:dyDescent="0.3">
      <c r="B416" s="207"/>
      <c r="C416" s="208"/>
      <c r="D416" s="192"/>
      <c r="E416" s="209"/>
      <c r="F416" s="210"/>
      <c r="G416" s="211"/>
      <c r="H416" s="212"/>
      <c r="I416" s="28"/>
      <c r="J416" s="201"/>
      <c r="K416" s="68"/>
      <c r="L416" s="24"/>
      <c r="M416" s="24"/>
      <c r="N416" s="24"/>
      <c r="O416" s="24"/>
    </row>
    <row r="417" spans="2:16" ht="12.95" customHeight="1" x14ac:dyDescent="0.3">
      <c r="B417" s="156" t="s">
        <v>1</v>
      </c>
      <c r="C417" s="29"/>
      <c r="D417" s="203" t="s">
        <v>33</v>
      </c>
      <c r="E417" s="80">
        <v>226122</v>
      </c>
      <c r="F417" s="51">
        <v>1</v>
      </c>
      <c r="G417" s="3">
        <f t="shared" ref="G417:G420" si="125">TRUNC($E417*F417,1)</f>
        <v>226122</v>
      </c>
      <c r="H417" s="213"/>
      <c r="I417" s="53"/>
      <c r="J417" s="198"/>
      <c r="K417" s="68"/>
      <c r="L417" s="24"/>
      <c r="M417" s="24"/>
      <c r="N417" s="24"/>
      <c r="O417" s="24"/>
    </row>
    <row r="418" spans="2:16" ht="12.95" customHeight="1" x14ac:dyDescent="0.3">
      <c r="B418" s="156" t="s">
        <v>96</v>
      </c>
      <c r="C418" s="29" t="s">
        <v>185</v>
      </c>
      <c r="D418" s="203" t="s">
        <v>57</v>
      </c>
      <c r="E418" s="80">
        <v>58925</v>
      </c>
      <c r="F418" s="51">
        <v>8</v>
      </c>
      <c r="G418" s="3">
        <f t="shared" si="125"/>
        <v>471400</v>
      </c>
      <c r="H418" s="201"/>
      <c r="I418" s="53"/>
      <c r="J418" s="214"/>
      <c r="K418" s="68"/>
      <c r="L418" s="24"/>
      <c r="M418" s="24"/>
      <c r="N418" s="24"/>
      <c r="O418" s="24"/>
    </row>
    <row r="419" spans="2:16" ht="12.95" customHeight="1" x14ac:dyDescent="0.3">
      <c r="B419" s="156" t="s">
        <v>90</v>
      </c>
      <c r="C419" s="29" t="s">
        <v>34</v>
      </c>
      <c r="D419" s="203" t="s">
        <v>57</v>
      </c>
      <c r="E419" s="80">
        <v>58925</v>
      </c>
      <c r="F419" s="51">
        <v>8</v>
      </c>
      <c r="G419" s="3">
        <f t="shared" si="125"/>
        <v>471400</v>
      </c>
      <c r="H419" s="201"/>
      <c r="I419" s="53"/>
      <c r="J419" s="206"/>
      <c r="K419" s="68"/>
      <c r="L419" s="24"/>
      <c r="M419" s="24"/>
      <c r="N419" s="24"/>
      <c r="O419" s="24"/>
    </row>
    <row r="420" spans="2:16" ht="12.95" customHeight="1" x14ac:dyDescent="0.3">
      <c r="B420" s="155" t="s">
        <v>183</v>
      </c>
      <c r="C420" s="29" t="s">
        <v>185</v>
      </c>
      <c r="D420" s="30" t="s">
        <v>57</v>
      </c>
      <c r="E420" s="31">
        <v>58925</v>
      </c>
      <c r="F420" s="51">
        <v>8</v>
      </c>
      <c r="G420" s="3">
        <f t="shared" si="125"/>
        <v>471400</v>
      </c>
      <c r="H420" s="201"/>
      <c r="I420" s="53"/>
      <c r="J420" s="206"/>
      <c r="K420" s="68"/>
      <c r="L420" s="24"/>
      <c r="M420" s="24"/>
      <c r="N420" s="24"/>
      <c r="O420" s="24"/>
      <c r="P420" s="4"/>
    </row>
    <row r="421" spans="2:16" ht="12.95" customHeight="1" x14ac:dyDescent="0.3">
      <c r="B421" s="102" t="s">
        <v>23</v>
      </c>
      <c r="C421" s="76"/>
      <c r="D421" s="58"/>
      <c r="E421" s="40"/>
      <c r="F421" s="215"/>
      <c r="G421" s="45">
        <f>TRUNC(SUM(G417:G420))</f>
        <v>1640322</v>
      </c>
      <c r="H421" s="182"/>
      <c r="I421" s="27"/>
      <c r="J421" s="68"/>
      <c r="K421" s="68"/>
      <c r="L421" s="24"/>
      <c r="M421" s="24"/>
      <c r="N421" s="24"/>
      <c r="O421" s="24"/>
      <c r="P421" s="4"/>
    </row>
    <row r="422" spans="2:16" ht="12.95" customHeight="1" x14ac:dyDescent="0.3">
      <c r="B422" s="207"/>
      <c r="C422" s="208"/>
      <c r="D422" s="192"/>
      <c r="E422" s="209"/>
      <c r="F422" s="210"/>
      <c r="G422" s="211"/>
      <c r="H422" s="212"/>
      <c r="I422" s="28"/>
      <c r="J422" s="206"/>
      <c r="K422" s="68"/>
      <c r="L422" s="24"/>
      <c r="M422" s="24"/>
      <c r="N422" s="24"/>
      <c r="O422" s="24"/>
      <c r="P422" s="4"/>
    </row>
    <row r="423" spans="2:16" ht="12.95" customHeight="1" x14ac:dyDescent="0.3">
      <c r="B423" s="156" t="s">
        <v>96</v>
      </c>
      <c r="C423" s="29" t="s">
        <v>185</v>
      </c>
      <c r="D423" s="203" t="s">
        <v>57</v>
      </c>
      <c r="E423" s="80">
        <v>65041</v>
      </c>
      <c r="F423" s="51">
        <v>8</v>
      </c>
      <c r="G423" s="3">
        <f t="shared" ref="G423:G425" si="126">TRUNC($E423*F423,1)</f>
        <v>520328</v>
      </c>
      <c r="H423" s="201"/>
      <c r="I423" s="53"/>
      <c r="J423" s="206"/>
      <c r="K423" s="68"/>
      <c r="L423" s="24"/>
      <c r="M423" s="24"/>
      <c r="N423" s="24"/>
      <c r="O423" s="24"/>
      <c r="P423" s="4"/>
    </row>
    <row r="424" spans="2:16" ht="12.95" customHeight="1" x14ac:dyDescent="0.3">
      <c r="B424" s="156" t="s">
        <v>90</v>
      </c>
      <c r="C424" s="29" t="s">
        <v>34</v>
      </c>
      <c r="D424" s="203" t="s">
        <v>57</v>
      </c>
      <c r="E424" s="80">
        <v>26662</v>
      </c>
      <c r="F424" s="51">
        <v>8</v>
      </c>
      <c r="G424" s="3">
        <f t="shared" si="126"/>
        <v>213296</v>
      </c>
      <c r="H424" s="201"/>
      <c r="I424" s="53"/>
      <c r="J424" s="214"/>
      <c r="K424" s="68"/>
      <c r="L424" s="24"/>
      <c r="M424" s="24"/>
      <c r="N424" s="24"/>
      <c r="O424" s="24"/>
      <c r="P424" s="4"/>
    </row>
    <row r="425" spans="2:16" ht="12.95" customHeight="1" x14ac:dyDescent="0.3">
      <c r="B425" s="155" t="s">
        <v>183</v>
      </c>
      <c r="C425" s="29" t="s">
        <v>185</v>
      </c>
      <c r="D425" s="30" t="s">
        <v>57</v>
      </c>
      <c r="E425" s="31">
        <v>47752</v>
      </c>
      <c r="F425" s="51">
        <v>8</v>
      </c>
      <c r="G425" s="3">
        <f t="shared" si="126"/>
        <v>382016</v>
      </c>
      <c r="H425" s="201"/>
      <c r="I425" s="53"/>
      <c r="J425" s="214"/>
      <c r="K425" s="68"/>
      <c r="L425" s="24"/>
      <c r="M425" s="24"/>
      <c r="N425" s="24"/>
      <c r="O425" s="24"/>
      <c r="P425" s="4"/>
    </row>
    <row r="426" spans="2:16" ht="12.95" customHeight="1" x14ac:dyDescent="0.3">
      <c r="B426" s="136" t="s">
        <v>24</v>
      </c>
      <c r="C426" s="216"/>
      <c r="D426" s="58"/>
      <c r="E426" s="40"/>
      <c r="F426" s="217"/>
      <c r="G426" s="45">
        <f>TRUNC(SUM(G423:G425))</f>
        <v>1115640</v>
      </c>
      <c r="H426" s="214"/>
      <c r="I426" s="27"/>
      <c r="J426" s="214"/>
      <c r="K426" s="68"/>
      <c r="L426" s="24"/>
      <c r="M426" s="24"/>
      <c r="N426" s="24"/>
      <c r="O426" s="24"/>
      <c r="P426" s="4"/>
    </row>
    <row r="427" spans="2:16" ht="12.95" customHeight="1" x14ac:dyDescent="0.3">
      <c r="B427" s="207"/>
      <c r="C427" s="218"/>
      <c r="D427" s="219"/>
      <c r="E427" s="219"/>
      <c r="F427" s="167"/>
      <c r="G427" s="220"/>
      <c r="H427" s="152"/>
      <c r="I427" s="220"/>
      <c r="J427" s="214"/>
      <c r="K427" s="68"/>
      <c r="L427" s="24"/>
      <c r="M427" s="24"/>
      <c r="N427" s="24"/>
      <c r="O427" s="24"/>
    </row>
    <row r="428" spans="2:16" ht="12.95" customHeight="1" x14ac:dyDescent="0.3">
      <c r="B428" s="113" t="s">
        <v>26</v>
      </c>
      <c r="C428" s="204"/>
      <c r="D428" s="221"/>
      <c r="E428" s="209"/>
      <c r="F428" s="160"/>
      <c r="G428" s="211">
        <f>SUM(G415+G421+G426)</f>
        <v>4062818</v>
      </c>
      <c r="H428" s="179"/>
      <c r="I428" s="28"/>
      <c r="J428" s="24"/>
      <c r="K428" s="24"/>
      <c r="L428" s="24"/>
      <c r="M428" s="24"/>
      <c r="N428" s="24"/>
      <c r="O428" s="24"/>
    </row>
    <row r="429" spans="2:16" ht="12.95" customHeight="1" x14ac:dyDescent="0.3">
      <c r="B429" s="117" t="s">
        <v>177</v>
      </c>
      <c r="C429" s="118"/>
      <c r="D429" s="119"/>
      <c r="E429" s="120"/>
      <c r="F429" s="121"/>
      <c r="G429" s="122">
        <f>TRUNC(G428/G410)</f>
        <v>2944</v>
      </c>
      <c r="N429" s="24"/>
      <c r="O429" s="24"/>
    </row>
    <row r="430" spans="2:16" ht="12.95" customHeight="1" x14ac:dyDescent="0.3">
      <c r="B430" s="170"/>
      <c r="C430" s="179"/>
      <c r="D430" s="179"/>
      <c r="E430" s="28"/>
      <c r="F430" s="54"/>
      <c r="G430" s="152"/>
      <c r="H430" s="54"/>
      <c r="I430" s="152"/>
      <c r="N430" s="24"/>
      <c r="O430" s="24"/>
    </row>
    <row r="431" spans="2:16" ht="12.95" customHeight="1" x14ac:dyDescent="0.3">
      <c r="B431" s="152" t="s">
        <v>210</v>
      </c>
      <c r="C431" s="53"/>
      <c r="D431" s="182"/>
      <c r="E431" s="53"/>
      <c r="F431" s="24"/>
      <c r="G431" s="24"/>
      <c r="H431" s="68"/>
      <c r="I431" s="152"/>
      <c r="J431" s="24"/>
      <c r="K431" s="24"/>
      <c r="L431" s="68"/>
      <c r="M431" s="183" t="s">
        <v>120</v>
      </c>
      <c r="N431" s="24"/>
      <c r="O431" s="24"/>
    </row>
    <row r="432" spans="2:16" ht="12.95" customHeight="1" x14ac:dyDescent="0.3">
      <c r="B432" s="337" t="s">
        <v>14</v>
      </c>
      <c r="C432" s="317" t="s">
        <v>18</v>
      </c>
      <c r="D432" s="317" t="s">
        <v>19</v>
      </c>
      <c r="E432" s="317" t="s">
        <v>15</v>
      </c>
      <c r="F432" s="344" t="s">
        <v>211</v>
      </c>
      <c r="G432" s="345"/>
      <c r="H432" s="345"/>
      <c r="I432" s="346"/>
      <c r="J432" s="344" t="s">
        <v>213</v>
      </c>
      <c r="K432" s="345"/>
      <c r="L432" s="345"/>
      <c r="M432" s="345"/>
      <c r="N432" s="24"/>
      <c r="O432" s="24"/>
    </row>
    <row r="433" spans="2:15" ht="12.95" customHeight="1" x14ac:dyDescent="0.3">
      <c r="B433" s="338"/>
      <c r="C433" s="340"/>
      <c r="D433" s="340"/>
      <c r="E433" s="340"/>
      <c r="F433" s="344" t="s">
        <v>212</v>
      </c>
      <c r="G433" s="345"/>
      <c r="H433" s="344" t="s">
        <v>214</v>
      </c>
      <c r="I433" s="345"/>
      <c r="J433" s="344" t="s">
        <v>212</v>
      </c>
      <c r="K433" s="345"/>
      <c r="L433" s="344" t="s">
        <v>214</v>
      </c>
      <c r="M433" s="345"/>
      <c r="N433" s="24"/>
      <c r="O433" s="24"/>
    </row>
    <row r="434" spans="2:15" ht="12.95" customHeight="1" x14ac:dyDescent="0.3">
      <c r="B434" s="338"/>
      <c r="C434" s="340"/>
      <c r="D434" s="340"/>
      <c r="E434" s="340"/>
      <c r="F434" s="93" t="s">
        <v>176</v>
      </c>
      <c r="G434" s="184">
        <v>18</v>
      </c>
      <c r="H434" s="93" t="s">
        <v>176</v>
      </c>
      <c r="I434" s="94">
        <v>11</v>
      </c>
      <c r="J434" s="93" t="s">
        <v>176</v>
      </c>
      <c r="K434" s="184">
        <v>24</v>
      </c>
      <c r="L434" s="93" t="s">
        <v>176</v>
      </c>
      <c r="M434" s="94">
        <v>15</v>
      </c>
    </row>
    <row r="435" spans="2:15" ht="12.95" customHeight="1" x14ac:dyDescent="0.3">
      <c r="B435" s="339"/>
      <c r="C435" s="318"/>
      <c r="D435" s="318"/>
      <c r="E435" s="318"/>
      <c r="F435" s="96" t="s">
        <v>174</v>
      </c>
      <c r="G435" s="97" t="s">
        <v>175</v>
      </c>
      <c r="H435" s="96" t="s">
        <v>174</v>
      </c>
      <c r="I435" s="97" t="s">
        <v>175</v>
      </c>
      <c r="J435" s="96" t="s">
        <v>174</v>
      </c>
      <c r="K435" s="97" t="s">
        <v>175</v>
      </c>
      <c r="L435" s="96" t="s">
        <v>174</v>
      </c>
      <c r="M435" s="97" t="s">
        <v>175</v>
      </c>
    </row>
    <row r="436" spans="2:15" ht="12.95" customHeight="1" x14ac:dyDescent="0.3">
      <c r="B436" s="222" t="s">
        <v>92</v>
      </c>
      <c r="C436" s="223" t="s">
        <v>93</v>
      </c>
      <c r="D436" s="99" t="s">
        <v>39</v>
      </c>
      <c r="E436" s="100">
        <v>1901</v>
      </c>
      <c r="F436" s="187">
        <v>8</v>
      </c>
      <c r="G436" s="69">
        <f>TRUNC($E436*F436,1)</f>
        <v>15208</v>
      </c>
      <c r="H436" s="187">
        <v>8</v>
      </c>
      <c r="I436" s="69">
        <f>TRUNC($E436*H436,1)</f>
        <v>15208</v>
      </c>
      <c r="J436" s="187">
        <v>8</v>
      </c>
      <c r="K436" s="69">
        <f>TRUNC($E436*J436,1)</f>
        <v>15208</v>
      </c>
      <c r="L436" s="187">
        <v>8</v>
      </c>
      <c r="M436" s="69">
        <f>TRUNC($E436*L436,1)</f>
        <v>15208</v>
      </c>
    </row>
    <row r="437" spans="2:15" ht="12.95" customHeight="1" x14ac:dyDescent="0.3">
      <c r="B437" s="136" t="s">
        <v>22</v>
      </c>
      <c r="C437" s="76"/>
      <c r="D437" s="77"/>
      <c r="E437" s="40"/>
      <c r="F437" s="111"/>
      <c r="G437" s="45">
        <f>TRUNC(SUM(G436:G436))</f>
        <v>15208</v>
      </c>
      <c r="H437" s="111"/>
      <c r="I437" s="45">
        <f>TRUNC(SUM(I436:I436))</f>
        <v>15208</v>
      </c>
      <c r="J437" s="111"/>
      <c r="K437" s="45">
        <f>TRUNC(SUM(K436:K436))</f>
        <v>15208</v>
      </c>
      <c r="L437" s="111"/>
      <c r="M437" s="45">
        <f>TRUNC(SUM(M436:M436))</f>
        <v>15208</v>
      </c>
    </row>
    <row r="438" spans="2:15" ht="12.95" customHeight="1" x14ac:dyDescent="0.3">
      <c r="B438" s="75"/>
      <c r="C438" s="76"/>
      <c r="D438" s="77"/>
      <c r="E438" s="40"/>
      <c r="F438" s="111"/>
      <c r="G438" s="35"/>
      <c r="H438" s="111"/>
      <c r="I438" s="35"/>
      <c r="J438" s="111"/>
      <c r="K438" s="35"/>
      <c r="L438" s="111"/>
      <c r="M438" s="35"/>
    </row>
    <row r="439" spans="2:15" ht="12.95" customHeight="1" x14ac:dyDescent="0.3">
      <c r="B439" s="98" t="s">
        <v>1</v>
      </c>
      <c r="C439" s="98"/>
      <c r="D439" s="99" t="s">
        <v>33</v>
      </c>
      <c r="E439" s="100">
        <v>226122</v>
      </c>
      <c r="F439" s="111">
        <v>1</v>
      </c>
      <c r="G439" s="191">
        <f>TRUNC($E439*F439,1)</f>
        <v>226122</v>
      </c>
      <c r="H439" s="111">
        <v>1</v>
      </c>
      <c r="I439" s="191">
        <f>TRUNC($E439*H439,1)</f>
        <v>226122</v>
      </c>
      <c r="J439" s="111">
        <v>1</v>
      </c>
      <c r="K439" s="191">
        <f>TRUNC($E439*J439,1)</f>
        <v>226122</v>
      </c>
      <c r="L439" s="111">
        <v>1</v>
      </c>
      <c r="M439" s="191">
        <f>TRUNC($E439*L439,1)</f>
        <v>226122</v>
      </c>
    </row>
    <row r="440" spans="2:15" ht="12.95" customHeight="1" x14ac:dyDescent="0.3">
      <c r="B440" s="224" t="s">
        <v>4</v>
      </c>
      <c r="C440" s="129"/>
      <c r="D440" s="109" t="s">
        <v>21</v>
      </c>
      <c r="E440" s="171">
        <v>172068</v>
      </c>
      <c r="F440" s="111">
        <v>1</v>
      </c>
      <c r="G440" s="191">
        <f>TRUNC($E440*F440,1)</f>
        <v>172068</v>
      </c>
      <c r="H440" s="111">
        <v>1</v>
      </c>
      <c r="I440" s="191">
        <f>TRUNC($E440*H440,1)</f>
        <v>172068</v>
      </c>
      <c r="J440" s="111">
        <v>1</v>
      </c>
      <c r="K440" s="191">
        <f>TRUNC($E440*J440,1)</f>
        <v>172068</v>
      </c>
      <c r="L440" s="111">
        <v>1</v>
      </c>
      <c r="M440" s="191">
        <f>TRUNC($E440*L440,1)</f>
        <v>172068</v>
      </c>
    </row>
    <row r="441" spans="2:15" ht="12.95" customHeight="1" x14ac:dyDescent="0.3">
      <c r="B441" s="222" t="s">
        <v>92</v>
      </c>
      <c r="C441" s="223" t="s">
        <v>93</v>
      </c>
      <c r="D441" s="189" t="s">
        <v>57</v>
      </c>
      <c r="E441" s="80">
        <v>36190</v>
      </c>
      <c r="F441" s="111">
        <v>8</v>
      </c>
      <c r="G441" s="79">
        <f>TRUNC($E441*F441,1)</f>
        <v>289520</v>
      </c>
      <c r="H441" s="111">
        <v>8</v>
      </c>
      <c r="I441" s="79">
        <f>TRUNC($E441*H441,1)</f>
        <v>289520</v>
      </c>
      <c r="J441" s="111">
        <v>8</v>
      </c>
      <c r="K441" s="79">
        <f>TRUNC($E441*J441,1)</f>
        <v>289520</v>
      </c>
      <c r="L441" s="111">
        <v>8</v>
      </c>
      <c r="M441" s="79">
        <f>TRUNC($E441*L441,1)</f>
        <v>289520</v>
      </c>
    </row>
    <row r="442" spans="2:15" ht="12.95" customHeight="1" x14ac:dyDescent="0.3">
      <c r="B442" s="102" t="s">
        <v>23</v>
      </c>
      <c r="C442" s="192"/>
      <c r="D442" s="193"/>
      <c r="E442" s="194"/>
      <c r="F442" s="195"/>
      <c r="G442" s="45">
        <f>TRUNC(SUM(G439:G441))</f>
        <v>687710</v>
      </c>
      <c r="H442" s="195"/>
      <c r="I442" s="45">
        <f>TRUNC(SUM(I439:I441))</f>
        <v>687710</v>
      </c>
      <c r="J442" s="195"/>
      <c r="K442" s="45">
        <f>TRUNC(SUM(K439:K441))</f>
        <v>687710</v>
      </c>
      <c r="L442" s="195"/>
      <c r="M442" s="45">
        <f>TRUNC(SUM(M439:M441))</f>
        <v>687710</v>
      </c>
    </row>
    <row r="443" spans="2:15" ht="12.95" customHeight="1" x14ac:dyDescent="0.3">
      <c r="B443" s="196"/>
      <c r="C443" s="192"/>
      <c r="D443" s="193"/>
      <c r="E443" s="194"/>
      <c r="F443" s="195"/>
      <c r="G443" s="35"/>
      <c r="H443" s="195"/>
      <c r="I443" s="35"/>
      <c r="J443" s="195"/>
      <c r="K443" s="35"/>
      <c r="L443" s="195"/>
      <c r="M443" s="35"/>
      <c r="N443" s="4"/>
      <c r="O443" s="4"/>
    </row>
    <row r="444" spans="2:15" ht="12.95" customHeight="1" x14ac:dyDescent="0.3">
      <c r="B444" s="222" t="s">
        <v>92</v>
      </c>
      <c r="C444" s="223" t="s">
        <v>93</v>
      </c>
      <c r="D444" s="189" t="s">
        <v>57</v>
      </c>
      <c r="E444" s="80">
        <v>620</v>
      </c>
      <c r="F444" s="111">
        <v>8</v>
      </c>
      <c r="G444" s="70">
        <f>TRUNC($E444*F444,1)</f>
        <v>4960</v>
      </c>
      <c r="H444" s="111">
        <v>8</v>
      </c>
      <c r="I444" s="70">
        <f>TRUNC($E444*H444,1)</f>
        <v>4960</v>
      </c>
      <c r="J444" s="111">
        <v>8</v>
      </c>
      <c r="K444" s="70">
        <f>TRUNC($E444*J444,1)</f>
        <v>4960</v>
      </c>
      <c r="L444" s="111">
        <v>8</v>
      </c>
      <c r="M444" s="70">
        <f>TRUNC($E444*L444,1)</f>
        <v>4960</v>
      </c>
      <c r="N444" s="4"/>
      <c r="O444" s="4"/>
    </row>
    <row r="445" spans="2:15" ht="12.95" customHeight="1" x14ac:dyDescent="0.3">
      <c r="B445" s="136" t="s">
        <v>24</v>
      </c>
      <c r="C445" s="192"/>
      <c r="D445" s="193"/>
      <c r="E445" s="194"/>
      <c r="F445" s="195"/>
      <c r="G445" s="45">
        <f>TRUNC(SUM(G444:G444))</f>
        <v>4960</v>
      </c>
      <c r="H445" s="195"/>
      <c r="I445" s="45">
        <f>TRUNC(SUM(I444:I444))</f>
        <v>4960</v>
      </c>
      <c r="J445" s="195"/>
      <c r="K445" s="45">
        <f>TRUNC(SUM(K444:K444))</f>
        <v>4960</v>
      </c>
      <c r="L445" s="195"/>
      <c r="M445" s="45">
        <f>TRUNC(SUM(M444:M444))</f>
        <v>4960</v>
      </c>
      <c r="N445" s="4"/>
      <c r="O445" s="4"/>
    </row>
    <row r="446" spans="2:15" ht="12.95" customHeight="1" x14ac:dyDescent="0.3">
      <c r="B446" s="158"/>
      <c r="C446" s="52"/>
      <c r="D446" s="189"/>
      <c r="E446" s="30"/>
      <c r="F446" s="111"/>
      <c r="G446" s="70"/>
      <c r="H446" s="111"/>
      <c r="I446" s="70"/>
      <c r="J446" s="111"/>
      <c r="K446" s="70"/>
      <c r="L446" s="111"/>
      <c r="M446" s="70"/>
      <c r="N446" s="4"/>
      <c r="O446" s="4"/>
    </row>
    <row r="447" spans="2:15" ht="12.95" customHeight="1" x14ac:dyDescent="0.3">
      <c r="B447" s="113" t="s">
        <v>26</v>
      </c>
      <c r="C447" s="192"/>
      <c r="D447" s="193"/>
      <c r="E447" s="194"/>
      <c r="F447" s="225"/>
      <c r="G447" s="197">
        <f>G437+G442+G445</f>
        <v>707878</v>
      </c>
      <c r="H447" s="225"/>
      <c r="I447" s="197">
        <f>I437+I442+I445</f>
        <v>707878</v>
      </c>
      <c r="J447" s="225"/>
      <c r="K447" s="197">
        <f>K437+K442+K445</f>
        <v>707878</v>
      </c>
      <c r="L447" s="225"/>
      <c r="M447" s="197">
        <f>M437+M442+M445</f>
        <v>707878</v>
      </c>
      <c r="N447" s="4"/>
      <c r="O447" s="4"/>
    </row>
    <row r="448" spans="2:15" ht="12.95" customHeight="1" x14ac:dyDescent="0.3">
      <c r="B448" s="117" t="s">
        <v>177</v>
      </c>
      <c r="C448" s="118"/>
      <c r="D448" s="119"/>
      <c r="E448" s="120"/>
      <c r="F448" s="226"/>
      <c r="G448" s="122">
        <f>TRUNC(G447/G434)</f>
        <v>39326</v>
      </c>
      <c r="H448" s="226"/>
      <c r="I448" s="122">
        <f>TRUNC(I447/I434)</f>
        <v>64352</v>
      </c>
      <c r="J448" s="226"/>
      <c r="K448" s="122">
        <f>TRUNC(K447/K434)</f>
        <v>29494</v>
      </c>
      <c r="L448" s="226"/>
      <c r="M448" s="122">
        <f>TRUNC(M447/M434)</f>
        <v>47191</v>
      </c>
      <c r="N448" s="4"/>
      <c r="O448" s="4"/>
    </row>
    <row r="449" spans="2:15" ht="12.95" customHeight="1" x14ac:dyDescent="0.3">
      <c r="B449" s="337" t="s">
        <v>14</v>
      </c>
      <c r="C449" s="317" t="s">
        <v>18</v>
      </c>
      <c r="D449" s="317" t="s">
        <v>19</v>
      </c>
      <c r="E449" s="317" t="s">
        <v>15</v>
      </c>
      <c r="F449" s="344" t="s">
        <v>211</v>
      </c>
      <c r="G449" s="345"/>
      <c r="H449" s="345"/>
      <c r="I449" s="346"/>
      <c r="J449" s="344" t="s">
        <v>213</v>
      </c>
      <c r="K449" s="345"/>
      <c r="L449" s="345"/>
      <c r="M449" s="345"/>
      <c r="N449" s="4"/>
      <c r="O449" s="4"/>
    </row>
    <row r="450" spans="2:15" ht="12.95" customHeight="1" x14ac:dyDescent="0.3">
      <c r="B450" s="338"/>
      <c r="C450" s="340"/>
      <c r="D450" s="340"/>
      <c r="E450" s="340"/>
      <c r="F450" s="344" t="s">
        <v>212</v>
      </c>
      <c r="G450" s="345"/>
      <c r="H450" s="344" t="s">
        <v>214</v>
      </c>
      <c r="I450" s="345"/>
      <c r="J450" s="344" t="s">
        <v>212</v>
      </c>
      <c r="K450" s="345"/>
      <c r="L450" s="344" t="s">
        <v>214</v>
      </c>
      <c r="M450" s="345"/>
      <c r="N450" s="4"/>
      <c r="O450" s="4"/>
    </row>
    <row r="451" spans="2:15" ht="12.95" customHeight="1" x14ac:dyDescent="0.3">
      <c r="B451" s="338"/>
      <c r="C451" s="340"/>
      <c r="D451" s="340"/>
      <c r="E451" s="340"/>
      <c r="F451" s="93" t="s">
        <v>176</v>
      </c>
      <c r="G451" s="184">
        <v>14</v>
      </c>
      <c r="H451" s="93" t="s">
        <v>176</v>
      </c>
      <c r="I451" s="94">
        <v>9</v>
      </c>
      <c r="J451" s="93" t="s">
        <v>176</v>
      </c>
      <c r="K451" s="184">
        <v>20</v>
      </c>
      <c r="L451" s="93" t="s">
        <v>176</v>
      </c>
      <c r="M451" s="94">
        <v>13</v>
      </c>
      <c r="N451" s="4"/>
      <c r="O451" s="4"/>
    </row>
    <row r="452" spans="2:15" ht="12.95" customHeight="1" x14ac:dyDescent="0.3">
      <c r="B452" s="339"/>
      <c r="C452" s="318"/>
      <c r="D452" s="318"/>
      <c r="E452" s="318"/>
      <c r="F452" s="96" t="s">
        <v>174</v>
      </c>
      <c r="G452" s="97" t="s">
        <v>175</v>
      </c>
      <c r="H452" s="96" t="s">
        <v>174</v>
      </c>
      <c r="I452" s="97" t="s">
        <v>175</v>
      </c>
      <c r="J452" s="96" t="s">
        <v>174</v>
      </c>
      <c r="K452" s="97" t="s">
        <v>175</v>
      </c>
      <c r="L452" s="96" t="s">
        <v>174</v>
      </c>
      <c r="M452" s="97" t="s">
        <v>175</v>
      </c>
      <c r="N452" s="4"/>
      <c r="O452" s="4"/>
    </row>
    <row r="453" spans="2:15" ht="12.95" customHeight="1" x14ac:dyDescent="0.3">
      <c r="B453" s="155" t="s">
        <v>252</v>
      </c>
      <c r="C453" s="78" t="s">
        <v>9</v>
      </c>
      <c r="D453" s="188" t="s">
        <v>39</v>
      </c>
      <c r="E453" s="80">
        <v>1220</v>
      </c>
      <c r="F453" s="187">
        <v>8</v>
      </c>
      <c r="G453" s="70">
        <f>TRUNC($E453*F453,1)</f>
        <v>9760</v>
      </c>
      <c r="H453" s="187">
        <v>8</v>
      </c>
      <c r="I453" s="70">
        <f>TRUNC($E453*H453,1)</f>
        <v>9760</v>
      </c>
      <c r="J453" s="187">
        <v>8</v>
      </c>
      <c r="K453" s="70">
        <f>TRUNC($E453*J453,1)</f>
        <v>9760</v>
      </c>
      <c r="L453" s="187">
        <v>8</v>
      </c>
      <c r="M453" s="70">
        <f>TRUNC($E453*L453,1)</f>
        <v>9760</v>
      </c>
      <c r="N453" s="4"/>
      <c r="O453" s="4"/>
    </row>
    <row r="454" spans="2:15" ht="12.95" customHeight="1" x14ac:dyDescent="0.3">
      <c r="B454" s="136" t="s">
        <v>22</v>
      </c>
      <c r="C454" s="76"/>
      <c r="D454" s="77"/>
      <c r="E454" s="40"/>
      <c r="F454" s="111"/>
      <c r="G454" s="45">
        <f>TRUNC(SUM(G453:G453))</f>
        <v>9760</v>
      </c>
      <c r="H454" s="111"/>
      <c r="I454" s="45">
        <f>TRUNC(SUM(I453:I453))</f>
        <v>9760</v>
      </c>
      <c r="J454" s="111"/>
      <c r="K454" s="45">
        <f>TRUNC(SUM(K453:K453))</f>
        <v>9760</v>
      </c>
      <c r="L454" s="111"/>
      <c r="M454" s="45">
        <f>TRUNC(SUM(M453:M453))</f>
        <v>9760</v>
      </c>
      <c r="N454" s="4"/>
      <c r="O454" s="4"/>
    </row>
    <row r="455" spans="2:15" ht="12.95" customHeight="1" x14ac:dyDescent="0.3">
      <c r="B455" s="75"/>
      <c r="C455" s="76"/>
      <c r="D455" s="77"/>
      <c r="E455" s="40"/>
      <c r="F455" s="111"/>
      <c r="G455" s="35"/>
      <c r="H455" s="111"/>
      <c r="I455" s="35"/>
      <c r="J455" s="111"/>
      <c r="K455" s="35"/>
      <c r="L455" s="111"/>
      <c r="M455" s="35"/>
      <c r="O455" s="4"/>
    </row>
    <row r="456" spans="2:15" ht="12.95" customHeight="1" x14ac:dyDescent="0.3">
      <c r="B456" s="98" t="s">
        <v>1</v>
      </c>
      <c r="C456" s="98"/>
      <c r="D456" s="99" t="s">
        <v>33</v>
      </c>
      <c r="E456" s="100">
        <v>226122</v>
      </c>
      <c r="F456" s="111">
        <v>1</v>
      </c>
      <c r="G456" s="191">
        <f>TRUNC($E456*F456,1)</f>
        <v>226122</v>
      </c>
      <c r="H456" s="111">
        <v>1</v>
      </c>
      <c r="I456" s="191">
        <f>TRUNC($E456*H456,1)</f>
        <v>226122</v>
      </c>
      <c r="J456" s="111">
        <v>1</v>
      </c>
      <c r="K456" s="191">
        <f>TRUNC($E456*J456,1)</f>
        <v>226122</v>
      </c>
      <c r="L456" s="111">
        <v>1</v>
      </c>
      <c r="M456" s="191">
        <f>TRUNC($E456*L456,1)</f>
        <v>226122</v>
      </c>
      <c r="O456" s="4"/>
    </row>
    <row r="457" spans="2:15" ht="12.95" customHeight="1" x14ac:dyDescent="0.3">
      <c r="B457" s="224" t="s">
        <v>4</v>
      </c>
      <c r="C457" s="129"/>
      <c r="D457" s="109" t="s">
        <v>21</v>
      </c>
      <c r="E457" s="171">
        <v>172068</v>
      </c>
      <c r="F457" s="111">
        <v>1</v>
      </c>
      <c r="G457" s="191">
        <f>TRUNC($E457*F457,1)</f>
        <v>172068</v>
      </c>
      <c r="H457" s="111">
        <v>1</v>
      </c>
      <c r="I457" s="191">
        <f>TRUNC($E457*H457,1)</f>
        <v>172068</v>
      </c>
      <c r="J457" s="111">
        <v>1</v>
      </c>
      <c r="K457" s="191">
        <f>TRUNC($E457*J457,1)</f>
        <v>172068</v>
      </c>
      <c r="L457" s="111">
        <v>1</v>
      </c>
      <c r="M457" s="191">
        <f>TRUNC($E457*L457,1)</f>
        <v>172068</v>
      </c>
    </row>
    <row r="458" spans="2:15" ht="12.95" customHeight="1" x14ac:dyDescent="0.3">
      <c r="B458" s="155" t="s">
        <v>252</v>
      </c>
      <c r="C458" s="78" t="s">
        <v>9</v>
      </c>
      <c r="D458" s="189" t="s">
        <v>57</v>
      </c>
      <c r="E458" s="80">
        <v>36190</v>
      </c>
      <c r="F458" s="111">
        <v>8</v>
      </c>
      <c r="G458" s="79">
        <f>TRUNC($E458*F458,1)</f>
        <v>289520</v>
      </c>
      <c r="H458" s="111">
        <v>8</v>
      </c>
      <c r="I458" s="79">
        <f>TRUNC($E458*H458,1)</f>
        <v>289520</v>
      </c>
      <c r="J458" s="111">
        <v>8</v>
      </c>
      <c r="K458" s="79">
        <f>TRUNC($E458*J458,1)</f>
        <v>289520</v>
      </c>
      <c r="L458" s="111">
        <v>8</v>
      </c>
      <c r="M458" s="79">
        <f>TRUNC($E458*L458,1)</f>
        <v>289520</v>
      </c>
    </row>
    <row r="459" spans="2:15" ht="12.95" customHeight="1" x14ac:dyDescent="0.3">
      <c r="B459" s="102" t="s">
        <v>23</v>
      </c>
      <c r="C459" s="192"/>
      <c r="D459" s="193"/>
      <c r="E459" s="194"/>
      <c r="F459" s="195"/>
      <c r="G459" s="45">
        <f>TRUNC(SUM(G456:G458))</f>
        <v>687710</v>
      </c>
      <c r="H459" s="195"/>
      <c r="I459" s="45">
        <f>TRUNC(SUM(I456:I458))</f>
        <v>687710</v>
      </c>
      <c r="J459" s="195"/>
      <c r="K459" s="45">
        <f>TRUNC(SUM(K456:K458))</f>
        <v>687710</v>
      </c>
      <c r="L459" s="195"/>
      <c r="M459" s="45">
        <f>TRUNC(SUM(M456:M458))</f>
        <v>687710</v>
      </c>
    </row>
    <row r="460" spans="2:15" ht="12.95" customHeight="1" x14ac:dyDescent="0.3">
      <c r="B460" s="196"/>
      <c r="C460" s="192"/>
      <c r="D460" s="193"/>
      <c r="E460" s="194"/>
      <c r="F460" s="195"/>
      <c r="G460" s="35"/>
      <c r="H460" s="195"/>
      <c r="I460" s="35"/>
      <c r="J460" s="195"/>
      <c r="K460" s="35"/>
      <c r="L460" s="195"/>
      <c r="M460" s="35"/>
    </row>
    <row r="461" spans="2:15" ht="12.95" customHeight="1" x14ac:dyDescent="0.3">
      <c r="B461" s="155" t="s">
        <v>252</v>
      </c>
      <c r="C461" s="78" t="s">
        <v>9</v>
      </c>
      <c r="D461" s="189" t="s">
        <v>57</v>
      </c>
      <c r="E461" s="80">
        <v>525</v>
      </c>
      <c r="F461" s="111">
        <v>8</v>
      </c>
      <c r="G461" s="70">
        <f>TRUNC($E461*F461,1)</f>
        <v>4200</v>
      </c>
      <c r="H461" s="111">
        <v>8</v>
      </c>
      <c r="I461" s="70">
        <f>TRUNC($E461*H461,1)</f>
        <v>4200</v>
      </c>
      <c r="J461" s="111">
        <v>8</v>
      </c>
      <c r="K461" s="70">
        <f>TRUNC($E461*J461,1)</f>
        <v>4200</v>
      </c>
      <c r="L461" s="111">
        <v>8</v>
      </c>
      <c r="M461" s="70">
        <f>TRUNC($E461*L461,1)</f>
        <v>4200</v>
      </c>
    </row>
    <row r="462" spans="2:15" ht="12.95" customHeight="1" x14ac:dyDescent="0.3">
      <c r="B462" s="136" t="s">
        <v>24</v>
      </c>
      <c r="C462" s="192"/>
      <c r="D462" s="193"/>
      <c r="E462" s="194"/>
      <c r="F462" s="195"/>
      <c r="G462" s="45">
        <f>TRUNC(SUM(G461:G461))</f>
        <v>4200</v>
      </c>
      <c r="H462" s="195"/>
      <c r="I462" s="45">
        <f>TRUNC(SUM(I461:I461))</f>
        <v>4200</v>
      </c>
      <c r="J462" s="195"/>
      <c r="K462" s="45">
        <f>TRUNC(SUM(K461:K461))</f>
        <v>4200</v>
      </c>
      <c r="L462" s="195"/>
      <c r="M462" s="45">
        <f>TRUNC(SUM(M461:M461))</f>
        <v>4200</v>
      </c>
    </row>
    <row r="463" spans="2:15" ht="12.95" customHeight="1" x14ac:dyDescent="0.3">
      <c r="B463" s="158"/>
      <c r="C463" s="52"/>
      <c r="D463" s="189"/>
      <c r="E463" s="30"/>
      <c r="F463" s="111"/>
      <c r="G463" s="70"/>
      <c r="H463" s="111"/>
      <c r="I463" s="70"/>
      <c r="J463" s="111"/>
      <c r="K463" s="70"/>
      <c r="L463" s="111"/>
      <c r="M463" s="70"/>
    </row>
    <row r="464" spans="2:15" ht="12.95" customHeight="1" x14ac:dyDescent="0.3">
      <c r="B464" s="113" t="s">
        <v>26</v>
      </c>
      <c r="C464" s="192"/>
      <c r="D464" s="193"/>
      <c r="E464" s="194"/>
      <c r="F464" s="225"/>
      <c r="G464" s="197">
        <f>G454+G459+G462</f>
        <v>701670</v>
      </c>
      <c r="H464" s="225"/>
      <c r="I464" s="197">
        <f>I454+I459+I462</f>
        <v>701670</v>
      </c>
      <c r="J464" s="225"/>
      <c r="K464" s="197">
        <f>K454+K459+K462</f>
        <v>701670</v>
      </c>
      <c r="L464" s="225"/>
      <c r="M464" s="197">
        <f>M454+M459+M462</f>
        <v>701670</v>
      </c>
    </row>
    <row r="465" spans="2:13" ht="12.95" customHeight="1" x14ac:dyDescent="0.3">
      <c r="B465" s="117" t="s">
        <v>177</v>
      </c>
      <c r="C465" s="118"/>
      <c r="D465" s="119"/>
      <c r="E465" s="120"/>
      <c r="F465" s="226"/>
      <c r="G465" s="122">
        <f>TRUNC(G464/G451)</f>
        <v>50119</v>
      </c>
      <c r="H465" s="226"/>
      <c r="I465" s="122">
        <f>TRUNC(I464/I451)</f>
        <v>77963</v>
      </c>
      <c r="J465" s="226"/>
      <c r="K465" s="122">
        <f>TRUNC(K464/K451)</f>
        <v>35083</v>
      </c>
      <c r="L465" s="226"/>
      <c r="M465" s="122">
        <f>TRUNC(M464/M451)</f>
        <v>53974</v>
      </c>
    </row>
    <row r="466" spans="2:13" ht="12.95" customHeight="1" x14ac:dyDescent="0.3">
      <c r="B466" s="24"/>
      <c r="C466" s="24"/>
      <c r="D466" s="24"/>
      <c r="E466" s="24"/>
      <c r="F466" s="68"/>
      <c r="G466" s="68"/>
      <c r="H466" s="68"/>
      <c r="I466" s="68"/>
      <c r="L466" s="24"/>
      <c r="M466" s="24"/>
    </row>
    <row r="467" spans="2:13" ht="12.95" customHeight="1" x14ac:dyDescent="0.3">
      <c r="B467" s="152" t="s">
        <v>215</v>
      </c>
      <c r="C467" s="53"/>
      <c r="D467" s="182"/>
      <c r="E467" s="53"/>
      <c r="F467" s="24"/>
      <c r="G467" s="183" t="s">
        <v>120</v>
      </c>
      <c r="H467" s="68"/>
      <c r="J467" s="24"/>
      <c r="K467" s="24"/>
    </row>
    <row r="468" spans="2:13" ht="12.95" customHeight="1" x14ac:dyDescent="0.3">
      <c r="B468" s="312" t="s">
        <v>14</v>
      </c>
      <c r="C468" s="314" t="s">
        <v>31</v>
      </c>
      <c r="D468" s="316" t="s">
        <v>19</v>
      </c>
      <c r="E468" s="317" t="s">
        <v>15</v>
      </c>
      <c r="F468" s="93" t="s">
        <v>176</v>
      </c>
      <c r="G468" s="184">
        <v>110</v>
      </c>
      <c r="H468" s="198"/>
      <c r="I468" s="198"/>
      <c r="J468" s="68"/>
      <c r="K468" s="68"/>
      <c r="L468" s="24"/>
      <c r="M468" s="24"/>
    </row>
    <row r="469" spans="2:13" ht="12.95" customHeight="1" x14ac:dyDescent="0.3">
      <c r="B469" s="313"/>
      <c r="C469" s="315"/>
      <c r="D469" s="316"/>
      <c r="E469" s="318"/>
      <c r="F469" s="96" t="s">
        <v>174</v>
      </c>
      <c r="G469" s="97" t="s">
        <v>175</v>
      </c>
      <c r="H469" s="198"/>
      <c r="I469" s="198"/>
      <c r="J469" s="24"/>
      <c r="K469" s="68"/>
      <c r="L469" s="24"/>
      <c r="M469" s="24"/>
    </row>
    <row r="470" spans="2:13" ht="12.95" customHeight="1" x14ac:dyDescent="0.3">
      <c r="B470" s="222" t="s">
        <v>276</v>
      </c>
      <c r="C470" s="227" t="s">
        <v>85</v>
      </c>
      <c r="D470" s="99" t="s">
        <v>57</v>
      </c>
      <c r="E470" s="100">
        <v>9107</v>
      </c>
      <c r="F470" s="51">
        <v>8</v>
      </c>
      <c r="G470" s="3">
        <f t="shared" ref="G470:G472" si="127">TRUNC($E470*F470,1)</f>
        <v>72856</v>
      </c>
      <c r="H470" s="201"/>
      <c r="I470" s="53"/>
      <c r="J470" s="202"/>
      <c r="K470" s="68"/>
      <c r="L470" s="24"/>
      <c r="M470" s="24"/>
    </row>
    <row r="471" spans="2:13" ht="12.95" customHeight="1" x14ac:dyDescent="0.3">
      <c r="B471" s="228" t="s">
        <v>88</v>
      </c>
      <c r="C471" s="223" t="s">
        <v>89</v>
      </c>
      <c r="D471" s="99" t="s">
        <v>39</v>
      </c>
      <c r="E471" s="100">
        <v>3742</v>
      </c>
      <c r="F471" s="51">
        <v>8</v>
      </c>
      <c r="G471" s="3">
        <f t="shared" si="127"/>
        <v>29936</v>
      </c>
      <c r="H471" s="201"/>
      <c r="I471" s="53"/>
      <c r="J471" s="202"/>
      <c r="K471" s="68"/>
      <c r="L471" s="24"/>
      <c r="M471" s="24"/>
    </row>
    <row r="472" spans="2:13" ht="12.95" customHeight="1" x14ac:dyDescent="0.3">
      <c r="B472" s="222" t="s">
        <v>86</v>
      </c>
      <c r="C472" s="227" t="s">
        <v>87</v>
      </c>
      <c r="D472" s="229" t="s">
        <v>39</v>
      </c>
      <c r="E472" s="100">
        <v>18200</v>
      </c>
      <c r="F472" s="51">
        <v>4</v>
      </c>
      <c r="G472" s="3">
        <f t="shared" si="127"/>
        <v>72800</v>
      </c>
      <c r="H472" s="201"/>
      <c r="I472" s="53"/>
      <c r="J472" s="202"/>
      <c r="K472" s="68"/>
      <c r="L472" s="24"/>
      <c r="M472" s="24"/>
    </row>
    <row r="473" spans="2:13" ht="12.95" customHeight="1" x14ac:dyDescent="0.3">
      <c r="B473" s="136" t="s">
        <v>22</v>
      </c>
      <c r="C473" s="204"/>
      <c r="D473" s="160"/>
      <c r="E473" s="40"/>
      <c r="F473" s="205"/>
      <c r="G473" s="45">
        <f>TRUNC(SUM(G470:G472))</f>
        <v>175592</v>
      </c>
      <c r="H473" s="206"/>
      <c r="I473" s="27"/>
      <c r="J473" s="68"/>
      <c r="K473" s="68"/>
      <c r="L473" s="24"/>
      <c r="M473" s="24"/>
    </row>
    <row r="474" spans="2:13" ht="12.95" customHeight="1" x14ac:dyDescent="0.3">
      <c r="B474" s="207"/>
      <c r="C474" s="208"/>
      <c r="D474" s="192"/>
      <c r="E474" s="209"/>
      <c r="F474" s="210"/>
      <c r="G474" s="211"/>
      <c r="H474" s="212"/>
      <c r="I474" s="28"/>
      <c r="J474" s="201"/>
      <c r="K474" s="68"/>
      <c r="L474" s="24"/>
      <c r="M474" s="24"/>
    </row>
    <row r="475" spans="2:13" ht="12.95" customHeight="1" x14ac:dyDescent="0.3">
      <c r="B475" s="156" t="s">
        <v>1</v>
      </c>
      <c r="C475" s="29"/>
      <c r="D475" s="203" t="s">
        <v>33</v>
      </c>
      <c r="E475" s="80">
        <v>226122</v>
      </c>
      <c r="F475" s="51">
        <v>1</v>
      </c>
      <c r="G475" s="3">
        <f t="shared" ref="G475:G479" si="128">TRUNC($E475*F475,1)</f>
        <v>226122</v>
      </c>
      <c r="H475" s="213"/>
      <c r="I475" s="53"/>
      <c r="J475" s="198"/>
      <c r="K475" s="68"/>
      <c r="L475" s="24"/>
      <c r="M475" s="24"/>
    </row>
    <row r="476" spans="2:13" ht="12.95" customHeight="1" x14ac:dyDescent="0.3">
      <c r="B476" s="224" t="s">
        <v>4</v>
      </c>
      <c r="C476" s="129"/>
      <c r="D476" s="109" t="s">
        <v>21</v>
      </c>
      <c r="E476" s="171">
        <v>172068</v>
      </c>
      <c r="F476" s="51">
        <v>1</v>
      </c>
      <c r="G476" s="3">
        <f t="shared" si="128"/>
        <v>172068</v>
      </c>
      <c r="H476" s="213"/>
      <c r="I476" s="53"/>
      <c r="J476" s="198"/>
      <c r="K476" s="68"/>
      <c r="L476" s="24"/>
      <c r="M476" s="24"/>
    </row>
    <row r="477" spans="2:13" ht="12.95" customHeight="1" x14ac:dyDescent="0.3">
      <c r="B477" s="222" t="s">
        <v>276</v>
      </c>
      <c r="C477" s="227" t="s">
        <v>85</v>
      </c>
      <c r="D477" s="99" t="s">
        <v>57</v>
      </c>
      <c r="E477" s="100">
        <v>58925</v>
      </c>
      <c r="F477" s="51">
        <v>8</v>
      </c>
      <c r="G477" s="3">
        <f t="shared" si="128"/>
        <v>471400</v>
      </c>
      <c r="H477" s="201"/>
      <c r="I477" s="53"/>
      <c r="J477" s="214"/>
      <c r="K477" s="68"/>
      <c r="L477" s="24"/>
      <c r="M477" s="24"/>
    </row>
    <row r="478" spans="2:13" ht="12.95" customHeight="1" x14ac:dyDescent="0.3">
      <c r="B478" s="228" t="s">
        <v>88</v>
      </c>
      <c r="C478" s="223" t="s">
        <v>89</v>
      </c>
      <c r="D478" s="229" t="s">
        <v>39</v>
      </c>
      <c r="E478" s="100">
        <v>36190</v>
      </c>
      <c r="F478" s="51">
        <v>8</v>
      </c>
      <c r="G478" s="3">
        <f t="shared" si="128"/>
        <v>289520</v>
      </c>
      <c r="H478" s="201"/>
      <c r="I478" s="53"/>
      <c r="J478" s="206"/>
      <c r="K478" s="68"/>
      <c r="L478" s="24"/>
      <c r="M478" s="24"/>
    </row>
    <row r="479" spans="2:13" ht="12.95" customHeight="1" x14ac:dyDescent="0.3">
      <c r="B479" s="222" t="s">
        <v>86</v>
      </c>
      <c r="C479" s="227" t="s">
        <v>87</v>
      </c>
      <c r="D479" s="229" t="s">
        <v>39</v>
      </c>
      <c r="E479" s="100">
        <v>49698</v>
      </c>
      <c r="F479" s="51">
        <v>4</v>
      </c>
      <c r="G479" s="3">
        <f t="shared" si="128"/>
        <v>198792</v>
      </c>
      <c r="H479" s="201"/>
      <c r="I479" s="53"/>
      <c r="J479" s="206"/>
      <c r="K479" s="68"/>
      <c r="L479" s="24"/>
      <c r="M479" s="24"/>
    </row>
    <row r="480" spans="2:13" ht="12.95" customHeight="1" x14ac:dyDescent="0.3">
      <c r="B480" s="102" t="s">
        <v>23</v>
      </c>
      <c r="C480" s="76"/>
      <c r="D480" s="58"/>
      <c r="E480" s="40"/>
      <c r="F480" s="215"/>
      <c r="G480" s="45">
        <f>TRUNC(SUM(G475:G479))</f>
        <v>1357902</v>
      </c>
      <c r="H480" s="182"/>
      <c r="I480" s="27"/>
      <c r="J480" s="68"/>
      <c r="K480" s="68"/>
      <c r="L480" s="24"/>
      <c r="M480" s="24"/>
    </row>
    <row r="481" spans="2:13" ht="12.95" customHeight="1" x14ac:dyDescent="0.3">
      <c r="B481" s="207"/>
      <c r="C481" s="208"/>
      <c r="D481" s="192"/>
      <c r="E481" s="209"/>
      <c r="F481" s="210"/>
      <c r="G481" s="211"/>
      <c r="H481" s="212"/>
      <c r="I481" s="28"/>
      <c r="J481" s="206"/>
      <c r="K481" s="68"/>
      <c r="L481" s="24"/>
      <c r="M481" s="24"/>
    </row>
    <row r="482" spans="2:13" ht="12.95" customHeight="1" x14ac:dyDescent="0.3">
      <c r="B482" s="222" t="s">
        <v>276</v>
      </c>
      <c r="C482" s="227" t="s">
        <v>85</v>
      </c>
      <c r="D482" s="99" t="s">
        <v>39</v>
      </c>
      <c r="E482" s="100">
        <v>13873</v>
      </c>
      <c r="F482" s="51">
        <v>8</v>
      </c>
      <c r="G482" s="3">
        <f t="shared" ref="G482:G484" si="129">TRUNC($E482*F482,1)</f>
        <v>110984</v>
      </c>
      <c r="H482" s="201"/>
      <c r="I482" s="53"/>
      <c r="J482" s="206"/>
      <c r="K482" s="68"/>
      <c r="L482" s="24"/>
      <c r="M482" s="24"/>
    </row>
    <row r="483" spans="2:13" ht="12.95" customHeight="1" x14ac:dyDescent="0.3">
      <c r="B483" s="228" t="s">
        <v>88</v>
      </c>
      <c r="C483" s="223" t="s">
        <v>89</v>
      </c>
      <c r="D483" s="229" t="s">
        <v>39</v>
      </c>
      <c r="E483" s="100">
        <v>1967</v>
      </c>
      <c r="F483" s="51">
        <v>8</v>
      </c>
      <c r="G483" s="3">
        <f t="shared" si="129"/>
        <v>15736</v>
      </c>
      <c r="H483" s="201"/>
      <c r="I483" s="53"/>
      <c r="J483" s="214"/>
      <c r="K483" s="68"/>
      <c r="L483" s="24"/>
      <c r="M483" s="24"/>
    </row>
    <row r="484" spans="2:13" ht="12.95" customHeight="1" x14ac:dyDescent="0.3">
      <c r="B484" s="222" t="s">
        <v>86</v>
      </c>
      <c r="C484" s="227" t="s">
        <v>87</v>
      </c>
      <c r="D484" s="229" t="s">
        <v>39</v>
      </c>
      <c r="E484" s="100">
        <v>9986</v>
      </c>
      <c r="F484" s="51">
        <v>4</v>
      </c>
      <c r="G484" s="3">
        <f t="shared" si="129"/>
        <v>39944</v>
      </c>
      <c r="H484" s="201"/>
      <c r="I484" s="53"/>
      <c r="J484" s="214"/>
      <c r="K484" s="68"/>
      <c r="L484" s="24"/>
      <c r="M484" s="24"/>
    </row>
    <row r="485" spans="2:13" ht="12.95" customHeight="1" x14ac:dyDescent="0.3">
      <c r="B485" s="136" t="s">
        <v>24</v>
      </c>
      <c r="C485" s="216"/>
      <c r="D485" s="58"/>
      <c r="E485" s="40"/>
      <c r="F485" s="217"/>
      <c r="G485" s="45">
        <f>TRUNC(SUM(G482:G484))</f>
        <v>166664</v>
      </c>
      <c r="H485" s="214"/>
      <c r="I485" s="27"/>
      <c r="J485" s="214"/>
      <c r="K485" s="68"/>
      <c r="L485" s="24"/>
      <c r="M485" s="24"/>
    </row>
    <row r="486" spans="2:13" ht="12.95" customHeight="1" x14ac:dyDescent="0.3">
      <c r="B486" s="207"/>
      <c r="C486" s="218"/>
      <c r="D486" s="219"/>
      <c r="E486" s="219"/>
      <c r="F486" s="167"/>
      <c r="G486" s="220"/>
      <c r="H486" s="152"/>
      <c r="I486" s="220"/>
      <c r="J486" s="214"/>
      <c r="K486" s="68"/>
      <c r="L486" s="24"/>
      <c r="M486" s="24"/>
    </row>
    <row r="487" spans="2:13" ht="12.95" customHeight="1" x14ac:dyDescent="0.3">
      <c r="B487" s="113" t="s">
        <v>26</v>
      </c>
      <c r="C487" s="204"/>
      <c r="D487" s="221"/>
      <c r="E487" s="209"/>
      <c r="F487" s="160"/>
      <c r="G487" s="211">
        <f>SUM(G473+G480+G485)</f>
        <v>1700158</v>
      </c>
      <c r="H487" s="179"/>
      <c r="I487" s="28"/>
      <c r="J487" s="24"/>
      <c r="K487" s="24"/>
      <c r="L487" s="24"/>
      <c r="M487" s="24"/>
    </row>
    <row r="488" spans="2:13" ht="12.95" customHeight="1" x14ac:dyDescent="0.3">
      <c r="B488" s="117" t="s">
        <v>216</v>
      </c>
      <c r="C488" s="118"/>
      <c r="D488" s="119"/>
      <c r="E488" s="120"/>
      <c r="F488" s="121"/>
      <c r="G488" s="122">
        <f>TRUNC((G487/G468)*10)</f>
        <v>154559</v>
      </c>
    </row>
    <row r="489" spans="2:13" ht="12.95" customHeight="1" x14ac:dyDescent="0.3">
      <c r="B489" s="170"/>
      <c r="C489" s="179"/>
      <c r="D489" s="179"/>
      <c r="E489" s="28"/>
      <c r="F489" s="54"/>
      <c r="G489" s="152"/>
      <c r="H489" s="54"/>
      <c r="I489" s="152"/>
    </row>
    <row r="490" spans="2:13" ht="12.95" customHeight="1" x14ac:dyDescent="0.3">
      <c r="B490" s="152" t="s">
        <v>217</v>
      </c>
      <c r="C490" s="53"/>
      <c r="D490" s="182"/>
      <c r="E490" s="53"/>
      <c r="F490" s="24"/>
      <c r="G490" s="183" t="s">
        <v>120</v>
      </c>
      <c r="H490" s="68"/>
      <c r="J490" s="24"/>
      <c r="K490" s="24"/>
    </row>
    <row r="491" spans="2:13" ht="12.95" customHeight="1" x14ac:dyDescent="0.3">
      <c r="B491" s="312" t="s">
        <v>14</v>
      </c>
      <c r="C491" s="314" t="s">
        <v>31</v>
      </c>
      <c r="D491" s="316" t="s">
        <v>19</v>
      </c>
      <c r="E491" s="317" t="s">
        <v>15</v>
      </c>
      <c r="F491" s="93" t="s">
        <v>176</v>
      </c>
      <c r="G491" s="184">
        <v>250</v>
      </c>
      <c r="H491" s="198"/>
      <c r="I491" s="198"/>
      <c r="J491" s="68"/>
      <c r="K491" s="68"/>
      <c r="L491" s="24"/>
      <c r="M491" s="24"/>
    </row>
    <row r="492" spans="2:13" ht="12.95" customHeight="1" x14ac:dyDescent="0.3">
      <c r="B492" s="313"/>
      <c r="C492" s="315"/>
      <c r="D492" s="316"/>
      <c r="E492" s="318"/>
      <c r="F492" s="96" t="s">
        <v>174</v>
      </c>
      <c r="G492" s="97" t="s">
        <v>175</v>
      </c>
      <c r="H492" s="198"/>
      <c r="I492" s="198"/>
      <c r="J492" s="24"/>
      <c r="K492" s="68"/>
      <c r="L492" s="24"/>
      <c r="M492" s="24"/>
    </row>
    <row r="493" spans="2:13" ht="12.95" customHeight="1" x14ac:dyDescent="0.3">
      <c r="B493" s="230" t="s">
        <v>276</v>
      </c>
      <c r="C493" s="199" t="s">
        <v>12</v>
      </c>
      <c r="D493" s="99" t="s">
        <v>39</v>
      </c>
      <c r="E493" s="231">
        <v>18733</v>
      </c>
      <c r="F493" s="51">
        <v>8</v>
      </c>
      <c r="G493" s="3">
        <f t="shared" ref="G493:G496" si="130">TRUNC($E493*F493,1)</f>
        <v>149864</v>
      </c>
      <c r="H493" s="201"/>
      <c r="I493" s="53"/>
      <c r="J493" s="202"/>
      <c r="K493" s="68"/>
      <c r="L493" s="24"/>
      <c r="M493" s="24"/>
    </row>
    <row r="494" spans="2:13" ht="12.95" customHeight="1" x14ac:dyDescent="0.3">
      <c r="B494" s="222" t="s">
        <v>90</v>
      </c>
      <c r="C494" s="223" t="s">
        <v>34</v>
      </c>
      <c r="D494" s="229" t="s">
        <v>39</v>
      </c>
      <c r="E494" s="100">
        <v>28181</v>
      </c>
      <c r="F494" s="51">
        <v>8</v>
      </c>
      <c r="G494" s="3">
        <f t="shared" si="130"/>
        <v>225448</v>
      </c>
      <c r="H494" s="201"/>
      <c r="I494" s="53"/>
      <c r="J494" s="202"/>
      <c r="K494" s="68"/>
      <c r="L494" s="24"/>
      <c r="M494" s="24"/>
    </row>
    <row r="495" spans="2:13" ht="12.95" customHeight="1" x14ac:dyDescent="0.3">
      <c r="B495" s="228" t="s">
        <v>88</v>
      </c>
      <c r="C495" s="223" t="s">
        <v>89</v>
      </c>
      <c r="D495" s="99" t="s">
        <v>39</v>
      </c>
      <c r="E495" s="100">
        <v>3742</v>
      </c>
      <c r="F495" s="51">
        <v>8</v>
      </c>
      <c r="G495" s="3">
        <f t="shared" si="130"/>
        <v>29936</v>
      </c>
      <c r="H495" s="201"/>
      <c r="I495" s="53"/>
      <c r="J495" s="202"/>
      <c r="K495" s="68"/>
      <c r="L495" s="24"/>
      <c r="M495" s="24"/>
    </row>
    <row r="496" spans="2:13" ht="12.95" customHeight="1" x14ac:dyDescent="0.3">
      <c r="B496" s="222" t="s">
        <v>86</v>
      </c>
      <c r="C496" s="227" t="s">
        <v>87</v>
      </c>
      <c r="D496" s="229" t="s">
        <v>39</v>
      </c>
      <c r="E496" s="100">
        <v>18200</v>
      </c>
      <c r="F496" s="51">
        <v>4</v>
      </c>
      <c r="G496" s="3">
        <f t="shared" si="130"/>
        <v>72800</v>
      </c>
      <c r="H496" s="201"/>
      <c r="I496" s="53"/>
      <c r="J496" s="202"/>
      <c r="K496" s="68"/>
      <c r="L496" s="24"/>
      <c r="M496" s="24"/>
    </row>
    <row r="497" spans="2:13" ht="12.95" customHeight="1" x14ac:dyDescent="0.3">
      <c r="B497" s="136" t="s">
        <v>22</v>
      </c>
      <c r="C497" s="204"/>
      <c r="D497" s="160"/>
      <c r="E497" s="40"/>
      <c r="F497" s="205"/>
      <c r="G497" s="45">
        <f>TRUNC(SUM(G493:G496))</f>
        <v>478048</v>
      </c>
      <c r="H497" s="206"/>
      <c r="I497" s="27"/>
      <c r="J497" s="68"/>
      <c r="K497" s="68"/>
      <c r="L497" s="24"/>
      <c r="M497" s="24"/>
    </row>
    <row r="498" spans="2:13" ht="12.95" customHeight="1" x14ac:dyDescent="0.3">
      <c r="B498" s="207"/>
      <c r="C498" s="208"/>
      <c r="D498" s="192"/>
      <c r="E498" s="209"/>
      <c r="F498" s="210"/>
      <c r="G498" s="211"/>
      <c r="H498" s="212"/>
      <c r="I498" s="28"/>
      <c r="J498" s="201"/>
      <c r="K498" s="68"/>
      <c r="L498" s="24"/>
      <c r="M498" s="24"/>
    </row>
    <row r="499" spans="2:13" ht="12.95" customHeight="1" x14ac:dyDescent="0.3">
      <c r="B499" s="156" t="s">
        <v>1</v>
      </c>
      <c r="C499" s="29"/>
      <c r="D499" s="203" t="s">
        <v>33</v>
      </c>
      <c r="E499" s="80">
        <v>226122</v>
      </c>
      <c r="F499" s="51">
        <v>1</v>
      </c>
      <c r="G499" s="3">
        <f t="shared" ref="G499:G504" si="131">TRUNC($E499*F499,1)</f>
        <v>226122</v>
      </c>
      <c r="H499" s="213"/>
      <c r="I499" s="53"/>
      <c r="J499" s="198"/>
      <c r="K499" s="68"/>
      <c r="L499" s="24"/>
      <c r="M499" s="24"/>
    </row>
    <row r="500" spans="2:13" ht="12.95" customHeight="1" x14ac:dyDescent="0.3">
      <c r="B500" s="224" t="s">
        <v>4</v>
      </c>
      <c r="C500" s="129"/>
      <c r="D500" s="109" t="s">
        <v>21</v>
      </c>
      <c r="E500" s="171">
        <v>172068</v>
      </c>
      <c r="F500" s="51">
        <v>1</v>
      </c>
      <c r="G500" s="3">
        <f t="shared" si="131"/>
        <v>172068</v>
      </c>
      <c r="H500" s="213"/>
      <c r="I500" s="53"/>
      <c r="J500" s="198"/>
      <c r="K500" s="68"/>
      <c r="L500" s="24"/>
      <c r="M500" s="24"/>
    </row>
    <row r="501" spans="2:13" ht="12.95" customHeight="1" x14ac:dyDescent="0.3">
      <c r="B501" s="163" t="s">
        <v>276</v>
      </c>
      <c r="C501" s="156" t="s">
        <v>12</v>
      </c>
      <c r="D501" s="99" t="s">
        <v>39</v>
      </c>
      <c r="E501" s="232">
        <v>58925</v>
      </c>
      <c r="F501" s="51">
        <v>8</v>
      </c>
      <c r="G501" s="3">
        <f t="shared" si="131"/>
        <v>471400</v>
      </c>
      <c r="H501" s="201"/>
      <c r="I501" s="53"/>
      <c r="J501" s="214"/>
      <c r="K501" s="68"/>
      <c r="L501" s="24"/>
      <c r="M501" s="24"/>
    </row>
    <row r="502" spans="2:13" ht="12.95" customHeight="1" x14ac:dyDescent="0.3">
      <c r="B502" s="222" t="s">
        <v>90</v>
      </c>
      <c r="C502" s="223" t="s">
        <v>34</v>
      </c>
      <c r="D502" s="229" t="s">
        <v>39</v>
      </c>
      <c r="E502" s="100">
        <v>58925</v>
      </c>
      <c r="F502" s="51">
        <v>8</v>
      </c>
      <c r="G502" s="3">
        <f t="shared" si="131"/>
        <v>471400</v>
      </c>
      <c r="H502" s="201"/>
      <c r="I502" s="53"/>
      <c r="J502" s="206"/>
      <c r="K502" s="68"/>
      <c r="L502" s="24"/>
      <c r="M502" s="24"/>
    </row>
    <row r="503" spans="2:13" ht="12.95" customHeight="1" x14ac:dyDescent="0.3">
      <c r="B503" s="228" t="s">
        <v>88</v>
      </c>
      <c r="C503" s="223" t="s">
        <v>89</v>
      </c>
      <c r="D503" s="229" t="s">
        <v>39</v>
      </c>
      <c r="E503" s="100">
        <v>36190</v>
      </c>
      <c r="F503" s="51">
        <v>8</v>
      </c>
      <c r="G503" s="3">
        <f t="shared" si="131"/>
        <v>289520</v>
      </c>
      <c r="H503" s="201"/>
      <c r="I503" s="53"/>
      <c r="J503" s="206"/>
      <c r="K503" s="68"/>
      <c r="L503" s="24"/>
      <c r="M503" s="24"/>
    </row>
    <row r="504" spans="2:13" ht="12.95" customHeight="1" x14ac:dyDescent="0.3">
      <c r="B504" s="222" t="s">
        <v>86</v>
      </c>
      <c r="C504" s="227" t="s">
        <v>87</v>
      </c>
      <c r="D504" s="229" t="s">
        <v>39</v>
      </c>
      <c r="E504" s="100">
        <v>49698</v>
      </c>
      <c r="F504" s="51">
        <v>4</v>
      </c>
      <c r="G504" s="3">
        <f t="shared" si="131"/>
        <v>198792</v>
      </c>
      <c r="H504" s="201"/>
      <c r="I504" s="53"/>
      <c r="J504" s="206"/>
      <c r="K504" s="68"/>
      <c r="L504" s="24"/>
      <c r="M504" s="24"/>
    </row>
    <row r="505" spans="2:13" ht="12.95" customHeight="1" x14ac:dyDescent="0.3">
      <c r="B505" s="102" t="s">
        <v>23</v>
      </c>
      <c r="C505" s="76"/>
      <c r="D505" s="58"/>
      <c r="E505" s="40"/>
      <c r="F505" s="215"/>
      <c r="G505" s="45">
        <f>TRUNC(SUM(G499:G504))</f>
        <v>1829302</v>
      </c>
      <c r="H505" s="182"/>
      <c r="I505" s="27"/>
      <c r="J505" s="68"/>
      <c r="K505" s="68"/>
      <c r="L505" s="24"/>
      <c r="M505" s="24"/>
    </row>
    <row r="506" spans="2:13" ht="12.95" customHeight="1" x14ac:dyDescent="0.3">
      <c r="B506" s="207"/>
      <c r="C506" s="208"/>
      <c r="D506" s="192"/>
      <c r="E506" s="209"/>
      <c r="F506" s="210"/>
      <c r="G506" s="211"/>
      <c r="H506" s="212"/>
      <c r="I506" s="28"/>
      <c r="J506" s="206"/>
      <c r="K506" s="68"/>
      <c r="L506" s="24"/>
      <c r="M506" s="24"/>
    </row>
    <row r="507" spans="2:13" ht="12.95" customHeight="1" x14ac:dyDescent="0.3">
      <c r="B507" s="163" t="s">
        <v>276</v>
      </c>
      <c r="C507" s="156" t="s">
        <v>12</v>
      </c>
      <c r="D507" s="99" t="s">
        <v>39</v>
      </c>
      <c r="E507" s="232">
        <v>23423</v>
      </c>
      <c r="F507" s="51">
        <v>8</v>
      </c>
      <c r="G507" s="3">
        <f t="shared" ref="G507:G510" si="132">TRUNC($E507*F507,1)</f>
        <v>187384</v>
      </c>
      <c r="H507" s="201"/>
      <c r="I507" s="53"/>
      <c r="J507" s="206"/>
      <c r="K507" s="68"/>
      <c r="L507" s="24"/>
      <c r="M507" s="24"/>
    </row>
    <row r="508" spans="2:13" ht="12.95" customHeight="1" x14ac:dyDescent="0.3">
      <c r="B508" s="222" t="s">
        <v>90</v>
      </c>
      <c r="C508" s="223" t="s">
        <v>34</v>
      </c>
      <c r="D508" s="229" t="s">
        <v>39</v>
      </c>
      <c r="E508" s="100">
        <v>26662</v>
      </c>
      <c r="F508" s="51">
        <v>8</v>
      </c>
      <c r="G508" s="3">
        <f t="shared" si="132"/>
        <v>213296</v>
      </c>
      <c r="H508" s="201"/>
      <c r="I508" s="53"/>
      <c r="J508" s="214"/>
      <c r="K508" s="68"/>
      <c r="L508" s="24"/>
      <c r="M508" s="24"/>
    </row>
    <row r="509" spans="2:13" ht="12.95" customHeight="1" x14ac:dyDescent="0.3">
      <c r="B509" s="228" t="s">
        <v>88</v>
      </c>
      <c r="C509" s="223" t="s">
        <v>89</v>
      </c>
      <c r="D509" s="229" t="s">
        <v>39</v>
      </c>
      <c r="E509" s="100">
        <v>1967</v>
      </c>
      <c r="F509" s="51">
        <v>8</v>
      </c>
      <c r="G509" s="3">
        <f t="shared" si="132"/>
        <v>15736</v>
      </c>
      <c r="H509" s="201"/>
      <c r="I509" s="53"/>
      <c r="J509" s="214"/>
      <c r="K509" s="68"/>
      <c r="L509" s="24"/>
      <c r="M509" s="24"/>
    </row>
    <row r="510" spans="2:13" ht="12.95" customHeight="1" x14ac:dyDescent="0.3">
      <c r="B510" s="222" t="s">
        <v>86</v>
      </c>
      <c r="C510" s="227" t="s">
        <v>87</v>
      </c>
      <c r="D510" s="229" t="s">
        <v>39</v>
      </c>
      <c r="E510" s="100">
        <v>9986</v>
      </c>
      <c r="F510" s="51">
        <v>4</v>
      </c>
      <c r="G510" s="3">
        <f t="shared" si="132"/>
        <v>39944</v>
      </c>
      <c r="H510" s="201"/>
      <c r="I510" s="53"/>
      <c r="J510" s="214"/>
      <c r="K510" s="68"/>
      <c r="L510" s="24"/>
      <c r="M510" s="24"/>
    </row>
    <row r="511" spans="2:13" ht="12.95" customHeight="1" x14ac:dyDescent="0.3">
      <c r="B511" s="136" t="s">
        <v>24</v>
      </c>
      <c r="C511" s="216"/>
      <c r="D511" s="58"/>
      <c r="E511" s="40"/>
      <c r="F511" s="217"/>
      <c r="G511" s="45">
        <f>TRUNC(SUM(G507:G510))</f>
        <v>456360</v>
      </c>
      <c r="H511" s="214"/>
      <c r="I511" s="27"/>
      <c r="J511" s="214"/>
      <c r="K511" s="68"/>
      <c r="L511" s="24"/>
      <c r="M511" s="24"/>
    </row>
    <row r="512" spans="2:13" ht="12.95" customHeight="1" x14ac:dyDescent="0.3">
      <c r="B512" s="207"/>
      <c r="C512" s="218"/>
      <c r="D512" s="219"/>
      <c r="E512" s="219"/>
      <c r="F512" s="167"/>
      <c r="G512" s="220"/>
      <c r="H512" s="152"/>
      <c r="I512" s="220"/>
      <c r="J512" s="214"/>
      <c r="K512" s="68"/>
      <c r="L512" s="24"/>
      <c r="M512" s="24"/>
    </row>
    <row r="513" spans="2:15" ht="12.95" customHeight="1" x14ac:dyDescent="0.3">
      <c r="B513" s="113" t="s">
        <v>26</v>
      </c>
      <c r="C513" s="204"/>
      <c r="D513" s="221"/>
      <c r="E513" s="209"/>
      <c r="F513" s="160"/>
      <c r="G513" s="211">
        <f>SUM(G497+G505+G511)</f>
        <v>2763710</v>
      </c>
      <c r="H513" s="179"/>
      <c r="I513" s="28"/>
      <c r="J513" s="24"/>
      <c r="K513" s="24"/>
      <c r="L513" s="24"/>
      <c r="M513" s="24"/>
    </row>
    <row r="514" spans="2:15" ht="12.95" customHeight="1" x14ac:dyDescent="0.3">
      <c r="B514" s="117" t="s">
        <v>216</v>
      </c>
      <c r="C514" s="118"/>
      <c r="D514" s="119"/>
      <c r="E514" s="120"/>
      <c r="F514" s="121"/>
      <c r="G514" s="122">
        <f>TRUNC((G513/G491)*10)</f>
        <v>110548</v>
      </c>
    </row>
    <row r="515" spans="2:15" ht="12.95" customHeight="1" x14ac:dyDescent="0.3">
      <c r="B515" s="170"/>
      <c r="C515" s="179"/>
      <c r="D515" s="179"/>
      <c r="E515" s="28"/>
      <c r="F515" s="54"/>
      <c r="G515" s="152"/>
      <c r="H515" s="54"/>
      <c r="I515" s="152"/>
    </row>
    <row r="516" spans="2:15" ht="12.95" customHeight="1" x14ac:dyDescent="0.3">
      <c r="B516" s="152" t="s">
        <v>218</v>
      </c>
      <c r="C516" s="53"/>
      <c r="D516" s="182"/>
      <c r="E516" s="53"/>
      <c r="F516" s="24"/>
      <c r="G516" s="183" t="s">
        <v>120</v>
      </c>
      <c r="H516" s="68"/>
      <c r="J516" s="24"/>
      <c r="K516" s="24"/>
    </row>
    <row r="517" spans="2:15" ht="12.95" customHeight="1" x14ac:dyDescent="0.3">
      <c r="B517" s="312" t="s">
        <v>14</v>
      </c>
      <c r="C517" s="314" t="s">
        <v>31</v>
      </c>
      <c r="D517" s="316" t="s">
        <v>19</v>
      </c>
      <c r="E517" s="317" t="s">
        <v>15</v>
      </c>
      <c r="F517" s="93" t="s">
        <v>176</v>
      </c>
      <c r="G517" s="184">
        <v>130</v>
      </c>
      <c r="H517" s="198"/>
      <c r="I517" s="198"/>
      <c r="J517" s="68"/>
      <c r="K517" s="68"/>
      <c r="L517" s="24"/>
      <c r="M517" s="24"/>
    </row>
    <row r="518" spans="2:15" ht="12.95" customHeight="1" x14ac:dyDescent="0.3">
      <c r="B518" s="313"/>
      <c r="C518" s="315"/>
      <c r="D518" s="316"/>
      <c r="E518" s="318"/>
      <c r="F518" s="96" t="s">
        <v>174</v>
      </c>
      <c r="G518" s="97" t="s">
        <v>175</v>
      </c>
      <c r="H518" s="198"/>
      <c r="I518" s="198"/>
      <c r="J518" s="24"/>
      <c r="K518" s="68"/>
      <c r="L518" s="24"/>
      <c r="M518" s="24"/>
    </row>
    <row r="519" spans="2:15" ht="12.95" customHeight="1" x14ac:dyDescent="0.3">
      <c r="B519" s="222" t="s">
        <v>276</v>
      </c>
      <c r="C519" s="227" t="s">
        <v>85</v>
      </c>
      <c r="D519" s="99" t="s">
        <v>57</v>
      </c>
      <c r="E519" s="100">
        <v>9107</v>
      </c>
      <c r="F519" s="51">
        <v>8</v>
      </c>
      <c r="G519" s="3">
        <f t="shared" ref="G519:G521" si="133">TRUNC($E519*F519,1)</f>
        <v>72856</v>
      </c>
      <c r="H519" s="201"/>
      <c r="I519" s="53"/>
      <c r="J519" s="202"/>
      <c r="K519" s="68"/>
      <c r="L519" s="24"/>
      <c r="M519" s="24"/>
    </row>
    <row r="520" spans="2:15" ht="12.95" customHeight="1" x14ac:dyDescent="0.3">
      <c r="B520" s="228" t="s">
        <v>88</v>
      </c>
      <c r="C520" s="223" t="s">
        <v>89</v>
      </c>
      <c r="D520" s="99" t="s">
        <v>39</v>
      </c>
      <c r="E520" s="100">
        <v>3742</v>
      </c>
      <c r="F520" s="51">
        <v>8</v>
      </c>
      <c r="G520" s="3">
        <f t="shared" si="133"/>
        <v>29936</v>
      </c>
      <c r="H520" s="201"/>
      <c r="I520" s="53"/>
      <c r="J520" s="202"/>
      <c r="K520" s="68"/>
      <c r="L520" s="24"/>
      <c r="M520" s="24"/>
      <c r="N520" s="4"/>
    </row>
    <row r="521" spans="2:15" ht="12.95" customHeight="1" x14ac:dyDescent="0.3">
      <c r="B521" s="222" t="s">
        <v>86</v>
      </c>
      <c r="C521" s="227" t="s">
        <v>87</v>
      </c>
      <c r="D521" s="229" t="s">
        <v>39</v>
      </c>
      <c r="E521" s="100">
        <v>18200</v>
      </c>
      <c r="F521" s="51">
        <v>4</v>
      </c>
      <c r="G521" s="3">
        <f t="shared" si="133"/>
        <v>72800</v>
      </c>
      <c r="H521" s="201"/>
      <c r="I521" s="53"/>
      <c r="J521" s="202"/>
      <c r="K521" s="68"/>
      <c r="L521" s="24"/>
      <c r="M521" s="24"/>
      <c r="N521" s="4"/>
      <c r="O521" s="4"/>
    </row>
    <row r="522" spans="2:15" ht="12.95" customHeight="1" x14ac:dyDescent="0.3">
      <c r="B522" s="136" t="s">
        <v>22</v>
      </c>
      <c r="C522" s="204"/>
      <c r="D522" s="160"/>
      <c r="E522" s="40"/>
      <c r="F522" s="205"/>
      <c r="G522" s="45">
        <f>TRUNC(SUM(G519:G521))</f>
        <v>175592</v>
      </c>
      <c r="H522" s="206"/>
      <c r="I522" s="27"/>
      <c r="J522" s="68"/>
      <c r="K522" s="68"/>
      <c r="L522" s="24"/>
      <c r="M522" s="24"/>
      <c r="N522" s="4"/>
      <c r="O522" s="4"/>
    </row>
    <row r="523" spans="2:15" ht="12.95" customHeight="1" x14ac:dyDescent="0.3">
      <c r="B523" s="207"/>
      <c r="C523" s="208"/>
      <c r="D523" s="192"/>
      <c r="E523" s="209"/>
      <c r="F523" s="210"/>
      <c r="G523" s="211"/>
      <c r="H523" s="212"/>
      <c r="I523" s="28"/>
      <c r="J523" s="201"/>
      <c r="K523" s="68"/>
      <c r="L523" s="24"/>
      <c r="M523" s="24"/>
      <c r="N523" s="4"/>
      <c r="O523" s="4"/>
    </row>
    <row r="524" spans="2:15" ht="12.95" customHeight="1" x14ac:dyDescent="0.3">
      <c r="B524" s="156" t="s">
        <v>1</v>
      </c>
      <c r="C524" s="29"/>
      <c r="D524" s="203" t="s">
        <v>33</v>
      </c>
      <c r="E524" s="80">
        <v>226122</v>
      </c>
      <c r="F524" s="51">
        <v>1</v>
      </c>
      <c r="G524" s="3">
        <f t="shared" ref="G524:G528" si="134">TRUNC($E524*F524,1)</f>
        <v>226122</v>
      </c>
      <c r="H524" s="213"/>
      <c r="I524" s="53"/>
      <c r="J524" s="198"/>
      <c r="K524" s="68"/>
      <c r="L524" s="24"/>
      <c r="M524" s="24"/>
      <c r="N524" s="4"/>
      <c r="O524" s="4"/>
    </row>
    <row r="525" spans="2:15" ht="12.95" customHeight="1" x14ac:dyDescent="0.3">
      <c r="B525" s="224" t="s">
        <v>4</v>
      </c>
      <c r="C525" s="129"/>
      <c r="D525" s="109" t="s">
        <v>21</v>
      </c>
      <c r="E525" s="171">
        <v>172068</v>
      </c>
      <c r="F525" s="51">
        <v>1</v>
      </c>
      <c r="G525" s="3">
        <f t="shared" si="134"/>
        <v>172068</v>
      </c>
      <c r="H525" s="213"/>
      <c r="I525" s="53"/>
      <c r="J525" s="198"/>
      <c r="K525" s="68"/>
      <c r="L525" s="24"/>
      <c r="M525" s="24"/>
      <c r="N525" s="4"/>
      <c r="O525" s="4"/>
    </row>
    <row r="526" spans="2:15" ht="12.95" customHeight="1" x14ac:dyDescent="0.3">
      <c r="B526" s="222" t="s">
        <v>276</v>
      </c>
      <c r="C526" s="227" t="s">
        <v>85</v>
      </c>
      <c r="D526" s="99" t="s">
        <v>57</v>
      </c>
      <c r="E526" s="100">
        <v>58925</v>
      </c>
      <c r="F526" s="51">
        <v>8</v>
      </c>
      <c r="G526" s="3">
        <f t="shared" si="134"/>
        <v>471400</v>
      </c>
      <c r="H526" s="201"/>
      <c r="I526" s="53"/>
      <c r="J526" s="214"/>
      <c r="K526" s="68"/>
      <c r="L526" s="24"/>
      <c r="M526" s="24"/>
    </row>
    <row r="527" spans="2:15" ht="12.95" customHeight="1" x14ac:dyDescent="0.3">
      <c r="B527" s="228" t="s">
        <v>88</v>
      </c>
      <c r="C527" s="223" t="s">
        <v>89</v>
      </c>
      <c r="D527" s="229" t="s">
        <v>39</v>
      </c>
      <c r="E527" s="100">
        <v>36190</v>
      </c>
      <c r="F527" s="51">
        <v>8</v>
      </c>
      <c r="G527" s="3">
        <f t="shared" si="134"/>
        <v>289520</v>
      </c>
      <c r="H527" s="201"/>
      <c r="I527" s="53"/>
      <c r="J527" s="206"/>
      <c r="K527" s="68"/>
      <c r="L527" s="24"/>
      <c r="M527" s="24"/>
    </row>
    <row r="528" spans="2:15" ht="12.95" customHeight="1" x14ac:dyDescent="0.3">
      <c r="B528" s="222" t="s">
        <v>86</v>
      </c>
      <c r="C528" s="227" t="s">
        <v>87</v>
      </c>
      <c r="D528" s="229" t="s">
        <v>39</v>
      </c>
      <c r="E528" s="100">
        <v>49698</v>
      </c>
      <c r="F528" s="51">
        <v>4</v>
      </c>
      <c r="G528" s="3">
        <f t="shared" si="134"/>
        <v>198792</v>
      </c>
      <c r="H528" s="201"/>
      <c r="I528" s="53"/>
      <c r="J528" s="206"/>
      <c r="K528" s="68"/>
      <c r="L528" s="24"/>
      <c r="M528" s="24"/>
    </row>
    <row r="529" spans="2:13" ht="12.95" customHeight="1" x14ac:dyDescent="0.3">
      <c r="B529" s="102" t="s">
        <v>23</v>
      </c>
      <c r="C529" s="76"/>
      <c r="D529" s="58"/>
      <c r="E529" s="40"/>
      <c r="F529" s="215"/>
      <c r="G529" s="45">
        <f>TRUNC(SUM(G524:G528))</f>
        <v>1357902</v>
      </c>
      <c r="H529" s="182"/>
      <c r="I529" s="27"/>
      <c r="J529" s="68"/>
      <c r="K529" s="68"/>
      <c r="L529" s="24"/>
      <c r="M529" s="24"/>
    </row>
    <row r="530" spans="2:13" ht="12.95" customHeight="1" x14ac:dyDescent="0.3">
      <c r="B530" s="207"/>
      <c r="C530" s="208"/>
      <c r="D530" s="192"/>
      <c r="E530" s="209"/>
      <c r="F530" s="210"/>
      <c r="G530" s="211"/>
      <c r="H530" s="212"/>
      <c r="I530" s="28"/>
      <c r="J530" s="206"/>
      <c r="K530" s="68"/>
      <c r="L530" s="24"/>
      <c r="M530" s="24"/>
    </row>
    <row r="531" spans="2:13" ht="12.95" customHeight="1" x14ac:dyDescent="0.3">
      <c r="B531" s="222" t="s">
        <v>276</v>
      </c>
      <c r="C531" s="227" t="s">
        <v>85</v>
      </c>
      <c r="D531" s="99" t="s">
        <v>39</v>
      </c>
      <c r="E531" s="100">
        <v>13873</v>
      </c>
      <c r="F531" s="51">
        <v>8</v>
      </c>
      <c r="G531" s="3">
        <f t="shared" ref="G531:G533" si="135">TRUNC($E531*F531,1)</f>
        <v>110984</v>
      </c>
      <c r="H531" s="201"/>
      <c r="I531" s="53"/>
      <c r="J531" s="206"/>
      <c r="K531" s="68"/>
      <c r="L531" s="24"/>
      <c r="M531" s="24"/>
    </row>
    <row r="532" spans="2:13" ht="12.95" customHeight="1" x14ac:dyDescent="0.3">
      <c r="B532" s="228" t="s">
        <v>88</v>
      </c>
      <c r="C532" s="223" t="s">
        <v>89</v>
      </c>
      <c r="D532" s="229" t="s">
        <v>39</v>
      </c>
      <c r="E532" s="100">
        <v>1967</v>
      </c>
      <c r="F532" s="51">
        <v>8</v>
      </c>
      <c r="G532" s="3">
        <f t="shared" si="135"/>
        <v>15736</v>
      </c>
      <c r="H532" s="201"/>
      <c r="I532" s="53"/>
      <c r="J532" s="214"/>
      <c r="K532" s="68"/>
      <c r="L532" s="24"/>
      <c r="M532" s="24"/>
    </row>
    <row r="533" spans="2:13" ht="12.95" customHeight="1" x14ac:dyDescent="0.3">
      <c r="B533" s="222" t="s">
        <v>86</v>
      </c>
      <c r="C533" s="227" t="s">
        <v>87</v>
      </c>
      <c r="D533" s="229" t="s">
        <v>39</v>
      </c>
      <c r="E533" s="100">
        <v>9986</v>
      </c>
      <c r="F533" s="51">
        <v>4</v>
      </c>
      <c r="G533" s="3">
        <f t="shared" si="135"/>
        <v>39944</v>
      </c>
      <c r="H533" s="201"/>
      <c r="I533" s="53"/>
      <c r="J533" s="214"/>
      <c r="K533" s="68"/>
      <c r="L533" s="24"/>
      <c r="M533" s="24"/>
    </row>
    <row r="534" spans="2:13" ht="12.95" customHeight="1" x14ac:dyDescent="0.3">
      <c r="B534" s="136" t="s">
        <v>24</v>
      </c>
      <c r="C534" s="216"/>
      <c r="D534" s="58"/>
      <c r="E534" s="40"/>
      <c r="F534" s="217"/>
      <c r="G534" s="45">
        <f>TRUNC(SUM(G531:G533))</f>
        <v>166664</v>
      </c>
      <c r="H534" s="214"/>
      <c r="I534" s="27"/>
      <c r="J534" s="214"/>
      <c r="K534" s="68"/>
      <c r="L534" s="24"/>
      <c r="M534" s="24"/>
    </row>
    <row r="535" spans="2:13" ht="12.95" customHeight="1" x14ac:dyDescent="0.3">
      <c r="B535" s="207"/>
      <c r="C535" s="218"/>
      <c r="D535" s="219"/>
      <c r="E535" s="219"/>
      <c r="F535" s="167"/>
      <c r="G535" s="220"/>
      <c r="H535" s="152"/>
      <c r="I535" s="220"/>
      <c r="J535" s="214"/>
      <c r="K535" s="68"/>
      <c r="L535" s="24"/>
      <c r="M535" s="24"/>
    </row>
    <row r="536" spans="2:13" ht="12.95" customHeight="1" x14ac:dyDescent="0.3">
      <c r="B536" s="113" t="s">
        <v>26</v>
      </c>
      <c r="C536" s="204"/>
      <c r="D536" s="221"/>
      <c r="E536" s="209"/>
      <c r="F536" s="160"/>
      <c r="G536" s="211">
        <f>SUM(G522+G529+G534)</f>
        <v>1700158</v>
      </c>
      <c r="H536" s="179"/>
      <c r="I536" s="28"/>
      <c r="J536" s="24"/>
      <c r="K536" s="24"/>
      <c r="L536" s="24"/>
      <c r="M536" s="24"/>
    </row>
    <row r="537" spans="2:13" ht="12.95" customHeight="1" x14ac:dyDescent="0.3">
      <c r="B537" s="117" t="s">
        <v>216</v>
      </c>
      <c r="C537" s="118"/>
      <c r="D537" s="119"/>
      <c r="E537" s="120"/>
      <c r="F537" s="121"/>
      <c r="G537" s="122">
        <f>TRUNC((G536/G517)*10)</f>
        <v>130781</v>
      </c>
    </row>
    <row r="538" spans="2:13" ht="12.95" customHeight="1" x14ac:dyDescent="0.3">
      <c r="B538" s="170"/>
      <c r="C538" s="179"/>
      <c r="D538" s="179"/>
      <c r="E538" s="28"/>
      <c r="F538" s="54"/>
      <c r="G538" s="152"/>
      <c r="H538" s="54"/>
      <c r="I538" s="152"/>
    </row>
    <row r="539" spans="2:13" ht="12.95" customHeight="1" x14ac:dyDescent="0.3">
      <c r="B539" s="152" t="s">
        <v>219</v>
      </c>
      <c r="C539" s="53"/>
      <c r="D539" s="182"/>
      <c r="E539" s="53"/>
      <c r="F539" s="24"/>
      <c r="G539" s="183" t="s">
        <v>120</v>
      </c>
      <c r="H539" s="68"/>
      <c r="J539" s="24"/>
      <c r="K539" s="24"/>
    </row>
    <row r="540" spans="2:13" ht="12.95" customHeight="1" x14ac:dyDescent="0.3">
      <c r="B540" s="312" t="s">
        <v>14</v>
      </c>
      <c r="C540" s="314" t="s">
        <v>31</v>
      </c>
      <c r="D540" s="316" t="s">
        <v>19</v>
      </c>
      <c r="E540" s="317" t="s">
        <v>15</v>
      </c>
      <c r="F540" s="93" t="s">
        <v>176</v>
      </c>
      <c r="G540" s="184">
        <v>290</v>
      </c>
      <c r="H540" s="198"/>
      <c r="I540" s="198"/>
      <c r="J540" s="68"/>
      <c r="K540" s="68"/>
      <c r="L540" s="24"/>
      <c r="M540" s="24"/>
    </row>
    <row r="541" spans="2:13" ht="12.95" customHeight="1" x14ac:dyDescent="0.3">
      <c r="B541" s="313"/>
      <c r="C541" s="315"/>
      <c r="D541" s="316"/>
      <c r="E541" s="318"/>
      <c r="F541" s="96" t="s">
        <v>174</v>
      </c>
      <c r="G541" s="97" t="s">
        <v>175</v>
      </c>
      <c r="H541" s="198"/>
      <c r="I541" s="198"/>
      <c r="J541" s="24"/>
      <c r="K541" s="68"/>
      <c r="L541" s="24"/>
      <c r="M541" s="24"/>
    </row>
    <row r="542" spans="2:13" ht="12.95" customHeight="1" x14ac:dyDescent="0.3">
      <c r="B542" s="230" t="s">
        <v>276</v>
      </c>
      <c r="C542" s="199" t="s">
        <v>12</v>
      </c>
      <c r="D542" s="99" t="s">
        <v>39</v>
      </c>
      <c r="E542" s="231">
        <v>18733</v>
      </c>
      <c r="F542" s="51">
        <v>8</v>
      </c>
      <c r="G542" s="3">
        <f t="shared" ref="G542:G545" si="136">TRUNC($E542*F542,1)</f>
        <v>149864</v>
      </c>
      <c r="H542" s="201"/>
      <c r="I542" s="53"/>
      <c r="J542" s="202"/>
      <c r="K542" s="68"/>
      <c r="L542" s="24"/>
      <c r="M542" s="24"/>
    </row>
    <row r="543" spans="2:13" ht="12.95" customHeight="1" x14ac:dyDescent="0.3">
      <c r="B543" s="222" t="s">
        <v>90</v>
      </c>
      <c r="C543" s="223" t="s">
        <v>34</v>
      </c>
      <c r="D543" s="229" t="s">
        <v>39</v>
      </c>
      <c r="E543" s="100">
        <v>28181</v>
      </c>
      <c r="F543" s="51">
        <v>8</v>
      </c>
      <c r="G543" s="3">
        <f t="shared" si="136"/>
        <v>225448</v>
      </c>
      <c r="H543" s="201"/>
      <c r="I543" s="53"/>
      <c r="J543" s="202"/>
      <c r="K543" s="68"/>
      <c r="L543" s="24"/>
      <c r="M543" s="24"/>
    </row>
    <row r="544" spans="2:13" ht="12.95" customHeight="1" x14ac:dyDescent="0.3">
      <c r="B544" s="228" t="s">
        <v>88</v>
      </c>
      <c r="C544" s="223" t="s">
        <v>89</v>
      </c>
      <c r="D544" s="99" t="s">
        <v>39</v>
      </c>
      <c r="E544" s="100">
        <v>3742</v>
      </c>
      <c r="F544" s="51">
        <v>8</v>
      </c>
      <c r="G544" s="3">
        <f t="shared" si="136"/>
        <v>29936</v>
      </c>
      <c r="H544" s="201"/>
      <c r="I544" s="53"/>
      <c r="J544" s="202"/>
      <c r="K544" s="68"/>
      <c r="L544" s="24"/>
      <c r="M544" s="24"/>
    </row>
    <row r="545" spans="2:13" ht="12.95" customHeight="1" x14ac:dyDescent="0.3">
      <c r="B545" s="222" t="s">
        <v>86</v>
      </c>
      <c r="C545" s="227" t="s">
        <v>87</v>
      </c>
      <c r="D545" s="229" t="s">
        <v>39</v>
      </c>
      <c r="E545" s="100">
        <v>18200</v>
      </c>
      <c r="F545" s="51">
        <v>4</v>
      </c>
      <c r="G545" s="3">
        <f t="shared" si="136"/>
        <v>72800</v>
      </c>
      <c r="H545" s="201"/>
      <c r="I545" s="53"/>
      <c r="J545" s="202"/>
      <c r="K545" s="68"/>
      <c r="L545" s="24"/>
      <c r="M545" s="24"/>
    </row>
    <row r="546" spans="2:13" ht="12.95" customHeight="1" x14ac:dyDescent="0.3">
      <c r="B546" s="136" t="s">
        <v>22</v>
      </c>
      <c r="C546" s="204"/>
      <c r="D546" s="160"/>
      <c r="E546" s="40"/>
      <c r="F546" s="205"/>
      <c r="G546" s="45">
        <f>TRUNC(SUM(G542:G545))</f>
        <v>478048</v>
      </c>
      <c r="H546" s="206"/>
      <c r="I546" s="27"/>
      <c r="J546" s="68"/>
      <c r="K546" s="68"/>
      <c r="L546" s="24"/>
      <c r="M546" s="24"/>
    </row>
    <row r="547" spans="2:13" ht="12.95" customHeight="1" x14ac:dyDescent="0.3">
      <c r="B547" s="207"/>
      <c r="C547" s="208"/>
      <c r="D547" s="192"/>
      <c r="E547" s="209"/>
      <c r="F547" s="210"/>
      <c r="G547" s="211"/>
      <c r="H547" s="212"/>
      <c r="I547" s="28"/>
      <c r="J547" s="201"/>
      <c r="K547" s="68"/>
      <c r="L547" s="24"/>
      <c r="M547" s="24"/>
    </row>
    <row r="548" spans="2:13" ht="12.95" customHeight="1" x14ac:dyDescent="0.3">
      <c r="B548" s="156" t="s">
        <v>1</v>
      </c>
      <c r="C548" s="29"/>
      <c r="D548" s="203" t="s">
        <v>33</v>
      </c>
      <c r="E548" s="80">
        <v>226122</v>
      </c>
      <c r="F548" s="51">
        <v>1</v>
      </c>
      <c r="G548" s="3">
        <f t="shared" ref="G548:G553" si="137">TRUNC($E548*F548,1)</f>
        <v>226122</v>
      </c>
      <c r="H548" s="213"/>
      <c r="I548" s="53"/>
      <c r="J548" s="198"/>
      <c r="K548" s="68"/>
      <c r="L548" s="24"/>
      <c r="M548" s="24"/>
    </row>
    <row r="549" spans="2:13" ht="12.95" customHeight="1" x14ac:dyDescent="0.3">
      <c r="B549" s="224" t="s">
        <v>4</v>
      </c>
      <c r="C549" s="129"/>
      <c r="D549" s="109" t="s">
        <v>21</v>
      </c>
      <c r="E549" s="171">
        <v>172068</v>
      </c>
      <c r="F549" s="51">
        <v>1</v>
      </c>
      <c r="G549" s="3">
        <f t="shared" si="137"/>
        <v>172068</v>
      </c>
      <c r="H549" s="213"/>
      <c r="I549" s="53"/>
      <c r="J549" s="198"/>
      <c r="K549" s="68"/>
      <c r="L549" s="24"/>
      <c r="M549" s="24"/>
    </row>
    <row r="550" spans="2:13" ht="12.95" customHeight="1" x14ac:dyDescent="0.3">
      <c r="B550" s="163" t="s">
        <v>276</v>
      </c>
      <c r="C550" s="156" t="s">
        <v>12</v>
      </c>
      <c r="D550" s="99" t="s">
        <v>39</v>
      </c>
      <c r="E550" s="232">
        <v>58925</v>
      </c>
      <c r="F550" s="51">
        <v>8</v>
      </c>
      <c r="G550" s="3">
        <f t="shared" si="137"/>
        <v>471400</v>
      </c>
      <c r="H550" s="201"/>
      <c r="I550" s="53"/>
      <c r="J550" s="214"/>
      <c r="K550" s="68"/>
      <c r="L550" s="24"/>
      <c r="M550" s="24"/>
    </row>
    <row r="551" spans="2:13" ht="12.95" customHeight="1" x14ac:dyDescent="0.3">
      <c r="B551" s="222" t="s">
        <v>90</v>
      </c>
      <c r="C551" s="223" t="s">
        <v>34</v>
      </c>
      <c r="D551" s="229" t="s">
        <v>39</v>
      </c>
      <c r="E551" s="100">
        <v>58925</v>
      </c>
      <c r="F551" s="51">
        <v>8</v>
      </c>
      <c r="G551" s="3">
        <f t="shared" si="137"/>
        <v>471400</v>
      </c>
      <c r="H551" s="201"/>
      <c r="I551" s="53"/>
      <c r="J551" s="206"/>
      <c r="K551" s="68"/>
      <c r="L551" s="24"/>
      <c r="M551" s="24"/>
    </row>
    <row r="552" spans="2:13" ht="12.95" customHeight="1" x14ac:dyDescent="0.3">
      <c r="B552" s="228" t="s">
        <v>88</v>
      </c>
      <c r="C552" s="223" t="s">
        <v>89</v>
      </c>
      <c r="D552" s="229" t="s">
        <v>39</v>
      </c>
      <c r="E552" s="100">
        <v>36190</v>
      </c>
      <c r="F552" s="51">
        <v>8</v>
      </c>
      <c r="G552" s="3">
        <f t="shared" si="137"/>
        <v>289520</v>
      </c>
      <c r="H552" s="201"/>
      <c r="I552" s="53"/>
      <c r="J552" s="206"/>
      <c r="K552" s="68"/>
      <c r="L552" s="24"/>
      <c r="M552" s="24"/>
    </row>
    <row r="553" spans="2:13" ht="12.95" customHeight="1" x14ac:dyDescent="0.3">
      <c r="B553" s="222" t="s">
        <v>86</v>
      </c>
      <c r="C553" s="227" t="s">
        <v>87</v>
      </c>
      <c r="D553" s="229" t="s">
        <v>39</v>
      </c>
      <c r="E553" s="100">
        <v>49698</v>
      </c>
      <c r="F553" s="51">
        <v>4</v>
      </c>
      <c r="G553" s="3">
        <f t="shared" si="137"/>
        <v>198792</v>
      </c>
      <c r="H553" s="201"/>
      <c r="I553" s="53"/>
      <c r="J553" s="206"/>
      <c r="K553" s="68"/>
      <c r="L553" s="24"/>
      <c r="M553" s="24"/>
    </row>
    <row r="554" spans="2:13" ht="12.95" customHeight="1" x14ac:dyDescent="0.3">
      <c r="B554" s="102" t="s">
        <v>23</v>
      </c>
      <c r="C554" s="76"/>
      <c r="D554" s="58"/>
      <c r="E554" s="40"/>
      <c r="F554" s="215"/>
      <c r="G554" s="45">
        <f>TRUNC(SUM(G548:G553))</f>
        <v>1829302</v>
      </c>
      <c r="H554" s="182"/>
      <c r="I554" s="27"/>
      <c r="J554" s="68"/>
      <c r="K554" s="68"/>
      <c r="L554" s="24"/>
      <c r="M554" s="24"/>
    </row>
    <row r="555" spans="2:13" ht="12.95" customHeight="1" x14ac:dyDescent="0.3">
      <c r="B555" s="207"/>
      <c r="C555" s="208"/>
      <c r="D555" s="192"/>
      <c r="E555" s="209"/>
      <c r="F555" s="210"/>
      <c r="G555" s="211"/>
      <c r="H555" s="212"/>
      <c r="I555" s="28"/>
      <c r="J555" s="206"/>
      <c r="K555" s="68"/>
      <c r="L555" s="24"/>
      <c r="M555" s="24"/>
    </row>
    <row r="556" spans="2:13" ht="12.95" customHeight="1" x14ac:dyDescent="0.3">
      <c r="B556" s="163" t="s">
        <v>276</v>
      </c>
      <c r="C556" s="156" t="s">
        <v>12</v>
      </c>
      <c r="D556" s="99" t="s">
        <v>39</v>
      </c>
      <c r="E556" s="232">
        <v>23423</v>
      </c>
      <c r="F556" s="51">
        <v>8</v>
      </c>
      <c r="G556" s="3">
        <f t="shared" ref="G556:G559" si="138">TRUNC($E556*F556,1)</f>
        <v>187384</v>
      </c>
      <c r="H556" s="201"/>
      <c r="I556" s="53"/>
      <c r="J556" s="206"/>
      <c r="K556" s="68"/>
      <c r="L556" s="24"/>
      <c r="M556" s="24"/>
    </row>
    <row r="557" spans="2:13" ht="12.95" customHeight="1" x14ac:dyDescent="0.3">
      <c r="B557" s="222" t="s">
        <v>90</v>
      </c>
      <c r="C557" s="223" t="s">
        <v>34</v>
      </c>
      <c r="D557" s="229" t="s">
        <v>39</v>
      </c>
      <c r="E557" s="100">
        <v>26662</v>
      </c>
      <c r="F557" s="51">
        <v>8</v>
      </c>
      <c r="G557" s="3">
        <f t="shared" si="138"/>
        <v>213296</v>
      </c>
      <c r="H557" s="201"/>
      <c r="I557" s="53"/>
      <c r="J557" s="214"/>
      <c r="K557" s="68"/>
      <c r="L557" s="24"/>
      <c r="M557" s="24"/>
    </row>
    <row r="558" spans="2:13" ht="12.95" customHeight="1" x14ac:dyDescent="0.3">
      <c r="B558" s="228" t="s">
        <v>88</v>
      </c>
      <c r="C558" s="223" t="s">
        <v>89</v>
      </c>
      <c r="D558" s="229" t="s">
        <v>39</v>
      </c>
      <c r="E558" s="100">
        <v>1967</v>
      </c>
      <c r="F558" s="51">
        <v>8</v>
      </c>
      <c r="G558" s="3">
        <f t="shared" si="138"/>
        <v>15736</v>
      </c>
      <c r="H558" s="201"/>
      <c r="I558" s="53"/>
      <c r="J558" s="214"/>
      <c r="K558" s="68"/>
      <c r="L558" s="24"/>
      <c r="M558" s="24"/>
    </row>
    <row r="559" spans="2:13" ht="12.95" customHeight="1" x14ac:dyDescent="0.3">
      <c r="B559" s="222" t="s">
        <v>86</v>
      </c>
      <c r="C559" s="227" t="s">
        <v>87</v>
      </c>
      <c r="D559" s="229" t="s">
        <v>39</v>
      </c>
      <c r="E559" s="100">
        <v>9986</v>
      </c>
      <c r="F559" s="51">
        <v>4</v>
      </c>
      <c r="G559" s="3">
        <f t="shared" si="138"/>
        <v>39944</v>
      </c>
      <c r="H559" s="201"/>
      <c r="I559" s="53"/>
      <c r="J559" s="214"/>
      <c r="K559" s="68"/>
      <c r="L559" s="24"/>
      <c r="M559" s="24"/>
    </row>
    <row r="560" spans="2:13" ht="12.95" customHeight="1" x14ac:dyDescent="0.3">
      <c r="B560" s="136" t="s">
        <v>24</v>
      </c>
      <c r="C560" s="216"/>
      <c r="D560" s="58"/>
      <c r="E560" s="40"/>
      <c r="F560" s="217"/>
      <c r="G560" s="45">
        <f>TRUNC(SUM(G556:G559))</f>
        <v>456360</v>
      </c>
      <c r="H560" s="214"/>
      <c r="I560" s="27"/>
      <c r="J560" s="214"/>
      <c r="K560" s="68"/>
      <c r="L560" s="24"/>
      <c r="M560" s="24"/>
    </row>
    <row r="561" spans="2:13" ht="12.95" customHeight="1" x14ac:dyDescent="0.3">
      <c r="B561" s="207"/>
      <c r="C561" s="218"/>
      <c r="D561" s="219"/>
      <c r="E561" s="219"/>
      <c r="F561" s="167"/>
      <c r="G561" s="220"/>
      <c r="H561" s="152"/>
      <c r="I561" s="220"/>
      <c r="J561" s="214"/>
      <c r="K561" s="68"/>
      <c r="L561" s="24"/>
      <c r="M561" s="24"/>
    </row>
    <row r="562" spans="2:13" ht="12.95" customHeight="1" x14ac:dyDescent="0.3">
      <c r="B562" s="113" t="s">
        <v>26</v>
      </c>
      <c r="C562" s="204"/>
      <c r="D562" s="221"/>
      <c r="E562" s="209"/>
      <c r="F562" s="160"/>
      <c r="G562" s="211">
        <f>SUM(G546+G554+G560)</f>
        <v>2763710</v>
      </c>
      <c r="H562" s="179"/>
      <c r="I562" s="28"/>
      <c r="J562" s="24"/>
      <c r="K562" s="24"/>
      <c r="L562" s="24"/>
      <c r="M562" s="24"/>
    </row>
    <row r="563" spans="2:13" ht="12.95" customHeight="1" x14ac:dyDescent="0.3">
      <c r="B563" s="117" t="s">
        <v>216</v>
      </c>
      <c r="C563" s="118"/>
      <c r="D563" s="119"/>
      <c r="E563" s="120"/>
      <c r="F563" s="121"/>
      <c r="G563" s="122">
        <f>TRUNC((G562/G540)*10)</f>
        <v>95300</v>
      </c>
    </row>
    <row r="564" spans="2:13" ht="12.95" customHeight="1" x14ac:dyDescent="0.3">
      <c r="B564" s="170"/>
      <c r="C564" s="179"/>
      <c r="D564" s="179"/>
      <c r="E564" s="28"/>
      <c r="F564" s="54"/>
      <c r="G564" s="152"/>
      <c r="H564" s="54"/>
      <c r="I564" s="152"/>
    </row>
    <row r="565" spans="2:13" ht="12.95" customHeight="1" x14ac:dyDescent="0.3">
      <c r="B565" s="152" t="s">
        <v>223</v>
      </c>
      <c r="C565" s="53"/>
      <c r="D565" s="182"/>
      <c r="E565" s="53"/>
      <c r="F565" s="24"/>
      <c r="G565" s="24"/>
      <c r="H565" s="68"/>
      <c r="I565" s="68"/>
      <c r="J565" s="68"/>
      <c r="K565" s="183" t="s">
        <v>120</v>
      </c>
    </row>
    <row r="566" spans="2:13" ht="12.95" customHeight="1" x14ac:dyDescent="0.3">
      <c r="B566" s="337" t="s">
        <v>14</v>
      </c>
      <c r="C566" s="337" t="s">
        <v>18</v>
      </c>
      <c r="D566" s="317" t="s">
        <v>19</v>
      </c>
      <c r="E566" s="317" t="s">
        <v>15</v>
      </c>
      <c r="F566" s="344" t="s">
        <v>220</v>
      </c>
      <c r="G566" s="345"/>
      <c r="H566" s="344" t="s">
        <v>221</v>
      </c>
      <c r="I566" s="345"/>
      <c r="J566" s="344" t="s">
        <v>222</v>
      </c>
      <c r="K566" s="345"/>
    </row>
    <row r="567" spans="2:13" ht="12.95" customHeight="1" x14ac:dyDescent="0.3">
      <c r="B567" s="338"/>
      <c r="C567" s="338"/>
      <c r="D567" s="340"/>
      <c r="E567" s="340"/>
      <c r="F567" s="93" t="s">
        <v>176</v>
      </c>
      <c r="G567" s="184">
        <v>110</v>
      </c>
      <c r="H567" s="93" t="s">
        <v>176</v>
      </c>
      <c r="I567" s="94">
        <v>100</v>
      </c>
      <c r="J567" s="93" t="s">
        <v>176</v>
      </c>
      <c r="K567" s="94">
        <v>90</v>
      </c>
    </row>
    <row r="568" spans="2:13" ht="12.95" customHeight="1" x14ac:dyDescent="0.3">
      <c r="B568" s="339"/>
      <c r="C568" s="339"/>
      <c r="D568" s="318"/>
      <c r="E568" s="318"/>
      <c r="F568" s="96" t="s">
        <v>174</v>
      </c>
      <c r="G568" s="97" t="s">
        <v>175</v>
      </c>
      <c r="H568" s="96" t="s">
        <v>174</v>
      </c>
      <c r="I568" s="97" t="s">
        <v>175</v>
      </c>
      <c r="J568" s="96" t="s">
        <v>174</v>
      </c>
      <c r="K568" s="97" t="s">
        <v>175</v>
      </c>
    </row>
    <row r="569" spans="2:13" ht="12.95" customHeight="1" x14ac:dyDescent="0.3">
      <c r="B569" s="222" t="s">
        <v>276</v>
      </c>
      <c r="C569" s="227" t="s">
        <v>85</v>
      </c>
      <c r="D569" s="99" t="s">
        <v>57</v>
      </c>
      <c r="E569" s="100">
        <v>9107</v>
      </c>
      <c r="F569" s="187">
        <v>8</v>
      </c>
      <c r="G569" s="69">
        <f>TRUNC($E569*F569,1)</f>
        <v>72856</v>
      </c>
      <c r="H569" s="187">
        <v>8</v>
      </c>
      <c r="I569" s="69">
        <f>TRUNC($E569*H569,1)</f>
        <v>72856</v>
      </c>
      <c r="J569" s="187">
        <v>8</v>
      </c>
      <c r="K569" s="69">
        <f>TRUNC($E569*J569,1)</f>
        <v>72856</v>
      </c>
    </row>
    <row r="570" spans="2:13" ht="12.95" customHeight="1" x14ac:dyDescent="0.3">
      <c r="B570" s="222" t="s">
        <v>92</v>
      </c>
      <c r="C570" s="223" t="s">
        <v>93</v>
      </c>
      <c r="D570" s="99" t="s">
        <v>39</v>
      </c>
      <c r="E570" s="100">
        <v>1901</v>
      </c>
      <c r="F570" s="111">
        <v>8</v>
      </c>
      <c r="G570" s="70">
        <f>TRUNC($E570*F570,1)</f>
        <v>15208</v>
      </c>
      <c r="H570" s="111">
        <v>0</v>
      </c>
      <c r="I570" s="70">
        <f>TRUNC($E570*H570,1)</f>
        <v>0</v>
      </c>
      <c r="J570" s="111">
        <v>0</v>
      </c>
      <c r="K570" s="70">
        <f>TRUNC($E570*J570,1)</f>
        <v>0</v>
      </c>
    </row>
    <row r="571" spans="2:13" ht="12.95" customHeight="1" x14ac:dyDescent="0.3">
      <c r="B571" s="228" t="s">
        <v>88</v>
      </c>
      <c r="C571" s="223" t="s">
        <v>89</v>
      </c>
      <c r="D571" s="99" t="s">
        <v>39</v>
      </c>
      <c r="E571" s="100">
        <v>3742</v>
      </c>
      <c r="F571" s="101">
        <v>0</v>
      </c>
      <c r="G571" s="70">
        <f>TRUNC($E571*F571,1)</f>
        <v>0</v>
      </c>
      <c r="H571" s="111">
        <v>8</v>
      </c>
      <c r="I571" s="70">
        <f>TRUNC($E571*H571,1)</f>
        <v>29936</v>
      </c>
      <c r="J571" s="111">
        <v>8</v>
      </c>
      <c r="K571" s="70">
        <f>TRUNC($E571*J571,1)</f>
        <v>29936</v>
      </c>
    </row>
    <row r="572" spans="2:13" ht="12.95" customHeight="1" x14ac:dyDescent="0.3">
      <c r="B572" s="136" t="s">
        <v>22</v>
      </c>
      <c r="C572" s="76"/>
      <c r="D572" s="77"/>
      <c r="E572" s="40"/>
      <c r="F572" s="111"/>
      <c r="G572" s="45">
        <f>TRUNC(SUM(G569:G571))</f>
        <v>88064</v>
      </c>
      <c r="H572" s="111"/>
      <c r="I572" s="45">
        <f>TRUNC(SUM(I569:I571))</f>
        <v>102792</v>
      </c>
      <c r="J572" s="111"/>
      <c r="K572" s="45">
        <f>TRUNC(SUM(K569:K571))</f>
        <v>102792</v>
      </c>
    </row>
    <row r="573" spans="2:13" ht="12.95" customHeight="1" x14ac:dyDescent="0.3">
      <c r="B573" s="75"/>
      <c r="C573" s="76"/>
      <c r="D573" s="77"/>
      <c r="E573" s="40"/>
      <c r="F573" s="111"/>
      <c r="G573" s="35"/>
      <c r="H573" s="111"/>
      <c r="I573" s="35"/>
      <c r="J573" s="111"/>
      <c r="K573" s="35"/>
    </row>
    <row r="574" spans="2:13" ht="12.95" customHeight="1" x14ac:dyDescent="0.3">
      <c r="B574" s="98" t="s">
        <v>1</v>
      </c>
      <c r="C574" s="98"/>
      <c r="D574" s="99" t="s">
        <v>33</v>
      </c>
      <c r="E574" s="100">
        <v>226122</v>
      </c>
      <c r="F574" s="111">
        <v>1</v>
      </c>
      <c r="G574" s="191">
        <f>TRUNC($E574*F574,1)</f>
        <v>226122</v>
      </c>
      <c r="H574" s="111">
        <v>1</v>
      </c>
      <c r="I574" s="191">
        <f>TRUNC($E574*H574,1)</f>
        <v>226122</v>
      </c>
      <c r="J574" s="111">
        <v>1</v>
      </c>
      <c r="K574" s="191">
        <f>TRUNC($E574*J574,1)</f>
        <v>226122</v>
      </c>
    </row>
    <row r="575" spans="2:13" ht="12.95" customHeight="1" x14ac:dyDescent="0.3">
      <c r="B575" s="224" t="s">
        <v>4</v>
      </c>
      <c r="C575" s="129"/>
      <c r="D575" s="109" t="s">
        <v>21</v>
      </c>
      <c r="E575" s="171">
        <v>172068</v>
      </c>
      <c r="F575" s="111">
        <v>1</v>
      </c>
      <c r="G575" s="191">
        <f>TRUNC($E575*F575,1)</f>
        <v>172068</v>
      </c>
      <c r="H575" s="111">
        <v>1</v>
      </c>
      <c r="I575" s="191">
        <f>TRUNC($E575*H575,1)</f>
        <v>172068</v>
      </c>
      <c r="J575" s="111">
        <v>1</v>
      </c>
      <c r="K575" s="191">
        <f>TRUNC($E575*J575,1)</f>
        <v>172068</v>
      </c>
    </row>
    <row r="576" spans="2:13" ht="12.95" customHeight="1" x14ac:dyDescent="0.3">
      <c r="B576" s="222" t="s">
        <v>276</v>
      </c>
      <c r="C576" s="227" t="s">
        <v>85</v>
      </c>
      <c r="D576" s="99" t="s">
        <v>57</v>
      </c>
      <c r="E576" s="100">
        <v>58925</v>
      </c>
      <c r="F576" s="111">
        <v>8</v>
      </c>
      <c r="G576" s="79">
        <f>TRUNC($E576*F576,1)</f>
        <v>471400</v>
      </c>
      <c r="H576" s="111">
        <v>8</v>
      </c>
      <c r="I576" s="79">
        <f>TRUNC($E576*H576,1)</f>
        <v>471400</v>
      </c>
      <c r="J576" s="111">
        <v>8</v>
      </c>
      <c r="K576" s="79">
        <f>TRUNC($E576*J576,1)</f>
        <v>471400</v>
      </c>
    </row>
    <row r="577" spans="2:13" ht="12.95" customHeight="1" x14ac:dyDescent="0.3">
      <c r="B577" s="222" t="s">
        <v>92</v>
      </c>
      <c r="C577" s="223" t="s">
        <v>93</v>
      </c>
      <c r="D577" s="189" t="s">
        <v>57</v>
      </c>
      <c r="E577" s="80">
        <v>36190</v>
      </c>
      <c r="F577" s="111">
        <v>8</v>
      </c>
      <c r="G577" s="79">
        <f>TRUNC($E577*F577,1)</f>
        <v>289520</v>
      </c>
      <c r="H577" s="111">
        <v>0</v>
      </c>
      <c r="I577" s="70">
        <f>TRUNC($E577*H577,1)</f>
        <v>0</v>
      </c>
      <c r="J577" s="111">
        <v>0</v>
      </c>
      <c r="K577" s="70">
        <f>TRUNC($E577*J577,1)</f>
        <v>0</v>
      </c>
    </row>
    <row r="578" spans="2:13" ht="12.95" customHeight="1" x14ac:dyDescent="0.3">
      <c r="B578" s="228" t="s">
        <v>88</v>
      </c>
      <c r="C578" s="223" t="s">
        <v>89</v>
      </c>
      <c r="D578" s="229" t="s">
        <v>39</v>
      </c>
      <c r="E578" s="100">
        <v>36190</v>
      </c>
      <c r="F578" s="111">
        <v>0</v>
      </c>
      <c r="G578" s="70">
        <f>TRUNC($E578*F578,1)</f>
        <v>0</v>
      </c>
      <c r="H578" s="111">
        <v>8</v>
      </c>
      <c r="I578" s="79">
        <f>TRUNC($E578*H578,1)</f>
        <v>289520</v>
      </c>
      <c r="J578" s="111">
        <v>8</v>
      </c>
      <c r="K578" s="79">
        <f>TRUNC($E578*J578,1)</f>
        <v>289520</v>
      </c>
    </row>
    <row r="579" spans="2:13" ht="12.95" customHeight="1" x14ac:dyDescent="0.3">
      <c r="B579" s="102" t="s">
        <v>23</v>
      </c>
      <c r="C579" s="192"/>
      <c r="D579" s="193"/>
      <c r="E579" s="194"/>
      <c r="F579" s="195"/>
      <c r="G579" s="45">
        <f>TRUNC(SUM(G574:G578))</f>
        <v>1159110</v>
      </c>
      <c r="H579" s="195"/>
      <c r="I579" s="45">
        <f>TRUNC(SUM(I574:I578))</f>
        <v>1159110</v>
      </c>
      <c r="J579" s="195"/>
      <c r="K579" s="45">
        <f>TRUNC(SUM(K574:K578))</f>
        <v>1159110</v>
      </c>
    </row>
    <row r="580" spans="2:13" ht="12.95" customHeight="1" x14ac:dyDescent="0.3">
      <c r="B580" s="196"/>
      <c r="C580" s="192"/>
      <c r="D580" s="193"/>
      <c r="E580" s="194"/>
      <c r="F580" s="195"/>
      <c r="G580" s="35"/>
      <c r="H580" s="195"/>
      <c r="I580" s="35"/>
      <c r="J580" s="195"/>
      <c r="K580" s="35"/>
    </row>
    <row r="581" spans="2:13" ht="12.95" customHeight="1" x14ac:dyDescent="0.3">
      <c r="B581" s="222" t="s">
        <v>276</v>
      </c>
      <c r="C581" s="227" t="s">
        <v>85</v>
      </c>
      <c r="D581" s="99" t="s">
        <v>39</v>
      </c>
      <c r="E581" s="100">
        <v>13873</v>
      </c>
      <c r="F581" s="111">
        <v>8</v>
      </c>
      <c r="G581" s="70">
        <f>TRUNC($E581*F581,1)</f>
        <v>110984</v>
      </c>
      <c r="H581" s="111">
        <v>8</v>
      </c>
      <c r="I581" s="70">
        <f>TRUNC($E581*H581,1)</f>
        <v>110984</v>
      </c>
      <c r="J581" s="111">
        <v>8</v>
      </c>
      <c r="K581" s="70">
        <f>TRUNC($E581*J581,1)</f>
        <v>110984</v>
      </c>
    </row>
    <row r="582" spans="2:13" ht="12.95" customHeight="1" x14ac:dyDescent="0.3">
      <c r="B582" s="222" t="s">
        <v>92</v>
      </c>
      <c r="C582" s="223" t="s">
        <v>93</v>
      </c>
      <c r="D582" s="189" t="s">
        <v>57</v>
      </c>
      <c r="E582" s="80">
        <v>620</v>
      </c>
      <c r="F582" s="111">
        <v>8</v>
      </c>
      <c r="G582" s="70">
        <f>TRUNC($E582*F582,1)</f>
        <v>4960</v>
      </c>
      <c r="H582" s="111">
        <v>0</v>
      </c>
      <c r="I582" s="70">
        <f>TRUNC($E582*H582,1)</f>
        <v>0</v>
      </c>
      <c r="J582" s="111">
        <v>0</v>
      </c>
      <c r="K582" s="70">
        <f>TRUNC($E582*J582,1)</f>
        <v>0</v>
      </c>
    </row>
    <row r="583" spans="2:13" ht="12.95" customHeight="1" x14ac:dyDescent="0.3">
      <c r="B583" s="228" t="s">
        <v>88</v>
      </c>
      <c r="C583" s="223" t="s">
        <v>89</v>
      </c>
      <c r="D583" s="229" t="s">
        <v>39</v>
      </c>
      <c r="E583" s="100">
        <v>1967</v>
      </c>
      <c r="F583" s="111">
        <v>0</v>
      </c>
      <c r="G583" s="70">
        <f>TRUNC($E583*F583,1)</f>
        <v>0</v>
      </c>
      <c r="H583" s="111">
        <v>8</v>
      </c>
      <c r="I583" s="70">
        <f>TRUNC($E583*H583,1)</f>
        <v>15736</v>
      </c>
      <c r="J583" s="111">
        <v>8</v>
      </c>
      <c r="K583" s="70">
        <f>TRUNC($E583*J583,1)</f>
        <v>15736</v>
      </c>
    </row>
    <row r="584" spans="2:13" ht="12.95" customHeight="1" x14ac:dyDescent="0.3">
      <c r="B584" s="136" t="s">
        <v>24</v>
      </c>
      <c r="C584" s="192"/>
      <c r="D584" s="193"/>
      <c r="E584" s="194"/>
      <c r="F584" s="160"/>
      <c r="G584" s="45">
        <f>TRUNC(SUM(G581:G583))</f>
        <v>115944</v>
      </c>
      <c r="H584" s="160"/>
      <c r="I584" s="45">
        <f>TRUNC(SUM(I581:I583))</f>
        <v>126720</v>
      </c>
      <c r="J584" s="160"/>
      <c r="K584" s="45">
        <f>TRUNC(SUM(K581:K583))</f>
        <v>126720</v>
      </c>
    </row>
    <row r="585" spans="2:13" ht="12.95" customHeight="1" x14ac:dyDescent="0.3">
      <c r="B585" s="158"/>
      <c r="C585" s="52"/>
      <c r="D585" s="189"/>
      <c r="E585" s="30"/>
      <c r="F585" s="217"/>
      <c r="G585" s="70"/>
      <c r="H585" s="217"/>
      <c r="I585" s="70"/>
      <c r="J585" s="217"/>
      <c r="K585" s="70"/>
      <c r="L585" s="4"/>
    </row>
    <row r="586" spans="2:13" ht="12.95" customHeight="1" x14ac:dyDescent="0.3">
      <c r="B586" s="113" t="s">
        <v>26</v>
      </c>
      <c r="C586" s="192"/>
      <c r="D586" s="193"/>
      <c r="E586" s="194"/>
      <c r="F586" s="192"/>
      <c r="G586" s="197">
        <f>G572+G579+G584</f>
        <v>1363118</v>
      </c>
      <c r="H586" s="192"/>
      <c r="I586" s="197">
        <f>I572+I579+I584</f>
        <v>1388622</v>
      </c>
      <c r="J586" s="192"/>
      <c r="K586" s="197">
        <f>K572+K579+K584</f>
        <v>1388622</v>
      </c>
      <c r="L586" s="24"/>
      <c r="M586" s="24"/>
    </row>
    <row r="587" spans="2:13" ht="12.95" customHeight="1" x14ac:dyDescent="0.3">
      <c r="B587" s="117" t="s">
        <v>216</v>
      </c>
      <c r="C587" s="118"/>
      <c r="D587" s="119"/>
      <c r="E587" s="120"/>
      <c r="F587" s="121"/>
      <c r="G587" s="122">
        <f>TRUNC((G586/G567)*10)</f>
        <v>123919</v>
      </c>
      <c r="H587" s="121"/>
      <c r="I587" s="122">
        <f>TRUNC((I586/I567)*10)</f>
        <v>138862</v>
      </c>
      <c r="J587" s="121"/>
      <c r="K587" s="122">
        <f>TRUNC((K586/K567)*10)</f>
        <v>154291</v>
      </c>
      <c r="L587" s="24"/>
      <c r="M587" s="24"/>
    </row>
    <row r="588" spans="2:13" ht="12.95" customHeight="1" x14ac:dyDescent="0.3">
      <c r="B588" s="24"/>
      <c r="C588" s="24"/>
      <c r="D588" s="24"/>
      <c r="E588" s="24"/>
      <c r="F588" s="68"/>
      <c r="G588" s="68"/>
      <c r="H588" s="68"/>
      <c r="I588" s="68"/>
      <c r="L588" s="24"/>
      <c r="M588" s="24"/>
    </row>
    <row r="589" spans="2:13" ht="12.95" customHeight="1" x14ac:dyDescent="0.3">
      <c r="B589" s="90" t="s">
        <v>224</v>
      </c>
    </row>
    <row r="590" spans="2:13" ht="12.95" customHeight="1" x14ac:dyDescent="0.3">
      <c r="B590" s="152" t="s">
        <v>225</v>
      </c>
      <c r="C590" s="53"/>
      <c r="D590" s="182"/>
      <c r="E590" s="53"/>
      <c r="F590" s="24"/>
      <c r="G590" s="24"/>
      <c r="H590" s="68"/>
      <c r="I590" s="68"/>
      <c r="J590" s="68"/>
      <c r="K590" s="68"/>
      <c r="L590" s="68"/>
      <c r="M590" s="183" t="s">
        <v>120</v>
      </c>
    </row>
    <row r="591" spans="2:13" ht="12.95" customHeight="1" x14ac:dyDescent="0.3">
      <c r="B591" s="337" t="s">
        <v>14</v>
      </c>
      <c r="C591" s="337" t="s">
        <v>18</v>
      </c>
      <c r="D591" s="317" t="s">
        <v>19</v>
      </c>
      <c r="E591" s="317" t="s">
        <v>15</v>
      </c>
      <c r="F591" s="344" t="s">
        <v>227</v>
      </c>
      <c r="G591" s="345"/>
      <c r="H591" s="344" t="s">
        <v>226</v>
      </c>
      <c r="I591" s="345"/>
      <c r="J591" s="344" t="s">
        <v>228</v>
      </c>
      <c r="K591" s="345"/>
      <c r="L591" s="344" t="s">
        <v>192</v>
      </c>
      <c r="M591" s="345"/>
    </row>
    <row r="592" spans="2:13" ht="12.95" customHeight="1" x14ac:dyDescent="0.3">
      <c r="B592" s="338"/>
      <c r="C592" s="338"/>
      <c r="D592" s="340"/>
      <c r="E592" s="340"/>
      <c r="F592" s="93" t="s">
        <v>173</v>
      </c>
      <c r="G592" s="184">
        <v>390</v>
      </c>
      <c r="H592" s="93" t="s">
        <v>173</v>
      </c>
      <c r="I592" s="94">
        <v>250</v>
      </c>
      <c r="J592" s="93" t="s">
        <v>173</v>
      </c>
      <c r="K592" s="94">
        <v>230</v>
      </c>
      <c r="L592" s="93" t="s">
        <v>173</v>
      </c>
      <c r="M592" s="94">
        <v>120</v>
      </c>
    </row>
    <row r="593" spans="2:13" ht="12.95" customHeight="1" x14ac:dyDescent="0.3">
      <c r="B593" s="339"/>
      <c r="C593" s="339"/>
      <c r="D593" s="318"/>
      <c r="E593" s="318"/>
      <c r="F593" s="96" t="s">
        <v>174</v>
      </c>
      <c r="G593" s="97" t="s">
        <v>175</v>
      </c>
      <c r="H593" s="96" t="s">
        <v>174</v>
      </c>
      <c r="I593" s="97" t="s">
        <v>175</v>
      </c>
      <c r="J593" s="96" t="s">
        <v>174</v>
      </c>
      <c r="K593" s="97" t="s">
        <v>175</v>
      </c>
      <c r="L593" s="96" t="s">
        <v>174</v>
      </c>
      <c r="M593" s="97" t="s">
        <v>175</v>
      </c>
    </row>
    <row r="594" spans="2:13" ht="12.95" customHeight="1" x14ac:dyDescent="0.3">
      <c r="B594" s="222" t="s">
        <v>276</v>
      </c>
      <c r="C594" s="227" t="s">
        <v>60</v>
      </c>
      <c r="D594" s="99" t="s">
        <v>57</v>
      </c>
      <c r="E594" s="100">
        <v>35814</v>
      </c>
      <c r="F594" s="187">
        <v>8</v>
      </c>
      <c r="G594" s="69">
        <f>TRUNC($E594*F594,1)</f>
        <v>286512</v>
      </c>
      <c r="H594" s="187">
        <v>8</v>
      </c>
      <c r="I594" s="69">
        <f>TRUNC($E594*H594,1)</f>
        <v>286512</v>
      </c>
      <c r="J594" s="187">
        <v>8</v>
      </c>
      <c r="K594" s="69">
        <f>TRUNC($E594*J594,1)</f>
        <v>286512</v>
      </c>
      <c r="L594" s="187">
        <v>8</v>
      </c>
      <c r="M594" s="69">
        <f>TRUNC($E594*L594,1)</f>
        <v>286512</v>
      </c>
    </row>
    <row r="595" spans="2:13" ht="12.95" customHeight="1" x14ac:dyDescent="0.3">
      <c r="B595" s="136" t="s">
        <v>22</v>
      </c>
      <c r="C595" s="76"/>
      <c r="D595" s="77"/>
      <c r="E595" s="40"/>
      <c r="F595" s="111"/>
      <c r="G595" s="45">
        <f>TRUNC(SUM(G594:G594))</f>
        <v>286512</v>
      </c>
      <c r="H595" s="111"/>
      <c r="I595" s="45">
        <f>TRUNC(SUM(I594:I594))</f>
        <v>286512</v>
      </c>
      <c r="J595" s="111"/>
      <c r="K595" s="45">
        <f>TRUNC(SUM(K594:K594))</f>
        <v>286512</v>
      </c>
      <c r="L595" s="111"/>
      <c r="M595" s="45">
        <f>TRUNC(SUM(M594:M594))</f>
        <v>286512</v>
      </c>
    </row>
    <row r="596" spans="2:13" ht="12.95" customHeight="1" x14ac:dyDescent="0.3">
      <c r="B596" s="75"/>
      <c r="C596" s="76"/>
      <c r="D596" s="77"/>
      <c r="E596" s="40"/>
      <c r="F596" s="111"/>
      <c r="G596" s="35"/>
      <c r="H596" s="111"/>
      <c r="I596" s="35"/>
      <c r="J596" s="111"/>
      <c r="K596" s="35"/>
      <c r="L596" s="111"/>
      <c r="M596" s="35"/>
    </row>
    <row r="597" spans="2:13" ht="12.95" customHeight="1" x14ac:dyDescent="0.3">
      <c r="B597" s="222" t="s">
        <v>276</v>
      </c>
      <c r="C597" s="227" t="s">
        <v>60</v>
      </c>
      <c r="D597" s="99" t="s">
        <v>57</v>
      </c>
      <c r="E597" s="100">
        <v>58925</v>
      </c>
      <c r="F597" s="111">
        <v>8</v>
      </c>
      <c r="G597" s="79">
        <f>TRUNC($E597*F597,1)</f>
        <v>471400</v>
      </c>
      <c r="H597" s="111">
        <v>8</v>
      </c>
      <c r="I597" s="79">
        <f>TRUNC($E597*H597,1)</f>
        <v>471400</v>
      </c>
      <c r="J597" s="111">
        <v>8</v>
      </c>
      <c r="K597" s="79">
        <f>TRUNC($E597*J597,1)</f>
        <v>471400</v>
      </c>
      <c r="L597" s="111">
        <v>8</v>
      </c>
      <c r="M597" s="79">
        <f>TRUNC($E597*L597,1)</f>
        <v>471400</v>
      </c>
    </row>
    <row r="598" spans="2:13" ht="12.95" customHeight="1" x14ac:dyDescent="0.3">
      <c r="B598" s="102" t="s">
        <v>23</v>
      </c>
      <c r="C598" s="192"/>
      <c r="D598" s="193"/>
      <c r="E598" s="194"/>
      <c r="F598" s="195"/>
      <c r="G598" s="45">
        <f>TRUNC(SUM(G597:G597))</f>
        <v>471400</v>
      </c>
      <c r="H598" s="195"/>
      <c r="I598" s="45">
        <f>TRUNC(SUM(I597:I597))</f>
        <v>471400</v>
      </c>
      <c r="J598" s="195"/>
      <c r="K598" s="45">
        <f>TRUNC(SUM(K597:K597))</f>
        <v>471400</v>
      </c>
      <c r="L598" s="195"/>
      <c r="M598" s="45">
        <f>TRUNC(SUM(M597:M597))</f>
        <v>471400</v>
      </c>
    </row>
    <row r="599" spans="2:13" ht="12.95" customHeight="1" x14ac:dyDescent="0.3">
      <c r="B599" s="196"/>
      <c r="C599" s="192"/>
      <c r="D599" s="193"/>
      <c r="E599" s="194"/>
      <c r="F599" s="195"/>
      <c r="G599" s="35"/>
      <c r="H599" s="195"/>
      <c r="I599" s="35"/>
      <c r="J599" s="195"/>
      <c r="K599" s="35"/>
      <c r="L599" s="195"/>
      <c r="M599" s="35"/>
    </row>
    <row r="600" spans="2:13" ht="12.95" customHeight="1" x14ac:dyDescent="0.3">
      <c r="B600" s="222" t="s">
        <v>276</v>
      </c>
      <c r="C600" s="227" t="s">
        <v>60</v>
      </c>
      <c r="D600" s="99" t="s">
        <v>39</v>
      </c>
      <c r="E600" s="100">
        <v>29621</v>
      </c>
      <c r="F600" s="111">
        <v>8</v>
      </c>
      <c r="G600" s="70">
        <f>TRUNC($E600*F600,1)</f>
        <v>236968</v>
      </c>
      <c r="H600" s="111">
        <v>8</v>
      </c>
      <c r="I600" s="70">
        <f>TRUNC($E600*H600,1)</f>
        <v>236968</v>
      </c>
      <c r="J600" s="111">
        <v>8</v>
      </c>
      <c r="K600" s="70">
        <f>TRUNC($E600*J600,1)</f>
        <v>236968</v>
      </c>
      <c r="L600" s="111">
        <v>8</v>
      </c>
      <c r="M600" s="70">
        <f>TRUNC($E600*L600,1)</f>
        <v>236968</v>
      </c>
    </row>
    <row r="601" spans="2:13" ht="12.95" customHeight="1" x14ac:dyDescent="0.3">
      <c r="B601" s="136" t="s">
        <v>24</v>
      </c>
      <c r="C601" s="192"/>
      <c r="D601" s="193"/>
      <c r="E601" s="194"/>
      <c r="F601" s="160"/>
      <c r="G601" s="45">
        <f>TRUNC(SUM(G600:G600))</f>
        <v>236968</v>
      </c>
      <c r="H601" s="160"/>
      <c r="I601" s="45">
        <f>TRUNC(SUM(I600:I600))</f>
        <v>236968</v>
      </c>
      <c r="J601" s="160"/>
      <c r="K601" s="45">
        <f>TRUNC(SUM(K600:K600))</f>
        <v>236968</v>
      </c>
      <c r="L601" s="160"/>
      <c r="M601" s="45">
        <f>TRUNC(SUM(M600:M600))</f>
        <v>236968</v>
      </c>
    </row>
    <row r="602" spans="2:13" ht="12.95" customHeight="1" x14ac:dyDescent="0.3">
      <c r="B602" s="158"/>
      <c r="C602" s="52"/>
      <c r="D602" s="189"/>
      <c r="E602" s="30"/>
      <c r="F602" s="217"/>
      <c r="G602" s="70"/>
      <c r="H602" s="217"/>
      <c r="I602" s="70"/>
      <c r="J602" s="217"/>
      <c r="K602" s="70"/>
      <c r="L602" s="217"/>
      <c r="M602" s="70"/>
    </row>
    <row r="603" spans="2:13" ht="12.95" customHeight="1" x14ac:dyDescent="0.3">
      <c r="B603" s="113" t="s">
        <v>26</v>
      </c>
      <c r="C603" s="192"/>
      <c r="D603" s="193"/>
      <c r="E603" s="194"/>
      <c r="F603" s="192"/>
      <c r="G603" s="197">
        <f>G595+G598+G601</f>
        <v>994880</v>
      </c>
      <c r="H603" s="192"/>
      <c r="I603" s="197">
        <f>I595+I598+I601</f>
        <v>994880</v>
      </c>
      <c r="J603" s="192"/>
      <c r="K603" s="197">
        <f>K595+K598+K601</f>
        <v>994880</v>
      </c>
      <c r="L603" s="192"/>
      <c r="M603" s="197">
        <f>M595+M598+M601</f>
        <v>994880</v>
      </c>
    </row>
    <row r="604" spans="2:13" ht="12.95" customHeight="1" x14ac:dyDescent="0.3">
      <c r="B604" s="117" t="s">
        <v>216</v>
      </c>
      <c r="C604" s="118"/>
      <c r="D604" s="119"/>
      <c r="E604" s="120"/>
      <c r="F604" s="121"/>
      <c r="G604" s="122">
        <f>TRUNC((G603/G592)*10)</f>
        <v>25509</v>
      </c>
      <c r="H604" s="121"/>
      <c r="I604" s="122">
        <f>TRUNC((I603/I592)*10)</f>
        <v>39795</v>
      </c>
      <c r="J604" s="121"/>
      <c r="K604" s="122">
        <f>TRUNC((K603/K592)*10)</f>
        <v>43255</v>
      </c>
      <c r="L604" s="121"/>
      <c r="M604" s="122">
        <f>TRUNC((M603/M592)*10)</f>
        <v>82906</v>
      </c>
    </row>
    <row r="605" spans="2:13" ht="12.95" customHeight="1" x14ac:dyDescent="0.3">
      <c r="B605" s="337" t="s">
        <v>14</v>
      </c>
      <c r="C605" s="337" t="s">
        <v>18</v>
      </c>
      <c r="D605" s="317" t="s">
        <v>19</v>
      </c>
      <c r="E605" s="317" t="s">
        <v>15</v>
      </c>
      <c r="F605" s="344" t="s">
        <v>229</v>
      </c>
      <c r="G605" s="345"/>
      <c r="H605" s="344" t="s">
        <v>230</v>
      </c>
      <c r="I605" s="345"/>
    </row>
    <row r="606" spans="2:13" ht="12.95" customHeight="1" x14ac:dyDescent="0.3">
      <c r="B606" s="338"/>
      <c r="C606" s="338"/>
      <c r="D606" s="340"/>
      <c r="E606" s="340"/>
      <c r="F606" s="93" t="s">
        <v>173</v>
      </c>
      <c r="G606" s="184">
        <v>80</v>
      </c>
      <c r="H606" s="93" t="s">
        <v>173</v>
      </c>
      <c r="I606" s="94">
        <v>60</v>
      </c>
    </row>
    <row r="607" spans="2:13" ht="12.95" customHeight="1" x14ac:dyDescent="0.3">
      <c r="B607" s="339"/>
      <c r="C607" s="339"/>
      <c r="D607" s="318"/>
      <c r="E607" s="318"/>
      <c r="F607" s="96" t="s">
        <v>174</v>
      </c>
      <c r="G607" s="97" t="s">
        <v>175</v>
      </c>
      <c r="H607" s="96" t="s">
        <v>174</v>
      </c>
      <c r="I607" s="97" t="s">
        <v>175</v>
      </c>
    </row>
    <row r="608" spans="2:13" ht="12.95" customHeight="1" x14ac:dyDescent="0.3">
      <c r="B608" s="222" t="s">
        <v>276</v>
      </c>
      <c r="C608" s="227" t="s">
        <v>60</v>
      </c>
      <c r="D608" s="99" t="s">
        <v>57</v>
      </c>
      <c r="E608" s="100">
        <v>35814</v>
      </c>
      <c r="F608" s="187">
        <v>8</v>
      </c>
      <c r="G608" s="69">
        <f>TRUNC($E608*F608,1)</f>
        <v>286512</v>
      </c>
      <c r="H608" s="187">
        <v>8</v>
      </c>
      <c r="I608" s="69">
        <f>TRUNC($E608*H608,1)</f>
        <v>286512</v>
      </c>
    </row>
    <row r="609" spans="2:14" ht="12.95" customHeight="1" x14ac:dyDescent="0.3">
      <c r="B609" s="136" t="s">
        <v>22</v>
      </c>
      <c r="C609" s="76"/>
      <c r="D609" s="77"/>
      <c r="E609" s="40"/>
      <c r="F609" s="111"/>
      <c r="G609" s="45">
        <f>TRUNC(SUM(G608:G608))</f>
        <v>286512</v>
      </c>
      <c r="H609" s="111"/>
      <c r="I609" s="45">
        <f>TRUNC(SUM(I608:I608))</f>
        <v>286512</v>
      </c>
    </row>
    <row r="610" spans="2:14" ht="12.95" customHeight="1" x14ac:dyDescent="0.3">
      <c r="B610" s="75"/>
      <c r="C610" s="76"/>
      <c r="D610" s="77"/>
      <c r="E610" s="40"/>
      <c r="F610" s="111"/>
      <c r="G610" s="35"/>
      <c r="H610" s="111"/>
      <c r="I610" s="35"/>
    </row>
    <row r="611" spans="2:14" ht="12.95" customHeight="1" x14ac:dyDescent="0.3">
      <c r="B611" s="222" t="s">
        <v>276</v>
      </c>
      <c r="C611" s="227" t="s">
        <v>60</v>
      </c>
      <c r="D611" s="99" t="s">
        <v>57</v>
      </c>
      <c r="E611" s="100">
        <v>58925</v>
      </c>
      <c r="F611" s="111">
        <v>8</v>
      </c>
      <c r="G611" s="79">
        <f>TRUNC($E611*F611,1)</f>
        <v>471400</v>
      </c>
      <c r="H611" s="111">
        <v>8</v>
      </c>
      <c r="I611" s="79">
        <f>TRUNC($E611*H611,1)</f>
        <v>471400</v>
      </c>
    </row>
    <row r="612" spans="2:14" ht="12.95" customHeight="1" x14ac:dyDescent="0.3">
      <c r="B612" s="102" t="s">
        <v>23</v>
      </c>
      <c r="C612" s="192"/>
      <c r="D612" s="193"/>
      <c r="E612" s="194"/>
      <c r="F612" s="195"/>
      <c r="G612" s="45">
        <f>TRUNC(SUM(G611:G611))</f>
        <v>471400</v>
      </c>
      <c r="H612" s="195"/>
      <c r="I612" s="45">
        <f>TRUNC(SUM(I611:I611))</f>
        <v>471400</v>
      </c>
    </row>
    <row r="613" spans="2:14" ht="12.95" customHeight="1" x14ac:dyDescent="0.3">
      <c r="B613" s="196"/>
      <c r="C613" s="192"/>
      <c r="D613" s="193"/>
      <c r="E613" s="194"/>
      <c r="F613" s="195"/>
      <c r="G613" s="35"/>
      <c r="H613" s="195"/>
      <c r="I613" s="35"/>
      <c r="N613" s="24"/>
    </row>
    <row r="614" spans="2:14" ht="12.95" customHeight="1" x14ac:dyDescent="0.3">
      <c r="B614" s="222" t="s">
        <v>276</v>
      </c>
      <c r="C614" s="227" t="s">
        <v>60</v>
      </c>
      <c r="D614" s="99" t="s">
        <v>39</v>
      </c>
      <c r="E614" s="100">
        <v>29621</v>
      </c>
      <c r="F614" s="111">
        <v>8</v>
      </c>
      <c r="G614" s="70">
        <f>TRUNC($E614*F614,1)</f>
        <v>236968</v>
      </c>
      <c r="H614" s="111">
        <v>8</v>
      </c>
      <c r="I614" s="70">
        <f>TRUNC($E614*H614,1)</f>
        <v>236968</v>
      </c>
      <c r="N614" s="24"/>
    </row>
    <row r="615" spans="2:14" ht="12.95" customHeight="1" x14ac:dyDescent="0.3">
      <c r="B615" s="222" t="s">
        <v>2</v>
      </c>
      <c r="C615" s="227" t="s">
        <v>60</v>
      </c>
      <c r="D615" s="189" t="s">
        <v>57</v>
      </c>
      <c r="E615" s="80">
        <v>18939</v>
      </c>
      <c r="F615" s="111">
        <v>8</v>
      </c>
      <c r="G615" s="70">
        <f>TRUNC($E615*F615,1)</f>
        <v>151512</v>
      </c>
      <c r="H615" s="111">
        <v>8</v>
      </c>
      <c r="I615" s="70">
        <f>TRUNC($E615*H615,1)</f>
        <v>151512</v>
      </c>
      <c r="N615" s="24"/>
    </row>
    <row r="616" spans="2:14" ht="12.95" customHeight="1" x14ac:dyDescent="0.3">
      <c r="B616" s="136" t="s">
        <v>24</v>
      </c>
      <c r="C616" s="192"/>
      <c r="D616" s="193"/>
      <c r="E616" s="194"/>
      <c r="F616" s="160"/>
      <c r="G616" s="45">
        <f>TRUNC(SUM(G614:G615))</f>
        <v>388480</v>
      </c>
      <c r="H616" s="160"/>
      <c r="I616" s="45">
        <f>TRUNC(SUM(I614:I615))</f>
        <v>388480</v>
      </c>
      <c r="N616" s="24"/>
    </row>
    <row r="617" spans="2:14" ht="12.95" customHeight="1" x14ac:dyDescent="0.3">
      <c r="B617" s="158"/>
      <c r="C617" s="52"/>
      <c r="D617" s="189"/>
      <c r="E617" s="30"/>
      <c r="F617" s="217"/>
      <c r="G617" s="70"/>
      <c r="H617" s="217"/>
      <c r="I617" s="70"/>
      <c r="N617" s="24"/>
    </row>
    <row r="618" spans="2:14" ht="12.95" customHeight="1" x14ac:dyDescent="0.3">
      <c r="B618" s="113" t="s">
        <v>26</v>
      </c>
      <c r="C618" s="192"/>
      <c r="D618" s="193"/>
      <c r="E618" s="194"/>
      <c r="F618" s="192"/>
      <c r="G618" s="197">
        <f>G609+G612+G616</f>
        <v>1146392</v>
      </c>
      <c r="H618" s="192"/>
      <c r="I618" s="197">
        <f>I609+I612+I616</f>
        <v>1146392</v>
      </c>
      <c r="N618" s="24"/>
    </row>
    <row r="619" spans="2:14" ht="12.95" customHeight="1" x14ac:dyDescent="0.3">
      <c r="B619" s="117" t="s">
        <v>234</v>
      </c>
      <c r="C619" s="118"/>
      <c r="D619" s="119"/>
      <c r="E619" s="120"/>
      <c r="F619" s="121"/>
      <c r="G619" s="122">
        <f>TRUNC((G618/G606)*10)</f>
        <v>143299</v>
      </c>
      <c r="H619" s="121"/>
      <c r="I619" s="122">
        <f>TRUNC((I618/I606)*10)</f>
        <v>191065</v>
      </c>
      <c r="N619" s="24"/>
    </row>
    <row r="620" spans="2:14" ht="12.95" customHeight="1" x14ac:dyDescent="0.3">
      <c r="B620" s="24"/>
      <c r="C620" s="24"/>
      <c r="D620" s="24"/>
      <c r="E620" s="24"/>
      <c r="F620" s="68"/>
      <c r="G620" s="68"/>
      <c r="H620" s="68"/>
      <c r="I620" s="68"/>
      <c r="L620" s="24"/>
      <c r="M620" s="24"/>
      <c r="N620" s="24"/>
    </row>
    <row r="621" spans="2:14" ht="12.95" customHeight="1" x14ac:dyDescent="0.3">
      <c r="B621" s="152" t="s">
        <v>231</v>
      </c>
      <c r="C621" s="53"/>
      <c r="D621" s="182"/>
      <c r="E621" s="53"/>
      <c r="F621" s="24"/>
      <c r="G621" s="24"/>
      <c r="H621" s="68"/>
      <c r="I621" s="183" t="s">
        <v>120</v>
      </c>
      <c r="N621" s="24"/>
    </row>
    <row r="622" spans="2:14" ht="12.95" customHeight="1" x14ac:dyDescent="0.3">
      <c r="B622" s="337" t="s">
        <v>14</v>
      </c>
      <c r="C622" s="337" t="s">
        <v>18</v>
      </c>
      <c r="D622" s="317" t="s">
        <v>19</v>
      </c>
      <c r="E622" s="317" t="s">
        <v>15</v>
      </c>
      <c r="F622" s="344" t="s">
        <v>232</v>
      </c>
      <c r="G622" s="345"/>
      <c r="H622" s="344" t="s">
        <v>233</v>
      </c>
      <c r="I622" s="345"/>
      <c r="N622" s="24"/>
    </row>
    <row r="623" spans="2:14" ht="12.95" customHeight="1" x14ac:dyDescent="0.3">
      <c r="B623" s="338"/>
      <c r="C623" s="338"/>
      <c r="D623" s="340"/>
      <c r="E623" s="340"/>
      <c r="F623" s="93" t="s">
        <v>173</v>
      </c>
      <c r="G623" s="184">
        <v>19</v>
      </c>
      <c r="H623" s="93" t="s">
        <v>173</v>
      </c>
      <c r="I623" s="94">
        <v>25</v>
      </c>
      <c r="N623" s="24"/>
    </row>
    <row r="624" spans="2:14" ht="12.95" customHeight="1" x14ac:dyDescent="0.3">
      <c r="B624" s="339"/>
      <c r="C624" s="339"/>
      <c r="D624" s="318"/>
      <c r="E624" s="318"/>
      <c r="F624" s="96" t="s">
        <v>174</v>
      </c>
      <c r="G624" s="97" t="s">
        <v>175</v>
      </c>
      <c r="H624" s="96" t="s">
        <v>174</v>
      </c>
      <c r="I624" s="97" t="s">
        <v>175</v>
      </c>
    </row>
    <row r="625" spans="2:13" ht="12.95" customHeight="1" x14ac:dyDescent="0.3">
      <c r="B625" s="222" t="s">
        <v>276</v>
      </c>
      <c r="C625" s="227" t="s">
        <v>85</v>
      </c>
      <c r="D625" s="99" t="s">
        <v>57</v>
      </c>
      <c r="E625" s="100">
        <v>9107</v>
      </c>
      <c r="F625" s="187">
        <v>8</v>
      </c>
      <c r="G625" s="69">
        <f>TRUNC($E625*F625,1)</f>
        <v>72856</v>
      </c>
      <c r="H625" s="187">
        <v>8</v>
      </c>
      <c r="I625" s="69">
        <f>TRUNC($E625*H625,1)</f>
        <v>72856</v>
      </c>
    </row>
    <row r="626" spans="2:13" ht="12.95" customHeight="1" x14ac:dyDescent="0.3">
      <c r="B626" s="136" t="s">
        <v>22</v>
      </c>
      <c r="C626" s="76"/>
      <c r="D626" s="77"/>
      <c r="E626" s="40"/>
      <c r="F626" s="111"/>
      <c r="G626" s="45">
        <f>TRUNC(SUM(G625:G625))</f>
        <v>72856</v>
      </c>
      <c r="H626" s="111"/>
      <c r="I626" s="45">
        <f>TRUNC(SUM(I625:I625))</f>
        <v>72856</v>
      </c>
    </row>
    <row r="627" spans="2:13" ht="12.95" customHeight="1" x14ac:dyDescent="0.3">
      <c r="B627" s="75"/>
      <c r="C627" s="76"/>
      <c r="D627" s="77"/>
      <c r="E627" s="40"/>
      <c r="F627" s="111"/>
      <c r="G627" s="35"/>
      <c r="H627" s="111"/>
      <c r="I627" s="35"/>
    </row>
    <row r="628" spans="2:13" ht="12.95" customHeight="1" x14ac:dyDescent="0.3">
      <c r="B628" s="98" t="s">
        <v>1</v>
      </c>
      <c r="C628" s="98"/>
      <c r="D628" s="99" t="s">
        <v>33</v>
      </c>
      <c r="E628" s="100">
        <v>226122</v>
      </c>
      <c r="F628" s="111">
        <v>2</v>
      </c>
      <c r="G628" s="191">
        <f>TRUNC($E628*F628,1)</f>
        <v>452244</v>
      </c>
      <c r="H628" s="111">
        <v>2</v>
      </c>
      <c r="I628" s="191">
        <f>TRUNC($E628*H628,1)</f>
        <v>452244</v>
      </c>
    </row>
    <row r="629" spans="2:13" ht="12.95" customHeight="1" x14ac:dyDescent="0.3">
      <c r="B629" s="224" t="s">
        <v>4</v>
      </c>
      <c r="C629" s="129"/>
      <c r="D629" s="109" t="s">
        <v>21</v>
      </c>
      <c r="E629" s="171">
        <v>172068</v>
      </c>
      <c r="F629" s="111">
        <v>5</v>
      </c>
      <c r="G629" s="191">
        <f>TRUNC($E629*F629,1)</f>
        <v>860340</v>
      </c>
      <c r="H629" s="111">
        <v>5</v>
      </c>
      <c r="I629" s="191">
        <f>TRUNC($E629*H629,1)</f>
        <v>860340</v>
      </c>
    </row>
    <row r="630" spans="2:13" ht="12.95" customHeight="1" x14ac:dyDescent="0.3">
      <c r="B630" s="222" t="s">
        <v>276</v>
      </c>
      <c r="C630" s="227" t="s">
        <v>85</v>
      </c>
      <c r="D630" s="99" t="s">
        <v>57</v>
      </c>
      <c r="E630" s="100">
        <v>58925</v>
      </c>
      <c r="F630" s="111">
        <v>8</v>
      </c>
      <c r="G630" s="79">
        <f>TRUNC($E630*F630,1)</f>
        <v>471400</v>
      </c>
      <c r="H630" s="111">
        <v>8</v>
      </c>
      <c r="I630" s="79">
        <f>TRUNC($E630*H630,1)</f>
        <v>471400</v>
      </c>
    </row>
    <row r="631" spans="2:13" ht="12.95" customHeight="1" x14ac:dyDescent="0.3">
      <c r="B631" s="102" t="s">
        <v>23</v>
      </c>
      <c r="C631" s="192"/>
      <c r="D631" s="193"/>
      <c r="E631" s="194"/>
      <c r="F631" s="195"/>
      <c r="G631" s="45">
        <f>TRUNC(SUM(G628:G630))</f>
        <v>1783984</v>
      </c>
      <c r="H631" s="195"/>
      <c r="I631" s="45">
        <f>TRUNC(SUM(I628:I630))</f>
        <v>1783984</v>
      </c>
    </row>
    <row r="632" spans="2:13" ht="12.95" customHeight="1" x14ac:dyDescent="0.3">
      <c r="B632" s="196"/>
      <c r="C632" s="192"/>
      <c r="D632" s="193"/>
      <c r="E632" s="194"/>
      <c r="F632" s="195"/>
      <c r="G632" s="35"/>
      <c r="H632" s="195"/>
      <c r="I632" s="35"/>
    </row>
    <row r="633" spans="2:13" ht="12.95" customHeight="1" x14ac:dyDescent="0.3">
      <c r="B633" s="222" t="s">
        <v>276</v>
      </c>
      <c r="C633" s="227" t="s">
        <v>85</v>
      </c>
      <c r="D633" s="99" t="s">
        <v>39</v>
      </c>
      <c r="E633" s="100">
        <v>13873</v>
      </c>
      <c r="F633" s="111">
        <v>8</v>
      </c>
      <c r="G633" s="70">
        <f>TRUNC($E633*F633,1)</f>
        <v>110984</v>
      </c>
      <c r="H633" s="111">
        <v>8</v>
      </c>
      <c r="I633" s="70">
        <f>TRUNC($E633*H633,1)</f>
        <v>110984</v>
      </c>
    </row>
    <row r="634" spans="2:13" ht="12.95" customHeight="1" x14ac:dyDescent="0.3">
      <c r="B634" s="136" t="s">
        <v>24</v>
      </c>
      <c r="C634" s="192"/>
      <c r="D634" s="193"/>
      <c r="E634" s="194"/>
      <c r="F634" s="160"/>
      <c r="G634" s="45">
        <f>TRUNC(SUM(G633:G633))</f>
        <v>110984</v>
      </c>
      <c r="H634" s="160"/>
      <c r="I634" s="45">
        <f>TRUNC(SUM(I633:I633))</f>
        <v>110984</v>
      </c>
    </row>
    <row r="635" spans="2:13" ht="12.95" customHeight="1" x14ac:dyDescent="0.3">
      <c r="B635" s="158"/>
      <c r="C635" s="52"/>
      <c r="D635" s="189"/>
      <c r="E635" s="30"/>
      <c r="F635" s="217"/>
      <c r="G635" s="70"/>
      <c r="H635" s="217"/>
      <c r="I635" s="70"/>
      <c r="J635" s="4"/>
    </row>
    <row r="636" spans="2:13" ht="12.95" customHeight="1" x14ac:dyDescent="0.3">
      <c r="B636" s="113" t="s">
        <v>26</v>
      </c>
      <c r="C636" s="192"/>
      <c r="D636" s="193"/>
      <c r="E636" s="194"/>
      <c r="F636" s="192"/>
      <c r="G636" s="197">
        <f>G626+G631+G634</f>
        <v>1967824</v>
      </c>
      <c r="H636" s="192"/>
      <c r="I636" s="197">
        <f>I626+I631+I634</f>
        <v>1967824</v>
      </c>
      <c r="J636" s="24"/>
      <c r="K636" s="24"/>
    </row>
    <row r="637" spans="2:13" ht="12.95" customHeight="1" x14ac:dyDescent="0.3">
      <c r="B637" s="117" t="s">
        <v>234</v>
      </c>
      <c r="C637" s="118"/>
      <c r="D637" s="119"/>
      <c r="E637" s="120"/>
      <c r="F637" s="121"/>
      <c r="G637" s="122">
        <f>TRUNC((G636/G623)*10)</f>
        <v>1035696</v>
      </c>
      <c r="H637" s="121"/>
      <c r="I637" s="122">
        <f>TRUNC((I636/I623)*10)</f>
        <v>787129</v>
      </c>
      <c r="J637" s="24"/>
      <c r="K637" s="24"/>
    </row>
    <row r="638" spans="2:13" ht="12.95" customHeight="1" x14ac:dyDescent="0.3">
      <c r="B638" s="24"/>
      <c r="C638" s="24"/>
      <c r="D638" s="24"/>
      <c r="E638" s="24"/>
      <c r="F638" s="68"/>
      <c r="G638" s="68"/>
      <c r="J638" s="24"/>
      <c r="K638" s="24"/>
    </row>
    <row r="639" spans="2:13" ht="12.95" customHeight="1" x14ac:dyDescent="0.3">
      <c r="B639" s="90" t="s">
        <v>235</v>
      </c>
      <c r="L639" s="61"/>
      <c r="M639" s="61"/>
    </row>
    <row r="640" spans="2:13" ht="12.95" customHeight="1" x14ac:dyDescent="0.3">
      <c r="B640" s="152" t="s">
        <v>236</v>
      </c>
      <c r="C640" s="152"/>
      <c r="D640" s="24"/>
      <c r="E640" s="24"/>
      <c r="F640" s="154"/>
      <c r="G640" s="92" t="s">
        <v>172</v>
      </c>
      <c r="H640" s="4"/>
      <c r="I640" s="4"/>
    </row>
    <row r="641" spans="2:15" ht="12.95" customHeight="1" x14ac:dyDescent="0.3">
      <c r="B641" s="337" t="s">
        <v>14</v>
      </c>
      <c r="C641" s="317" t="s">
        <v>18</v>
      </c>
      <c r="D641" s="317" t="s">
        <v>19</v>
      </c>
      <c r="E641" s="317" t="s">
        <v>15</v>
      </c>
      <c r="F641" s="93" t="s">
        <v>173</v>
      </c>
      <c r="G641" s="184">
        <v>1060</v>
      </c>
      <c r="H641" s="4"/>
      <c r="I641" s="4"/>
    </row>
    <row r="642" spans="2:15" ht="12.95" customHeight="1" x14ac:dyDescent="0.3">
      <c r="B642" s="339"/>
      <c r="C642" s="318"/>
      <c r="D642" s="318"/>
      <c r="E642" s="318"/>
      <c r="F642" s="96" t="s">
        <v>174</v>
      </c>
      <c r="G642" s="97" t="s">
        <v>175</v>
      </c>
      <c r="H642" s="24"/>
      <c r="I642" s="24"/>
      <c r="J642" s="4"/>
      <c r="K642" s="4"/>
    </row>
    <row r="643" spans="2:15" ht="12.95" customHeight="1" x14ac:dyDescent="0.3">
      <c r="B643" s="222" t="s">
        <v>276</v>
      </c>
      <c r="C643" s="227" t="s">
        <v>60</v>
      </c>
      <c r="D643" s="99" t="s">
        <v>57</v>
      </c>
      <c r="E643" s="100">
        <v>35814</v>
      </c>
      <c r="F643" s="51">
        <v>8</v>
      </c>
      <c r="G643" s="3">
        <f t="shared" ref="G643" si="139">TRUNC($E643*F643,1)</f>
        <v>286512</v>
      </c>
      <c r="H643" s="24"/>
      <c r="I643" s="24"/>
      <c r="J643" s="4"/>
      <c r="K643" s="4"/>
    </row>
    <row r="644" spans="2:15" ht="12.95" customHeight="1" x14ac:dyDescent="0.3">
      <c r="B644" s="136" t="s">
        <v>22</v>
      </c>
      <c r="C644" s="157"/>
      <c r="D644" s="157"/>
      <c r="E644" s="34"/>
      <c r="F644" s="51"/>
      <c r="G644" s="45">
        <f>TRUNC(SUM(G643:G643))</f>
        <v>286512</v>
      </c>
      <c r="H644" s="24"/>
      <c r="I644" s="24"/>
      <c r="J644" s="4"/>
      <c r="K644" s="4"/>
    </row>
    <row r="645" spans="2:15" ht="12.95" customHeight="1" x14ac:dyDescent="0.3">
      <c r="B645" s="158"/>
      <c r="C645" s="157"/>
      <c r="D645" s="157"/>
      <c r="E645" s="34"/>
      <c r="F645" s="51"/>
      <c r="G645" s="35"/>
      <c r="H645" s="24"/>
      <c r="I645" s="24"/>
      <c r="J645" s="4"/>
      <c r="K645" s="4"/>
    </row>
    <row r="646" spans="2:15" ht="12.95" customHeight="1" x14ac:dyDescent="0.3">
      <c r="B646" s="222" t="s">
        <v>276</v>
      </c>
      <c r="C646" s="227" t="s">
        <v>60</v>
      </c>
      <c r="D646" s="99" t="s">
        <v>57</v>
      </c>
      <c r="E646" s="100">
        <v>58925</v>
      </c>
      <c r="F646" s="51">
        <v>8</v>
      </c>
      <c r="G646" s="3">
        <f t="shared" ref="G646" si="140">TRUNC($E646*F646,1)</f>
        <v>471400</v>
      </c>
      <c r="H646" s="24"/>
      <c r="I646" s="24"/>
      <c r="J646" s="4"/>
      <c r="K646" s="4"/>
    </row>
    <row r="647" spans="2:15" ht="12.95" customHeight="1" x14ac:dyDescent="0.3">
      <c r="B647" s="102" t="s">
        <v>23</v>
      </c>
      <c r="C647" s="159"/>
      <c r="D647" s="159"/>
      <c r="E647" s="160"/>
      <c r="F647" s="51"/>
      <c r="G647" s="45">
        <f>TRUNC(SUM(G646:G646))</f>
        <v>471400</v>
      </c>
      <c r="H647" s="4"/>
      <c r="I647" s="4"/>
    </row>
    <row r="648" spans="2:15" ht="12.95" customHeight="1" x14ac:dyDescent="0.3">
      <c r="B648" s="158"/>
      <c r="C648" s="157"/>
      <c r="D648" s="157"/>
      <c r="E648" s="34"/>
      <c r="F648" s="51"/>
      <c r="G648" s="35"/>
      <c r="H648" s="4"/>
      <c r="I648" s="4"/>
    </row>
    <row r="649" spans="2:15" ht="12.95" customHeight="1" x14ac:dyDescent="0.3">
      <c r="B649" s="222" t="s">
        <v>276</v>
      </c>
      <c r="C649" s="227" t="s">
        <v>60</v>
      </c>
      <c r="D649" s="99" t="s">
        <v>39</v>
      </c>
      <c r="E649" s="100">
        <v>29621</v>
      </c>
      <c r="F649" s="51">
        <v>8</v>
      </c>
      <c r="G649" s="3">
        <f t="shared" ref="G649" si="141">TRUNC($E649*F649,1)</f>
        <v>236968</v>
      </c>
      <c r="H649" s="4"/>
      <c r="I649" s="4"/>
      <c r="N649" s="24"/>
      <c r="O649" s="24"/>
    </row>
    <row r="650" spans="2:15" ht="12.95" customHeight="1" x14ac:dyDescent="0.3">
      <c r="B650" s="136" t="s">
        <v>24</v>
      </c>
      <c r="C650" s="39"/>
      <c r="D650" s="39"/>
      <c r="E650" s="37"/>
      <c r="F650" s="40"/>
      <c r="G650" s="45">
        <f>TRUNC(SUM(G649:G649))</f>
        <v>236968</v>
      </c>
      <c r="H650" s="4"/>
      <c r="I650" s="4"/>
      <c r="N650" s="24"/>
      <c r="O650" s="24"/>
    </row>
    <row r="651" spans="2:15" ht="12.95" customHeight="1" x14ac:dyDescent="0.3">
      <c r="B651" s="158"/>
      <c r="C651" s="157"/>
      <c r="D651" s="157"/>
      <c r="E651" s="34"/>
      <c r="F651" s="32"/>
      <c r="G651" s="35"/>
      <c r="I651" s="4"/>
      <c r="N651" s="24"/>
      <c r="O651" s="24"/>
    </row>
    <row r="652" spans="2:15" ht="12.95" customHeight="1" x14ac:dyDescent="0.3">
      <c r="B652" s="113" t="s">
        <v>26</v>
      </c>
      <c r="C652" s="39"/>
      <c r="D652" s="39"/>
      <c r="E652" s="37"/>
      <c r="F652" s="40"/>
      <c r="G652" s="35">
        <f>SUM(G644+G647+G650)</f>
        <v>994880</v>
      </c>
      <c r="I652" s="4"/>
      <c r="N652" s="24"/>
      <c r="O652" s="24"/>
    </row>
    <row r="653" spans="2:15" ht="12.95" customHeight="1" x14ac:dyDescent="0.3">
      <c r="B653" s="117" t="s">
        <v>234</v>
      </c>
      <c r="C653" s="118"/>
      <c r="D653" s="119"/>
      <c r="E653" s="120"/>
      <c r="F653" s="121"/>
      <c r="G653" s="122">
        <f>TRUNC((G652/G641)*10)</f>
        <v>9385</v>
      </c>
      <c r="N653" s="24"/>
      <c r="O653" s="24"/>
    </row>
    <row r="654" spans="2:15" ht="12.95" customHeight="1" x14ac:dyDescent="0.3">
      <c r="N654" s="24"/>
      <c r="O654" s="24"/>
    </row>
    <row r="655" spans="2:15" ht="12.95" customHeight="1" x14ac:dyDescent="0.3">
      <c r="B655" s="152" t="s">
        <v>237</v>
      </c>
      <c r="C655" s="53"/>
      <c r="D655" s="182"/>
      <c r="E655" s="53"/>
      <c r="F655" s="24"/>
      <c r="G655" s="183" t="s">
        <v>120</v>
      </c>
      <c r="N655" s="24"/>
      <c r="O655" s="24"/>
    </row>
    <row r="656" spans="2:15" ht="12.95" customHeight="1" x14ac:dyDescent="0.3">
      <c r="B656" s="337" t="s">
        <v>14</v>
      </c>
      <c r="C656" s="317" t="s">
        <v>18</v>
      </c>
      <c r="D656" s="317" t="s">
        <v>19</v>
      </c>
      <c r="E656" s="317" t="s">
        <v>15</v>
      </c>
      <c r="F656" s="93" t="s">
        <v>173</v>
      </c>
      <c r="G656" s="184">
        <v>670</v>
      </c>
      <c r="N656" s="24"/>
      <c r="O656" s="24"/>
    </row>
    <row r="657" spans="2:15" ht="12.95" customHeight="1" x14ac:dyDescent="0.3">
      <c r="B657" s="339"/>
      <c r="C657" s="318"/>
      <c r="D657" s="318"/>
      <c r="E657" s="318"/>
      <c r="F657" s="96" t="s">
        <v>174</v>
      </c>
      <c r="G657" s="97" t="s">
        <v>175</v>
      </c>
      <c r="H657" s="4"/>
      <c r="N657" s="24"/>
      <c r="O657" s="24"/>
    </row>
    <row r="658" spans="2:15" ht="12.95" customHeight="1" x14ac:dyDescent="0.3">
      <c r="B658" s="233" t="s">
        <v>95</v>
      </c>
      <c r="C658" s="129"/>
      <c r="D658" s="109" t="s">
        <v>21</v>
      </c>
      <c r="E658" s="171">
        <v>235204</v>
      </c>
      <c r="F658" s="111">
        <v>1</v>
      </c>
      <c r="G658" s="191">
        <f>TRUNC($E658*F658,1)</f>
        <v>235204</v>
      </c>
      <c r="N658" s="24"/>
      <c r="O658" s="24"/>
    </row>
    <row r="659" spans="2:15" ht="12.95" customHeight="1" x14ac:dyDescent="0.3">
      <c r="B659" s="224" t="s">
        <v>4</v>
      </c>
      <c r="C659" s="129"/>
      <c r="D659" s="109" t="s">
        <v>21</v>
      </c>
      <c r="E659" s="171">
        <v>172068</v>
      </c>
      <c r="F659" s="111">
        <v>5</v>
      </c>
      <c r="G659" s="191">
        <f>TRUNC($E659*F659,1)</f>
        <v>860340</v>
      </c>
      <c r="N659" s="24"/>
      <c r="O659" s="24"/>
    </row>
    <row r="660" spans="2:15" ht="12.95" customHeight="1" x14ac:dyDescent="0.3">
      <c r="B660" s="102" t="s">
        <v>23</v>
      </c>
      <c r="C660" s="192"/>
      <c r="D660" s="193"/>
      <c r="E660" s="194"/>
      <c r="F660" s="195"/>
      <c r="G660" s="45">
        <f>TRUNC(SUM(G658:G659))</f>
        <v>1095544</v>
      </c>
      <c r="N660" s="24"/>
      <c r="O660" s="24"/>
    </row>
    <row r="661" spans="2:15" ht="12.95" customHeight="1" x14ac:dyDescent="0.3">
      <c r="B661" s="158"/>
      <c r="C661" s="52"/>
      <c r="D661" s="189"/>
      <c r="E661" s="30"/>
      <c r="F661" s="217"/>
      <c r="G661" s="70"/>
      <c r="N661" s="24"/>
      <c r="O661" s="24"/>
    </row>
    <row r="662" spans="2:15" ht="12.95" customHeight="1" x14ac:dyDescent="0.3">
      <c r="B662" s="113" t="s">
        <v>26</v>
      </c>
      <c r="C662" s="192"/>
      <c r="D662" s="193"/>
      <c r="E662" s="194"/>
      <c r="F662" s="192"/>
      <c r="G662" s="197">
        <f>G660</f>
        <v>1095544</v>
      </c>
      <c r="H662" s="24"/>
      <c r="N662" s="24"/>
      <c r="O662" s="24"/>
    </row>
    <row r="663" spans="2:15" ht="12.95" customHeight="1" x14ac:dyDescent="0.3">
      <c r="B663" s="117" t="s">
        <v>234</v>
      </c>
      <c r="C663" s="118"/>
      <c r="D663" s="119"/>
      <c r="E663" s="120"/>
      <c r="F663" s="121"/>
      <c r="G663" s="122">
        <f>TRUNC((G662/G656)*10)</f>
        <v>16351</v>
      </c>
      <c r="H663" s="24"/>
      <c r="N663" s="24"/>
      <c r="O663" s="24"/>
    </row>
    <row r="664" spans="2:15" ht="12.95" customHeight="1" x14ac:dyDescent="0.3">
      <c r="B664" s="24"/>
      <c r="C664" s="24"/>
      <c r="D664" s="24"/>
      <c r="E664" s="24"/>
      <c r="F664" s="68"/>
      <c r="G664" s="68"/>
      <c r="H664" s="24"/>
      <c r="N664" s="24"/>
      <c r="O664" s="24"/>
    </row>
    <row r="665" spans="2:15" ht="12.95" customHeight="1" x14ac:dyDescent="0.3">
      <c r="B665" s="90" t="s">
        <v>238</v>
      </c>
      <c r="L665" s="24"/>
      <c r="M665" s="24"/>
    </row>
    <row r="666" spans="2:15" ht="12.95" customHeight="1" x14ac:dyDescent="0.3">
      <c r="B666" s="152" t="s">
        <v>239</v>
      </c>
      <c r="C666" s="53"/>
      <c r="D666" s="182"/>
      <c r="E666" s="53"/>
      <c r="F666" s="24"/>
      <c r="G666" s="24"/>
      <c r="K666" s="183" t="s">
        <v>120</v>
      </c>
    </row>
    <row r="667" spans="2:15" ht="12.95" customHeight="1" x14ac:dyDescent="0.3">
      <c r="B667" s="337" t="s">
        <v>14</v>
      </c>
      <c r="C667" s="337" t="s">
        <v>18</v>
      </c>
      <c r="D667" s="317" t="s">
        <v>19</v>
      </c>
      <c r="E667" s="317" t="s">
        <v>15</v>
      </c>
      <c r="F667" s="341" t="s">
        <v>136</v>
      </c>
      <c r="G667" s="343"/>
      <c r="H667" s="341" t="s">
        <v>137</v>
      </c>
      <c r="I667" s="343"/>
      <c r="J667" s="341" t="s">
        <v>138</v>
      </c>
      <c r="K667" s="342"/>
    </row>
    <row r="668" spans="2:15" ht="12.95" customHeight="1" x14ac:dyDescent="0.3">
      <c r="B668" s="338"/>
      <c r="C668" s="338"/>
      <c r="D668" s="340"/>
      <c r="E668" s="340"/>
      <c r="F668" s="93" t="s">
        <v>173</v>
      </c>
      <c r="G668" s="184">
        <v>27</v>
      </c>
      <c r="H668" s="93" t="s">
        <v>173</v>
      </c>
      <c r="I668" s="94">
        <v>24</v>
      </c>
      <c r="J668" s="93" t="s">
        <v>173</v>
      </c>
      <c r="K668" s="94">
        <v>22</v>
      </c>
    </row>
    <row r="669" spans="2:15" ht="12.95" customHeight="1" x14ac:dyDescent="0.3">
      <c r="B669" s="339"/>
      <c r="C669" s="339"/>
      <c r="D669" s="318"/>
      <c r="E669" s="318"/>
      <c r="F669" s="96" t="s">
        <v>174</v>
      </c>
      <c r="G669" s="97" t="s">
        <v>175</v>
      </c>
      <c r="H669" s="96" t="s">
        <v>174</v>
      </c>
      <c r="I669" s="97" t="s">
        <v>175</v>
      </c>
      <c r="J669" s="96" t="s">
        <v>174</v>
      </c>
      <c r="K669" s="97" t="s">
        <v>175</v>
      </c>
    </row>
    <row r="670" spans="2:15" ht="12.95" customHeight="1" x14ac:dyDescent="0.3">
      <c r="B670" s="233" t="s">
        <v>13</v>
      </c>
      <c r="C670" s="129"/>
      <c r="D670" s="109" t="s">
        <v>21</v>
      </c>
      <c r="E670" s="131">
        <v>226122</v>
      </c>
      <c r="F670" s="111">
        <v>2</v>
      </c>
      <c r="G670" s="191">
        <f>TRUNC($E670*F670,1)</f>
        <v>452244</v>
      </c>
      <c r="H670" s="111">
        <v>2</v>
      </c>
      <c r="I670" s="191">
        <f>TRUNC($E670*H670,1)</f>
        <v>452244</v>
      </c>
      <c r="J670" s="111">
        <v>2</v>
      </c>
      <c r="K670" s="191">
        <f>TRUNC($E670*J670,1)</f>
        <v>452244</v>
      </c>
    </row>
    <row r="671" spans="2:15" ht="12.95" customHeight="1" x14ac:dyDescent="0.3">
      <c r="B671" s="224" t="s">
        <v>4</v>
      </c>
      <c r="C671" s="129"/>
      <c r="D671" s="109" t="s">
        <v>21</v>
      </c>
      <c r="E671" s="171">
        <v>172068</v>
      </c>
      <c r="F671" s="111">
        <v>3</v>
      </c>
      <c r="G671" s="191">
        <f>TRUNC($E671*F671,1)</f>
        <v>516204</v>
      </c>
      <c r="H671" s="111">
        <v>3</v>
      </c>
      <c r="I671" s="191">
        <f>TRUNC($E671*H671,1)</f>
        <v>516204</v>
      </c>
      <c r="J671" s="111">
        <v>3</v>
      </c>
      <c r="K671" s="191">
        <f>TRUNC($E671*J671,1)</f>
        <v>516204</v>
      </c>
    </row>
    <row r="672" spans="2:15" ht="12.95" customHeight="1" x14ac:dyDescent="0.3">
      <c r="B672" s="102" t="s">
        <v>23</v>
      </c>
      <c r="C672" s="192"/>
      <c r="D672" s="193"/>
      <c r="E672" s="194"/>
      <c r="F672" s="195"/>
      <c r="G672" s="45">
        <f>TRUNC(SUM(G670:G671))</f>
        <v>968448</v>
      </c>
      <c r="H672" s="195"/>
      <c r="I672" s="45">
        <f>TRUNC(SUM(I670:I671))</f>
        <v>968448</v>
      </c>
      <c r="J672" s="195"/>
      <c r="K672" s="45">
        <f>TRUNC(SUM(K670:K671))</f>
        <v>968448</v>
      </c>
    </row>
    <row r="673" spans="2:13" ht="12.95" customHeight="1" x14ac:dyDescent="0.3">
      <c r="B673" s="158"/>
      <c r="C673" s="52"/>
      <c r="D673" s="189"/>
      <c r="E673" s="30"/>
      <c r="F673" s="217"/>
      <c r="G673" s="70"/>
      <c r="H673" s="217"/>
      <c r="I673" s="70"/>
      <c r="J673" s="217"/>
      <c r="K673" s="70"/>
    </row>
    <row r="674" spans="2:13" ht="12.95" customHeight="1" x14ac:dyDescent="0.3">
      <c r="B674" s="113" t="s">
        <v>26</v>
      </c>
      <c r="C674" s="192"/>
      <c r="D674" s="193"/>
      <c r="E674" s="194"/>
      <c r="F674" s="192"/>
      <c r="G674" s="197">
        <f>G672</f>
        <v>968448</v>
      </c>
      <c r="H674" s="192"/>
      <c r="I674" s="197">
        <f>I672</f>
        <v>968448</v>
      </c>
      <c r="J674" s="192"/>
      <c r="K674" s="197">
        <f>K672</f>
        <v>968448</v>
      </c>
    </row>
    <row r="675" spans="2:13" ht="12.95" customHeight="1" x14ac:dyDescent="0.3">
      <c r="B675" s="117" t="s">
        <v>234</v>
      </c>
      <c r="C675" s="118"/>
      <c r="D675" s="119"/>
      <c r="E675" s="120"/>
      <c r="F675" s="121"/>
      <c r="G675" s="122">
        <f>TRUNC((G674/G668)*10)</f>
        <v>358684</v>
      </c>
      <c r="H675" s="121"/>
      <c r="I675" s="122">
        <f>TRUNC((I674/I668)*10)</f>
        <v>403520</v>
      </c>
      <c r="J675" s="121"/>
      <c r="K675" s="122">
        <f>TRUNC((K674/K668)*10)</f>
        <v>440203</v>
      </c>
    </row>
    <row r="676" spans="2:13" ht="12.95" customHeight="1" x14ac:dyDescent="0.3">
      <c r="B676" s="337" t="s">
        <v>14</v>
      </c>
      <c r="C676" s="337" t="s">
        <v>18</v>
      </c>
      <c r="D676" s="317" t="s">
        <v>19</v>
      </c>
      <c r="E676" s="317" t="s">
        <v>15</v>
      </c>
      <c r="F676" s="341" t="s">
        <v>140</v>
      </c>
      <c r="G676" s="343"/>
      <c r="H676" s="341" t="s">
        <v>141</v>
      </c>
      <c r="I676" s="343"/>
      <c r="J676" s="341" t="s">
        <v>142</v>
      </c>
      <c r="K676" s="342"/>
    </row>
    <row r="677" spans="2:13" ht="12.95" customHeight="1" x14ac:dyDescent="0.3">
      <c r="B677" s="338"/>
      <c r="C677" s="338"/>
      <c r="D677" s="340"/>
      <c r="E677" s="340"/>
      <c r="F677" s="93" t="s">
        <v>173</v>
      </c>
      <c r="G677" s="184">
        <v>41</v>
      </c>
      <c r="H677" s="93" t="s">
        <v>173</v>
      </c>
      <c r="I677" s="94">
        <v>38</v>
      </c>
      <c r="J677" s="93" t="s">
        <v>173</v>
      </c>
      <c r="K677" s="94">
        <v>35</v>
      </c>
    </row>
    <row r="678" spans="2:13" ht="12.95" customHeight="1" x14ac:dyDescent="0.3">
      <c r="B678" s="339"/>
      <c r="C678" s="339"/>
      <c r="D678" s="318"/>
      <c r="E678" s="318"/>
      <c r="F678" s="96" t="s">
        <v>174</v>
      </c>
      <c r="G678" s="97" t="s">
        <v>175</v>
      </c>
      <c r="H678" s="96" t="s">
        <v>174</v>
      </c>
      <c r="I678" s="97" t="s">
        <v>175</v>
      </c>
      <c r="J678" s="96" t="s">
        <v>174</v>
      </c>
      <c r="K678" s="97" t="s">
        <v>175</v>
      </c>
    </row>
    <row r="679" spans="2:13" ht="12.95" customHeight="1" x14ac:dyDescent="0.3">
      <c r="B679" s="163" t="s">
        <v>38</v>
      </c>
      <c r="C679" s="156" t="s">
        <v>36</v>
      </c>
      <c r="D679" s="234" t="s">
        <v>28</v>
      </c>
      <c r="E679" s="131">
        <v>9835</v>
      </c>
      <c r="F679" s="101">
        <v>8</v>
      </c>
      <c r="G679" s="3">
        <f t="shared" ref="G679:I679" si="142">TRUNC($E679*F679,1)</f>
        <v>78680</v>
      </c>
      <c r="H679" s="101">
        <v>8</v>
      </c>
      <c r="I679" s="3">
        <f t="shared" si="142"/>
        <v>78680</v>
      </c>
      <c r="J679" s="101">
        <v>8</v>
      </c>
      <c r="K679" s="3">
        <f>TRUNC($E679*J679,1)</f>
        <v>78680</v>
      </c>
      <c r="L679" s="24"/>
      <c r="M679" s="24"/>
    </row>
    <row r="680" spans="2:13" ht="12.95" customHeight="1" x14ac:dyDescent="0.3">
      <c r="B680" s="136" t="s">
        <v>22</v>
      </c>
      <c r="C680" s="155"/>
      <c r="D680" s="155"/>
      <c r="E680" s="160"/>
      <c r="F680" s="195"/>
      <c r="G680" s="45">
        <f>TRUNC(G679)</f>
        <v>78680</v>
      </c>
      <c r="H680" s="195"/>
      <c r="I680" s="45">
        <f>TRUNC(I679)</f>
        <v>78680</v>
      </c>
      <c r="J680" s="195"/>
      <c r="K680" s="45">
        <f>TRUNC(K679)</f>
        <v>78680</v>
      </c>
      <c r="L680" s="24"/>
      <c r="M680" s="24"/>
    </row>
    <row r="681" spans="2:13" ht="12.95" customHeight="1" x14ac:dyDescent="0.3">
      <c r="B681" s="156"/>
      <c r="C681" s="156"/>
      <c r="D681" s="156"/>
      <c r="E681" s="167"/>
      <c r="F681" s="111"/>
      <c r="G681" s="235"/>
      <c r="H681" s="111"/>
      <c r="I681" s="235"/>
      <c r="J681" s="111"/>
      <c r="K681" s="235"/>
      <c r="L681" s="24"/>
      <c r="M681" s="24"/>
    </row>
    <row r="682" spans="2:13" ht="12.95" customHeight="1" x14ac:dyDescent="0.3">
      <c r="B682" s="156" t="s">
        <v>13</v>
      </c>
      <c r="C682" s="156"/>
      <c r="D682" s="109" t="s">
        <v>21</v>
      </c>
      <c r="E682" s="131">
        <v>226122</v>
      </c>
      <c r="F682" s="111">
        <v>2</v>
      </c>
      <c r="G682" s="3">
        <f t="shared" ref="G682:I684" si="143">TRUNC($E682*F682,1)</f>
        <v>452244</v>
      </c>
      <c r="H682" s="111">
        <v>2</v>
      </c>
      <c r="I682" s="3">
        <f t="shared" si="143"/>
        <v>452244</v>
      </c>
      <c r="J682" s="111">
        <v>2</v>
      </c>
      <c r="K682" s="3">
        <f>TRUNC($E682*J682,1)</f>
        <v>452244</v>
      </c>
      <c r="L682" s="24"/>
      <c r="M682" s="24"/>
    </row>
    <row r="683" spans="2:13" ht="12.95" customHeight="1" x14ac:dyDescent="0.3">
      <c r="B683" s="156" t="s">
        <v>4</v>
      </c>
      <c r="C683" s="156"/>
      <c r="D683" s="109" t="s">
        <v>21</v>
      </c>
      <c r="E683" s="131">
        <v>172068</v>
      </c>
      <c r="F683" s="111">
        <v>2</v>
      </c>
      <c r="G683" s="3">
        <f t="shared" si="143"/>
        <v>344136</v>
      </c>
      <c r="H683" s="111">
        <v>2</v>
      </c>
      <c r="I683" s="3">
        <f t="shared" si="143"/>
        <v>344136</v>
      </c>
      <c r="J683" s="111">
        <v>2</v>
      </c>
      <c r="K683" s="3">
        <f>TRUNC($E683*J683,1)</f>
        <v>344136</v>
      </c>
      <c r="L683" s="24"/>
      <c r="M683" s="24"/>
    </row>
    <row r="684" spans="2:13" ht="12.95" customHeight="1" x14ac:dyDescent="0.3">
      <c r="B684" s="163" t="s">
        <v>37</v>
      </c>
      <c r="C684" s="156" t="s">
        <v>139</v>
      </c>
      <c r="D684" s="234" t="s">
        <v>28</v>
      </c>
      <c r="E684" s="131">
        <v>58925</v>
      </c>
      <c r="F684" s="101">
        <v>8</v>
      </c>
      <c r="G684" s="3">
        <f t="shared" si="143"/>
        <v>471400</v>
      </c>
      <c r="H684" s="101">
        <v>8</v>
      </c>
      <c r="I684" s="3">
        <f t="shared" si="143"/>
        <v>471400</v>
      </c>
      <c r="J684" s="101">
        <v>8</v>
      </c>
      <c r="K684" s="3">
        <f>TRUNC($E684*J684,1)</f>
        <v>471400</v>
      </c>
      <c r="L684" s="24"/>
      <c r="M684" s="24"/>
    </row>
    <row r="685" spans="2:13" ht="12.95" customHeight="1" x14ac:dyDescent="0.3">
      <c r="B685" s="102" t="s">
        <v>23</v>
      </c>
      <c r="C685" s="155"/>
      <c r="D685" s="155"/>
      <c r="E685" s="40"/>
      <c r="F685" s="195"/>
      <c r="G685" s="45">
        <f>TRUNC(SUM(G682:G684))</f>
        <v>1267780</v>
      </c>
      <c r="H685" s="195"/>
      <c r="I685" s="45">
        <f>TRUNC(SUM(I682:I684))</f>
        <v>1267780</v>
      </c>
      <c r="J685" s="195"/>
      <c r="K685" s="45">
        <f>TRUNC(SUM(K682:K684))</f>
        <v>1267780</v>
      </c>
      <c r="L685" s="24"/>
      <c r="M685" s="24"/>
    </row>
    <row r="686" spans="2:13" ht="12.95" customHeight="1" x14ac:dyDescent="0.3">
      <c r="B686" s="156"/>
      <c r="C686" s="156"/>
      <c r="D686" s="156"/>
      <c r="E686" s="167"/>
      <c r="F686" s="111"/>
      <c r="G686" s="235"/>
      <c r="H686" s="111"/>
      <c r="I686" s="235"/>
      <c r="J686" s="111"/>
      <c r="K686" s="235"/>
      <c r="L686" s="24"/>
      <c r="M686" s="24"/>
    </row>
    <row r="687" spans="2:13" ht="12.95" customHeight="1" x14ac:dyDescent="0.3">
      <c r="B687" s="163" t="s">
        <v>37</v>
      </c>
      <c r="C687" s="156" t="s">
        <v>139</v>
      </c>
      <c r="D687" s="234" t="s">
        <v>28</v>
      </c>
      <c r="E687" s="131">
        <v>43014</v>
      </c>
      <c r="F687" s="101">
        <v>8</v>
      </c>
      <c r="G687" s="3">
        <f t="shared" ref="G687:I687" si="144">TRUNC($E687*F687,1)</f>
        <v>344112</v>
      </c>
      <c r="H687" s="101">
        <v>8</v>
      </c>
      <c r="I687" s="3">
        <f t="shared" si="144"/>
        <v>344112</v>
      </c>
      <c r="J687" s="101">
        <v>8</v>
      </c>
      <c r="K687" s="3">
        <f>TRUNC($E687*J687,1)</f>
        <v>344112</v>
      </c>
      <c r="L687" s="24"/>
      <c r="M687" s="24"/>
    </row>
    <row r="688" spans="2:13" ht="12.95" customHeight="1" x14ac:dyDescent="0.3">
      <c r="B688" s="136" t="s">
        <v>24</v>
      </c>
      <c r="C688" s="155"/>
      <c r="D688" s="155"/>
      <c r="E688" s="160"/>
      <c r="F688" s="160"/>
      <c r="G688" s="45">
        <f>TRUNC(G687)</f>
        <v>344112</v>
      </c>
      <c r="H688" s="236"/>
      <c r="I688" s="45">
        <f>TRUNC(I687)</f>
        <v>344112</v>
      </c>
      <c r="J688" s="236"/>
      <c r="K688" s="45">
        <f>TRUNC(K687)</f>
        <v>344112</v>
      </c>
      <c r="L688" s="24"/>
      <c r="M688" s="24"/>
    </row>
    <row r="689" spans="2:13" ht="12.95" customHeight="1" x14ac:dyDescent="0.3">
      <c r="B689" s="158"/>
      <c r="C689" s="155"/>
      <c r="D689" s="155"/>
      <c r="E689" s="160"/>
      <c r="F689" s="160"/>
      <c r="G689" s="35"/>
      <c r="H689" s="160"/>
      <c r="I689" s="35"/>
      <c r="J689" s="160"/>
      <c r="K689" s="35"/>
      <c r="L689" s="24"/>
      <c r="M689" s="24"/>
    </row>
    <row r="690" spans="2:13" ht="12.95" customHeight="1" x14ac:dyDescent="0.3">
      <c r="B690" s="113" t="s">
        <v>26</v>
      </c>
      <c r="C690" s="155"/>
      <c r="D690" s="155"/>
      <c r="E690" s="160"/>
      <c r="F690" s="160"/>
      <c r="G690" s="211">
        <f>SUM(G680+G685+G688)</f>
        <v>1690572</v>
      </c>
      <c r="H690" s="160"/>
      <c r="I690" s="211">
        <f>SUM(I680+I685+I688)</f>
        <v>1690572</v>
      </c>
      <c r="J690" s="160"/>
      <c r="K690" s="211">
        <f>SUM(K680+K685+K688)</f>
        <v>1690572</v>
      </c>
      <c r="L690" s="24"/>
      <c r="M690" s="24"/>
    </row>
    <row r="691" spans="2:13" ht="12.95" customHeight="1" x14ac:dyDescent="0.3">
      <c r="B691" s="117" t="s">
        <v>234</v>
      </c>
      <c r="C691" s="118"/>
      <c r="D691" s="119"/>
      <c r="E691" s="120"/>
      <c r="F691" s="121"/>
      <c r="G691" s="122">
        <f>TRUNC((G690/G677)*10)</f>
        <v>412334</v>
      </c>
      <c r="H691" s="121"/>
      <c r="I691" s="122">
        <f>TRUNC((I690/I677)*10)</f>
        <v>444887</v>
      </c>
      <c r="J691" s="121"/>
      <c r="K691" s="122">
        <f>TRUNC((K690/K677)*10)</f>
        <v>483020</v>
      </c>
    </row>
    <row r="692" spans="2:13" ht="12.95" customHeight="1" x14ac:dyDescent="0.3">
      <c r="B692" s="152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</row>
    <row r="693" spans="2:13" ht="12.95" customHeight="1" x14ac:dyDescent="0.3">
      <c r="B693" s="237" t="s">
        <v>240</v>
      </c>
      <c r="C693" s="202"/>
      <c r="D693" s="152"/>
      <c r="E693" s="238"/>
      <c r="F693" s="24"/>
      <c r="G693" s="183" t="s">
        <v>120</v>
      </c>
      <c r="H693" s="24"/>
      <c r="I693" s="24"/>
      <c r="J693" s="24"/>
      <c r="K693" s="24"/>
      <c r="L693" s="24"/>
      <c r="M693" s="24"/>
    </row>
    <row r="694" spans="2:13" ht="12.95" customHeight="1" x14ac:dyDescent="0.3">
      <c r="B694" s="337" t="s">
        <v>14</v>
      </c>
      <c r="C694" s="317" t="s">
        <v>18</v>
      </c>
      <c r="D694" s="317" t="s">
        <v>19</v>
      </c>
      <c r="E694" s="317" t="s">
        <v>15</v>
      </c>
      <c r="F694" s="95" t="s">
        <v>242</v>
      </c>
      <c r="G694" s="184">
        <v>11</v>
      </c>
    </row>
    <row r="695" spans="2:13" ht="12.95" customHeight="1" x14ac:dyDescent="0.3">
      <c r="B695" s="339"/>
      <c r="C695" s="318"/>
      <c r="D695" s="318"/>
      <c r="E695" s="318"/>
      <c r="F695" s="96" t="s">
        <v>174</v>
      </c>
      <c r="G695" s="97" t="s">
        <v>175</v>
      </c>
      <c r="H695" s="4"/>
    </row>
    <row r="696" spans="2:13" ht="12.95" customHeight="1" x14ac:dyDescent="0.3">
      <c r="B696" s="163" t="s">
        <v>143</v>
      </c>
      <c r="C696" s="163" t="s">
        <v>40</v>
      </c>
      <c r="D696" s="234" t="s">
        <v>28</v>
      </c>
      <c r="E696" s="131">
        <v>10477</v>
      </c>
      <c r="F696" s="101">
        <v>8</v>
      </c>
      <c r="G696" s="3">
        <f t="shared" ref="G696:G697" si="145">TRUNC($E696*F696,1)</f>
        <v>83816</v>
      </c>
      <c r="H696" s="24"/>
      <c r="I696" s="24"/>
      <c r="J696" s="24"/>
      <c r="K696" s="24"/>
      <c r="L696" s="24"/>
      <c r="M696" s="24"/>
    </row>
    <row r="697" spans="2:13" ht="12.95" customHeight="1" x14ac:dyDescent="0.3">
      <c r="B697" s="163" t="s">
        <v>121</v>
      </c>
      <c r="C697" s="156" t="s">
        <v>145</v>
      </c>
      <c r="D697" s="234" t="s">
        <v>28</v>
      </c>
      <c r="E697" s="131">
        <v>9213</v>
      </c>
      <c r="F697" s="101">
        <v>8</v>
      </c>
      <c r="G697" s="3">
        <f t="shared" si="145"/>
        <v>73704</v>
      </c>
      <c r="H697" s="24"/>
      <c r="I697" s="24"/>
      <c r="J697" s="24"/>
      <c r="K697" s="24"/>
      <c r="L697" s="24"/>
      <c r="M697" s="24"/>
    </row>
    <row r="698" spans="2:13" ht="12.95" customHeight="1" x14ac:dyDescent="0.3">
      <c r="B698" s="163" t="s">
        <v>20</v>
      </c>
      <c r="C698" s="163" t="s">
        <v>144</v>
      </c>
      <c r="D698" s="239" t="s">
        <v>29</v>
      </c>
      <c r="E698" s="131"/>
      <c r="F698" s="101">
        <v>1</v>
      </c>
      <c r="G698" s="135">
        <f>TRUNC(SUM(G701:G704)*0.06,1)</f>
        <v>79444.800000000003</v>
      </c>
      <c r="H698" s="24"/>
      <c r="I698" s="24"/>
      <c r="J698" s="24"/>
      <c r="K698" s="24"/>
      <c r="L698" s="24"/>
      <c r="M698" s="24"/>
    </row>
    <row r="699" spans="2:13" ht="12.95" customHeight="1" x14ac:dyDescent="0.3">
      <c r="B699" s="136" t="s">
        <v>22</v>
      </c>
      <c r="C699" s="240"/>
      <c r="D699" s="240"/>
      <c r="E699" s="160"/>
      <c r="F699" s="195"/>
      <c r="G699" s="45">
        <f>TRUNC(SUM(G696:G698))</f>
        <v>236964</v>
      </c>
      <c r="H699" s="152"/>
      <c r="I699" s="24"/>
      <c r="J699" s="24"/>
      <c r="K699" s="24"/>
      <c r="L699" s="24"/>
      <c r="M699" s="24"/>
    </row>
    <row r="700" spans="2:13" ht="12.95" customHeight="1" x14ac:dyDescent="0.3">
      <c r="B700" s="156"/>
      <c r="C700" s="156"/>
      <c r="D700" s="156"/>
      <c r="E700" s="167"/>
      <c r="F700" s="111"/>
      <c r="G700" s="235"/>
      <c r="H700" s="152"/>
      <c r="I700" s="24"/>
      <c r="J700" s="24"/>
      <c r="K700" s="24"/>
      <c r="L700" s="24"/>
      <c r="M700" s="24"/>
    </row>
    <row r="701" spans="2:13" ht="12.95" customHeight="1" x14ac:dyDescent="0.3">
      <c r="B701" s="156" t="s">
        <v>97</v>
      </c>
      <c r="C701" s="156"/>
      <c r="D701" s="109" t="s">
        <v>21</v>
      </c>
      <c r="E701" s="131">
        <v>295138</v>
      </c>
      <c r="F701" s="111">
        <v>1</v>
      </c>
      <c r="G701" s="3">
        <f t="shared" ref="G701:G706" si="146">TRUNC($E701*F701,1)</f>
        <v>295138</v>
      </c>
      <c r="H701" s="152"/>
      <c r="I701" s="24"/>
      <c r="J701" s="24"/>
      <c r="K701" s="24"/>
      <c r="L701" s="24"/>
      <c r="M701" s="24"/>
    </row>
    <row r="702" spans="2:13" ht="12.95" customHeight="1" x14ac:dyDescent="0.3">
      <c r="B702" s="156" t="s">
        <v>98</v>
      </c>
      <c r="C702" s="156"/>
      <c r="D702" s="109" t="s">
        <v>21</v>
      </c>
      <c r="E702" s="131">
        <v>232562</v>
      </c>
      <c r="F702" s="111">
        <v>1</v>
      </c>
      <c r="G702" s="3">
        <f t="shared" si="146"/>
        <v>232562</v>
      </c>
      <c r="H702" s="152"/>
      <c r="I702" s="24"/>
      <c r="J702" s="24"/>
      <c r="K702" s="24"/>
      <c r="L702" s="24"/>
      <c r="M702" s="24"/>
    </row>
    <row r="703" spans="2:13" ht="12.95" customHeight="1" x14ac:dyDescent="0.3">
      <c r="B703" s="156" t="s">
        <v>13</v>
      </c>
      <c r="C703" s="156"/>
      <c r="D703" s="109" t="s">
        <v>21</v>
      </c>
      <c r="E703" s="131">
        <v>226122</v>
      </c>
      <c r="F703" s="111">
        <v>2</v>
      </c>
      <c r="G703" s="3">
        <f t="shared" si="146"/>
        <v>452244</v>
      </c>
      <c r="H703" s="152"/>
      <c r="I703" s="24"/>
      <c r="J703" s="24"/>
      <c r="K703" s="24"/>
      <c r="L703" s="24"/>
      <c r="M703" s="24"/>
    </row>
    <row r="704" spans="2:13" ht="12.95" customHeight="1" x14ac:dyDescent="0.3">
      <c r="B704" s="156" t="s">
        <v>4</v>
      </c>
      <c r="C704" s="156"/>
      <c r="D704" s="109" t="s">
        <v>21</v>
      </c>
      <c r="E704" s="131">
        <v>172068</v>
      </c>
      <c r="F704" s="111">
        <v>2</v>
      </c>
      <c r="G704" s="3">
        <f t="shared" si="146"/>
        <v>344136</v>
      </c>
      <c r="H704" s="152"/>
      <c r="I704" s="24"/>
      <c r="J704" s="24"/>
      <c r="K704" s="24"/>
      <c r="L704" s="24"/>
      <c r="M704" s="24"/>
    </row>
    <row r="705" spans="2:13" ht="12.95" customHeight="1" x14ac:dyDescent="0.3">
      <c r="B705" s="163" t="s">
        <v>6</v>
      </c>
      <c r="C705" s="163" t="s">
        <v>35</v>
      </c>
      <c r="D705" s="234" t="s">
        <v>28</v>
      </c>
      <c r="E705" s="131">
        <v>58925</v>
      </c>
      <c r="F705" s="101">
        <v>8</v>
      </c>
      <c r="G705" s="3">
        <f t="shared" si="146"/>
        <v>471400</v>
      </c>
      <c r="H705" s="152"/>
      <c r="I705" s="24"/>
      <c r="J705" s="24"/>
      <c r="K705" s="24"/>
      <c r="L705" s="24"/>
      <c r="M705" s="24"/>
    </row>
    <row r="706" spans="2:13" ht="12.95" customHeight="1" x14ac:dyDescent="0.3">
      <c r="B706" s="163" t="s">
        <v>121</v>
      </c>
      <c r="C706" s="156" t="s">
        <v>145</v>
      </c>
      <c r="D706" s="234" t="s">
        <v>28</v>
      </c>
      <c r="E706" s="131">
        <v>49698</v>
      </c>
      <c r="F706" s="101">
        <v>8</v>
      </c>
      <c r="G706" s="3">
        <f t="shared" si="146"/>
        <v>397584</v>
      </c>
      <c r="H706" s="152"/>
      <c r="I706" s="24"/>
      <c r="J706" s="24"/>
      <c r="K706" s="24"/>
      <c r="L706" s="24"/>
      <c r="M706" s="24"/>
    </row>
    <row r="707" spans="2:13" ht="12.95" customHeight="1" x14ac:dyDescent="0.3">
      <c r="B707" s="102" t="s">
        <v>23</v>
      </c>
      <c r="C707" s="240"/>
      <c r="D707" s="240"/>
      <c r="E707" s="40"/>
      <c r="F707" s="195"/>
      <c r="G707" s="45">
        <f>TRUNC(SUM(G701:G706))</f>
        <v>2193064</v>
      </c>
      <c r="H707" s="152"/>
      <c r="I707" s="24"/>
      <c r="J707" s="24"/>
      <c r="K707" s="24"/>
      <c r="L707" s="24"/>
      <c r="M707" s="24"/>
    </row>
    <row r="708" spans="2:13" ht="12.95" customHeight="1" x14ac:dyDescent="0.3">
      <c r="B708" s="156"/>
      <c r="C708" s="156"/>
      <c r="D708" s="156"/>
      <c r="E708" s="167"/>
      <c r="F708" s="111"/>
      <c r="G708" s="235"/>
      <c r="H708" s="152"/>
      <c r="I708" s="24"/>
      <c r="J708" s="24"/>
      <c r="K708" s="24"/>
      <c r="L708" s="24"/>
      <c r="M708" s="24"/>
    </row>
    <row r="709" spans="2:13" ht="12.95" customHeight="1" x14ac:dyDescent="0.3">
      <c r="B709" s="163" t="s">
        <v>6</v>
      </c>
      <c r="C709" s="163" t="s">
        <v>35</v>
      </c>
      <c r="D709" s="234" t="s">
        <v>28</v>
      </c>
      <c r="E709" s="131">
        <v>14120</v>
      </c>
      <c r="F709" s="101">
        <v>8</v>
      </c>
      <c r="G709" s="3">
        <f t="shared" ref="G709:G711" si="147">TRUNC($E709*F709,1)</f>
        <v>112960</v>
      </c>
      <c r="H709" s="152"/>
      <c r="I709" s="24"/>
      <c r="J709" s="24"/>
      <c r="K709" s="24"/>
      <c r="L709" s="24"/>
      <c r="M709" s="24"/>
    </row>
    <row r="710" spans="2:13" ht="12.95" customHeight="1" x14ac:dyDescent="0.3">
      <c r="B710" s="163" t="s">
        <v>121</v>
      </c>
      <c r="C710" s="156" t="s">
        <v>145</v>
      </c>
      <c r="D710" s="234" t="s">
        <v>28</v>
      </c>
      <c r="E710" s="131">
        <v>36594</v>
      </c>
      <c r="F710" s="101">
        <v>8</v>
      </c>
      <c r="G710" s="3">
        <f t="shared" si="147"/>
        <v>292752</v>
      </c>
      <c r="H710" s="152"/>
      <c r="I710" s="24"/>
      <c r="J710" s="24"/>
      <c r="K710" s="24"/>
      <c r="L710" s="24"/>
      <c r="M710" s="24"/>
    </row>
    <row r="711" spans="2:13" ht="12.95" customHeight="1" x14ac:dyDescent="0.3">
      <c r="B711" s="163" t="s">
        <v>135</v>
      </c>
      <c r="C711" s="163" t="s">
        <v>146</v>
      </c>
      <c r="D711" s="234" t="s">
        <v>28</v>
      </c>
      <c r="E711" s="131">
        <v>3212</v>
      </c>
      <c r="F711" s="101">
        <v>8</v>
      </c>
      <c r="G711" s="3">
        <f t="shared" si="147"/>
        <v>25696</v>
      </c>
      <c r="H711" s="152"/>
      <c r="I711" s="24"/>
      <c r="J711" s="24"/>
      <c r="K711" s="24"/>
      <c r="L711" s="24"/>
      <c r="M711" s="24"/>
    </row>
    <row r="712" spans="2:13" ht="12.95" customHeight="1" x14ac:dyDescent="0.3">
      <c r="B712" s="136" t="s">
        <v>24</v>
      </c>
      <c r="C712" s="240"/>
      <c r="D712" s="240"/>
      <c r="E712" s="160"/>
      <c r="F712" s="160"/>
      <c r="G712" s="45">
        <f>TRUNC(SUM(G709:G711))</f>
        <v>431408</v>
      </c>
      <c r="H712" s="152"/>
      <c r="I712" s="24"/>
      <c r="J712" s="24"/>
      <c r="K712" s="24"/>
      <c r="L712" s="24"/>
      <c r="M712" s="24"/>
    </row>
    <row r="713" spans="2:13" ht="12.95" customHeight="1" x14ac:dyDescent="0.3">
      <c r="B713" s="158"/>
      <c r="C713" s="240"/>
      <c r="D713" s="240"/>
      <c r="E713" s="160"/>
      <c r="F713" s="160"/>
      <c r="G713" s="35"/>
      <c r="H713" s="152"/>
      <c r="I713" s="24"/>
      <c r="J713" s="24"/>
      <c r="K713" s="24"/>
      <c r="L713" s="24"/>
      <c r="M713" s="24"/>
    </row>
    <row r="714" spans="2:13" ht="12.95" customHeight="1" x14ac:dyDescent="0.3">
      <c r="B714" s="113" t="s">
        <v>26</v>
      </c>
      <c r="C714" s="240"/>
      <c r="D714" s="240"/>
      <c r="E714" s="160"/>
      <c r="F714" s="160"/>
      <c r="G714" s="211">
        <f>SUM(G699+G707+G712)</f>
        <v>2861436</v>
      </c>
      <c r="H714" s="152"/>
      <c r="I714" s="24"/>
      <c r="J714" s="24"/>
      <c r="K714" s="24"/>
      <c r="L714" s="24"/>
      <c r="M714" s="24"/>
    </row>
    <row r="715" spans="2:13" ht="12.95" customHeight="1" x14ac:dyDescent="0.3">
      <c r="B715" s="117" t="s">
        <v>241</v>
      </c>
      <c r="C715" s="118"/>
      <c r="D715" s="119"/>
      <c r="E715" s="120"/>
      <c r="F715" s="121"/>
      <c r="G715" s="122">
        <f>TRUNC(G714/G694)</f>
        <v>260130</v>
      </c>
      <c r="H715" s="152"/>
      <c r="I715" s="24"/>
      <c r="J715" s="24"/>
      <c r="K715" s="24"/>
      <c r="L715" s="24"/>
    </row>
    <row r="716" spans="2:13" ht="12.95" customHeight="1" x14ac:dyDescent="0.3">
      <c r="B716" s="170"/>
      <c r="C716" s="27"/>
      <c r="D716" s="26"/>
      <c r="E716" s="27"/>
      <c r="F716" s="24"/>
      <c r="G716" s="152"/>
      <c r="H716" s="152"/>
      <c r="I716" s="24"/>
      <c r="J716" s="24"/>
      <c r="K716" s="24"/>
      <c r="L716" s="24"/>
      <c r="M716" s="24"/>
    </row>
    <row r="717" spans="2:13" ht="12.95" customHeight="1" x14ac:dyDescent="0.3">
      <c r="B717" s="91" t="s">
        <v>243</v>
      </c>
      <c r="C717" s="91"/>
      <c r="D717" s="6"/>
      <c r="E717" s="6"/>
      <c r="F717" s="6"/>
      <c r="G717" s="183" t="s">
        <v>120</v>
      </c>
      <c r="I717" s="24"/>
      <c r="J717" s="24"/>
      <c r="L717" s="24"/>
      <c r="M717" s="24"/>
    </row>
    <row r="718" spans="2:13" ht="12.95" customHeight="1" x14ac:dyDescent="0.3">
      <c r="B718" s="337" t="s">
        <v>14</v>
      </c>
      <c r="C718" s="317" t="s">
        <v>18</v>
      </c>
      <c r="D718" s="317" t="s">
        <v>19</v>
      </c>
      <c r="E718" s="317" t="s">
        <v>15</v>
      </c>
      <c r="F718" s="95" t="s">
        <v>173</v>
      </c>
      <c r="G718" s="184">
        <v>290</v>
      </c>
    </row>
    <row r="719" spans="2:13" ht="12.95" customHeight="1" x14ac:dyDescent="0.3">
      <c r="B719" s="339"/>
      <c r="C719" s="318"/>
      <c r="D719" s="318"/>
      <c r="E719" s="318"/>
      <c r="F719" s="96" t="s">
        <v>174</v>
      </c>
      <c r="G719" s="97" t="s">
        <v>175</v>
      </c>
      <c r="H719" s="4"/>
    </row>
    <row r="720" spans="2:13" ht="12.95" customHeight="1" x14ac:dyDescent="0.3">
      <c r="B720" s="233" t="s">
        <v>13</v>
      </c>
      <c r="C720" s="129"/>
      <c r="D720" s="109" t="s">
        <v>21</v>
      </c>
      <c r="E720" s="131">
        <v>226122</v>
      </c>
      <c r="F720" s="111">
        <v>3</v>
      </c>
      <c r="G720" s="3">
        <f t="shared" ref="G720:G721" si="148">TRUNC($E720*F720,1)</f>
        <v>678366</v>
      </c>
    </row>
    <row r="721" spans="2:13" ht="12.95" customHeight="1" x14ac:dyDescent="0.3">
      <c r="B721" s="224" t="s">
        <v>4</v>
      </c>
      <c r="C721" s="129"/>
      <c r="D721" s="109" t="s">
        <v>21</v>
      </c>
      <c r="E721" s="131">
        <v>172068</v>
      </c>
      <c r="F721" s="111">
        <v>2</v>
      </c>
      <c r="G721" s="3">
        <f t="shared" si="148"/>
        <v>344136</v>
      </c>
      <c r="I721" s="4"/>
    </row>
    <row r="722" spans="2:13" ht="12.95" customHeight="1" x14ac:dyDescent="0.3">
      <c r="B722" s="102" t="s">
        <v>23</v>
      </c>
      <c r="C722" s="241"/>
      <c r="D722" s="18"/>
      <c r="E722" s="241"/>
      <c r="F722" s="241"/>
      <c r="G722" s="19">
        <f>TRUNC(SUM(G720:G721))</f>
        <v>1022502</v>
      </c>
      <c r="I722" s="4"/>
    </row>
    <row r="723" spans="2:13" ht="12.95" customHeight="1" x14ac:dyDescent="0.3">
      <c r="B723" s="129"/>
      <c r="C723" s="129"/>
      <c r="D723" s="7"/>
      <c r="E723" s="110"/>
      <c r="F723" s="110"/>
      <c r="G723" s="8"/>
      <c r="I723" s="4"/>
      <c r="J723" s="4"/>
    </row>
    <row r="724" spans="2:13" ht="12.95" customHeight="1" x14ac:dyDescent="0.3">
      <c r="B724" s="113" t="s">
        <v>26</v>
      </c>
      <c r="C724" s="242"/>
      <c r="D724" s="243"/>
      <c r="E724" s="114"/>
      <c r="F724" s="115"/>
      <c r="G724" s="244">
        <f>SUM(G722)</f>
        <v>1022502</v>
      </c>
      <c r="I724" s="4"/>
    </row>
    <row r="725" spans="2:13" ht="12.95" customHeight="1" x14ac:dyDescent="0.3">
      <c r="B725" s="117" t="s">
        <v>234</v>
      </c>
      <c r="C725" s="118"/>
      <c r="D725" s="119"/>
      <c r="E725" s="120"/>
      <c r="F725" s="121"/>
      <c r="G725" s="122">
        <f>TRUNC((G724/G718)*10)</f>
        <v>35258</v>
      </c>
      <c r="I725" s="4"/>
    </row>
    <row r="726" spans="2:13" ht="12.95" customHeight="1" x14ac:dyDescent="0.3">
      <c r="B726" s="24"/>
      <c r="C726" s="68"/>
      <c r="D726" s="68"/>
      <c r="E726" s="68"/>
      <c r="F726" s="24"/>
      <c r="G726" s="24"/>
      <c r="H726" s="24"/>
      <c r="I726" s="24"/>
      <c r="J726" s="68"/>
      <c r="K726" s="68"/>
    </row>
    <row r="727" spans="2:13" ht="12.95" customHeight="1" x14ac:dyDescent="0.3">
      <c r="B727" s="245" t="s">
        <v>244</v>
      </c>
      <c r="C727" s="246"/>
      <c r="D727" s="246"/>
      <c r="E727" s="246"/>
      <c r="F727" s="246"/>
      <c r="G727" s="246"/>
      <c r="H727" s="246"/>
      <c r="I727" s="246"/>
      <c r="J727" s="246"/>
      <c r="K727" s="246"/>
    </row>
    <row r="728" spans="2:13" ht="12.95" customHeight="1" x14ac:dyDescent="0.3">
      <c r="B728" s="245" t="s">
        <v>148</v>
      </c>
      <c r="C728" s="246"/>
      <c r="D728" s="246"/>
      <c r="E728" s="246"/>
      <c r="F728" s="246"/>
      <c r="G728" s="246"/>
      <c r="H728" s="246"/>
      <c r="I728" s="183" t="s">
        <v>120</v>
      </c>
      <c r="J728" s="24"/>
    </row>
    <row r="729" spans="2:13" ht="12.95" customHeight="1" x14ac:dyDescent="0.3">
      <c r="B729" s="337" t="s">
        <v>14</v>
      </c>
      <c r="C729" s="337" t="s">
        <v>18</v>
      </c>
      <c r="D729" s="317" t="s">
        <v>19</v>
      </c>
      <c r="E729" s="317" t="s">
        <v>15</v>
      </c>
      <c r="F729" s="330" t="s">
        <v>99</v>
      </c>
      <c r="G729" s="331"/>
      <c r="H729" s="330" t="s">
        <v>147</v>
      </c>
      <c r="I729" s="332"/>
    </row>
    <row r="730" spans="2:13" ht="12.95" customHeight="1" x14ac:dyDescent="0.3">
      <c r="B730" s="338"/>
      <c r="C730" s="338"/>
      <c r="D730" s="340"/>
      <c r="E730" s="340"/>
      <c r="F730" s="93" t="s">
        <v>173</v>
      </c>
      <c r="G730" s="184">
        <v>160</v>
      </c>
      <c r="H730" s="93" t="s">
        <v>173</v>
      </c>
      <c r="I730" s="94">
        <v>130</v>
      </c>
    </row>
    <row r="731" spans="2:13" ht="12.95" customHeight="1" x14ac:dyDescent="0.3">
      <c r="B731" s="339"/>
      <c r="C731" s="339"/>
      <c r="D731" s="318"/>
      <c r="E731" s="318"/>
      <c r="F731" s="96" t="s">
        <v>174</v>
      </c>
      <c r="G731" s="97" t="s">
        <v>175</v>
      </c>
      <c r="H731" s="96" t="s">
        <v>174</v>
      </c>
      <c r="I731" s="97" t="s">
        <v>175</v>
      </c>
    </row>
    <row r="732" spans="2:13" ht="12.95" customHeight="1" x14ac:dyDescent="0.3">
      <c r="B732" s="233" t="s">
        <v>107</v>
      </c>
      <c r="C732" s="233" t="s">
        <v>108</v>
      </c>
      <c r="D732" s="250" t="s">
        <v>57</v>
      </c>
      <c r="E732" s="171">
        <v>9213</v>
      </c>
      <c r="F732" s="111">
        <v>8</v>
      </c>
      <c r="G732" s="3">
        <f t="shared" ref="G732" si="149">TRUNC($E732*F732,1)</f>
        <v>73704</v>
      </c>
      <c r="H732" s="111">
        <v>8</v>
      </c>
      <c r="I732" s="3">
        <f t="shared" ref="I732" si="150">TRUNC($E732*H732,1)</f>
        <v>73704</v>
      </c>
      <c r="J732" s="246"/>
      <c r="K732" s="246"/>
      <c r="L732" s="246"/>
      <c r="M732" s="246"/>
    </row>
    <row r="733" spans="2:13" ht="12.95" customHeight="1" x14ac:dyDescent="0.3">
      <c r="B733" s="163" t="s">
        <v>20</v>
      </c>
      <c r="C733" s="163" t="s">
        <v>144</v>
      </c>
      <c r="D733" s="239" t="s">
        <v>29</v>
      </c>
      <c r="E733" s="131"/>
      <c r="F733" s="252">
        <v>1</v>
      </c>
      <c r="G733" s="135">
        <f>TRUNC(SUM(G736:G737)*0.06,1)</f>
        <v>51026</v>
      </c>
      <c r="H733" s="252">
        <v>1</v>
      </c>
      <c r="I733" s="135">
        <f>TRUNC(SUM(I736:I737)*0.06,1)</f>
        <v>51026</v>
      </c>
      <c r="J733" s="246"/>
      <c r="K733" s="246"/>
      <c r="L733" s="246"/>
      <c r="M733" s="246"/>
    </row>
    <row r="734" spans="2:13" ht="12.95" customHeight="1" x14ac:dyDescent="0.3">
      <c r="B734" s="136" t="s">
        <v>22</v>
      </c>
      <c r="C734" s="233"/>
      <c r="D734" s="250"/>
      <c r="E734" s="253"/>
      <c r="F734" s="254"/>
      <c r="G734" s="255">
        <f>TRUNC(SUM(G732:G733))</f>
        <v>124730</v>
      </c>
      <c r="H734" s="254"/>
      <c r="I734" s="255">
        <f>TRUNC(SUM(I732:I733))</f>
        <v>124730</v>
      </c>
      <c r="J734" s="246"/>
      <c r="K734" s="246"/>
      <c r="L734" s="246"/>
      <c r="M734" s="246"/>
    </row>
    <row r="735" spans="2:13" ht="12.95" customHeight="1" x14ac:dyDescent="0.3">
      <c r="B735" s="256"/>
      <c r="C735" s="233"/>
      <c r="D735" s="250"/>
      <c r="E735" s="253"/>
      <c r="F735" s="254"/>
      <c r="G735" s="257"/>
      <c r="H735" s="254"/>
      <c r="I735" s="257"/>
      <c r="J735" s="246"/>
      <c r="K735" s="246"/>
      <c r="L735" s="246"/>
      <c r="M735" s="246"/>
    </row>
    <row r="736" spans="2:13" ht="12.95" customHeight="1" x14ac:dyDescent="0.3">
      <c r="B736" s="233" t="s">
        <v>13</v>
      </c>
      <c r="C736" s="233"/>
      <c r="D736" s="250" t="s">
        <v>33</v>
      </c>
      <c r="E736" s="171">
        <v>226122</v>
      </c>
      <c r="F736" s="111">
        <v>3</v>
      </c>
      <c r="G736" s="3">
        <f t="shared" ref="G736:G738" si="151">TRUNC($E736*F736,1)</f>
        <v>678366</v>
      </c>
      <c r="H736" s="111">
        <v>3</v>
      </c>
      <c r="I736" s="3">
        <f t="shared" ref="I736:I738" si="152">TRUNC($E736*H736,1)</f>
        <v>678366</v>
      </c>
      <c r="J736" s="246"/>
      <c r="K736" s="246"/>
      <c r="L736" s="246"/>
      <c r="M736" s="246"/>
    </row>
    <row r="737" spans="2:13" ht="12.95" customHeight="1" x14ac:dyDescent="0.3">
      <c r="B737" s="233" t="s">
        <v>4</v>
      </c>
      <c r="C737" s="233"/>
      <c r="D737" s="250" t="s">
        <v>33</v>
      </c>
      <c r="E737" s="171">
        <v>172068</v>
      </c>
      <c r="F737" s="111">
        <v>1</v>
      </c>
      <c r="G737" s="3">
        <f t="shared" si="151"/>
        <v>172068</v>
      </c>
      <c r="H737" s="111">
        <v>1</v>
      </c>
      <c r="I737" s="3">
        <f t="shared" si="152"/>
        <v>172068</v>
      </c>
      <c r="J737" s="246"/>
      <c r="K737" s="246"/>
      <c r="L737" s="246"/>
      <c r="M737" s="246"/>
    </row>
    <row r="738" spans="2:13" ht="12.95" customHeight="1" x14ac:dyDescent="0.3">
      <c r="B738" s="233" t="s">
        <v>107</v>
      </c>
      <c r="C738" s="233" t="s">
        <v>108</v>
      </c>
      <c r="D738" s="250" t="s">
        <v>57</v>
      </c>
      <c r="E738" s="171">
        <v>49698</v>
      </c>
      <c r="F738" s="111">
        <v>8</v>
      </c>
      <c r="G738" s="3">
        <f t="shared" si="151"/>
        <v>397584</v>
      </c>
      <c r="H738" s="111">
        <v>8</v>
      </c>
      <c r="I738" s="3">
        <f t="shared" si="152"/>
        <v>397584</v>
      </c>
      <c r="J738" s="246"/>
      <c r="K738" s="246"/>
      <c r="L738" s="246"/>
      <c r="M738" s="246"/>
    </row>
    <row r="739" spans="2:13" ht="12.95" customHeight="1" x14ac:dyDescent="0.3">
      <c r="B739" s="102" t="s">
        <v>23</v>
      </c>
      <c r="C739" s="233"/>
      <c r="D739" s="250"/>
      <c r="E739" s="253"/>
      <c r="F739" s="111"/>
      <c r="G739" s="255">
        <f>TRUNC(SUM(G736:G738))</f>
        <v>1248018</v>
      </c>
      <c r="H739" s="111"/>
      <c r="I739" s="255">
        <f>TRUNC(SUM(I736:I738))</f>
        <v>1248018</v>
      </c>
      <c r="J739" s="246"/>
      <c r="K739" s="246"/>
      <c r="L739" s="246"/>
      <c r="M739" s="246"/>
    </row>
    <row r="740" spans="2:13" ht="12.95" customHeight="1" x14ac:dyDescent="0.3">
      <c r="B740" s="256"/>
      <c r="C740" s="233"/>
      <c r="D740" s="250"/>
      <c r="E740" s="253"/>
      <c r="F740" s="111"/>
      <c r="G740" s="257"/>
      <c r="H740" s="111"/>
      <c r="I740" s="257"/>
      <c r="J740" s="246"/>
      <c r="K740" s="246"/>
      <c r="L740" s="246"/>
      <c r="M740" s="246"/>
    </row>
    <row r="741" spans="2:13" ht="12.95" customHeight="1" x14ac:dyDescent="0.3">
      <c r="B741" s="233" t="s">
        <v>107</v>
      </c>
      <c r="C741" s="233" t="s">
        <v>108</v>
      </c>
      <c r="D741" s="250" t="s">
        <v>57</v>
      </c>
      <c r="E741" s="171">
        <v>11117</v>
      </c>
      <c r="F741" s="111">
        <v>8</v>
      </c>
      <c r="G741" s="3">
        <f t="shared" ref="G741" si="153">TRUNC($E741*F741,1)</f>
        <v>88936</v>
      </c>
      <c r="H741" s="111">
        <v>8</v>
      </c>
      <c r="I741" s="3">
        <f t="shared" ref="I741" si="154">TRUNC($E741*H741,1)</f>
        <v>88936</v>
      </c>
      <c r="J741" s="246"/>
      <c r="K741" s="246"/>
      <c r="L741" s="246"/>
      <c r="M741" s="246"/>
    </row>
    <row r="742" spans="2:13" ht="12.95" customHeight="1" x14ac:dyDescent="0.3">
      <c r="B742" s="136" t="s">
        <v>24</v>
      </c>
      <c r="C742" s="233"/>
      <c r="D742" s="253"/>
      <c r="E742" s="253"/>
      <c r="F742" s="111"/>
      <c r="G742" s="255">
        <f>TRUNC(SUM(G741:G741))</f>
        <v>88936</v>
      </c>
      <c r="H742" s="111"/>
      <c r="I742" s="255">
        <f>TRUNC(SUM(I741:I741))</f>
        <v>88936</v>
      </c>
      <c r="J742" s="246"/>
      <c r="K742" s="246"/>
      <c r="L742" s="246"/>
      <c r="M742" s="246"/>
    </row>
    <row r="743" spans="2:13" ht="12.95" customHeight="1" x14ac:dyDescent="0.3">
      <c r="B743" s="158"/>
      <c r="C743" s="258"/>
      <c r="D743" s="253"/>
      <c r="E743" s="253"/>
      <c r="F743" s="254"/>
      <c r="G743" s="259"/>
      <c r="H743" s="254"/>
      <c r="I743" s="259"/>
      <c r="J743" s="246"/>
      <c r="K743" s="246"/>
      <c r="L743" s="246"/>
      <c r="M743" s="246"/>
    </row>
    <row r="744" spans="2:13" ht="12.95" customHeight="1" x14ac:dyDescent="0.3">
      <c r="B744" s="113" t="s">
        <v>26</v>
      </c>
      <c r="C744" s="258"/>
      <c r="D744" s="253"/>
      <c r="E744" s="253"/>
      <c r="F744" s="254"/>
      <c r="G744" s="259">
        <f>SUM(G734+G739+G742)</f>
        <v>1461684</v>
      </c>
      <c r="H744" s="254"/>
      <c r="I744" s="259">
        <f>SUM(I734+I739+I742)</f>
        <v>1461684</v>
      </c>
      <c r="J744" s="246"/>
      <c r="K744" s="246"/>
      <c r="L744" s="246"/>
      <c r="M744" s="246"/>
    </row>
    <row r="745" spans="2:13" ht="12.95" customHeight="1" x14ac:dyDescent="0.3">
      <c r="B745" s="117" t="s">
        <v>234</v>
      </c>
      <c r="C745" s="118"/>
      <c r="D745" s="119"/>
      <c r="E745" s="120"/>
      <c r="F745" s="121"/>
      <c r="G745" s="122">
        <f>TRUNC((G744/G730)*10)</f>
        <v>91355</v>
      </c>
      <c r="H745" s="121"/>
      <c r="I745" s="122">
        <f>TRUNC((I744/I730)*10)</f>
        <v>112437</v>
      </c>
    </row>
    <row r="746" spans="2:13" ht="12.95" customHeight="1" x14ac:dyDescent="0.3">
      <c r="B746" s="245"/>
      <c r="C746" s="246"/>
      <c r="D746" s="246"/>
      <c r="E746" s="246"/>
      <c r="F746" s="246"/>
      <c r="G746" s="246"/>
      <c r="H746" s="246"/>
      <c r="I746" s="183"/>
      <c r="J746" s="24"/>
    </row>
    <row r="747" spans="2:13" ht="12.95" customHeight="1" x14ac:dyDescent="0.3">
      <c r="B747" s="245" t="s">
        <v>281</v>
      </c>
      <c r="C747" s="246"/>
      <c r="D747" s="246"/>
      <c r="E747" s="246"/>
      <c r="F747" s="246"/>
      <c r="G747" s="246"/>
      <c r="H747" s="246"/>
      <c r="I747" s="183" t="s">
        <v>283</v>
      </c>
      <c r="J747" s="246"/>
      <c r="K747" s="246"/>
      <c r="L747" s="246"/>
      <c r="M747" s="246"/>
    </row>
    <row r="748" spans="2:13" ht="12.95" customHeight="1" x14ac:dyDescent="0.3">
      <c r="B748" s="337" t="s">
        <v>14</v>
      </c>
      <c r="C748" s="337" t="s">
        <v>18</v>
      </c>
      <c r="D748" s="317" t="s">
        <v>19</v>
      </c>
      <c r="E748" s="317" t="s">
        <v>15</v>
      </c>
      <c r="F748" s="330" t="s">
        <v>99</v>
      </c>
      <c r="G748" s="331"/>
      <c r="H748" s="330" t="s">
        <v>147</v>
      </c>
      <c r="I748" s="332"/>
    </row>
    <row r="749" spans="2:13" ht="12.95" customHeight="1" x14ac:dyDescent="0.3">
      <c r="B749" s="338"/>
      <c r="C749" s="338"/>
      <c r="D749" s="340"/>
      <c r="E749" s="340"/>
      <c r="F749" s="93" t="s">
        <v>173</v>
      </c>
      <c r="G749" s="184">
        <v>160</v>
      </c>
      <c r="H749" s="93" t="s">
        <v>173</v>
      </c>
      <c r="I749" s="94">
        <v>130</v>
      </c>
    </row>
    <row r="750" spans="2:13" ht="12.95" customHeight="1" x14ac:dyDescent="0.3">
      <c r="B750" s="339"/>
      <c r="C750" s="339"/>
      <c r="D750" s="318"/>
      <c r="E750" s="318"/>
      <c r="F750" s="96" t="s">
        <v>174</v>
      </c>
      <c r="G750" s="97" t="s">
        <v>175</v>
      </c>
      <c r="H750" s="96" t="s">
        <v>174</v>
      </c>
      <c r="I750" s="97" t="s">
        <v>175</v>
      </c>
    </row>
    <row r="751" spans="2:13" ht="12.95" customHeight="1" x14ac:dyDescent="0.3">
      <c r="B751" s="305" t="s">
        <v>100</v>
      </c>
      <c r="C751" s="305" t="s">
        <v>278</v>
      </c>
      <c r="D751" s="306" t="s">
        <v>70</v>
      </c>
      <c r="E751" s="187">
        <v>0</v>
      </c>
      <c r="F751" s="307">
        <v>2.2999999999999998</v>
      </c>
      <c r="G751" s="308">
        <f t="shared" ref="G751:G754" si="155">TRUNC($E751*F751,1)</f>
        <v>0</v>
      </c>
      <c r="H751" s="307">
        <v>4.5999999999999996</v>
      </c>
      <c r="I751" s="308">
        <f t="shared" ref="I751:I754" si="156">TRUNC($E751*H751,1)</f>
        <v>0</v>
      </c>
      <c r="J751" s="246"/>
    </row>
    <row r="752" spans="2:13" ht="12.95" customHeight="1" x14ac:dyDescent="0.3">
      <c r="B752" s="247" t="s">
        <v>101</v>
      </c>
      <c r="C752" s="247" t="s">
        <v>279</v>
      </c>
      <c r="D752" s="250" t="s">
        <v>149</v>
      </c>
      <c r="E752" s="111">
        <v>0</v>
      </c>
      <c r="F752" s="249">
        <v>5</v>
      </c>
      <c r="G752" s="3">
        <f t="shared" si="155"/>
        <v>0</v>
      </c>
      <c r="H752" s="249">
        <v>5</v>
      </c>
      <c r="I752" s="3">
        <f t="shared" si="156"/>
        <v>0</v>
      </c>
      <c r="J752" s="246"/>
    </row>
    <row r="753" spans="2:13" ht="12.95" customHeight="1" x14ac:dyDescent="0.3">
      <c r="B753" s="247" t="s">
        <v>102</v>
      </c>
      <c r="C753" s="251" t="s">
        <v>280</v>
      </c>
      <c r="D753" s="248" t="s">
        <v>103</v>
      </c>
      <c r="E753" s="111">
        <v>0</v>
      </c>
      <c r="F753" s="249">
        <v>13</v>
      </c>
      <c r="G753" s="3">
        <f t="shared" si="155"/>
        <v>0</v>
      </c>
      <c r="H753" s="249">
        <v>13</v>
      </c>
      <c r="I753" s="3">
        <f t="shared" si="156"/>
        <v>0</v>
      </c>
      <c r="J753" s="246"/>
    </row>
    <row r="754" spans="2:13" ht="12.95" customHeight="1" x14ac:dyDescent="0.3">
      <c r="B754" s="247" t="s">
        <v>104</v>
      </c>
      <c r="C754" s="247" t="s">
        <v>105</v>
      </c>
      <c r="D754" s="248" t="s">
        <v>106</v>
      </c>
      <c r="E754" s="111">
        <v>0</v>
      </c>
      <c r="F754" s="249">
        <v>13</v>
      </c>
      <c r="G754" s="3">
        <f t="shared" si="155"/>
        <v>0</v>
      </c>
      <c r="H754" s="249">
        <v>17</v>
      </c>
      <c r="I754" s="3">
        <f t="shared" si="156"/>
        <v>0</v>
      </c>
      <c r="J754" s="246"/>
    </row>
    <row r="755" spans="2:13" ht="12.95" customHeight="1" x14ac:dyDescent="0.3">
      <c r="B755" s="233" t="s">
        <v>49</v>
      </c>
      <c r="C755" s="233" t="s">
        <v>109</v>
      </c>
      <c r="D755" s="250" t="s">
        <v>61</v>
      </c>
      <c r="E755" s="171"/>
      <c r="F755" s="252">
        <v>1</v>
      </c>
      <c r="G755" s="310">
        <f>TRUNC(SUM(G751:G754)*0.03,1)</f>
        <v>0</v>
      </c>
      <c r="H755" s="252">
        <v>1</v>
      </c>
      <c r="I755" s="310">
        <f>TRUNC(SUM(I751:I754)*0.03,1)</f>
        <v>0</v>
      </c>
      <c r="J755" s="246"/>
      <c r="K755" s="246"/>
      <c r="L755" s="246"/>
      <c r="M755" s="246"/>
    </row>
    <row r="756" spans="2:13" ht="12.95" customHeight="1" x14ac:dyDescent="0.3">
      <c r="B756" s="136" t="s">
        <v>22</v>
      </c>
      <c r="C756" s="233"/>
      <c r="D756" s="250"/>
      <c r="E756" s="253"/>
      <c r="F756" s="254"/>
      <c r="G756" s="311">
        <f>TRUNC(SUM(G751:G755))</f>
        <v>0</v>
      </c>
      <c r="H756" s="254"/>
      <c r="I756" s="311">
        <f>TRUNC(SUM(I751:I755))</f>
        <v>0</v>
      </c>
      <c r="J756" s="246"/>
      <c r="K756" s="246"/>
      <c r="L756" s="246"/>
      <c r="M756" s="246"/>
    </row>
    <row r="757" spans="2:13" ht="12.95" customHeight="1" x14ac:dyDescent="0.3">
      <c r="B757" s="158"/>
      <c r="C757" s="258"/>
      <c r="D757" s="253"/>
      <c r="E757" s="253"/>
      <c r="F757" s="254"/>
      <c r="G757" s="259"/>
      <c r="H757" s="254"/>
      <c r="I757" s="259"/>
      <c r="J757" s="246"/>
      <c r="K757" s="246"/>
      <c r="L757" s="246"/>
      <c r="M757" s="246"/>
    </row>
    <row r="758" spans="2:13" ht="12.95" customHeight="1" x14ac:dyDescent="0.3">
      <c r="B758" s="117" t="s">
        <v>26</v>
      </c>
      <c r="C758" s="309"/>
      <c r="D758" s="263"/>
      <c r="E758" s="263"/>
      <c r="F758" s="264"/>
      <c r="G758" s="265">
        <f>SUM(G756)</f>
        <v>0</v>
      </c>
      <c r="H758" s="264"/>
      <c r="I758" s="265">
        <f>SUM(I756)</f>
        <v>0</v>
      </c>
      <c r="J758" s="246"/>
      <c r="K758" s="246"/>
      <c r="L758" s="246"/>
      <c r="M758" s="246"/>
    </row>
    <row r="759" spans="2:13" ht="12.95" customHeight="1" x14ac:dyDescent="0.3">
      <c r="B759" s="245" t="s">
        <v>282</v>
      </c>
      <c r="C759" s="246"/>
      <c r="D759" s="246"/>
      <c r="E759" s="246"/>
      <c r="F759" s="246"/>
      <c r="G759" s="246"/>
      <c r="H759" s="246"/>
      <c r="I759" s="246"/>
      <c r="J759" s="246"/>
      <c r="K759" s="246"/>
      <c r="L759" s="246"/>
      <c r="M759" s="246"/>
    </row>
    <row r="760" spans="2:13" ht="12.95" customHeight="1" x14ac:dyDescent="0.3">
      <c r="B760" s="245"/>
      <c r="C760" s="246"/>
      <c r="D760" s="246"/>
      <c r="E760" s="246"/>
      <c r="F760" s="246"/>
      <c r="G760" s="246"/>
      <c r="H760" s="246"/>
      <c r="I760" s="246"/>
      <c r="J760" s="246"/>
      <c r="K760" s="246"/>
      <c r="L760" s="246"/>
      <c r="M760" s="246"/>
    </row>
    <row r="761" spans="2:13" ht="12.95" customHeight="1" x14ac:dyDescent="0.3">
      <c r="B761" s="245" t="s">
        <v>150</v>
      </c>
      <c r="C761" s="246"/>
      <c r="D761" s="246"/>
      <c r="E761" s="246"/>
      <c r="F761" s="246"/>
      <c r="G761" s="246"/>
      <c r="H761" s="246"/>
      <c r="I761" s="246"/>
      <c r="J761" s="246"/>
      <c r="K761" s="246"/>
      <c r="L761" s="246"/>
      <c r="M761" s="246"/>
    </row>
    <row r="762" spans="2:13" ht="12.95" customHeight="1" x14ac:dyDescent="0.3">
      <c r="B762" s="245" t="s">
        <v>110</v>
      </c>
      <c r="C762" s="246"/>
      <c r="D762" s="246"/>
      <c r="E762" s="246"/>
      <c r="F762" s="246"/>
      <c r="G762" s="260" t="s">
        <v>111</v>
      </c>
      <c r="H762" s="246"/>
      <c r="I762" s="246"/>
      <c r="J762" s="246"/>
      <c r="K762" s="246"/>
      <c r="L762" s="246"/>
      <c r="M762" s="246"/>
    </row>
    <row r="763" spans="2:13" ht="12.95" customHeight="1" x14ac:dyDescent="0.3">
      <c r="B763" s="312" t="s">
        <v>14</v>
      </c>
      <c r="C763" s="314" t="s">
        <v>31</v>
      </c>
      <c r="D763" s="316" t="s">
        <v>19</v>
      </c>
      <c r="E763" s="317" t="s">
        <v>15</v>
      </c>
      <c r="F763" s="333" t="s">
        <v>16</v>
      </c>
      <c r="G763" s="335" t="s">
        <v>17</v>
      </c>
      <c r="H763" s="246"/>
      <c r="I763" s="246"/>
      <c r="J763" s="246"/>
      <c r="K763" s="246"/>
      <c r="L763" s="246"/>
      <c r="M763" s="246"/>
    </row>
    <row r="764" spans="2:13" ht="12.95" customHeight="1" x14ac:dyDescent="0.3">
      <c r="B764" s="313"/>
      <c r="C764" s="315"/>
      <c r="D764" s="316"/>
      <c r="E764" s="318"/>
      <c r="F764" s="334"/>
      <c r="G764" s="336"/>
      <c r="H764" s="246"/>
      <c r="I764" s="246"/>
      <c r="J764" s="246"/>
      <c r="K764" s="246"/>
      <c r="L764" s="246"/>
      <c r="M764" s="246"/>
    </row>
    <row r="765" spans="2:13" ht="12.95" customHeight="1" x14ac:dyDescent="0.3">
      <c r="B765" s="233" t="s">
        <v>107</v>
      </c>
      <c r="C765" s="233" t="s">
        <v>108</v>
      </c>
      <c r="D765" s="250" t="s">
        <v>57</v>
      </c>
      <c r="E765" s="171">
        <v>9213</v>
      </c>
      <c r="F765" s="249">
        <v>4</v>
      </c>
      <c r="G765" s="3">
        <f t="shared" ref="G765" si="157">TRUNC($E765*F765,1)</f>
        <v>36852</v>
      </c>
      <c r="H765" s="246"/>
      <c r="I765" s="246"/>
      <c r="J765" s="246"/>
      <c r="K765" s="246"/>
      <c r="L765" s="246"/>
      <c r="M765" s="246"/>
    </row>
    <row r="766" spans="2:13" ht="12.95" customHeight="1" x14ac:dyDescent="0.3">
      <c r="B766" s="136" t="s">
        <v>22</v>
      </c>
      <c r="C766" s="261"/>
      <c r="D766" s="250"/>
      <c r="E766" s="253"/>
      <c r="F766" s="249"/>
      <c r="G766" s="255">
        <f>TRUNC(SUM(G765:G765))</f>
        <v>36852</v>
      </c>
      <c r="H766" s="246"/>
      <c r="I766" s="246"/>
      <c r="J766" s="246"/>
      <c r="K766" s="246"/>
      <c r="L766" s="246"/>
      <c r="M766" s="246"/>
    </row>
    <row r="767" spans="2:13" ht="12.95" customHeight="1" x14ac:dyDescent="0.3">
      <c r="B767" s="256"/>
      <c r="C767" s="261"/>
      <c r="D767" s="250"/>
      <c r="E767" s="253"/>
      <c r="F767" s="249"/>
      <c r="G767" s="257"/>
      <c r="H767" s="246"/>
      <c r="I767" s="246"/>
      <c r="J767" s="246"/>
      <c r="K767" s="246"/>
      <c r="L767" s="246"/>
      <c r="M767" s="246"/>
    </row>
    <row r="768" spans="2:13" ht="12.95" customHeight="1" x14ac:dyDescent="0.3">
      <c r="B768" s="233" t="s">
        <v>13</v>
      </c>
      <c r="C768" s="261"/>
      <c r="D768" s="250" t="s">
        <v>33</v>
      </c>
      <c r="E768" s="171">
        <v>226122</v>
      </c>
      <c r="F768" s="249">
        <v>2</v>
      </c>
      <c r="G768" s="3">
        <f t="shared" ref="G768:G770" si="158">TRUNC($E768*F768,1)</f>
        <v>452244</v>
      </c>
      <c r="H768" s="246"/>
      <c r="I768" s="246"/>
      <c r="J768" s="246"/>
      <c r="K768" s="246"/>
      <c r="L768" s="246"/>
      <c r="M768" s="246"/>
    </row>
    <row r="769" spans="2:13" ht="12.95" customHeight="1" x14ac:dyDescent="0.3">
      <c r="B769" s="233" t="s">
        <v>4</v>
      </c>
      <c r="C769" s="261"/>
      <c r="D769" s="250" t="s">
        <v>33</v>
      </c>
      <c r="E769" s="171">
        <v>172068</v>
      </c>
      <c r="F769" s="249">
        <v>0.5</v>
      </c>
      <c r="G769" s="3">
        <f t="shared" si="158"/>
        <v>86034</v>
      </c>
      <c r="H769" s="246"/>
      <c r="I769" s="246"/>
      <c r="J769" s="246"/>
      <c r="K769" s="246"/>
      <c r="L769" s="246"/>
      <c r="M769" s="246"/>
    </row>
    <row r="770" spans="2:13" ht="12.95" customHeight="1" x14ac:dyDescent="0.3">
      <c r="B770" s="233" t="s">
        <v>107</v>
      </c>
      <c r="C770" s="233" t="s">
        <v>108</v>
      </c>
      <c r="D770" s="250" t="s">
        <v>57</v>
      </c>
      <c r="E770" s="171">
        <v>49698</v>
      </c>
      <c r="F770" s="249">
        <v>4</v>
      </c>
      <c r="G770" s="3">
        <f t="shared" si="158"/>
        <v>198792</v>
      </c>
      <c r="H770" s="246"/>
      <c r="I770" s="246"/>
      <c r="J770" s="246"/>
      <c r="K770" s="246"/>
      <c r="L770" s="246"/>
      <c r="M770" s="246"/>
    </row>
    <row r="771" spans="2:13" ht="12.95" customHeight="1" x14ac:dyDescent="0.3">
      <c r="B771" s="102" t="s">
        <v>23</v>
      </c>
      <c r="C771" s="261"/>
      <c r="D771" s="250"/>
      <c r="E771" s="253"/>
      <c r="F771" s="249"/>
      <c r="G771" s="255">
        <f>TRUNC(SUM(G768:G770))</f>
        <v>737070</v>
      </c>
      <c r="H771" s="246"/>
      <c r="I771" s="246"/>
      <c r="J771" s="246"/>
      <c r="K771" s="246"/>
      <c r="L771" s="246"/>
      <c r="M771" s="246"/>
    </row>
    <row r="772" spans="2:13" ht="12.95" customHeight="1" x14ac:dyDescent="0.3">
      <c r="B772" s="256"/>
      <c r="C772" s="261"/>
      <c r="D772" s="250"/>
      <c r="E772" s="253"/>
      <c r="F772" s="249"/>
      <c r="G772" s="257"/>
      <c r="H772" s="246"/>
      <c r="I772" s="246"/>
      <c r="J772" s="246"/>
      <c r="K772" s="246"/>
      <c r="L772" s="246"/>
      <c r="M772" s="246"/>
    </row>
    <row r="773" spans="2:13" ht="12.95" customHeight="1" x14ac:dyDescent="0.3">
      <c r="B773" s="233" t="s">
        <v>107</v>
      </c>
      <c r="C773" s="233" t="s">
        <v>108</v>
      </c>
      <c r="D773" s="250" t="s">
        <v>57</v>
      </c>
      <c r="E773" s="171">
        <v>11117</v>
      </c>
      <c r="F773" s="249">
        <v>4</v>
      </c>
      <c r="G773" s="3">
        <f t="shared" ref="G773" si="159">TRUNC($E773*F773,1)</f>
        <v>44468</v>
      </c>
      <c r="H773" s="246"/>
      <c r="I773" s="246"/>
      <c r="J773" s="246"/>
      <c r="K773" s="246"/>
      <c r="L773" s="246"/>
      <c r="M773" s="246"/>
    </row>
    <row r="774" spans="2:13" ht="12.95" customHeight="1" x14ac:dyDescent="0.3">
      <c r="B774" s="136" t="s">
        <v>24</v>
      </c>
      <c r="C774" s="261"/>
      <c r="D774" s="253"/>
      <c r="E774" s="253"/>
      <c r="F774" s="254"/>
      <c r="G774" s="255">
        <f>TRUNC(SUM(G773:G773))</f>
        <v>44468</v>
      </c>
      <c r="H774" s="246"/>
      <c r="I774" s="246"/>
      <c r="J774" s="246"/>
      <c r="K774" s="246"/>
      <c r="L774" s="246"/>
      <c r="M774" s="246"/>
    </row>
    <row r="775" spans="2:13" ht="12.95" customHeight="1" x14ac:dyDescent="0.3">
      <c r="B775" s="158"/>
      <c r="C775" s="261"/>
      <c r="D775" s="253"/>
      <c r="E775" s="253"/>
      <c r="F775" s="254"/>
      <c r="G775" s="259"/>
      <c r="H775" s="246"/>
      <c r="I775" s="246"/>
      <c r="J775" s="246"/>
      <c r="K775" s="246"/>
      <c r="L775" s="246"/>
      <c r="M775" s="246"/>
    </row>
    <row r="776" spans="2:13" ht="12.95" customHeight="1" x14ac:dyDescent="0.3">
      <c r="B776" s="117" t="s">
        <v>26</v>
      </c>
      <c r="C776" s="262"/>
      <c r="D776" s="263"/>
      <c r="E776" s="263"/>
      <c r="F776" s="264"/>
      <c r="G776" s="265">
        <f>SUM(G766+G771+G774)</f>
        <v>818390</v>
      </c>
      <c r="H776" s="246"/>
      <c r="I776" s="246"/>
      <c r="J776" s="246"/>
      <c r="K776" s="246"/>
      <c r="L776" s="246"/>
      <c r="M776" s="246"/>
    </row>
    <row r="777" spans="2:13" ht="12.95" customHeight="1" x14ac:dyDescent="0.3">
      <c r="B777" s="245"/>
      <c r="C777" s="246"/>
      <c r="D777" s="246"/>
      <c r="E777" s="246"/>
      <c r="F777" s="246"/>
      <c r="G777" s="246"/>
      <c r="H777" s="246"/>
      <c r="I777" s="246"/>
      <c r="J777" s="246"/>
      <c r="K777" s="246"/>
      <c r="L777" s="246"/>
      <c r="M777" s="246"/>
    </row>
    <row r="778" spans="2:13" ht="12.95" customHeight="1" x14ac:dyDescent="0.3">
      <c r="B778" s="245" t="s">
        <v>151</v>
      </c>
      <c r="C778" s="246"/>
      <c r="D778" s="246"/>
      <c r="E778" s="246"/>
      <c r="F778" s="246"/>
      <c r="G778" s="246"/>
      <c r="H778" s="246"/>
      <c r="I778" s="246"/>
      <c r="J778" s="246"/>
      <c r="K778" s="246"/>
      <c r="L778" s="246"/>
      <c r="M778" s="183" t="s">
        <v>120</v>
      </c>
    </row>
    <row r="779" spans="2:13" ht="12.95" customHeight="1" x14ac:dyDescent="0.3">
      <c r="B779" s="337" t="s">
        <v>14</v>
      </c>
      <c r="C779" s="337" t="s">
        <v>18</v>
      </c>
      <c r="D779" s="317" t="s">
        <v>19</v>
      </c>
      <c r="E779" s="317" t="s">
        <v>15</v>
      </c>
      <c r="F779" s="330" t="s">
        <v>245</v>
      </c>
      <c r="G779" s="331"/>
      <c r="H779" s="330" t="s">
        <v>246</v>
      </c>
      <c r="I779" s="331"/>
      <c r="J779" s="330" t="s">
        <v>247</v>
      </c>
      <c r="K779" s="331"/>
      <c r="L779" s="330" t="s">
        <v>248</v>
      </c>
      <c r="M779" s="332"/>
    </row>
    <row r="780" spans="2:13" ht="12.95" customHeight="1" x14ac:dyDescent="0.3">
      <c r="B780" s="338"/>
      <c r="C780" s="338"/>
      <c r="D780" s="340"/>
      <c r="E780" s="340"/>
      <c r="F780" s="93" t="s">
        <v>173</v>
      </c>
      <c r="G780" s="184">
        <v>250</v>
      </c>
      <c r="H780" s="93" t="s">
        <v>173</v>
      </c>
      <c r="I780" s="94">
        <v>200</v>
      </c>
      <c r="J780" s="93" t="s">
        <v>173</v>
      </c>
      <c r="K780" s="184">
        <v>140</v>
      </c>
      <c r="L780" s="93" t="s">
        <v>173</v>
      </c>
      <c r="M780" s="94">
        <v>100</v>
      </c>
    </row>
    <row r="781" spans="2:13" ht="12.95" customHeight="1" x14ac:dyDescent="0.3">
      <c r="B781" s="339"/>
      <c r="C781" s="339"/>
      <c r="D781" s="318"/>
      <c r="E781" s="318"/>
      <c r="F781" s="96" t="s">
        <v>174</v>
      </c>
      <c r="G781" s="97" t="s">
        <v>175</v>
      </c>
      <c r="H781" s="96" t="s">
        <v>174</v>
      </c>
      <c r="I781" s="97" t="s">
        <v>175</v>
      </c>
      <c r="J781" s="96" t="s">
        <v>174</v>
      </c>
      <c r="K781" s="97" t="s">
        <v>175</v>
      </c>
      <c r="L781" s="96" t="s">
        <v>174</v>
      </c>
      <c r="M781" s="97" t="s">
        <v>175</v>
      </c>
    </row>
    <row r="782" spans="2:13" ht="12.95" customHeight="1" x14ac:dyDescent="0.3">
      <c r="B782" s="247" t="s">
        <v>72</v>
      </c>
      <c r="C782" s="247" t="s">
        <v>112</v>
      </c>
      <c r="D782" s="250" t="s">
        <v>57</v>
      </c>
      <c r="E782" s="171">
        <v>48198</v>
      </c>
      <c r="F782" s="111">
        <v>8</v>
      </c>
      <c r="G782" s="3">
        <f t="shared" ref="G782:G785" si="160">TRUNC($E782*F782,1)</f>
        <v>385584</v>
      </c>
      <c r="H782" s="111">
        <v>8</v>
      </c>
      <c r="I782" s="3">
        <f t="shared" ref="I782:I785" si="161">TRUNC($E782*H782,1)</f>
        <v>385584</v>
      </c>
      <c r="J782" s="111">
        <v>8</v>
      </c>
      <c r="K782" s="3">
        <f>TRUNC($E782*J782,1)</f>
        <v>385584</v>
      </c>
      <c r="L782" s="111">
        <v>8</v>
      </c>
      <c r="M782" s="3">
        <f>TRUNC($E782*L782,1)</f>
        <v>385584</v>
      </c>
    </row>
    <row r="783" spans="2:13" ht="12.95" customHeight="1" x14ac:dyDescent="0.3">
      <c r="B783" s="233" t="s">
        <v>107</v>
      </c>
      <c r="C783" s="233" t="s">
        <v>108</v>
      </c>
      <c r="D783" s="250" t="s">
        <v>39</v>
      </c>
      <c r="E783" s="171">
        <v>9213</v>
      </c>
      <c r="F783" s="111">
        <v>8</v>
      </c>
      <c r="G783" s="3">
        <f t="shared" si="160"/>
        <v>73704</v>
      </c>
      <c r="H783" s="111">
        <v>8</v>
      </c>
      <c r="I783" s="3">
        <f t="shared" si="161"/>
        <v>73704</v>
      </c>
      <c r="J783" s="111">
        <v>8</v>
      </c>
      <c r="K783" s="3">
        <f>TRUNC($E783*J783,1)</f>
        <v>73704</v>
      </c>
      <c r="L783" s="111">
        <v>8</v>
      </c>
      <c r="M783" s="3">
        <f>TRUNC($E783*L783,1)</f>
        <v>73704</v>
      </c>
    </row>
    <row r="784" spans="2:13" ht="12.95" customHeight="1" x14ac:dyDescent="0.3">
      <c r="B784" s="247" t="s">
        <v>113</v>
      </c>
      <c r="C784" s="233" t="s">
        <v>87</v>
      </c>
      <c r="D784" s="250" t="s">
        <v>39</v>
      </c>
      <c r="E784" s="171">
        <v>18200</v>
      </c>
      <c r="F784" s="111">
        <v>8</v>
      </c>
      <c r="G784" s="3">
        <f t="shared" si="160"/>
        <v>145600</v>
      </c>
      <c r="H784" s="111">
        <v>8</v>
      </c>
      <c r="I784" s="3">
        <f t="shared" si="161"/>
        <v>145600</v>
      </c>
      <c r="J784" s="111">
        <v>8</v>
      </c>
      <c r="K784" s="3">
        <f>TRUNC($E784*J784,1)</f>
        <v>145600</v>
      </c>
      <c r="L784" s="111">
        <v>8</v>
      </c>
      <c r="M784" s="3">
        <f>TRUNC($E784*L784,1)</f>
        <v>145600</v>
      </c>
    </row>
    <row r="785" spans="2:13" ht="12.95" customHeight="1" x14ac:dyDescent="0.3">
      <c r="B785" s="247" t="s">
        <v>114</v>
      </c>
      <c r="C785" s="233" t="s">
        <v>115</v>
      </c>
      <c r="D785" s="250" t="s">
        <v>39</v>
      </c>
      <c r="E785" s="171">
        <v>16620</v>
      </c>
      <c r="F785" s="111">
        <v>8</v>
      </c>
      <c r="G785" s="3">
        <f t="shared" si="160"/>
        <v>132960</v>
      </c>
      <c r="H785" s="111">
        <v>8</v>
      </c>
      <c r="I785" s="3">
        <f t="shared" si="161"/>
        <v>132960</v>
      </c>
      <c r="J785" s="111">
        <v>8</v>
      </c>
      <c r="K785" s="3">
        <f>TRUNC($E785*J785,1)</f>
        <v>132960</v>
      </c>
      <c r="L785" s="111">
        <v>8</v>
      </c>
      <c r="M785" s="3">
        <f>TRUNC($E785*L785,1)</f>
        <v>132960</v>
      </c>
    </row>
    <row r="786" spans="2:13" ht="12.95" customHeight="1" x14ac:dyDescent="0.3">
      <c r="B786" s="233" t="s">
        <v>20</v>
      </c>
      <c r="C786" s="233" t="s">
        <v>249</v>
      </c>
      <c r="D786" s="250" t="s">
        <v>61</v>
      </c>
      <c r="E786" s="171"/>
      <c r="F786" s="111">
        <v>1</v>
      </c>
      <c r="G786" s="135">
        <f>TRUNC(SUM(G789:G792)*0.04,1)</f>
        <v>50931.199999999997</v>
      </c>
      <c r="H786" s="111">
        <v>1</v>
      </c>
      <c r="I786" s="135">
        <f>TRUNC(SUM(I789:I792)*0.04,1)</f>
        <v>50931.199999999997</v>
      </c>
      <c r="J786" s="111">
        <v>1</v>
      </c>
      <c r="K786" s="135">
        <f>TRUNC(SUM(K789:K792)*0.04,1)</f>
        <v>50931.199999999997</v>
      </c>
      <c r="L786" s="111">
        <v>1</v>
      </c>
      <c r="M786" s="135">
        <f>TRUNC(SUM(M789:M792)*0.04,1)</f>
        <v>50931.199999999997</v>
      </c>
    </row>
    <row r="787" spans="2:13" ht="12.95" customHeight="1" x14ac:dyDescent="0.3">
      <c r="B787" s="136" t="s">
        <v>22</v>
      </c>
      <c r="C787" s="233"/>
      <c r="D787" s="250"/>
      <c r="E787" s="253"/>
      <c r="F787" s="111"/>
      <c r="G787" s="255">
        <f>TRUNC(SUM(G782:G786))</f>
        <v>788779</v>
      </c>
      <c r="H787" s="111"/>
      <c r="I787" s="255">
        <f>TRUNC(SUM(I782:I786))</f>
        <v>788779</v>
      </c>
      <c r="J787" s="111"/>
      <c r="K787" s="255">
        <f>TRUNC(SUM(K782:K786))</f>
        <v>788779</v>
      </c>
      <c r="L787" s="111"/>
      <c r="M787" s="255">
        <f>TRUNC(SUM(M782:M786))</f>
        <v>788779</v>
      </c>
    </row>
    <row r="788" spans="2:13" ht="12.95" customHeight="1" x14ac:dyDescent="0.3">
      <c r="B788" s="256"/>
      <c r="C788" s="233"/>
      <c r="D788" s="250"/>
      <c r="E788" s="253"/>
      <c r="F788" s="111"/>
      <c r="G788" s="257"/>
      <c r="H788" s="111"/>
      <c r="I788" s="257"/>
      <c r="J788" s="111"/>
      <c r="K788" s="257"/>
      <c r="L788" s="111"/>
      <c r="M788" s="257"/>
    </row>
    <row r="789" spans="2:13" ht="12.95" customHeight="1" x14ac:dyDescent="0.3">
      <c r="B789" s="233" t="s">
        <v>95</v>
      </c>
      <c r="C789" s="233"/>
      <c r="D789" s="250" t="s">
        <v>33</v>
      </c>
      <c r="E789" s="171">
        <v>235204</v>
      </c>
      <c r="F789" s="111">
        <v>1</v>
      </c>
      <c r="G789" s="3">
        <f t="shared" ref="G789:G796" si="162">TRUNC($E789*F789,1)</f>
        <v>235204</v>
      </c>
      <c r="H789" s="111">
        <v>1</v>
      </c>
      <c r="I789" s="3">
        <f t="shared" ref="I789:I796" si="163">TRUNC($E789*H789,1)</f>
        <v>235204</v>
      </c>
      <c r="J789" s="111">
        <v>1</v>
      </c>
      <c r="K789" s="3">
        <f t="shared" ref="K789:K796" si="164">TRUNC($E789*J789,1)</f>
        <v>235204</v>
      </c>
      <c r="L789" s="111">
        <v>1</v>
      </c>
      <c r="M789" s="3">
        <f t="shared" ref="M789:M796" si="165">TRUNC($E789*L789,1)</f>
        <v>235204</v>
      </c>
    </row>
    <row r="790" spans="2:13" ht="12.95" customHeight="1" x14ac:dyDescent="0.3">
      <c r="B790" s="233" t="s">
        <v>62</v>
      </c>
      <c r="C790" s="233"/>
      <c r="D790" s="250" t="s">
        <v>33</v>
      </c>
      <c r="E790" s="171">
        <v>241698</v>
      </c>
      <c r="F790" s="111">
        <v>1</v>
      </c>
      <c r="G790" s="3">
        <f t="shared" si="162"/>
        <v>241698</v>
      </c>
      <c r="H790" s="111">
        <v>1</v>
      </c>
      <c r="I790" s="3">
        <f t="shared" si="163"/>
        <v>241698</v>
      </c>
      <c r="J790" s="111">
        <v>1</v>
      </c>
      <c r="K790" s="3">
        <f t="shared" si="164"/>
        <v>241698</v>
      </c>
      <c r="L790" s="111">
        <v>1</v>
      </c>
      <c r="M790" s="3">
        <f t="shared" si="165"/>
        <v>241698</v>
      </c>
    </row>
    <row r="791" spans="2:13" ht="12.95" customHeight="1" x14ac:dyDescent="0.3">
      <c r="B791" s="233" t="s">
        <v>13</v>
      </c>
      <c r="C791" s="233"/>
      <c r="D791" s="250" t="s">
        <v>33</v>
      </c>
      <c r="E791" s="171">
        <v>226122</v>
      </c>
      <c r="F791" s="111">
        <v>2</v>
      </c>
      <c r="G791" s="3">
        <f t="shared" si="162"/>
        <v>452244</v>
      </c>
      <c r="H791" s="111">
        <v>2</v>
      </c>
      <c r="I791" s="3">
        <f t="shared" si="163"/>
        <v>452244</v>
      </c>
      <c r="J791" s="111">
        <v>2</v>
      </c>
      <c r="K791" s="3">
        <f t="shared" si="164"/>
        <v>452244</v>
      </c>
      <c r="L791" s="111">
        <v>2</v>
      </c>
      <c r="M791" s="3">
        <f t="shared" si="165"/>
        <v>452244</v>
      </c>
    </row>
    <row r="792" spans="2:13" ht="12.95" customHeight="1" x14ac:dyDescent="0.3">
      <c r="B792" s="233" t="s">
        <v>4</v>
      </c>
      <c r="C792" s="233"/>
      <c r="D792" s="250" t="s">
        <v>33</v>
      </c>
      <c r="E792" s="171">
        <v>172068</v>
      </c>
      <c r="F792" s="111">
        <v>2</v>
      </c>
      <c r="G792" s="3">
        <f t="shared" si="162"/>
        <v>344136</v>
      </c>
      <c r="H792" s="111">
        <v>2</v>
      </c>
      <c r="I792" s="3">
        <f t="shared" si="163"/>
        <v>344136</v>
      </c>
      <c r="J792" s="111">
        <v>2</v>
      </c>
      <c r="K792" s="3">
        <f t="shared" si="164"/>
        <v>344136</v>
      </c>
      <c r="L792" s="111">
        <v>2</v>
      </c>
      <c r="M792" s="3">
        <f t="shared" si="165"/>
        <v>344136</v>
      </c>
    </row>
    <row r="793" spans="2:13" ht="12.95" customHeight="1" x14ac:dyDescent="0.3">
      <c r="B793" s="247" t="s">
        <v>72</v>
      </c>
      <c r="C793" s="247" t="s">
        <v>112</v>
      </c>
      <c r="D793" s="250" t="s">
        <v>57</v>
      </c>
      <c r="E793" s="171">
        <v>58925</v>
      </c>
      <c r="F793" s="111">
        <v>8</v>
      </c>
      <c r="G793" s="3">
        <f t="shared" si="162"/>
        <v>471400</v>
      </c>
      <c r="H793" s="111">
        <v>8</v>
      </c>
      <c r="I793" s="3">
        <f t="shared" si="163"/>
        <v>471400</v>
      </c>
      <c r="J793" s="111">
        <v>8</v>
      </c>
      <c r="K793" s="3">
        <f t="shared" si="164"/>
        <v>471400</v>
      </c>
      <c r="L793" s="111">
        <v>8</v>
      </c>
      <c r="M793" s="3">
        <f t="shared" si="165"/>
        <v>471400</v>
      </c>
    </row>
    <row r="794" spans="2:13" ht="12.95" customHeight="1" x14ac:dyDescent="0.3">
      <c r="B794" s="233" t="s">
        <v>107</v>
      </c>
      <c r="C794" s="233" t="s">
        <v>108</v>
      </c>
      <c r="D794" s="250" t="s">
        <v>57</v>
      </c>
      <c r="E794" s="171">
        <v>49698</v>
      </c>
      <c r="F794" s="111">
        <v>8</v>
      </c>
      <c r="G794" s="3">
        <f t="shared" si="162"/>
        <v>397584</v>
      </c>
      <c r="H794" s="111">
        <v>8</v>
      </c>
      <c r="I794" s="3">
        <f t="shared" si="163"/>
        <v>397584</v>
      </c>
      <c r="J794" s="111">
        <v>8</v>
      </c>
      <c r="K794" s="3">
        <f t="shared" si="164"/>
        <v>397584</v>
      </c>
      <c r="L794" s="111">
        <v>8</v>
      </c>
      <c r="M794" s="3">
        <f t="shared" si="165"/>
        <v>397584</v>
      </c>
    </row>
    <row r="795" spans="2:13" ht="12.95" customHeight="1" x14ac:dyDescent="0.3">
      <c r="B795" s="247" t="s">
        <v>113</v>
      </c>
      <c r="C795" s="233" t="s">
        <v>87</v>
      </c>
      <c r="D795" s="250" t="s">
        <v>57</v>
      </c>
      <c r="E795" s="171">
        <v>49698</v>
      </c>
      <c r="F795" s="111">
        <v>8</v>
      </c>
      <c r="G795" s="3">
        <f t="shared" si="162"/>
        <v>397584</v>
      </c>
      <c r="H795" s="111">
        <v>8</v>
      </c>
      <c r="I795" s="3">
        <f t="shared" si="163"/>
        <v>397584</v>
      </c>
      <c r="J795" s="111">
        <v>8</v>
      </c>
      <c r="K795" s="3">
        <f t="shared" si="164"/>
        <v>397584</v>
      </c>
      <c r="L795" s="111">
        <v>8</v>
      </c>
      <c r="M795" s="3">
        <f t="shared" si="165"/>
        <v>397584</v>
      </c>
    </row>
    <row r="796" spans="2:13" ht="12.95" customHeight="1" x14ac:dyDescent="0.3">
      <c r="B796" s="247" t="s">
        <v>114</v>
      </c>
      <c r="C796" s="233" t="s">
        <v>115</v>
      </c>
      <c r="D796" s="250" t="s">
        <v>57</v>
      </c>
      <c r="E796" s="171">
        <v>49698</v>
      </c>
      <c r="F796" s="111">
        <v>8</v>
      </c>
      <c r="G796" s="3">
        <f t="shared" si="162"/>
        <v>397584</v>
      </c>
      <c r="H796" s="111">
        <v>8</v>
      </c>
      <c r="I796" s="3">
        <f t="shared" si="163"/>
        <v>397584</v>
      </c>
      <c r="J796" s="111">
        <v>8</v>
      </c>
      <c r="K796" s="3">
        <f t="shared" si="164"/>
        <v>397584</v>
      </c>
      <c r="L796" s="111">
        <v>8</v>
      </c>
      <c r="M796" s="3">
        <f t="shared" si="165"/>
        <v>397584</v>
      </c>
    </row>
    <row r="797" spans="2:13" ht="12.95" customHeight="1" x14ac:dyDescent="0.3">
      <c r="B797" s="102" t="s">
        <v>23</v>
      </c>
      <c r="C797" s="233"/>
      <c r="D797" s="250"/>
      <c r="E797" s="253"/>
      <c r="F797" s="111"/>
      <c r="G797" s="255">
        <f>TRUNC(SUM(G789:G796))</f>
        <v>2937434</v>
      </c>
      <c r="H797" s="111"/>
      <c r="I797" s="255">
        <f>TRUNC(SUM(I789:I796))</f>
        <v>2937434</v>
      </c>
      <c r="J797" s="111"/>
      <c r="K797" s="255">
        <f>TRUNC(SUM(K789:K796))</f>
        <v>2937434</v>
      </c>
      <c r="L797" s="111"/>
      <c r="M797" s="255">
        <f>TRUNC(SUM(M789:M796))</f>
        <v>2937434</v>
      </c>
    </row>
    <row r="798" spans="2:13" ht="12.95" customHeight="1" x14ac:dyDescent="0.3">
      <c r="B798" s="256"/>
      <c r="C798" s="233"/>
      <c r="D798" s="250"/>
      <c r="E798" s="253"/>
      <c r="F798" s="111"/>
      <c r="G798" s="257"/>
      <c r="H798" s="111"/>
      <c r="I798" s="257"/>
      <c r="J798" s="111"/>
      <c r="K798" s="257"/>
      <c r="L798" s="111"/>
      <c r="M798" s="257"/>
    </row>
    <row r="799" spans="2:13" ht="12.95" customHeight="1" x14ac:dyDescent="0.3">
      <c r="B799" s="247" t="s">
        <v>116</v>
      </c>
      <c r="C799" s="247" t="s">
        <v>117</v>
      </c>
      <c r="D799" s="250" t="s">
        <v>57</v>
      </c>
      <c r="E799" s="171">
        <v>31334</v>
      </c>
      <c r="F799" s="111">
        <v>8</v>
      </c>
      <c r="G799" s="3">
        <f t="shared" ref="G799:G803" si="166">TRUNC($E799*F799,1)</f>
        <v>250672</v>
      </c>
      <c r="H799" s="111">
        <v>8</v>
      </c>
      <c r="I799" s="3">
        <f t="shared" ref="I799:I803" si="167">TRUNC($E799*H799,1)</f>
        <v>250672</v>
      </c>
      <c r="J799" s="111">
        <v>8</v>
      </c>
      <c r="K799" s="3">
        <f>TRUNC($E799*J799,1)</f>
        <v>250672</v>
      </c>
      <c r="L799" s="111">
        <v>8</v>
      </c>
      <c r="M799" s="3">
        <f>TRUNC($E799*L799,1)</f>
        <v>250672</v>
      </c>
    </row>
    <row r="800" spans="2:13" ht="12.95" customHeight="1" x14ac:dyDescent="0.3">
      <c r="B800" s="247" t="s">
        <v>72</v>
      </c>
      <c r="C800" s="247" t="s">
        <v>112</v>
      </c>
      <c r="D800" s="250" t="s">
        <v>57</v>
      </c>
      <c r="E800" s="171">
        <v>7914</v>
      </c>
      <c r="F800" s="111">
        <v>8</v>
      </c>
      <c r="G800" s="3">
        <f t="shared" si="166"/>
        <v>63312</v>
      </c>
      <c r="H800" s="111">
        <v>8</v>
      </c>
      <c r="I800" s="3">
        <f t="shared" si="167"/>
        <v>63312</v>
      </c>
      <c r="J800" s="111">
        <v>8</v>
      </c>
      <c r="K800" s="3">
        <f>TRUNC($E800*J800,1)</f>
        <v>63312</v>
      </c>
      <c r="L800" s="111">
        <v>8</v>
      </c>
      <c r="M800" s="3">
        <f>TRUNC($E800*L800,1)</f>
        <v>63312</v>
      </c>
    </row>
    <row r="801" spans="2:13" ht="12.95" customHeight="1" x14ac:dyDescent="0.3">
      <c r="B801" s="233" t="s">
        <v>107</v>
      </c>
      <c r="C801" s="233" t="s">
        <v>108</v>
      </c>
      <c r="D801" s="250" t="s">
        <v>57</v>
      </c>
      <c r="E801" s="171">
        <v>11117</v>
      </c>
      <c r="F801" s="111">
        <v>8</v>
      </c>
      <c r="G801" s="3">
        <f t="shared" si="166"/>
        <v>88936</v>
      </c>
      <c r="H801" s="111">
        <v>8</v>
      </c>
      <c r="I801" s="3">
        <f t="shared" si="167"/>
        <v>88936</v>
      </c>
      <c r="J801" s="111">
        <v>8</v>
      </c>
      <c r="K801" s="3">
        <f>TRUNC($E801*J801,1)</f>
        <v>88936</v>
      </c>
      <c r="L801" s="111">
        <v>8</v>
      </c>
      <c r="M801" s="3">
        <f>TRUNC($E801*L801,1)</f>
        <v>88936</v>
      </c>
    </row>
    <row r="802" spans="2:13" ht="12.95" customHeight="1" x14ac:dyDescent="0.3">
      <c r="B802" s="247" t="s">
        <v>113</v>
      </c>
      <c r="C802" s="233" t="s">
        <v>87</v>
      </c>
      <c r="D802" s="250" t="s">
        <v>57</v>
      </c>
      <c r="E802" s="171">
        <v>9986</v>
      </c>
      <c r="F802" s="111">
        <v>8</v>
      </c>
      <c r="G802" s="3">
        <f t="shared" si="166"/>
        <v>79888</v>
      </c>
      <c r="H802" s="111">
        <v>8</v>
      </c>
      <c r="I802" s="3">
        <f t="shared" si="167"/>
        <v>79888</v>
      </c>
      <c r="J802" s="111">
        <v>8</v>
      </c>
      <c r="K802" s="3">
        <f>TRUNC($E802*J802,1)</f>
        <v>79888</v>
      </c>
      <c r="L802" s="111">
        <v>8</v>
      </c>
      <c r="M802" s="3">
        <f>TRUNC($E802*L802,1)</f>
        <v>79888</v>
      </c>
    </row>
    <row r="803" spans="2:13" ht="12.95" customHeight="1" x14ac:dyDescent="0.3">
      <c r="B803" s="247" t="s">
        <v>114</v>
      </c>
      <c r="C803" s="233" t="s">
        <v>115</v>
      </c>
      <c r="D803" s="250" t="s">
        <v>57</v>
      </c>
      <c r="E803" s="171">
        <v>8320</v>
      </c>
      <c r="F803" s="111">
        <v>8</v>
      </c>
      <c r="G803" s="3">
        <f t="shared" si="166"/>
        <v>66560</v>
      </c>
      <c r="H803" s="111">
        <v>8</v>
      </c>
      <c r="I803" s="3">
        <f t="shared" si="167"/>
        <v>66560</v>
      </c>
      <c r="J803" s="111">
        <v>8</v>
      </c>
      <c r="K803" s="3">
        <f>TRUNC($E803*J803,1)</f>
        <v>66560</v>
      </c>
      <c r="L803" s="111">
        <v>8</v>
      </c>
      <c r="M803" s="3">
        <f>TRUNC($E803*L803,1)</f>
        <v>66560</v>
      </c>
    </row>
    <row r="804" spans="2:13" ht="12.95" customHeight="1" x14ac:dyDescent="0.3">
      <c r="B804" s="136" t="s">
        <v>24</v>
      </c>
      <c r="C804" s="233"/>
      <c r="D804" s="253"/>
      <c r="E804" s="253"/>
      <c r="F804" s="254"/>
      <c r="G804" s="255">
        <f>TRUNC(SUM(G799:G803))</f>
        <v>549368</v>
      </c>
      <c r="H804" s="266"/>
      <c r="I804" s="255">
        <f>TRUNC(SUM(I799:I803))</f>
        <v>549368</v>
      </c>
      <c r="J804" s="266"/>
      <c r="K804" s="255">
        <f>TRUNC(SUM(K799:K803))</f>
        <v>549368</v>
      </c>
      <c r="L804" s="266"/>
      <c r="M804" s="255">
        <f>TRUNC(SUM(M799:M803))</f>
        <v>549368</v>
      </c>
    </row>
    <row r="805" spans="2:13" ht="12.95" customHeight="1" x14ac:dyDescent="0.3">
      <c r="B805" s="256"/>
      <c r="C805" s="258"/>
      <c r="D805" s="253"/>
      <c r="E805" s="253"/>
      <c r="F805" s="254"/>
      <c r="G805" s="259"/>
      <c r="H805" s="254"/>
      <c r="I805" s="259"/>
      <c r="J805" s="254"/>
      <c r="K805" s="259"/>
      <c r="L805" s="254"/>
      <c r="M805" s="259"/>
    </row>
    <row r="806" spans="2:13" ht="12.95" customHeight="1" x14ac:dyDescent="0.3">
      <c r="B806" s="113" t="s">
        <v>26</v>
      </c>
      <c r="C806" s="258"/>
      <c r="D806" s="253"/>
      <c r="E806" s="253"/>
      <c r="F806" s="254"/>
      <c r="G806" s="259">
        <f>SUM(G787+G797+G804)</f>
        <v>4275581</v>
      </c>
      <c r="H806" s="254"/>
      <c r="I806" s="259">
        <f>SUM(I787+I797+I804)</f>
        <v>4275581</v>
      </c>
      <c r="J806" s="254"/>
      <c r="K806" s="259">
        <f>SUM(K787+K797+K804)</f>
        <v>4275581</v>
      </c>
      <c r="L806" s="254"/>
      <c r="M806" s="259">
        <f>SUM(M787+M797+M804)</f>
        <v>4275581</v>
      </c>
    </row>
    <row r="807" spans="2:13" ht="12.95" customHeight="1" x14ac:dyDescent="0.3">
      <c r="B807" s="117" t="s">
        <v>234</v>
      </c>
      <c r="C807" s="118"/>
      <c r="D807" s="119"/>
      <c r="E807" s="120"/>
      <c r="F807" s="121"/>
      <c r="G807" s="122">
        <f>TRUNC((G806/G780)*10)</f>
        <v>171023</v>
      </c>
      <c r="H807" s="121"/>
      <c r="I807" s="122">
        <f>TRUNC((I806/I780)*10)</f>
        <v>213779</v>
      </c>
      <c r="J807" s="121"/>
      <c r="K807" s="122">
        <f>TRUNC((K806/K780)*10)</f>
        <v>305398</v>
      </c>
      <c r="L807" s="121"/>
      <c r="M807" s="122">
        <f>TRUNC((M806/M780)*10)</f>
        <v>427558</v>
      </c>
    </row>
    <row r="808" spans="2:13" ht="12.95" customHeight="1" x14ac:dyDescent="0.3">
      <c r="B808" s="245"/>
      <c r="C808" s="246"/>
      <c r="D808" s="246"/>
      <c r="E808" s="246"/>
      <c r="F808" s="246"/>
      <c r="G808" s="246"/>
      <c r="H808" s="246"/>
      <c r="I808" s="246"/>
      <c r="J808" s="246"/>
      <c r="K808" s="246"/>
      <c r="L808" s="246"/>
      <c r="M808" s="246"/>
    </row>
    <row r="809" spans="2:13" ht="12.95" customHeight="1" x14ac:dyDescent="0.3">
      <c r="B809" s="24" t="s">
        <v>250</v>
      </c>
      <c r="C809" s="24"/>
      <c r="D809" s="24"/>
      <c r="E809" s="24"/>
      <c r="F809" s="24"/>
      <c r="G809" s="24"/>
      <c r="H809" s="24"/>
      <c r="I809" s="24"/>
      <c r="J809" s="24"/>
      <c r="K809" s="68"/>
      <c r="L809" s="24"/>
      <c r="M809" s="24"/>
    </row>
    <row r="810" spans="2:13" ht="12.95" customHeight="1" x14ac:dyDescent="0.3">
      <c r="B810" s="24" t="s">
        <v>153</v>
      </c>
      <c r="C810" s="24"/>
      <c r="D810" s="24"/>
      <c r="E810" s="161"/>
      <c r="F810" s="24"/>
      <c r="G810" s="161" t="s">
        <v>111</v>
      </c>
      <c r="H810" s="24"/>
      <c r="I810" s="24"/>
      <c r="J810" s="24"/>
      <c r="K810" s="68"/>
      <c r="L810" s="24"/>
      <c r="M810" s="24"/>
    </row>
    <row r="811" spans="2:13" ht="12.95" customHeight="1" x14ac:dyDescent="0.3">
      <c r="B811" s="312" t="s">
        <v>14</v>
      </c>
      <c r="C811" s="314" t="s">
        <v>31</v>
      </c>
      <c r="D811" s="316" t="s">
        <v>19</v>
      </c>
      <c r="E811" s="317" t="s">
        <v>15</v>
      </c>
      <c r="F811" s="333" t="s">
        <v>16</v>
      </c>
      <c r="G811" s="335" t="s">
        <v>17</v>
      </c>
      <c r="H811" s="24"/>
      <c r="I811" s="24"/>
      <c r="J811" s="24"/>
      <c r="K811" s="24"/>
      <c r="L811" s="24"/>
      <c r="M811" s="68"/>
    </row>
    <row r="812" spans="2:13" ht="12.95" customHeight="1" x14ac:dyDescent="0.3">
      <c r="B812" s="313"/>
      <c r="C812" s="315"/>
      <c r="D812" s="316"/>
      <c r="E812" s="318"/>
      <c r="F812" s="334"/>
      <c r="G812" s="336"/>
      <c r="H812" s="24"/>
      <c r="I812" s="24"/>
      <c r="J812" s="24"/>
      <c r="K812" s="24"/>
      <c r="L812" s="24"/>
      <c r="M812" s="68"/>
    </row>
    <row r="813" spans="2:13" ht="12.95" customHeight="1" x14ac:dyDescent="0.3">
      <c r="B813" s="230" t="s">
        <v>152</v>
      </c>
      <c r="C813" s="230" t="s">
        <v>27</v>
      </c>
      <c r="D813" s="267" t="s">
        <v>39</v>
      </c>
      <c r="E813" s="268">
        <v>9213</v>
      </c>
      <c r="F813" s="269">
        <v>8</v>
      </c>
      <c r="G813" s="3">
        <f t="shared" ref="G813" si="168">TRUNC($E813*F813,1)</f>
        <v>73704</v>
      </c>
      <c r="H813" s="24"/>
      <c r="I813" s="24"/>
      <c r="J813" s="24"/>
      <c r="K813" s="24"/>
      <c r="L813" s="24"/>
      <c r="M813" s="68"/>
    </row>
    <row r="814" spans="2:13" ht="12.95" customHeight="1" x14ac:dyDescent="0.3">
      <c r="B814" s="136" t="s">
        <v>22</v>
      </c>
      <c r="C814" s="240"/>
      <c r="D814" s="240"/>
      <c r="E814" s="160"/>
      <c r="F814" s="195"/>
      <c r="G814" s="45">
        <f>TRUNC(G813)</f>
        <v>73704</v>
      </c>
      <c r="H814" s="24"/>
      <c r="I814" s="24"/>
      <c r="J814" s="24"/>
      <c r="K814" s="24"/>
      <c r="L814" s="24"/>
      <c r="M814" s="68"/>
    </row>
    <row r="815" spans="2:13" ht="12.95" customHeight="1" x14ac:dyDescent="0.3">
      <c r="B815" s="156"/>
      <c r="C815" s="156"/>
      <c r="D815" s="156"/>
      <c r="E815" s="167"/>
      <c r="F815" s="111"/>
      <c r="G815" s="235"/>
      <c r="H815" s="24"/>
      <c r="I815" s="24"/>
      <c r="J815" s="24"/>
      <c r="K815" s="24"/>
      <c r="L815" s="24"/>
      <c r="M815" s="68"/>
    </row>
    <row r="816" spans="2:13" ht="12.95" customHeight="1" x14ac:dyDescent="0.3">
      <c r="B816" s="156" t="s">
        <v>13</v>
      </c>
      <c r="C816" s="156"/>
      <c r="D816" s="270" t="s">
        <v>33</v>
      </c>
      <c r="E816" s="131">
        <v>226122</v>
      </c>
      <c r="F816" s="111">
        <v>1</v>
      </c>
      <c r="G816" s="3">
        <f t="shared" ref="G816:G818" si="169">TRUNC($E816*F816,1)</f>
        <v>226122</v>
      </c>
      <c r="H816" s="24"/>
      <c r="I816" s="24"/>
      <c r="J816" s="24"/>
      <c r="K816" s="24"/>
      <c r="L816" s="24"/>
      <c r="M816" s="68"/>
    </row>
    <row r="817" spans="2:13" ht="12.95" customHeight="1" x14ac:dyDescent="0.3">
      <c r="B817" s="156" t="s">
        <v>4</v>
      </c>
      <c r="C817" s="156"/>
      <c r="D817" s="270" t="s">
        <v>33</v>
      </c>
      <c r="E817" s="131">
        <v>172068</v>
      </c>
      <c r="F817" s="111">
        <v>3</v>
      </c>
      <c r="G817" s="3">
        <f t="shared" si="169"/>
        <v>516204</v>
      </c>
      <c r="H817" s="24"/>
      <c r="I817" s="24"/>
      <c r="J817" s="24"/>
      <c r="K817" s="24"/>
      <c r="L817" s="24"/>
      <c r="M817" s="68"/>
    </row>
    <row r="818" spans="2:13" ht="12.95" customHeight="1" x14ac:dyDescent="0.3">
      <c r="B818" s="163" t="s">
        <v>152</v>
      </c>
      <c r="C818" s="163" t="s">
        <v>27</v>
      </c>
      <c r="D818" s="271" t="s">
        <v>39</v>
      </c>
      <c r="E818" s="131">
        <v>49698</v>
      </c>
      <c r="F818" s="101">
        <v>8</v>
      </c>
      <c r="G818" s="3">
        <f t="shared" si="169"/>
        <v>397584</v>
      </c>
      <c r="H818" s="24"/>
      <c r="I818" s="24"/>
      <c r="J818" s="24"/>
      <c r="K818" s="24"/>
      <c r="L818" s="24"/>
      <c r="M818" s="68"/>
    </row>
    <row r="819" spans="2:13" ht="12.95" customHeight="1" x14ac:dyDescent="0.3">
      <c r="B819" s="102" t="s">
        <v>23</v>
      </c>
      <c r="C819" s="240"/>
      <c r="D819" s="272"/>
      <c r="E819" s="40"/>
      <c r="F819" s="195"/>
      <c r="G819" s="45">
        <f>TRUNC(SUM(G816:G818))</f>
        <v>1139910</v>
      </c>
      <c r="H819" s="24"/>
      <c r="I819" s="24"/>
      <c r="J819" s="24"/>
      <c r="K819" s="24"/>
      <c r="L819" s="24"/>
      <c r="M819" s="68"/>
    </row>
    <row r="820" spans="2:13" ht="12.95" customHeight="1" x14ac:dyDescent="0.3">
      <c r="B820" s="156"/>
      <c r="C820" s="156"/>
      <c r="D820" s="270"/>
      <c r="E820" s="167"/>
      <c r="F820" s="111"/>
      <c r="G820" s="235"/>
      <c r="H820" s="24"/>
      <c r="I820" s="24"/>
      <c r="J820" s="24"/>
      <c r="K820" s="24"/>
      <c r="L820" s="24"/>
      <c r="M820" s="68"/>
    </row>
    <row r="821" spans="2:13" ht="12.95" customHeight="1" x14ac:dyDescent="0.3">
      <c r="B821" s="163" t="s">
        <v>152</v>
      </c>
      <c r="C821" s="163" t="s">
        <v>27</v>
      </c>
      <c r="D821" s="271" t="s">
        <v>39</v>
      </c>
      <c r="E821" s="131">
        <v>11117</v>
      </c>
      <c r="F821" s="101">
        <v>8</v>
      </c>
      <c r="G821" s="3">
        <f t="shared" ref="G821" si="170">TRUNC($E821*F821,1)</f>
        <v>88936</v>
      </c>
      <c r="H821" s="24"/>
      <c r="I821" s="24"/>
      <c r="J821" s="24"/>
      <c r="K821" s="24"/>
      <c r="L821" s="24"/>
      <c r="M821" s="68"/>
    </row>
    <row r="822" spans="2:13" ht="12.95" customHeight="1" x14ac:dyDescent="0.3">
      <c r="B822" s="136" t="s">
        <v>24</v>
      </c>
      <c r="C822" s="240"/>
      <c r="D822" s="272"/>
      <c r="E822" s="160"/>
      <c r="F822" s="160"/>
      <c r="G822" s="45">
        <f>TRUNC(G821)</f>
        <v>88936</v>
      </c>
      <c r="H822" s="24"/>
      <c r="I822" s="24"/>
      <c r="J822" s="24"/>
      <c r="K822" s="24"/>
      <c r="L822" s="24"/>
      <c r="M822" s="68"/>
    </row>
    <row r="823" spans="2:13" ht="12.95" customHeight="1" x14ac:dyDescent="0.3">
      <c r="B823" s="158"/>
      <c r="C823" s="240"/>
      <c r="D823" s="240"/>
      <c r="E823" s="160"/>
      <c r="F823" s="160"/>
      <c r="G823" s="35"/>
      <c r="H823" s="24"/>
      <c r="I823" s="24"/>
      <c r="J823" s="24"/>
      <c r="K823" s="24"/>
      <c r="L823" s="24"/>
      <c r="M823" s="68"/>
    </row>
    <row r="824" spans="2:13" ht="12.95" customHeight="1" x14ac:dyDescent="0.3">
      <c r="B824" s="117" t="s">
        <v>26</v>
      </c>
      <c r="C824" s="273"/>
      <c r="D824" s="273"/>
      <c r="E824" s="181"/>
      <c r="F824" s="181"/>
      <c r="G824" s="60">
        <f>SUM(G814+G819+G822)</f>
        <v>1302550</v>
      </c>
      <c r="H824" s="24"/>
      <c r="I824" s="24"/>
      <c r="J824" s="24"/>
      <c r="K824" s="24"/>
      <c r="L824" s="24"/>
      <c r="M824" s="68"/>
    </row>
    <row r="825" spans="2:13" ht="12.95" customHeight="1" x14ac:dyDescent="0.3">
      <c r="B825" s="24"/>
      <c r="C825" s="24"/>
      <c r="D825" s="24"/>
      <c r="E825" s="24"/>
      <c r="F825" s="24"/>
      <c r="G825" s="24"/>
      <c r="H825" s="24"/>
      <c r="I825" s="24"/>
      <c r="J825" s="24"/>
      <c r="K825" s="68"/>
      <c r="L825" s="24"/>
      <c r="M825" s="24"/>
    </row>
    <row r="826" spans="2:13" ht="12.95" customHeight="1" x14ac:dyDescent="0.3">
      <c r="B826" s="24" t="s">
        <v>154</v>
      </c>
      <c r="C826" s="24"/>
      <c r="D826" s="24"/>
      <c r="E826" s="161"/>
      <c r="F826" s="161"/>
      <c r="G826" s="161" t="s">
        <v>120</v>
      </c>
      <c r="H826" s="24"/>
      <c r="I826" s="24"/>
      <c r="J826" s="24"/>
      <c r="K826" s="68"/>
      <c r="L826" s="24"/>
      <c r="M826" s="24"/>
    </row>
    <row r="827" spans="2:13" ht="12.95" customHeight="1" x14ac:dyDescent="0.3">
      <c r="B827" s="324" t="s">
        <v>84</v>
      </c>
      <c r="C827" s="325" t="s">
        <v>31</v>
      </c>
      <c r="D827" s="316" t="s">
        <v>19</v>
      </c>
      <c r="E827" s="326" t="s">
        <v>67</v>
      </c>
      <c r="F827" s="326" t="s">
        <v>54</v>
      </c>
      <c r="G827" s="328" t="s">
        <v>32</v>
      </c>
      <c r="H827" s="24"/>
      <c r="I827" s="24"/>
      <c r="J827" s="24"/>
      <c r="K827" s="24"/>
      <c r="L827" s="24"/>
      <c r="M827" s="24"/>
    </row>
    <row r="828" spans="2:13" ht="12.95" customHeight="1" x14ac:dyDescent="0.3">
      <c r="B828" s="324"/>
      <c r="C828" s="325"/>
      <c r="D828" s="316"/>
      <c r="E828" s="327"/>
      <c r="F828" s="327"/>
      <c r="G828" s="329"/>
      <c r="H828" s="24"/>
      <c r="I828" s="24"/>
      <c r="J828" s="24"/>
      <c r="K828" s="24"/>
      <c r="L828" s="24"/>
      <c r="M828" s="24"/>
    </row>
    <row r="829" spans="2:13" ht="12.95" customHeight="1" x14ac:dyDescent="0.3">
      <c r="B829" s="185" t="s">
        <v>72</v>
      </c>
      <c r="C829" s="73" t="s">
        <v>112</v>
      </c>
      <c r="D829" s="186" t="s">
        <v>57</v>
      </c>
      <c r="E829" s="268">
        <v>48198</v>
      </c>
      <c r="F829" s="187">
        <v>8</v>
      </c>
      <c r="G829" s="3">
        <f t="shared" ref="G829:G830" si="171">TRUNC($E829*F829,1)</f>
        <v>385584</v>
      </c>
      <c r="H829" s="24"/>
      <c r="I829" s="24"/>
      <c r="J829" s="24"/>
      <c r="K829" s="24"/>
      <c r="L829" s="24"/>
      <c r="M829" s="24"/>
    </row>
    <row r="830" spans="2:13" ht="12.95" customHeight="1" x14ac:dyDescent="0.3">
      <c r="B830" s="163" t="s">
        <v>143</v>
      </c>
      <c r="C830" s="163" t="s">
        <v>40</v>
      </c>
      <c r="D830" s="234" t="s">
        <v>28</v>
      </c>
      <c r="E830" s="131">
        <v>10477</v>
      </c>
      <c r="F830" s="111">
        <v>8</v>
      </c>
      <c r="G830" s="3">
        <f t="shared" si="171"/>
        <v>83816</v>
      </c>
      <c r="H830" s="24"/>
      <c r="I830" s="24"/>
      <c r="J830" s="24"/>
      <c r="K830" s="24"/>
      <c r="L830" s="24"/>
      <c r="M830" s="24"/>
    </row>
    <row r="831" spans="2:13" ht="12.95" customHeight="1" x14ac:dyDescent="0.3">
      <c r="B831" s="136" t="s">
        <v>22</v>
      </c>
      <c r="C831" s="76"/>
      <c r="D831" s="77"/>
      <c r="E831" s="40"/>
      <c r="F831" s="111"/>
      <c r="G831" s="45">
        <f>TRUNC(SUM(G829:G830))</f>
        <v>469400</v>
      </c>
      <c r="H831" s="24"/>
      <c r="I831" s="24"/>
      <c r="J831" s="24"/>
      <c r="K831" s="24"/>
      <c r="L831" s="24"/>
      <c r="M831" s="24"/>
    </row>
    <row r="832" spans="2:13" ht="12.95" customHeight="1" x14ac:dyDescent="0.3">
      <c r="B832" s="75"/>
      <c r="C832" s="76"/>
      <c r="D832" s="77"/>
      <c r="E832" s="40"/>
      <c r="F832" s="111"/>
      <c r="G832" s="35"/>
      <c r="H832" s="24"/>
      <c r="I832" s="24"/>
      <c r="J832" s="24"/>
      <c r="K832" s="24"/>
      <c r="L832" s="24"/>
      <c r="M832" s="24"/>
    </row>
    <row r="833" spans="2:13" ht="12.95" customHeight="1" x14ac:dyDescent="0.3">
      <c r="B833" s="156" t="s">
        <v>98</v>
      </c>
      <c r="C833" s="167"/>
      <c r="D833" s="270" t="s">
        <v>33</v>
      </c>
      <c r="E833" s="131">
        <v>232562</v>
      </c>
      <c r="F833" s="111">
        <v>1</v>
      </c>
      <c r="G833" s="3">
        <f t="shared" ref="G833:G838" si="172">TRUNC($E833*F833,1)</f>
        <v>232562</v>
      </c>
      <c r="H833" s="24"/>
      <c r="I833" s="24"/>
      <c r="J833" s="24"/>
      <c r="K833" s="24"/>
      <c r="L833" s="24"/>
      <c r="M833" s="24"/>
    </row>
    <row r="834" spans="2:13" ht="12.95" customHeight="1" x14ac:dyDescent="0.3">
      <c r="B834" s="155" t="s">
        <v>13</v>
      </c>
      <c r="C834" s="78"/>
      <c r="D834" s="270" t="s">
        <v>33</v>
      </c>
      <c r="E834" s="131">
        <v>226122</v>
      </c>
      <c r="F834" s="111">
        <v>3</v>
      </c>
      <c r="G834" s="3">
        <f t="shared" si="172"/>
        <v>678366</v>
      </c>
      <c r="H834" s="24"/>
      <c r="I834" s="24"/>
      <c r="J834" s="24"/>
      <c r="K834" s="24"/>
      <c r="L834" s="24"/>
      <c r="M834" s="24"/>
    </row>
    <row r="835" spans="2:13" ht="12.95" customHeight="1" x14ac:dyDescent="0.3">
      <c r="B835" s="155" t="s">
        <v>4</v>
      </c>
      <c r="C835" s="78"/>
      <c r="D835" s="270" t="s">
        <v>33</v>
      </c>
      <c r="E835" s="131">
        <v>172068</v>
      </c>
      <c r="F835" s="111">
        <v>1</v>
      </c>
      <c r="G835" s="3">
        <f t="shared" si="172"/>
        <v>172068</v>
      </c>
      <c r="H835" s="24"/>
      <c r="I835" s="24"/>
      <c r="J835" s="24"/>
      <c r="K835" s="24"/>
      <c r="L835" s="24"/>
      <c r="M835" s="24"/>
    </row>
    <row r="836" spans="2:13" ht="12.95" customHeight="1" x14ac:dyDescent="0.3">
      <c r="B836" s="155" t="s">
        <v>118</v>
      </c>
      <c r="C836" s="29" t="s">
        <v>119</v>
      </c>
      <c r="D836" s="189" t="s">
        <v>57</v>
      </c>
      <c r="E836" s="131">
        <v>58925</v>
      </c>
      <c r="F836" s="111">
        <v>8</v>
      </c>
      <c r="G836" s="3">
        <f t="shared" si="172"/>
        <v>471400</v>
      </c>
      <c r="H836" s="24"/>
      <c r="I836" s="24"/>
      <c r="J836" s="24"/>
      <c r="K836" s="24"/>
      <c r="L836" s="24"/>
      <c r="M836" s="24"/>
    </row>
    <row r="837" spans="2:13" ht="12.95" customHeight="1" x14ac:dyDescent="0.3">
      <c r="B837" s="155" t="s">
        <v>72</v>
      </c>
      <c r="C837" s="29" t="s">
        <v>112</v>
      </c>
      <c r="D837" s="188" t="s">
        <v>39</v>
      </c>
      <c r="E837" s="131">
        <v>58925</v>
      </c>
      <c r="F837" s="111">
        <v>8</v>
      </c>
      <c r="G837" s="3">
        <f t="shared" si="172"/>
        <v>471400</v>
      </c>
      <c r="H837" s="24"/>
      <c r="I837" s="24"/>
      <c r="J837" s="24"/>
      <c r="K837" s="24"/>
      <c r="L837" s="24"/>
      <c r="M837" s="24"/>
    </row>
    <row r="838" spans="2:13" ht="12.95" customHeight="1" x14ac:dyDescent="0.3">
      <c r="B838" s="163" t="s">
        <v>6</v>
      </c>
      <c r="C838" s="163" t="s">
        <v>35</v>
      </c>
      <c r="D838" s="234" t="s">
        <v>28</v>
      </c>
      <c r="E838" s="131">
        <v>58925</v>
      </c>
      <c r="F838" s="111">
        <v>8</v>
      </c>
      <c r="G838" s="3">
        <f t="shared" si="172"/>
        <v>471400</v>
      </c>
      <c r="H838" s="24"/>
      <c r="I838" s="24"/>
      <c r="J838" s="24"/>
      <c r="K838" s="24"/>
      <c r="L838" s="24"/>
      <c r="M838" s="24"/>
    </row>
    <row r="839" spans="2:13" ht="12.95" customHeight="1" x14ac:dyDescent="0.3">
      <c r="B839" s="102" t="s">
        <v>23</v>
      </c>
      <c r="C839" s="192"/>
      <c r="D839" s="193"/>
      <c r="E839" s="194"/>
      <c r="F839" s="195"/>
      <c r="G839" s="45">
        <f>TRUNC(SUM(G833:G838))</f>
        <v>2497196</v>
      </c>
      <c r="H839" s="24"/>
      <c r="I839" s="24"/>
      <c r="J839" s="24"/>
      <c r="K839" s="24"/>
      <c r="L839" s="24"/>
      <c r="M839" s="24"/>
    </row>
    <row r="840" spans="2:13" ht="12.95" customHeight="1" x14ac:dyDescent="0.3">
      <c r="B840" s="196"/>
      <c r="C840" s="192"/>
      <c r="D840" s="193"/>
      <c r="E840" s="194"/>
      <c r="F840" s="195"/>
      <c r="G840" s="35"/>
      <c r="H840" s="24"/>
      <c r="I840" s="24"/>
      <c r="J840" s="24"/>
      <c r="K840" s="24"/>
      <c r="L840" s="24"/>
      <c r="M840" s="24"/>
    </row>
    <row r="841" spans="2:13" ht="12.95" customHeight="1" x14ac:dyDescent="0.3">
      <c r="B841" s="155" t="s">
        <v>118</v>
      </c>
      <c r="C841" s="29" t="s">
        <v>119</v>
      </c>
      <c r="D841" s="188" t="s">
        <v>39</v>
      </c>
      <c r="E841" s="80">
        <v>13065</v>
      </c>
      <c r="F841" s="111">
        <v>8</v>
      </c>
      <c r="G841" s="3">
        <f t="shared" ref="G841:G843" si="173">TRUNC($E841*F841,1)</f>
        <v>104520</v>
      </c>
      <c r="H841" s="24"/>
      <c r="I841" s="24"/>
      <c r="J841" s="24"/>
      <c r="K841" s="24"/>
      <c r="L841" s="24"/>
      <c r="M841" s="24"/>
    </row>
    <row r="842" spans="2:13" ht="12.95" customHeight="1" x14ac:dyDescent="0.3">
      <c r="B842" s="155" t="s">
        <v>72</v>
      </c>
      <c r="C842" s="29" t="s">
        <v>112</v>
      </c>
      <c r="D842" s="188" t="s">
        <v>39</v>
      </c>
      <c r="E842" s="131">
        <v>7914</v>
      </c>
      <c r="F842" s="111">
        <v>8</v>
      </c>
      <c r="G842" s="3">
        <f t="shared" si="173"/>
        <v>63312</v>
      </c>
      <c r="H842" s="24"/>
      <c r="I842" s="24"/>
      <c r="J842" s="24"/>
      <c r="K842" s="24"/>
      <c r="L842" s="24"/>
      <c r="M842" s="24"/>
    </row>
    <row r="843" spans="2:13" ht="12.95" customHeight="1" x14ac:dyDescent="0.3">
      <c r="B843" s="163" t="s">
        <v>6</v>
      </c>
      <c r="C843" s="163" t="s">
        <v>35</v>
      </c>
      <c r="D843" s="234" t="s">
        <v>28</v>
      </c>
      <c r="E843" s="131">
        <v>14120</v>
      </c>
      <c r="F843" s="111">
        <v>8</v>
      </c>
      <c r="G843" s="3">
        <f t="shared" si="173"/>
        <v>112960</v>
      </c>
      <c r="H843" s="24"/>
      <c r="I843" s="24"/>
      <c r="J843" s="24"/>
      <c r="K843" s="24"/>
      <c r="L843" s="24"/>
      <c r="M843" s="24"/>
    </row>
    <row r="844" spans="2:13" ht="12.95" customHeight="1" x14ac:dyDescent="0.3">
      <c r="B844" s="136" t="s">
        <v>24</v>
      </c>
      <c r="C844" s="192"/>
      <c r="D844" s="193"/>
      <c r="E844" s="194"/>
      <c r="F844" s="274"/>
      <c r="G844" s="45">
        <f>TRUNC(SUM(G841:G843))</f>
        <v>280792</v>
      </c>
      <c r="H844" s="24"/>
      <c r="I844" s="24"/>
      <c r="J844" s="24"/>
      <c r="K844" s="24"/>
      <c r="L844" s="24"/>
      <c r="M844" s="24"/>
    </row>
    <row r="845" spans="2:13" ht="12.95" customHeight="1" x14ac:dyDescent="0.3">
      <c r="B845" s="158"/>
      <c r="C845" s="52"/>
      <c r="D845" s="189"/>
      <c r="E845" s="30"/>
      <c r="F845" s="275"/>
      <c r="G845" s="70"/>
      <c r="H845" s="24"/>
      <c r="I845" s="24"/>
      <c r="J845" s="24"/>
      <c r="K845" s="24"/>
      <c r="L845" s="24"/>
      <c r="M845" s="24"/>
    </row>
    <row r="846" spans="2:13" ht="12.95" customHeight="1" x14ac:dyDescent="0.3">
      <c r="B846" s="117" t="s">
        <v>26</v>
      </c>
      <c r="C846" s="276"/>
      <c r="D846" s="277"/>
      <c r="E846" s="278"/>
      <c r="F846" s="279"/>
      <c r="G846" s="280">
        <f>SUM(G831+G839+G844)</f>
        <v>3247388</v>
      </c>
      <c r="H846" s="24"/>
      <c r="I846" s="24"/>
      <c r="J846" s="24"/>
      <c r="K846" s="24"/>
      <c r="L846" s="24"/>
      <c r="M846" s="24"/>
    </row>
    <row r="847" spans="2:13" ht="12.95" customHeight="1" x14ac:dyDescent="0.3">
      <c r="B847" s="24"/>
      <c r="C847" s="24"/>
      <c r="D847" s="24"/>
      <c r="E847" s="24"/>
      <c r="F847" s="24"/>
      <c r="G847" s="68"/>
      <c r="H847" s="24"/>
      <c r="I847" s="24"/>
      <c r="J847" s="24"/>
      <c r="K847" s="24"/>
      <c r="L847" s="24"/>
      <c r="M847" s="24"/>
    </row>
    <row r="848" spans="2:13" ht="12.95" customHeight="1" x14ac:dyDescent="0.3">
      <c r="B848" s="24" t="s">
        <v>155</v>
      </c>
      <c r="C848" s="24"/>
      <c r="D848" s="24"/>
      <c r="E848" s="24"/>
      <c r="F848" s="24"/>
      <c r="G848" s="161" t="s">
        <v>120</v>
      </c>
      <c r="H848" s="24"/>
      <c r="I848" s="24"/>
      <c r="J848" s="24"/>
      <c r="K848" s="24"/>
      <c r="L848" s="24"/>
      <c r="M848" s="24"/>
    </row>
    <row r="849" spans="2:13" ht="12.95" customHeight="1" x14ac:dyDescent="0.3">
      <c r="B849" s="324" t="s">
        <v>84</v>
      </c>
      <c r="C849" s="325" t="s">
        <v>31</v>
      </c>
      <c r="D849" s="316" t="s">
        <v>19</v>
      </c>
      <c r="E849" s="326" t="s">
        <v>67</v>
      </c>
      <c r="F849" s="326" t="s">
        <v>54</v>
      </c>
      <c r="G849" s="328" t="s">
        <v>32</v>
      </c>
      <c r="H849" s="24"/>
      <c r="I849" s="24"/>
      <c r="J849" s="24"/>
      <c r="K849" s="24"/>
      <c r="L849" s="24"/>
      <c r="M849" s="24"/>
    </row>
    <row r="850" spans="2:13" ht="12.95" customHeight="1" x14ac:dyDescent="0.3">
      <c r="B850" s="324"/>
      <c r="C850" s="325"/>
      <c r="D850" s="316"/>
      <c r="E850" s="327"/>
      <c r="F850" s="327"/>
      <c r="G850" s="329"/>
      <c r="H850" s="24"/>
      <c r="I850" s="24"/>
      <c r="J850" s="24"/>
      <c r="K850" s="24"/>
      <c r="L850" s="24"/>
      <c r="M850" s="24"/>
    </row>
    <row r="851" spans="2:13" ht="12.95" customHeight="1" x14ac:dyDescent="0.3">
      <c r="B851" s="230" t="s">
        <v>121</v>
      </c>
      <c r="C851" s="73" t="s">
        <v>108</v>
      </c>
      <c r="D851" s="186" t="s">
        <v>57</v>
      </c>
      <c r="E851" s="268">
        <v>9213</v>
      </c>
      <c r="F851" s="187">
        <v>8</v>
      </c>
      <c r="G851" s="3">
        <f t="shared" ref="G851" si="174">TRUNC($E851*F851,1)</f>
        <v>73704</v>
      </c>
      <c r="H851" s="24"/>
      <c r="I851" s="24"/>
      <c r="J851" s="24"/>
      <c r="K851" s="24"/>
      <c r="L851" s="24"/>
      <c r="M851" s="24"/>
    </row>
    <row r="852" spans="2:13" ht="12.95" customHeight="1" x14ac:dyDescent="0.3">
      <c r="B852" s="156" t="s">
        <v>20</v>
      </c>
      <c r="C852" s="78" t="s">
        <v>156</v>
      </c>
      <c r="D852" s="188" t="s">
        <v>61</v>
      </c>
      <c r="E852" s="131"/>
      <c r="F852" s="111">
        <v>1</v>
      </c>
      <c r="G852" s="70">
        <f>TRUNC(SUM(G855:G857)*0.11,1)</f>
        <v>101915.4</v>
      </c>
      <c r="H852" s="24"/>
      <c r="I852" s="24"/>
      <c r="J852" s="24"/>
      <c r="K852" s="24"/>
      <c r="L852" s="24"/>
      <c r="M852" s="24"/>
    </row>
    <row r="853" spans="2:13" ht="12.95" customHeight="1" x14ac:dyDescent="0.3">
      <c r="B853" s="136" t="s">
        <v>22</v>
      </c>
      <c r="C853" s="76"/>
      <c r="D853" s="77"/>
      <c r="E853" s="40"/>
      <c r="F853" s="111"/>
      <c r="G853" s="45">
        <f>TRUNC(SUM(G851:G852))</f>
        <v>175619</v>
      </c>
      <c r="H853" s="24"/>
      <c r="I853" s="24"/>
      <c r="J853" s="24"/>
      <c r="K853" s="24"/>
      <c r="L853" s="24"/>
      <c r="M853" s="24"/>
    </row>
    <row r="854" spans="2:13" ht="12.95" customHeight="1" x14ac:dyDescent="0.3">
      <c r="B854" s="281"/>
      <c r="C854" s="282"/>
      <c r="D854" s="282"/>
      <c r="E854" s="282"/>
      <c r="F854" s="283"/>
      <c r="G854" s="284"/>
      <c r="H854" s="24"/>
      <c r="I854" s="24"/>
      <c r="J854" s="24"/>
      <c r="K854" s="24"/>
      <c r="L854" s="24"/>
      <c r="M854" s="24"/>
    </row>
    <row r="855" spans="2:13" ht="12.95" customHeight="1" x14ac:dyDescent="0.3">
      <c r="B855" s="156" t="s">
        <v>98</v>
      </c>
      <c r="C855" s="167"/>
      <c r="D855" s="270" t="s">
        <v>33</v>
      </c>
      <c r="E855" s="131">
        <v>232562</v>
      </c>
      <c r="F855" s="111">
        <v>1</v>
      </c>
      <c r="G855" s="3">
        <f t="shared" ref="G855:G858" si="175">TRUNC($E855*F855,1)</f>
        <v>232562</v>
      </c>
      <c r="H855" s="24"/>
      <c r="I855" s="24"/>
      <c r="J855" s="24"/>
      <c r="K855" s="24"/>
      <c r="L855" s="24"/>
      <c r="M855" s="24"/>
    </row>
    <row r="856" spans="2:13" ht="12.95" customHeight="1" x14ac:dyDescent="0.3">
      <c r="B856" s="155" t="s">
        <v>62</v>
      </c>
      <c r="C856" s="78"/>
      <c r="D856" s="270" t="s">
        <v>33</v>
      </c>
      <c r="E856" s="171">
        <v>241698</v>
      </c>
      <c r="F856" s="111">
        <v>1</v>
      </c>
      <c r="G856" s="3">
        <f t="shared" si="175"/>
        <v>241698</v>
      </c>
      <c r="H856" s="24"/>
      <c r="I856" s="24"/>
      <c r="J856" s="24"/>
      <c r="K856" s="24"/>
      <c r="L856" s="24"/>
      <c r="M856" s="24"/>
    </row>
    <row r="857" spans="2:13" ht="12.95" customHeight="1" x14ac:dyDescent="0.3">
      <c r="B857" s="155" t="s">
        <v>13</v>
      </c>
      <c r="C857" s="78"/>
      <c r="D857" s="270" t="s">
        <v>33</v>
      </c>
      <c r="E857" s="131">
        <v>226122</v>
      </c>
      <c r="F857" s="111">
        <v>2</v>
      </c>
      <c r="G857" s="3">
        <f t="shared" si="175"/>
        <v>452244</v>
      </c>
      <c r="H857" s="24"/>
      <c r="I857" s="24"/>
      <c r="J857" s="24"/>
      <c r="K857" s="24"/>
      <c r="L857" s="24"/>
      <c r="M857" s="24"/>
    </row>
    <row r="858" spans="2:13" ht="12.95" customHeight="1" x14ac:dyDescent="0.3">
      <c r="B858" s="163" t="s">
        <v>121</v>
      </c>
      <c r="C858" s="29" t="s">
        <v>27</v>
      </c>
      <c r="D858" s="189" t="s">
        <v>57</v>
      </c>
      <c r="E858" s="131">
        <v>49698</v>
      </c>
      <c r="F858" s="111">
        <v>8</v>
      </c>
      <c r="G858" s="3">
        <f t="shared" si="175"/>
        <v>397584</v>
      </c>
      <c r="H858" s="24"/>
      <c r="I858" s="24"/>
      <c r="J858" s="24"/>
      <c r="K858" s="24"/>
      <c r="L858" s="24"/>
      <c r="M858" s="24"/>
    </row>
    <row r="859" spans="2:13" ht="12.95" customHeight="1" x14ac:dyDescent="0.3">
      <c r="B859" s="102" t="s">
        <v>23</v>
      </c>
      <c r="C859" s="192"/>
      <c r="D859" s="193"/>
      <c r="E859" s="194"/>
      <c r="F859" s="195"/>
      <c r="G859" s="45">
        <f>TRUNC(SUM(G855:G858))</f>
        <v>1324088</v>
      </c>
      <c r="H859" s="24"/>
      <c r="I859" s="24"/>
      <c r="J859" s="24"/>
      <c r="K859" s="24"/>
      <c r="L859" s="24"/>
      <c r="M859" s="24"/>
    </row>
    <row r="860" spans="2:13" ht="12.95" customHeight="1" x14ac:dyDescent="0.3">
      <c r="B860" s="196"/>
      <c r="C860" s="192"/>
      <c r="D860" s="193"/>
      <c r="E860" s="194"/>
      <c r="F860" s="195"/>
      <c r="G860" s="35"/>
      <c r="H860" s="24"/>
      <c r="I860" s="24"/>
      <c r="J860" s="24"/>
      <c r="K860" s="24"/>
      <c r="L860" s="24"/>
      <c r="M860" s="24"/>
    </row>
    <row r="861" spans="2:13" ht="12.95" customHeight="1" x14ac:dyDescent="0.3">
      <c r="B861" s="155" t="s">
        <v>122</v>
      </c>
      <c r="C861" s="29" t="s">
        <v>123</v>
      </c>
      <c r="D861" s="189" t="s">
        <v>57</v>
      </c>
      <c r="E861" s="80">
        <v>1262</v>
      </c>
      <c r="F861" s="111">
        <v>8</v>
      </c>
      <c r="G861" s="3">
        <f t="shared" ref="G861:G863" si="176">TRUNC($E861*F861,1)</f>
        <v>10096</v>
      </c>
      <c r="H861" s="24"/>
      <c r="I861" s="24"/>
      <c r="J861" s="24"/>
      <c r="K861" s="24"/>
      <c r="L861" s="24"/>
      <c r="M861" s="24"/>
    </row>
    <row r="862" spans="2:13" ht="12.95" customHeight="1" x14ac:dyDescent="0.3">
      <c r="B862" s="155" t="s">
        <v>124</v>
      </c>
      <c r="C862" s="29" t="s">
        <v>125</v>
      </c>
      <c r="D862" s="189" t="s">
        <v>57</v>
      </c>
      <c r="E862" s="80">
        <v>1779</v>
      </c>
      <c r="F862" s="111">
        <v>8</v>
      </c>
      <c r="G862" s="3">
        <f t="shared" si="176"/>
        <v>14232</v>
      </c>
      <c r="H862" s="24"/>
      <c r="I862" s="24"/>
      <c r="J862" s="24"/>
      <c r="K862" s="24"/>
      <c r="L862" s="24"/>
      <c r="M862" s="24"/>
    </row>
    <row r="863" spans="2:13" ht="12.95" customHeight="1" x14ac:dyDescent="0.3">
      <c r="B863" s="163" t="s">
        <v>121</v>
      </c>
      <c r="C863" s="29" t="s">
        <v>27</v>
      </c>
      <c r="D863" s="189" t="s">
        <v>57</v>
      </c>
      <c r="E863" s="131">
        <v>36594</v>
      </c>
      <c r="F863" s="111">
        <v>8</v>
      </c>
      <c r="G863" s="3">
        <f t="shared" si="176"/>
        <v>292752</v>
      </c>
      <c r="H863" s="24"/>
      <c r="I863" s="24"/>
      <c r="J863" s="24"/>
      <c r="K863" s="24"/>
      <c r="L863" s="24"/>
      <c r="M863" s="24"/>
    </row>
    <row r="864" spans="2:13" ht="12.95" customHeight="1" x14ac:dyDescent="0.3">
      <c r="B864" s="136" t="s">
        <v>24</v>
      </c>
      <c r="C864" s="192"/>
      <c r="D864" s="193"/>
      <c r="E864" s="194"/>
      <c r="F864" s="160"/>
      <c r="G864" s="45">
        <f>TRUNC(SUM(G861:G863))</f>
        <v>317080</v>
      </c>
      <c r="H864" s="24"/>
      <c r="I864" s="24"/>
      <c r="J864" s="24"/>
      <c r="K864" s="24"/>
      <c r="L864" s="24"/>
      <c r="M864" s="24"/>
    </row>
    <row r="865" spans="2:13" ht="12.95" customHeight="1" x14ac:dyDescent="0.3">
      <c r="B865" s="158"/>
      <c r="C865" s="52"/>
      <c r="D865" s="189"/>
      <c r="E865" s="30"/>
      <c r="F865" s="217"/>
      <c r="G865" s="70"/>
      <c r="H865" s="24"/>
      <c r="I865" s="24"/>
      <c r="J865" s="24"/>
      <c r="K865" s="24"/>
      <c r="L865" s="24"/>
      <c r="M865" s="24"/>
    </row>
    <row r="866" spans="2:13" ht="12.95" customHeight="1" x14ac:dyDescent="0.3">
      <c r="B866" s="117" t="s">
        <v>26</v>
      </c>
      <c r="C866" s="276"/>
      <c r="D866" s="277"/>
      <c r="E866" s="278"/>
      <c r="F866" s="276"/>
      <c r="G866" s="280">
        <f>G853+G859+G864</f>
        <v>1816787</v>
      </c>
      <c r="H866" s="24"/>
      <c r="I866" s="24"/>
      <c r="J866" s="24"/>
      <c r="K866" s="24"/>
      <c r="L866" s="24"/>
      <c r="M866" s="24"/>
    </row>
    <row r="867" spans="2:13" ht="12.95" customHeight="1" x14ac:dyDescent="0.3"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</row>
    <row r="868" spans="2:13" ht="12.95" customHeight="1" x14ac:dyDescent="0.3">
      <c r="B868" s="285" t="s">
        <v>262</v>
      </c>
      <c r="C868" s="152"/>
      <c r="D868" s="152"/>
      <c r="E868" s="152"/>
      <c r="F868" s="24"/>
      <c r="G868" s="24"/>
      <c r="H868" s="24"/>
      <c r="I868" s="24"/>
      <c r="J868" s="24"/>
      <c r="K868" s="24"/>
      <c r="L868" s="24"/>
      <c r="M868" s="24"/>
    </row>
    <row r="869" spans="2:13" ht="12.95" customHeight="1" x14ac:dyDescent="0.3">
      <c r="B869" s="152" t="s">
        <v>263</v>
      </c>
      <c r="C869" s="152"/>
      <c r="D869" s="202"/>
      <c r="E869" s="152"/>
      <c r="F869" s="202"/>
      <c r="G869" s="183" t="s">
        <v>30</v>
      </c>
      <c r="H869" s="202"/>
      <c r="I869" s="152"/>
      <c r="J869" s="202"/>
      <c r="K869" s="152"/>
      <c r="L869" s="24"/>
      <c r="M869" s="24"/>
    </row>
    <row r="870" spans="2:13" ht="12.95" customHeight="1" x14ac:dyDescent="0.3">
      <c r="B870" s="324" t="s">
        <v>84</v>
      </c>
      <c r="C870" s="325" t="s">
        <v>31</v>
      </c>
      <c r="D870" s="316" t="s">
        <v>19</v>
      </c>
      <c r="E870" s="326" t="s">
        <v>67</v>
      </c>
      <c r="F870" s="326" t="s">
        <v>54</v>
      </c>
      <c r="G870" s="328" t="s">
        <v>32</v>
      </c>
      <c r="H870" s="202"/>
      <c r="I870" s="152"/>
      <c r="J870" s="202"/>
      <c r="K870" s="152"/>
      <c r="L870" s="24"/>
      <c r="M870" s="24"/>
    </row>
    <row r="871" spans="2:13" ht="12.95" customHeight="1" x14ac:dyDescent="0.3">
      <c r="B871" s="324"/>
      <c r="C871" s="325"/>
      <c r="D871" s="316"/>
      <c r="E871" s="327"/>
      <c r="F871" s="327"/>
      <c r="G871" s="329"/>
      <c r="H871" s="202"/>
      <c r="I871" s="152"/>
      <c r="J871" s="202"/>
      <c r="K871" s="152"/>
      <c r="L871" s="24"/>
      <c r="M871" s="24"/>
    </row>
    <row r="872" spans="2:13" ht="12.95" customHeight="1" x14ac:dyDescent="0.3">
      <c r="B872" s="185" t="s">
        <v>38</v>
      </c>
      <c r="C872" s="73" t="s">
        <v>34</v>
      </c>
      <c r="D872" s="186" t="s">
        <v>57</v>
      </c>
      <c r="E872" s="74">
        <v>7951</v>
      </c>
      <c r="F872" s="286">
        <v>0.2</v>
      </c>
      <c r="G872" s="69">
        <f>TRUNC($E872*F872,1)</f>
        <v>1590.2</v>
      </c>
      <c r="H872" s="202"/>
      <c r="I872" s="152"/>
      <c r="J872" s="202"/>
      <c r="K872" s="152"/>
      <c r="L872" s="24"/>
      <c r="M872" s="24"/>
    </row>
    <row r="873" spans="2:13" ht="12.95" customHeight="1" x14ac:dyDescent="0.3">
      <c r="B873" s="136" t="s">
        <v>22</v>
      </c>
      <c r="C873" s="76"/>
      <c r="D873" s="77"/>
      <c r="E873" s="40"/>
      <c r="F873" s="167"/>
      <c r="G873" s="45">
        <f>TRUNC(SUM(G872:G872))</f>
        <v>1590</v>
      </c>
      <c r="H873" s="202"/>
      <c r="I873" s="152"/>
      <c r="J873" s="202"/>
      <c r="K873" s="152"/>
      <c r="L873" s="24"/>
      <c r="M873" s="24"/>
    </row>
    <row r="874" spans="2:13" ht="12.95" customHeight="1" x14ac:dyDescent="0.3">
      <c r="B874" s="75"/>
      <c r="C874" s="76"/>
      <c r="D874" s="77"/>
      <c r="E874" s="40"/>
      <c r="F874" s="167"/>
      <c r="G874" s="35"/>
      <c r="H874" s="202"/>
      <c r="I874" s="152"/>
      <c r="J874" s="202"/>
      <c r="K874" s="152"/>
      <c r="L874" s="24"/>
      <c r="M874" s="24"/>
    </row>
    <row r="875" spans="2:13" ht="12.95" customHeight="1" x14ac:dyDescent="0.3">
      <c r="B875" s="155" t="s">
        <v>13</v>
      </c>
      <c r="C875" s="78"/>
      <c r="D875" s="270" t="s">
        <v>33</v>
      </c>
      <c r="E875" s="131">
        <v>226122</v>
      </c>
      <c r="F875" s="217">
        <v>0.1</v>
      </c>
      <c r="G875" s="79">
        <f>TRUNC($E875*F875,1)</f>
        <v>22612.2</v>
      </c>
      <c r="H875" s="202"/>
      <c r="I875" s="152"/>
      <c r="J875" s="202"/>
      <c r="K875" s="152"/>
      <c r="L875" s="24"/>
      <c r="M875" s="24"/>
    </row>
    <row r="876" spans="2:13" ht="12.95" customHeight="1" x14ac:dyDescent="0.3">
      <c r="B876" s="155" t="s">
        <v>4</v>
      </c>
      <c r="C876" s="78"/>
      <c r="D876" s="270" t="s">
        <v>33</v>
      </c>
      <c r="E876" s="131">
        <v>172068</v>
      </c>
      <c r="F876" s="167">
        <v>0.06</v>
      </c>
      <c r="G876" s="79">
        <f>TRUNC($E876*F876,1)</f>
        <v>10324</v>
      </c>
      <c r="H876" s="202"/>
      <c r="I876" s="152"/>
      <c r="J876" s="202"/>
      <c r="K876" s="152"/>
      <c r="L876" s="24"/>
      <c r="M876" s="24"/>
    </row>
    <row r="877" spans="2:13" ht="12.95" customHeight="1" x14ac:dyDescent="0.3">
      <c r="B877" s="155" t="s">
        <v>8</v>
      </c>
      <c r="C877" s="287"/>
      <c r="D877" s="270" t="s">
        <v>33</v>
      </c>
      <c r="E877" s="131">
        <v>268187</v>
      </c>
      <c r="F877" s="217">
        <v>0.03</v>
      </c>
      <c r="G877" s="191">
        <f>TRUNC($E877*F877,1)</f>
        <v>8045.6</v>
      </c>
      <c r="H877" s="202"/>
      <c r="I877" s="152"/>
      <c r="J877" s="202"/>
      <c r="K877" s="152"/>
      <c r="L877" s="24"/>
      <c r="M877" s="24"/>
    </row>
    <row r="878" spans="2:13" ht="12.95" customHeight="1" x14ac:dyDescent="0.3">
      <c r="B878" s="155" t="s">
        <v>3</v>
      </c>
      <c r="C878" s="287"/>
      <c r="D878" s="270" t="s">
        <v>33</v>
      </c>
      <c r="E878" s="131">
        <v>275790</v>
      </c>
      <c r="F878" s="167">
        <v>0.04</v>
      </c>
      <c r="G878" s="191">
        <f>TRUNC($E878*F878,1)</f>
        <v>11031.6</v>
      </c>
      <c r="H878" s="202"/>
      <c r="I878" s="152"/>
      <c r="J878" s="202"/>
      <c r="K878" s="152"/>
      <c r="L878" s="24"/>
      <c r="M878" s="24"/>
    </row>
    <row r="879" spans="2:13" ht="12.95" customHeight="1" x14ac:dyDescent="0.3">
      <c r="B879" s="155" t="s">
        <v>37</v>
      </c>
      <c r="C879" s="29" t="s">
        <v>35</v>
      </c>
      <c r="D879" s="189" t="s">
        <v>57</v>
      </c>
      <c r="E879" s="80">
        <v>58925</v>
      </c>
      <c r="F879" s="217">
        <v>0.2</v>
      </c>
      <c r="G879" s="79">
        <f>TRUNC($E879*F879,1)</f>
        <v>11785</v>
      </c>
      <c r="H879" s="202"/>
      <c r="I879" s="152"/>
      <c r="J879" s="202"/>
      <c r="K879" s="152"/>
      <c r="L879" s="24"/>
      <c r="M879" s="24"/>
    </row>
    <row r="880" spans="2:13" ht="12.95" customHeight="1" x14ac:dyDescent="0.3">
      <c r="B880" s="102" t="s">
        <v>23</v>
      </c>
      <c r="C880" s="192"/>
      <c r="D880" s="193"/>
      <c r="E880" s="194"/>
      <c r="F880" s="160"/>
      <c r="G880" s="45">
        <f>TRUNC(SUM(G875:G879))</f>
        <v>63798</v>
      </c>
      <c r="H880" s="202"/>
      <c r="I880" s="152"/>
      <c r="J880" s="202"/>
      <c r="K880" s="152"/>
      <c r="L880" s="24"/>
      <c r="M880" s="24"/>
    </row>
    <row r="881" spans="2:13" ht="12.95" customHeight="1" x14ac:dyDescent="0.3">
      <c r="B881" s="196"/>
      <c r="C881" s="192"/>
      <c r="D881" s="193"/>
      <c r="E881" s="194"/>
      <c r="F881" s="160"/>
      <c r="G881" s="35"/>
      <c r="H881" s="202"/>
      <c r="I881" s="152"/>
      <c r="J881" s="202"/>
      <c r="K881" s="152"/>
      <c r="L881" s="24"/>
      <c r="M881" s="24"/>
    </row>
    <row r="882" spans="2:13" ht="12.95" customHeight="1" x14ac:dyDescent="0.3">
      <c r="B882" s="155" t="s">
        <v>37</v>
      </c>
      <c r="C882" s="29" t="s">
        <v>35</v>
      </c>
      <c r="D882" s="189" t="s">
        <v>57</v>
      </c>
      <c r="E882" s="80">
        <v>31344</v>
      </c>
      <c r="F882" s="217">
        <v>0.2</v>
      </c>
      <c r="G882" s="70">
        <f>TRUNC($E882*F882,1)</f>
        <v>6268.8</v>
      </c>
      <c r="H882" s="202"/>
      <c r="I882" s="152"/>
      <c r="J882" s="202"/>
      <c r="K882" s="152"/>
      <c r="L882" s="24"/>
      <c r="M882" s="24"/>
    </row>
    <row r="883" spans="2:13" ht="12.95" customHeight="1" x14ac:dyDescent="0.3">
      <c r="B883" s="136" t="s">
        <v>24</v>
      </c>
      <c r="C883" s="192"/>
      <c r="D883" s="193"/>
      <c r="E883" s="194"/>
      <c r="F883" s="160"/>
      <c r="G883" s="45">
        <f>TRUNC(SUM(G882:G882))</f>
        <v>6268</v>
      </c>
      <c r="H883" s="202"/>
      <c r="I883" s="152"/>
      <c r="J883" s="202"/>
      <c r="K883" s="152"/>
      <c r="L883" s="24"/>
      <c r="M883" s="24"/>
    </row>
    <row r="884" spans="2:13" ht="12.95" customHeight="1" x14ac:dyDescent="0.3">
      <c r="B884" s="158"/>
      <c r="C884" s="52"/>
      <c r="D884" s="189"/>
      <c r="E884" s="30"/>
      <c r="F884" s="217"/>
      <c r="G884" s="70"/>
      <c r="H884" s="202"/>
      <c r="I884" s="152"/>
      <c r="J884" s="202"/>
      <c r="K884" s="152"/>
      <c r="L884" s="24"/>
      <c r="M884" s="24"/>
    </row>
    <row r="885" spans="2:13" ht="12.95" customHeight="1" x14ac:dyDescent="0.3">
      <c r="B885" s="117" t="s">
        <v>26</v>
      </c>
      <c r="C885" s="276"/>
      <c r="D885" s="277"/>
      <c r="E885" s="278"/>
      <c r="F885" s="276"/>
      <c r="G885" s="280">
        <f>SUM(G873+G880+G883)</f>
        <v>71656</v>
      </c>
      <c r="H885" s="202"/>
      <c r="I885" s="152"/>
      <c r="J885" s="202"/>
      <c r="K885" s="152"/>
      <c r="L885" s="24"/>
      <c r="M885" s="24"/>
    </row>
    <row r="886" spans="2:13" ht="12.95" customHeight="1" x14ac:dyDescent="0.3">
      <c r="B886" s="152"/>
      <c r="C886" s="152"/>
      <c r="D886" s="202"/>
      <c r="E886" s="152"/>
      <c r="F886" s="202"/>
      <c r="G886" s="152"/>
      <c r="H886" s="202"/>
      <c r="I886" s="152"/>
      <c r="J886" s="202"/>
      <c r="K886" s="152"/>
      <c r="L886" s="24"/>
      <c r="M886" s="24"/>
    </row>
    <row r="887" spans="2:13" ht="12.95" customHeight="1" x14ac:dyDescent="0.3">
      <c r="B887" s="152" t="s">
        <v>264</v>
      </c>
      <c r="C887" s="152"/>
      <c r="D887" s="202"/>
      <c r="E887" s="152"/>
      <c r="F887" s="202"/>
      <c r="G887" s="183" t="s">
        <v>30</v>
      </c>
      <c r="H887" s="202"/>
      <c r="I887" s="152"/>
      <c r="J887" s="202"/>
      <c r="K887" s="152"/>
      <c r="L887" s="24"/>
      <c r="M887" s="24"/>
    </row>
    <row r="888" spans="2:13" ht="12.95" customHeight="1" x14ac:dyDescent="0.3">
      <c r="B888" s="324" t="s">
        <v>84</v>
      </c>
      <c r="C888" s="325" t="s">
        <v>31</v>
      </c>
      <c r="D888" s="316" t="s">
        <v>19</v>
      </c>
      <c r="E888" s="326" t="s">
        <v>67</v>
      </c>
      <c r="F888" s="326" t="s">
        <v>54</v>
      </c>
      <c r="G888" s="328" t="s">
        <v>32</v>
      </c>
      <c r="H888" s="202"/>
      <c r="I888" s="152"/>
      <c r="J888" s="202"/>
      <c r="K888" s="152"/>
      <c r="L888" s="24"/>
      <c r="M888" s="24"/>
    </row>
    <row r="889" spans="2:13" ht="12.95" customHeight="1" x14ac:dyDescent="0.3">
      <c r="B889" s="324"/>
      <c r="C889" s="325"/>
      <c r="D889" s="316"/>
      <c r="E889" s="327"/>
      <c r="F889" s="327"/>
      <c r="G889" s="329"/>
      <c r="H889" s="202"/>
      <c r="I889" s="152"/>
      <c r="J889" s="202"/>
      <c r="K889" s="152"/>
      <c r="L889" s="24"/>
      <c r="M889" s="24"/>
    </row>
    <row r="890" spans="2:13" ht="12.95" customHeight="1" x14ac:dyDescent="0.3">
      <c r="B890" s="185" t="s">
        <v>38</v>
      </c>
      <c r="C890" s="73" t="s">
        <v>34</v>
      </c>
      <c r="D890" s="186" t="s">
        <v>57</v>
      </c>
      <c r="E890" s="74">
        <v>7951</v>
      </c>
      <c r="F890" s="286">
        <v>0.5</v>
      </c>
      <c r="G890" s="69">
        <f>TRUNC($E890*F890,1)</f>
        <v>3975.5</v>
      </c>
      <c r="H890" s="202"/>
      <c r="I890" s="152"/>
      <c r="J890" s="202"/>
      <c r="K890" s="152"/>
      <c r="L890" s="24"/>
      <c r="M890" s="24"/>
    </row>
    <row r="891" spans="2:13" ht="12.95" customHeight="1" x14ac:dyDescent="0.3">
      <c r="B891" s="136" t="s">
        <v>22</v>
      </c>
      <c r="C891" s="76"/>
      <c r="D891" s="77"/>
      <c r="E891" s="40"/>
      <c r="F891" s="167"/>
      <c r="G891" s="45">
        <f>TRUNC(SUM(G890:G890))</f>
        <v>3975</v>
      </c>
      <c r="H891" s="202"/>
      <c r="I891" s="152"/>
      <c r="J891" s="202"/>
      <c r="K891" s="152"/>
      <c r="L891" s="24"/>
      <c r="M891" s="24"/>
    </row>
    <row r="892" spans="2:13" ht="12.95" customHeight="1" x14ac:dyDescent="0.3">
      <c r="B892" s="75"/>
      <c r="C892" s="76"/>
      <c r="D892" s="77"/>
      <c r="E892" s="40"/>
      <c r="F892" s="167"/>
      <c r="G892" s="35"/>
      <c r="H892" s="202"/>
      <c r="I892" s="152"/>
      <c r="J892" s="202"/>
      <c r="K892" s="152"/>
      <c r="L892" s="24"/>
      <c r="M892" s="24"/>
    </row>
    <row r="893" spans="2:13" ht="12.95" customHeight="1" x14ac:dyDescent="0.3">
      <c r="B893" s="155" t="s">
        <v>13</v>
      </c>
      <c r="C893" s="78"/>
      <c r="D893" s="270" t="s">
        <v>33</v>
      </c>
      <c r="E893" s="131">
        <v>226122</v>
      </c>
      <c r="F893" s="217">
        <v>0.21</v>
      </c>
      <c r="G893" s="79">
        <f>TRUNC($E893*F893,1)</f>
        <v>47485.599999999999</v>
      </c>
      <c r="H893" s="202"/>
      <c r="I893" s="152"/>
      <c r="J893" s="202"/>
      <c r="K893" s="152"/>
      <c r="L893" s="24"/>
      <c r="M893" s="24"/>
    </row>
    <row r="894" spans="2:13" ht="12.95" customHeight="1" x14ac:dyDescent="0.3">
      <c r="B894" s="155" t="s">
        <v>4</v>
      </c>
      <c r="C894" s="78"/>
      <c r="D894" s="270" t="s">
        <v>33</v>
      </c>
      <c r="E894" s="131">
        <v>172068</v>
      </c>
      <c r="F894" s="167">
        <v>0.09</v>
      </c>
      <c r="G894" s="79">
        <f>TRUNC($E894*F894,1)</f>
        <v>15486.1</v>
      </c>
      <c r="H894" s="202"/>
      <c r="I894" s="152"/>
      <c r="J894" s="202"/>
      <c r="K894" s="152"/>
      <c r="L894" s="24"/>
      <c r="M894" s="24"/>
    </row>
    <row r="895" spans="2:13" ht="12.95" customHeight="1" x14ac:dyDescent="0.3">
      <c r="B895" s="155" t="s">
        <v>37</v>
      </c>
      <c r="C895" s="29" t="s">
        <v>35</v>
      </c>
      <c r="D895" s="189" t="s">
        <v>57</v>
      </c>
      <c r="E895" s="80">
        <v>58925</v>
      </c>
      <c r="F895" s="217">
        <v>0.5</v>
      </c>
      <c r="G895" s="79">
        <f>TRUNC($E895*F895,1)</f>
        <v>29462.5</v>
      </c>
      <c r="H895" s="202"/>
      <c r="I895" s="152"/>
      <c r="J895" s="202"/>
      <c r="K895" s="152"/>
      <c r="L895" s="24"/>
      <c r="M895" s="24"/>
    </row>
    <row r="896" spans="2:13" ht="12.95" customHeight="1" x14ac:dyDescent="0.3">
      <c r="B896" s="102" t="s">
        <v>23</v>
      </c>
      <c r="C896" s="192"/>
      <c r="D896" s="193"/>
      <c r="E896" s="194"/>
      <c r="F896" s="160"/>
      <c r="G896" s="45">
        <f>TRUNC(SUM(G893:G895))</f>
        <v>92434</v>
      </c>
      <c r="H896" s="202"/>
      <c r="I896" s="152"/>
      <c r="J896" s="202"/>
      <c r="K896" s="152"/>
      <c r="L896" s="24"/>
      <c r="M896" s="24"/>
    </row>
    <row r="897" spans="2:13" ht="12.95" customHeight="1" x14ac:dyDescent="0.3">
      <c r="B897" s="196"/>
      <c r="C897" s="192"/>
      <c r="D897" s="193"/>
      <c r="E897" s="194"/>
      <c r="F897" s="160"/>
      <c r="G897" s="35"/>
      <c r="H897" s="202"/>
      <c r="I897" s="152"/>
      <c r="J897" s="202"/>
      <c r="K897" s="152"/>
      <c r="L897" s="24"/>
      <c r="M897" s="24"/>
    </row>
    <row r="898" spans="2:13" ht="12.95" customHeight="1" x14ac:dyDescent="0.3">
      <c r="B898" s="155" t="s">
        <v>37</v>
      </c>
      <c r="C898" s="29" t="s">
        <v>35</v>
      </c>
      <c r="D898" s="189" t="s">
        <v>57</v>
      </c>
      <c r="E898" s="80">
        <v>31344</v>
      </c>
      <c r="F898" s="217">
        <v>0.5</v>
      </c>
      <c r="G898" s="70">
        <f>TRUNC($E898*F898,1)</f>
        <v>15672</v>
      </c>
      <c r="H898" s="202"/>
      <c r="I898" s="152"/>
      <c r="J898" s="202"/>
      <c r="K898" s="152"/>
      <c r="L898" s="24"/>
      <c r="M898" s="24"/>
    </row>
    <row r="899" spans="2:13" ht="12.95" customHeight="1" x14ac:dyDescent="0.3">
      <c r="B899" s="136" t="s">
        <v>24</v>
      </c>
      <c r="C899" s="192"/>
      <c r="D899" s="193"/>
      <c r="E899" s="194"/>
      <c r="F899" s="160"/>
      <c r="G899" s="45">
        <f>TRUNC(SUM(G898:G898))</f>
        <v>15672</v>
      </c>
      <c r="H899" s="202"/>
      <c r="I899" s="152"/>
      <c r="J899" s="202"/>
      <c r="K899" s="152"/>
      <c r="L899" s="24"/>
      <c r="M899" s="24"/>
    </row>
    <row r="900" spans="2:13" ht="12.95" customHeight="1" x14ac:dyDescent="0.3">
      <c r="B900" s="158"/>
      <c r="C900" s="52"/>
      <c r="D900" s="189"/>
      <c r="E900" s="30"/>
      <c r="F900" s="217"/>
      <c r="G900" s="70"/>
      <c r="H900" s="202"/>
      <c r="I900" s="152"/>
      <c r="J900" s="202"/>
      <c r="K900" s="152"/>
      <c r="L900" s="24"/>
      <c r="M900" s="24"/>
    </row>
    <row r="901" spans="2:13" ht="12.95" customHeight="1" x14ac:dyDescent="0.3">
      <c r="B901" s="117" t="s">
        <v>26</v>
      </c>
      <c r="C901" s="276"/>
      <c r="D901" s="277"/>
      <c r="E901" s="278"/>
      <c r="F901" s="276"/>
      <c r="G901" s="280">
        <f>SUM(G891+G896+G899)</f>
        <v>112081</v>
      </c>
      <c r="H901" s="202"/>
      <c r="I901" s="152"/>
      <c r="J901" s="202"/>
      <c r="K901" s="152"/>
      <c r="L901" s="24"/>
      <c r="M901" s="24"/>
    </row>
    <row r="902" spans="2:13" ht="12.95" customHeight="1" x14ac:dyDescent="0.3">
      <c r="B902" s="152"/>
      <c r="C902" s="152"/>
      <c r="D902" s="202"/>
      <c r="E902" s="152"/>
      <c r="F902" s="202"/>
      <c r="G902" s="152"/>
      <c r="H902" s="202"/>
      <c r="I902" s="152"/>
      <c r="J902" s="202"/>
      <c r="K902" s="152"/>
      <c r="L902" s="24"/>
      <c r="M902" s="24"/>
    </row>
    <row r="903" spans="2:13" ht="12.95" customHeight="1" x14ac:dyDescent="0.3">
      <c r="B903" s="237" t="s">
        <v>265</v>
      </c>
      <c r="C903" s="24"/>
      <c r="D903" s="152"/>
      <c r="E903" s="152"/>
      <c r="F903" s="183"/>
      <c r="G903" s="183" t="s">
        <v>126</v>
      </c>
      <c r="H903" s="68"/>
      <c r="I903" s="68"/>
      <c r="J903" s="68"/>
      <c r="K903" s="68"/>
      <c r="L903" s="24"/>
      <c r="M903" s="24"/>
    </row>
    <row r="904" spans="2:13" ht="12.95" customHeight="1" x14ac:dyDescent="0.3">
      <c r="B904" s="324" t="s">
        <v>84</v>
      </c>
      <c r="C904" s="325" t="s">
        <v>31</v>
      </c>
      <c r="D904" s="316" t="s">
        <v>19</v>
      </c>
      <c r="E904" s="326" t="s">
        <v>67</v>
      </c>
      <c r="F904" s="326" t="s">
        <v>54</v>
      </c>
      <c r="G904" s="328" t="s">
        <v>32</v>
      </c>
      <c r="H904" s="24"/>
      <c r="I904" s="24"/>
      <c r="J904" s="24"/>
      <c r="K904" s="24"/>
      <c r="L904" s="24"/>
      <c r="M904" s="24"/>
    </row>
    <row r="905" spans="2:13" ht="12.95" customHeight="1" x14ac:dyDescent="0.3">
      <c r="B905" s="324"/>
      <c r="C905" s="325"/>
      <c r="D905" s="316"/>
      <c r="E905" s="327"/>
      <c r="F905" s="327"/>
      <c r="G905" s="329"/>
      <c r="H905" s="24"/>
      <c r="I905" s="24"/>
      <c r="J905" s="24"/>
      <c r="K905" s="24"/>
      <c r="L905" s="24"/>
      <c r="M905" s="24"/>
    </row>
    <row r="906" spans="2:13" ht="12.95" customHeight="1" x14ac:dyDescent="0.3">
      <c r="B906" s="156" t="s">
        <v>127</v>
      </c>
      <c r="C906" s="73" t="s">
        <v>128</v>
      </c>
      <c r="D906" s="81" t="s">
        <v>157</v>
      </c>
      <c r="E906" s="37">
        <v>0</v>
      </c>
      <c r="F906" s="215">
        <v>3.5999999999999997E-2</v>
      </c>
      <c r="G906" s="83">
        <f>TRUNC($E906*F906,1)</f>
        <v>0</v>
      </c>
      <c r="H906" s="24"/>
      <c r="I906" s="24"/>
      <c r="J906" s="24"/>
      <c r="K906" s="24"/>
      <c r="L906" s="152"/>
      <c r="M906" s="24"/>
    </row>
    <row r="907" spans="2:13" ht="12.95" customHeight="1" x14ac:dyDescent="0.3">
      <c r="B907" s="156" t="s">
        <v>49</v>
      </c>
      <c r="C907" s="78" t="s">
        <v>129</v>
      </c>
      <c r="D907" s="82" t="s">
        <v>61</v>
      </c>
      <c r="E907" s="37"/>
      <c r="F907" s="111">
        <v>1</v>
      </c>
      <c r="G907" s="70">
        <f>TRUNC(SUM(G906)*0.02,1)</f>
        <v>0</v>
      </c>
      <c r="H907" s="24"/>
      <c r="I907" s="24"/>
      <c r="J907" s="24"/>
      <c r="K907" s="24"/>
      <c r="L907" s="152"/>
      <c r="M907" s="24"/>
    </row>
    <row r="908" spans="2:13" ht="12.95" customHeight="1" x14ac:dyDescent="0.3">
      <c r="B908" s="156" t="s">
        <v>20</v>
      </c>
      <c r="C908" s="78" t="s">
        <v>158</v>
      </c>
      <c r="D908" s="82" t="s">
        <v>61</v>
      </c>
      <c r="E908" s="37"/>
      <c r="F908" s="111">
        <v>1</v>
      </c>
      <c r="G908" s="70">
        <f>TRUNC(SUM(G911:G912)*0.01,1)</f>
        <v>217</v>
      </c>
      <c r="H908" s="24"/>
      <c r="I908" s="24"/>
      <c r="J908" s="24"/>
      <c r="K908" s="24"/>
      <c r="L908" s="152"/>
      <c r="M908" s="24"/>
    </row>
    <row r="909" spans="2:13" ht="12.95" customHeight="1" x14ac:dyDescent="0.3">
      <c r="B909" s="136" t="s">
        <v>22</v>
      </c>
      <c r="C909" s="78"/>
      <c r="D909" s="82"/>
      <c r="E909" s="160"/>
      <c r="F909" s="58"/>
      <c r="G909" s="45">
        <f>TRUNC(SUM(G906:G908))</f>
        <v>217</v>
      </c>
      <c r="H909" s="24"/>
      <c r="I909" s="24"/>
      <c r="J909" s="24"/>
      <c r="K909" s="24"/>
      <c r="L909" s="198"/>
      <c r="M909" s="24"/>
    </row>
    <row r="910" spans="2:13" ht="12.95" customHeight="1" x14ac:dyDescent="0.3">
      <c r="B910" s="158"/>
      <c r="C910" s="219"/>
      <c r="D910" s="271"/>
      <c r="E910" s="160"/>
      <c r="F910" s="58"/>
      <c r="G910" s="35"/>
      <c r="H910" s="24"/>
      <c r="I910" s="24"/>
      <c r="J910" s="24"/>
      <c r="K910" s="24"/>
      <c r="L910" s="198"/>
      <c r="M910" s="24"/>
    </row>
    <row r="911" spans="2:13" ht="12.95" customHeight="1" x14ac:dyDescent="0.3">
      <c r="B911" s="155" t="s">
        <v>3</v>
      </c>
      <c r="C911" s="219"/>
      <c r="D911" s="271" t="s">
        <v>21</v>
      </c>
      <c r="E911" s="131">
        <v>275790</v>
      </c>
      <c r="F911" s="71">
        <v>0.06</v>
      </c>
      <c r="G911" s="79">
        <f>TRUNC($E911*F911,1)</f>
        <v>16547.400000000001</v>
      </c>
      <c r="H911" s="24"/>
      <c r="I911" s="24"/>
      <c r="J911" s="24"/>
      <c r="K911" s="24"/>
      <c r="L911" s="220"/>
      <c r="M911" s="24"/>
    </row>
    <row r="912" spans="2:13" ht="12.95" customHeight="1" x14ac:dyDescent="0.3">
      <c r="B912" s="156" t="s">
        <v>4</v>
      </c>
      <c r="C912" s="219"/>
      <c r="D912" s="271" t="s">
        <v>21</v>
      </c>
      <c r="E912" s="131">
        <v>172068</v>
      </c>
      <c r="F912" s="71">
        <v>0.03</v>
      </c>
      <c r="G912" s="79">
        <f>TRUNC($E912*F912,1)</f>
        <v>5162</v>
      </c>
      <c r="H912" s="24"/>
      <c r="I912" s="24"/>
      <c r="J912" s="24"/>
      <c r="K912" s="24"/>
      <c r="L912" s="220"/>
      <c r="M912" s="24"/>
    </row>
    <row r="913" spans="2:13" ht="12.95" customHeight="1" x14ac:dyDescent="0.3">
      <c r="B913" s="102" t="s">
        <v>23</v>
      </c>
      <c r="C913" s="219"/>
      <c r="D913" s="219"/>
      <c r="E913" s="40"/>
      <c r="F913" s="58"/>
      <c r="G913" s="45">
        <f>TRUNC(SUM(G911:G912))</f>
        <v>21709</v>
      </c>
      <c r="H913" s="24"/>
      <c r="I913" s="24"/>
      <c r="J913" s="24"/>
      <c r="K913" s="24"/>
      <c r="L913" s="220"/>
      <c r="M913" s="24"/>
    </row>
    <row r="914" spans="2:13" ht="12.95" customHeight="1" x14ac:dyDescent="0.3">
      <c r="B914" s="156"/>
      <c r="C914" s="219"/>
      <c r="D914" s="219"/>
      <c r="E914" s="165"/>
      <c r="F914" s="71"/>
      <c r="G914" s="33"/>
      <c r="H914" s="24"/>
      <c r="I914" s="24"/>
      <c r="J914" s="24"/>
      <c r="K914" s="24"/>
      <c r="L914" s="220"/>
      <c r="M914" s="24"/>
    </row>
    <row r="915" spans="2:13" ht="12.95" customHeight="1" x14ac:dyDescent="0.3">
      <c r="B915" s="117" t="s">
        <v>26</v>
      </c>
      <c r="C915" s="288"/>
      <c r="D915" s="288"/>
      <c r="E915" s="181"/>
      <c r="F915" s="181"/>
      <c r="G915" s="60">
        <f>TRUNC(G909+G913)</f>
        <v>21926</v>
      </c>
      <c r="H915" s="24"/>
      <c r="I915" s="24"/>
      <c r="J915" s="24"/>
      <c r="K915" s="24"/>
      <c r="L915" s="220"/>
      <c r="M915" s="24"/>
    </row>
    <row r="916" spans="2:13" ht="12.95" customHeight="1" x14ac:dyDescent="0.3">
      <c r="B916" s="24"/>
      <c r="C916" s="24"/>
      <c r="D916" s="24"/>
      <c r="E916" s="24"/>
      <c r="F916" s="24"/>
      <c r="G916" s="24"/>
      <c r="H916" s="24"/>
      <c r="I916" s="24"/>
      <c r="J916" s="24"/>
      <c r="K916" s="220"/>
      <c r="L916" s="24"/>
      <c r="M916" s="24"/>
    </row>
    <row r="917" spans="2:13" ht="12.95" customHeight="1" x14ac:dyDescent="0.3">
      <c r="B917" s="152" t="s">
        <v>266</v>
      </c>
      <c r="C917" s="53"/>
      <c r="D917" s="182"/>
      <c r="E917" s="53"/>
      <c r="F917" s="24"/>
      <c r="G917" s="183" t="s">
        <v>83</v>
      </c>
      <c r="H917" s="68"/>
      <c r="I917" s="68"/>
      <c r="J917" s="68"/>
      <c r="K917" s="68"/>
      <c r="L917" s="24"/>
      <c r="M917" s="24"/>
    </row>
    <row r="918" spans="2:13" ht="12.95" customHeight="1" x14ac:dyDescent="0.3">
      <c r="B918" s="324" t="s">
        <v>84</v>
      </c>
      <c r="C918" s="325" t="s">
        <v>31</v>
      </c>
      <c r="D918" s="316" t="s">
        <v>19</v>
      </c>
      <c r="E918" s="326" t="s">
        <v>67</v>
      </c>
      <c r="F918" s="326" t="s">
        <v>54</v>
      </c>
      <c r="G918" s="328" t="s">
        <v>32</v>
      </c>
      <c r="H918" s="68"/>
      <c r="I918" s="68"/>
      <c r="J918" s="68"/>
      <c r="K918" s="68"/>
      <c r="L918" s="24"/>
      <c r="M918" s="24"/>
    </row>
    <row r="919" spans="2:13" ht="12.95" customHeight="1" x14ac:dyDescent="0.3">
      <c r="B919" s="324"/>
      <c r="C919" s="325"/>
      <c r="D919" s="316"/>
      <c r="E919" s="327"/>
      <c r="F919" s="327"/>
      <c r="G919" s="329"/>
      <c r="H919" s="68"/>
      <c r="I919" s="68"/>
      <c r="J919" s="68"/>
      <c r="K919" s="68"/>
      <c r="L919" s="24"/>
      <c r="M919" s="24"/>
    </row>
    <row r="920" spans="2:13" ht="12.95" customHeight="1" x14ac:dyDescent="0.3">
      <c r="B920" s="185" t="s">
        <v>275</v>
      </c>
      <c r="C920" s="73" t="s">
        <v>130</v>
      </c>
      <c r="D920" s="186" t="s">
        <v>57</v>
      </c>
      <c r="E920" s="74">
        <v>18733</v>
      </c>
      <c r="F920" s="286">
        <v>0.31</v>
      </c>
      <c r="G920" s="69">
        <f>TRUNC($E920*F920,1)</f>
        <v>5807.2</v>
      </c>
      <c r="H920" s="68"/>
      <c r="I920" s="68"/>
      <c r="J920" s="68"/>
      <c r="K920" s="68"/>
      <c r="L920" s="24"/>
      <c r="M920" s="24"/>
    </row>
    <row r="921" spans="2:13" ht="12.95" customHeight="1" x14ac:dyDescent="0.3">
      <c r="B921" s="155" t="s">
        <v>159</v>
      </c>
      <c r="C921" s="78" t="s">
        <v>34</v>
      </c>
      <c r="D921" s="188" t="s">
        <v>39</v>
      </c>
      <c r="E921" s="80">
        <v>28181</v>
      </c>
      <c r="F921" s="167">
        <v>0.19</v>
      </c>
      <c r="G921" s="70">
        <f>TRUNC($E921*F921,1)</f>
        <v>5354.3</v>
      </c>
      <c r="H921" s="68"/>
      <c r="I921" s="68"/>
      <c r="J921" s="68"/>
      <c r="K921" s="68"/>
      <c r="L921" s="24"/>
      <c r="M921" s="24"/>
    </row>
    <row r="922" spans="2:13" ht="12.95" customHeight="1" x14ac:dyDescent="0.3">
      <c r="B922" s="190" t="s">
        <v>88</v>
      </c>
      <c r="C922" s="78" t="s">
        <v>89</v>
      </c>
      <c r="D922" s="188" t="s">
        <v>39</v>
      </c>
      <c r="E922" s="80">
        <v>3742</v>
      </c>
      <c r="F922" s="167">
        <v>0.18</v>
      </c>
      <c r="G922" s="70">
        <f>TRUNC($E922*F922,1)</f>
        <v>673.5</v>
      </c>
      <c r="H922" s="68"/>
      <c r="I922" s="68"/>
      <c r="J922" s="68"/>
      <c r="K922" s="68"/>
      <c r="L922" s="24"/>
      <c r="M922" s="24"/>
    </row>
    <row r="923" spans="2:13" ht="12.95" customHeight="1" x14ac:dyDescent="0.3">
      <c r="B923" s="136" t="s">
        <v>22</v>
      </c>
      <c r="C923" s="76"/>
      <c r="D923" s="77"/>
      <c r="E923" s="40"/>
      <c r="F923" s="167"/>
      <c r="G923" s="45">
        <f>TRUNC(SUM(G920:G922))</f>
        <v>11835</v>
      </c>
      <c r="H923" s="68"/>
      <c r="I923" s="68"/>
      <c r="J923" s="68"/>
      <c r="K923" s="68"/>
      <c r="L923" s="24"/>
      <c r="M923" s="24"/>
    </row>
    <row r="924" spans="2:13" ht="12.95" customHeight="1" x14ac:dyDescent="0.3">
      <c r="B924" s="75"/>
      <c r="C924" s="76"/>
      <c r="D924" s="77"/>
      <c r="E924" s="40"/>
      <c r="F924" s="167"/>
      <c r="G924" s="35"/>
      <c r="H924" s="68"/>
      <c r="I924" s="68"/>
      <c r="J924" s="68"/>
      <c r="K924" s="68"/>
      <c r="L924" s="24"/>
      <c r="M924" s="24"/>
    </row>
    <row r="925" spans="2:13" ht="12.95" customHeight="1" x14ac:dyDescent="0.3">
      <c r="B925" s="289" t="s">
        <v>25</v>
      </c>
      <c r="C925" s="287"/>
      <c r="D925" s="270" t="s">
        <v>33</v>
      </c>
      <c r="E925" s="290">
        <v>172068</v>
      </c>
      <c r="F925" s="167">
        <v>7.0000000000000007E-2</v>
      </c>
      <c r="G925" s="191">
        <f>TRUNC($E925*F925,1)</f>
        <v>12044.7</v>
      </c>
      <c r="H925" s="68"/>
      <c r="I925" s="68"/>
      <c r="J925" s="68"/>
      <c r="K925" s="68"/>
      <c r="L925" s="24"/>
      <c r="M925" s="24"/>
    </row>
    <row r="926" spans="2:13" ht="12.95" customHeight="1" x14ac:dyDescent="0.3">
      <c r="B926" s="155" t="s">
        <v>275</v>
      </c>
      <c r="C926" s="29" t="s">
        <v>12</v>
      </c>
      <c r="D926" s="189" t="s">
        <v>57</v>
      </c>
      <c r="E926" s="80">
        <v>58925</v>
      </c>
      <c r="F926" s="217">
        <v>0.31</v>
      </c>
      <c r="G926" s="79">
        <f>TRUNC($E926*F926,1)</f>
        <v>18266.7</v>
      </c>
      <c r="H926" s="68"/>
      <c r="I926" s="68"/>
      <c r="J926" s="68"/>
      <c r="K926" s="68"/>
      <c r="L926" s="24"/>
      <c r="M926" s="24"/>
    </row>
    <row r="927" spans="2:13" ht="12.95" customHeight="1" x14ac:dyDescent="0.3">
      <c r="B927" s="155" t="s">
        <v>11</v>
      </c>
      <c r="C927" s="78" t="s">
        <v>35</v>
      </c>
      <c r="D927" s="189" t="s">
        <v>57</v>
      </c>
      <c r="E927" s="80">
        <v>58925</v>
      </c>
      <c r="F927" s="167">
        <v>0.19</v>
      </c>
      <c r="G927" s="79">
        <f>TRUNC($E927*F927,1)</f>
        <v>11195.7</v>
      </c>
      <c r="H927" s="68"/>
      <c r="I927" s="68"/>
      <c r="J927" s="68"/>
      <c r="K927" s="68"/>
      <c r="L927" s="24"/>
      <c r="M927" s="24"/>
    </row>
    <row r="928" spans="2:13" ht="12.95" customHeight="1" x14ac:dyDescent="0.3">
      <c r="B928" s="190" t="s">
        <v>88</v>
      </c>
      <c r="C928" s="78" t="s">
        <v>160</v>
      </c>
      <c r="D928" s="189" t="s">
        <v>57</v>
      </c>
      <c r="E928" s="80">
        <v>36190</v>
      </c>
      <c r="F928" s="167">
        <v>0.18</v>
      </c>
      <c r="G928" s="79">
        <f>TRUNC($E928*F928,1)</f>
        <v>6514.2</v>
      </c>
      <c r="H928" s="68"/>
      <c r="I928" s="68"/>
      <c r="J928" s="68"/>
      <c r="K928" s="68"/>
      <c r="L928" s="24"/>
      <c r="M928" s="24"/>
    </row>
    <row r="929" spans="2:13" ht="12.95" customHeight="1" x14ac:dyDescent="0.3">
      <c r="B929" s="102" t="s">
        <v>23</v>
      </c>
      <c r="C929" s="192"/>
      <c r="D929" s="193"/>
      <c r="E929" s="194"/>
      <c r="F929" s="160"/>
      <c r="G929" s="45">
        <f>TRUNC(SUM(G925:G928))</f>
        <v>48021</v>
      </c>
      <c r="H929" s="68"/>
      <c r="I929" s="68"/>
      <c r="J929" s="68"/>
      <c r="K929" s="68"/>
      <c r="L929" s="24"/>
      <c r="M929" s="24"/>
    </row>
    <row r="930" spans="2:13" ht="12.95" customHeight="1" x14ac:dyDescent="0.3">
      <c r="B930" s="196"/>
      <c r="C930" s="192"/>
      <c r="D930" s="193"/>
      <c r="E930" s="194"/>
      <c r="F930" s="160"/>
      <c r="G930" s="35"/>
      <c r="H930" s="68"/>
      <c r="I930" s="68"/>
      <c r="J930" s="68"/>
      <c r="K930" s="68"/>
      <c r="L930" s="24"/>
      <c r="M930" s="24"/>
    </row>
    <row r="931" spans="2:13" ht="12.95" customHeight="1" x14ac:dyDescent="0.3">
      <c r="B931" s="155" t="s">
        <v>275</v>
      </c>
      <c r="C931" s="29" t="s">
        <v>12</v>
      </c>
      <c r="D931" s="189" t="s">
        <v>57</v>
      </c>
      <c r="E931" s="80">
        <v>23423</v>
      </c>
      <c r="F931" s="217">
        <v>0.31</v>
      </c>
      <c r="G931" s="70">
        <f>TRUNC($E931*F931,1)</f>
        <v>7261.1</v>
      </c>
      <c r="H931" s="68"/>
      <c r="I931" s="68"/>
      <c r="J931" s="68"/>
      <c r="K931" s="68"/>
      <c r="L931" s="24"/>
      <c r="M931" s="24"/>
    </row>
    <row r="932" spans="2:13" ht="12.95" customHeight="1" x14ac:dyDescent="0.3">
      <c r="B932" s="155" t="s">
        <v>11</v>
      </c>
      <c r="C932" s="78" t="s">
        <v>35</v>
      </c>
      <c r="D932" s="189" t="s">
        <v>57</v>
      </c>
      <c r="E932" s="80">
        <v>26662</v>
      </c>
      <c r="F932" s="167">
        <v>0.19</v>
      </c>
      <c r="G932" s="70">
        <f>TRUNC($E932*F932,1)</f>
        <v>5065.7</v>
      </c>
      <c r="H932" s="68"/>
      <c r="I932" s="68"/>
      <c r="J932" s="68"/>
      <c r="K932" s="68"/>
      <c r="L932" s="24"/>
      <c r="M932" s="24"/>
    </row>
    <row r="933" spans="2:13" ht="12.95" customHeight="1" x14ac:dyDescent="0.3">
      <c r="B933" s="190" t="s">
        <v>88</v>
      </c>
      <c r="C933" s="78" t="s">
        <v>160</v>
      </c>
      <c r="D933" s="189" t="s">
        <v>57</v>
      </c>
      <c r="E933" s="80">
        <v>1967</v>
      </c>
      <c r="F933" s="167">
        <v>0.18</v>
      </c>
      <c r="G933" s="70">
        <f>TRUNC($E933*F933,1)</f>
        <v>354</v>
      </c>
      <c r="H933" s="68"/>
      <c r="I933" s="68"/>
      <c r="J933" s="68"/>
      <c r="K933" s="68"/>
      <c r="L933" s="24"/>
      <c r="M933" s="24"/>
    </row>
    <row r="934" spans="2:13" ht="12.95" customHeight="1" x14ac:dyDescent="0.3">
      <c r="B934" s="136" t="s">
        <v>24</v>
      </c>
      <c r="C934" s="192"/>
      <c r="D934" s="193"/>
      <c r="E934" s="194"/>
      <c r="F934" s="160"/>
      <c r="G934" s="45">
        <f>TRUNC(SUM(G931:G933))</f>
        <v>12680</v>
      </c>
      <c r="H934" s="68"/>
      <c r="I934" s="68"/>
      <c r="J934" s="68"/>
      <c r="K934" s="68"/>
      <c r="L934" s="24"/>
      <c r="M934" s="24"/>
    </row>
    <row r="935" spans="2:13" ht="12.95" customHeight="1" x14ac:dyDescent="0.3">
      <c r="B935" s="158"/>
      <c r="C935" s="52"/>
      <c r="D935" s="189"/>
      <c r="E935" s="30"/>
      <c r="F935" s="217"/>
      <c r="G935" s="70"/>
      <c r="H935" s="68"/>
      <c r="I935" s="68"/>
      <c r="J935" s="68"/>
      <c r="K935" s="68"/>
      <c r="L935" s="24"/>
      <c r="M935" s="24"/>
    </row>
    <row r="936" spans="2:13" ht="12.95" customHeight="1" x14ac:dyDescent="0.3">
      <c r="B936" s="117" t="s">
        <v>26</v>
      </c>
      <c r="C936" s="276"/>
      <c r="D936" s="277"/>
      <c r="E936" s="278"/>
      <c r="F936" s="276"/>
      <c r="G936" s="280">
        <f>G923+G929+G934</f>
        <v>72536</v>
      </c>
      <c r="H936" s="68"/>
      <c r="I936" s="68"/>
      <c r="J936" s="68"/>
      <c r="K936" s="68"/>
      <c r="L936" s="24"/>
      <c r="M936" s="24"/>
    </row>
    <row r="937" spans="2:13" ht="12.95" customHeight="1" x14ac:dyDescent="0.3">
      <c r="B937" s="24"/>
      <c r="C937" s="24"/>
      <c r="D937" s="24"/>
      <c r="E937" s="24"/>
      <c r="F937" s="68"/>
      <c r="G937" s="68"/>
      <c r="H937" s="68"/>
      <c r="I937" s="68"/>
      <c r="J937" s="68"/>
      <c r="K937" s="68"/>
      <c r="L937" s="24"/>
      <c r="M937" s="24"/>
    </row>
    <row r="938" spans="2:13" ht="12.95" customHeight="1" x14ac:dyDescent="0.3">
      <c r="B938" s="291" t="s">
        <v>267</v>
      </c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</row>
    <row r="939" spans="2:13" ht="12.95" customHeight="1" x14ac:dyDescent="0.3">
      <c r="B939" s="172" t="s">
        <v>268</v>
      </c>
      <c r="C939" s="153"/>
      <c r="D939" s="24"/>
      <c r="E939" s="24"/>
      <c r="F939" s="24"/>
      <c r="G939" s="24"/>
      <c r="H939" s="24"/>
      <c r="I939" s="161"/>
      <c r="J939" s="68"/>
      <c r="K939" s="161" t="s">
        <v>131</v>
      </c>
      <c r="L939" s="24"/>
      <c r="M939" s="24"/>
    </row>
    <row r="940" spans="2:13" ht="12.95" customHeight="1" x14ac:dyDescent="0.3">
      <c r="B940" s="324" t="s">
        <v>84</v>
      </c>
      <c r="C940" s="325" t="s">
        <v>31</v>
      </c>
      <c r="D940" s="316" t="s">
        <v>19</v>
      </c>
      <c r="E940" s="326" t="s">
        <v>67</v>
      </c>
      <c r="F940" s="322" t="s">
        <v>132</v>
      </c>
      <c r="G940" s="324"/>
      <c r="H940" s="322" t="s">
        <v>161</v>
      </c>
      <c r="I940" s="324"/>
      <c r="J940" s="322" t="s">
        <v>162</v>
      </c>
      <c r="K940" s="323"/>
      <c r="L940" s="68"/>
      <c r="M940" s="68"/>
    </row>
    <row r="941" spans="2:13" ht="12.95" customHeight="1" x14ac:dyDescent="0.3">
      <c r="B941" s="324"/>
      <c r="C941" s="325"/>
      <c r="D941" s="316"/>
      <c r="E941" s="327"/>
      <c r="F941" s="176" t="s">
        <v>16</v>
      </c>
      <c r="G941" s="176" t="s">
        <v>17</v>
      </c>
      <c r="H941" s="176" t="s">
        <v>16</v>
      </c>
      <c r="I941" s="176" t="s">
        <v>17</v>
      </c>
      <c r="J941" s="176" t="s">
        <v>16</v>
      </c>
      <c r="K941" s="177" t="s">
        <v>17</v>
      </c>
      <c r="L941" s="68"/>
      <c r="M941" s="68"/>
    </row>
    <row r="942" spans="2:13" ht="12.95" customHeight="1" x14ac:dyDescent="0.3">
      <c r="B942" s="292" t="s">
        <v>275</v>
      </c>
      <c r="C942" s="292" t="s">
        <v>94</v>
      </c>
      <c r="D942" s="186" t="s">
        <v>57</v>
      </c>
      <c r="E942" s="10">
        <v>9107</v>
      </c>
      <c r="F942" s="11">
        <v>2.71</v>
      </c>
      <c r="G942" s="70">
        <f>TRUNC($E942*F942,1)</f>
        <v>24679.9</v>
      </c>
      <c r="H942" s="11">
        <v>3.54</v>
      </c>
      <c r="I942" s="70">
        <f>TRUNC($E942*H942,1)</f>
        <v>32238.7</v>
      </c>
      <c r="J942" s="11">
        <v>4.6100000000000003</v>
      </c>
      <c r="K942" s="70">
        <f>TRUNC($E942*J942,1)</f>
        <v>41983.199999999997</v>
      </c>
      <c r="L942" s="68"/>
      <c r="M942" s="68"/>
    </row>
    <row r="943" spans="2:13" ht="12.95" customHeight="1" x14ac:dyDescent="0.3">
      <c r="B943" s="292" t="s">
        <v>20</v>
      </c>
      <c r="C943" s="292" t="s">
        <v>163</v>
      </c>
      <c r="D943" s="293" t="s">
        <v>29</v>
      </c>
      <c r="E943" s="10"/>
      <c r="F943" s="13">
        <v>1</v>
      </c>
      <c r="G943" s="12">
        <f>TRUNC(SUM(G946:G947)*0.1,1)</f>
        <v>62969.4</v>
      </c>
      <c r="H943" s="13">
        <v>1</v>
      </c>
      <c r="I943" s="12">
        <f>TRUNC(SUM(I946:I947)*0.1,1)</f>
        <v>82264.5</v>
      </c>
      <c r="J943" s="13">
        <v>1</v>
      </c>
      <c r="K943" s="12">
        <f>TRUNC(SUM(K946:K947)*0.1,1)</f>
        <v>107403.6</v>
      </c>
      <c r="L943" s="68"/>
      <c r="M943" s="68"/>
    </row>
    <row r="944" spans="2:13" ht="12.95" customHeight="1" x14ac:dyDescent="0.3">
      <c r="B944" s="136" t="s">
        <v>22</v>
      </c>
      <c r="C944" s="294"/>
      <c r="D944" s="294"/>
      <c r="E944" s="14"/>
      <c r="F944" s="72"/>
      <c r="G944" s="20">
        <f>TRUNC(SUM(G942:G943))</f>
        <v>87649</v>
      </c>
      <c r="H944" s="84"/>
      <c r="I944" s="20">
        <f>TRUNC(SUM(I942:I943))</f>
        <v>114503</v>
      </c>
      <c r="J944" s="84"/>
      <c r="K944" s="20">
        <f>TRUNC(SUM(K942:K943))</f>
        <v>149386</v>
      </c>
      <c r="L944" s="68"/>
      <c r="M944" s="68"/>
    </row>
    <row r="945" spans="2:13" ht="12.95" customHeight="1" x14ac:dyDescent="0.3">
      <c r="B945" s="295"/>
      <c r="C945" s="294"/>
      <c r="D945" s="294"/>
      <c r="E945" s="14"/>
      <c r="F945" s="72"/>
      <c r="G945" s="15"/>
      <c r="H945" s="72"/>
      <c r="I945" s="15"/>
      <c r="J945" s="72"/>
      <c r="K945" s="15"/>
      <c r="L945" s="68"/>
      <c r="M945" s="68"/>
    </row>
    <row r="946" spans="2:13" ht="12.95" customHeight="1" x14ac:dyDescent="0.3">
      <c r="B946" s="98" t="s">
        <v>133</v>
      </c>
      <c r="C946" s="98"/>
      <c r="D946" s="270" t="s">
        <v>33</v>
      </c>
      <c r="E946" s="100">
        <v>253243</v>
      </c>
      <c r="F946" s="11">
        <v>2.14</v>
      </c>
      <c r="G946" s="70">
        <f>TRUNC($E946*F946,1)</f>
        <v>541940</v>
      </c>
      <c r="H946" s="11">
        <v>2.8</v>
      </c>
      <c r="I946" s="70">
        <f>TRUNC($E946*H946,1)</f>
        <v>709080.4</v>
      </c>
      <c r="J946" s="11">
        <v>3.65</v>
      </c>
      <c r="K946" s="70">
        <f>TRUNC($E946*J946,1)</f>
        <v>924336.9</v>
      </c>
      <c r="L946" s="214"/>
      <c r="M946" s="220"/>
    </row>
    <row r="947" spans="2:13" ht="12.95" customHeight="1" x14ac:dyDescent="0.3">
      <c r="B947" s="98" t="s">
        <v>4</v>
      </c>
      <c r="C947" s="98"/>
      <c r="D947" s="270" t="s">
        <v>33</v>
      </c>
      <c r="E947" s="100">
        <v>172068</v>
      </c>
      <c r="F947" s="11">
        <v>0.51</v>
      </c>
      <c r="G947" s="70">
        <f>TRUNC($E947*F947,1)</f>
        <v>87754.6</v>
      </c>
      <c r="H947" s="11">
        <v>0.66</v>
      </c>
      <c r="I947" s="70">
        <f>TRUNC($E947*H947,1)</f>
        <v>113564.8</v>
      </c>
      <c r="J947" s="11">
        <v>0.87</v>
      </c>
      <c r="K947" s="70">
        <f>TRUNC($E947*J947,1)</f>
        <v>149699.1</v>
      </c>
      <c r="L947" s="214"/>
      <c r="M947" s="220"/>
    </row>
    <row r="948" spans="2:13" ht="12.95" customHeight="1" x14ac:dyDescent="0.3">
      <c r="B948" s="98" t="s">
        <v>275</v>
      </c>
      <c r="C948" s="98" t="s">
        <v>10</v>
      </c>
      <c r="D948" s="189" t="s">
        <v>57</v>
      </c>
      <c r="E948" s="10">
        <v>58925</v>
      </c>
      <c r="F948" s="11">
        <v>2.71</v>
      </c>
      <c r="G948" s="70">
        <f>TRUNC($E948*F948,1)</f>
        <v>159686.70000000001</v>
      </c>
      <c r="H948" s="11">
        <v>3.54</v>
      </c>
      <c r="I948" s="70">
        <f>TRUNC($E948*H948,1)</f>
        <v>208594.5</v>
      </c>
      <c r="J948" s="11">
        <v>4.6100000000000003</v>
      </c>
      <c r="K948" s="70">
        <f>TRUNC($E948*J948,1)</f>
        <v>271644.2</v>
      </c>
      <c r="L948" s="214"/>
      <c r="M948" s="220"/>
    </row>
    <row r="949" spans="2:13" ht="12.95" customHeight="1" x14ac:dyDescent="0.3">
      <c r="B949" s="102" t="s">
        <v>23</v>
      </c>
      <c r="C949" s="294"/>
      <c r="D949" s="294"/>
      <c r="E949" s="296"/>
      <c r="F949" s="297"/>
      <c r="G949" s="20">
        <f>TRUNC(SUM(G946:G948))</f>
        <v>789381</v>
      </c>
      <c r="H949" s="298"/>
      <c r="I949" s="20">
        <f>TRUNC(SUM(I946:I948))</f>
        <v>1031239</v>
      </c>
      <c r="J949" s="298"/>
      <c r="K949" s="20">
        <f>TRUNC(SUM(K946:K948))</f>
        <v>1345680</v>
      </c>
      <c r="L949" s="214"/>
      <c r="M949" s="220"/>
    </row>
    <row r="950" spans="2:13" ht="12.95" customHeight="1" x14ac:dyDescent="0.3">
      <c r="B950" s="295"/>
      <c r="C950" s="294"/>
      <c r="D950" s="294"/>
      <c r="E950" s="296"/>
      <c r="F950" s="297"/>
      <c r="G950" s="15"/>
      <c r="H950" s="297"/>
      <c r="I950" s="15"/>
      <c r="J950" s="297"/>
      <c r="K950" s="15"/>
      <c r="L950" s="214"/>
      <c r="M950" s="220"/>
    </row>
    <row r="951" spans="2:13" ht="12.95" customHeight="1" x14ac:dyDescent="0.3">
      <c r="B951" s="98" t="s">
        <v>275</v>
      </c>
      <c r="C951" s="98" t="s">
        <v>10</v>
      </c>
      <c r="D951" s="189" t="s">
        <v>57</v>
      </c>
      <c r="E951" s="10">
        <v>13873</v>
      </c>
      <c r="F951" s="11">
        <v>2.71</v>
      </c>
      <c r="G951" s="70">
        <f>TRUNC($E951*F951,1)</f>
        <v>37595.800000000003</v>
      </c>
      <c r="H951" s="11">
        <v>3.54</v>
      </c>
      <c r="I951" s="70">
        <f>TRUNC($E951*H951,1)</f>
        <v>49110.400000000001</v>
      </c>
      <c r="J951" s="11">
        <v>4.6100000000000003</v>
      </c>
      <c r="K951" s="70">
        <f>TRUNC($E951*J951,1)</f>
        <v>63954.5</v>
      </c>
      <c r="L951" s="214"/>
      <c r="M951" s="220"/>
    </row>
    <row r="952" spans="2:13" ht="12.95" customHeight="1" x14ac:dyDescent="0.3">
      <c r="B952" s="98" t="s">
        <v>134</v>
      </c>
      <c r="C952" s="98" t="s">
        <v>10</v>
      </c>
      <c r="D952" s="189" t="s">
        <v>57</v>
      </c>
      <c r="E952" s="10">
        <v>3593</v>
      </c>
      <c r="F952" s="11">
        <v>2.71</v>
      </c>
      <c r="G952" s="70">
        <f>TRUNC($E952*F952,1)</f>
        <v>9737</v>
      </c>
      <c r="H952" s="11">
        <v>3.54</v>
      </c>
      <c r="I952" s="70">
        <f>TRUNC($E952*H952,1)</f>
        <v>12719.2</v>
      </c>
      <c r="J952" s="11">
        <v>4.6100000000000003</v>
      </c>
      <c r="K952" s="70">
        <f>TRUNC($E952*J952,1)</f>
        <v>16563.7</v>
      </c>
      <c r="L952" s="214"/>
      <c r="M952" s="220"/>
    </row>
    <row r="953" spans="2:13" ht="12.95" customHeight="1" x14ac:dyDescent="0.3">
      <c r="B953" s="136" t="s">
        <v>24</v>
      </c>
      <c r="C953" s="294"/>
      <c r="D953" s="294"/>
      <c r="E953" s="296"/>
      <c r="F953" s="296"/>
      <c r="G953" s="20">
        <f>TRUNC(SUM(G951:G952))</f>
        <v>47332</v>
      </c>
      <c r="H953" s="299"/>
      <c r="I953" s="20">
        <f>TRUNC(SUM(I951:I952))</f>
        <v>61829</v>
      </c>
      <c r="J953" s="299"/>
      <c r="K953" s="20">
        <f>TRUNC(SUM(K951:K952))</f>
        <v>80518</v>
      </c>
      <c r="L953" s="214"/>
      <c r="M953" s="220"/>
    </row>
    <row r="954" spans="2:13" ht="12.95" customHeight="1" x14ac:dyDescent="0.3">
      <c r="B954" s="295"/>
      <c r="C954" s="294"/>
      <c r="D954" s="294"/>
      <c r="E954" s="296"/>
      <c r="F954" s="296"/>
      <c r="G954" s="15"/>
      <c r="H954" s="296"/>
      <c r="I954" s="15"/>
      <c r="J954" s="296"/>
      <c r="K954" s="15"/>
      <c r="L954" s="214"/>
      <c r="M954" s="220"/>
    </row>
    <row r="955" spans="2:13" ht="12.95" customHeight="1" x14ac:dyDescent="0.3">
      <c r="B955" s="117" t="s">
        <v>26</v>
      </c>
      <c r="C955" s="300"/>
      <c r="D955" s="300"/>
      <c r="E955" s="301"/>
      <c r="F955" s="301"/>
      <c r="G955" s="16">
        <f>SUM(G944+G949+G953)</f>
        <v>924362</v>
      </c>
      <c r="H955" s="301"/>
      <c r="I955" s="16">
        <f>SUM(I944+I949+I953)</f>
        <v>1207571</v>
      </c>
      <c r="J955" s="301"/>
      <c r="K955" s="16">
        <f>SUM(K944+K949+K953)</f>
        <v>1575584</v>
      </c>
      <c r="L955" s="214"/>
      <c r="M955" s="220"/>
    </row>
    <row r="956" spans="2:13" ht="12.95" customHeight="1" x14ac:dyDescent="0.3">
      <c r="B956" s="152"/>
      <c r="C956" s="50"/>
      <c r="D956" s="152"/>
      <c r="E956" s="220"/>
      <c r="F956" s="214"/>
      <c r="G956" s="220"/>
      <c r="H956" s="214"/>
      <c r="I956" s="220"/>
      <c r="J956" s="214"/>
      <c r="K956" s="220"/>
      <c r="L956" s="24"/>
      <c r="M956" s="24"/>
    </row>
    <row r="957" spans="2:13" ht="12.95" customHeight="1" x14ac:dyDescent="0.3">
      <c r="B957" s="24" t="s">
        <v>269</v>
      </c>
      <c r="C957" s="24"/>
      <c r="D957" s="24"/>
      <c r="E957" s="24"/>
      <c r="F957" s="24"/>
      <c r="G957" s="183" t="s">
        <v>131</v>
      </c>
      <c r="H957" s="24"/>
      <c r="I957" s="24"/>
      <c r="J957" s="24"/>
      <c r="K957" s="24"/>
      <c r="L957" s="24"/>
      <c r="M957" s="24"/>
    </row>
    <row r="958" spans="2:13" ht="12.95" customHeight="1" x14ac:dyDescent="0.3">
      <c r="B958" s="324" t="s">
        <v>84</v>
      </c>
      <c r="C958" s="325" t="s">
        <v>31</v>
      </c>
      <c r="D958" s="316" t="s">
        <v>19</v>
      </c>
      <c r="E958" s="326" t="s">
        <v>67</v>
      </c>
      <c r="F958" s="326" t="s">
        <v>54</v>
      </c>
      <c r="G958" s="328" t="s">
        <v>32</v>
      </c>
      <c r="H958" s="24"/>
      <c r="I958" s="24"/>
      <c r="J958" s="24"/>
      <c r="K958" s="24"/>
      <c r="L958" s="24"/>
      <c r="M958" s="24"/>
    </row>
    <row r="959" spans="2:13" ht="12.95" customHeight="1" x14ac:dyDescent="0.3">
      <c r="B959" s="324"/>
      <c r="C959" s="325"/>
      <c r="D959" s="316"/>
      <c r="E959" s="327"/>
      <c r="F959" s="327"/>
      <c r="G959" s="329"/>
      <c r="H959" s="24"/>
      <c r="I959" s="24"/>
      <c r="J959" s="24"/>
      <c r="K959" s="24"/>
      <c r="L959" s="24"/>
      <c r="M959" s="24"/>
    </row>
    <row r="960" spans="2:13" ht="12.95" customHeight="1" x14ac:dyDescent="0.3">
      <c r="B960" s="98" t="s">
        <v>275</v>
      </c>
      <c r="C960" s="73" t="s">
        <v>85</v>
      </c>
      <c r="D960" s="186" t="s">
        <v>57</v>
      </c>
      <c r="E960" s="74">
        <v>9107</v>
      </c>
      <c r="F960" s="85">
        <v>3.76</v>
      </c>
      <c r="G960" s="69">
        <f>TRUNC($E960*F960,1)</f>
        <v>34242.300000000003</v>
      </c>
      <c r="H960" s="24"/>
      <c r="I960" s="24"/>
      <c r="J960" s="24"/>
      <c r="K960" s="24"/>
      <c r="L960" s="24"/>
      <c r="M960" s="24"/>
    </row>
    <row r="961" spans="2:13" ht="12.95" customHeight="1" x14ac:dyDescent="0.3">
      <c r="B961" s="136" t="s">
        <v>22</v>
      </c>
      <c r="C961" s="76"/>
      <c r="D961" s="77"/>
      <c r="E961" s="40"/>
      <c r="F961" s="22"/>
      <c r="G961" s="45">
        <f>TRUNC(SUM(G960:G960))</f>
        <v>34242</v>
      </c>
      <c r="H961" s="24"/>
      <c r="I961" s="24"/>
      <c r="J961" s="24"/>
      <c r="K961" s="24"/>
      <c r="L961" s="24"/>
      <c r="M961" s="24"/>
    </row>
    <row r="962" spans="2:13" ht="12.95" customHeight="1" x14ac:dyDescent="0.3">
      <c r="B962" s="75"/>
      <c r="C962" s="76"/>
      <c r="D962" s="77"/>
      <c r="E962" s="40"/>
      <c r="F962" s="22"/>
      <c r="G962" s="35"/>
      <c r="H962" s="24"/>
      <c r="I962" s="24"/>
      <c r="J962" s="24"/>
      <c r="K962" s="24"/>
      <c r="L962" s="24"/>
      <c r="M962" s="24"/>
    </row>
    <row r="963" spans="2:13" ht="12.95" customHeight="1" x14ac:dyDescent="0.3">
      <c r="B963" s="289" t="s">
        <v>25</v>
      </c>
      <c r="C963" s="287"/>
      <c r="D963" s="270" t="s">
        <v>33</v>
      </c>
      <c r="E963" s="290">
        <v>172068</v>
      </c>
      <c r="F963" s="22">
        <v>1.06</v>
      </c>
      <c r="G963" s="191">
        <f>TRUNC($E963*F963,1)</f>
        <v>182392</v>
      </c>
      <c r="H963" s="24"/>
      <c r="I963" s="24"/>
      <c r="J963" s="24"/>
      <c r="K963" s="24"/>
      <c r="L963" s="24"/>
      <c r="M963" s="24"/>
    </row>
    <row r="964" spans="2:13" ht="12.95" customHeight="1" x14ac:dyDescent="0.3">
      <c r="B964" s="98" t="s">
        <v>275</v>
      </c>
      <c r="C964" s="29" t="s">
        <v>10</v>
      </c>
      <c r="D964" s="189" t="s">
        <v>57</v>
      </c>
      <c r="E964" s="80">
        <v>58925</v>
      </c>
      <c r="F964" s="22">
        <v>3.76</v>
      </c>
      <c r="G964" s="79">
        <f>TRUNC($E964*F964,1)</f>
        <v>221558</v>
      </c>
      <c r="H964" s="24"/>
      <c r="I964" s="24"/>
      <c r="J964" s="24"/>
      <c r="K964" s="24"/>
      <c r="L964" s="24"/>
      <c r="M964" s="24"/>
    </row>
    <row r="965" spans="2:13" ht="12.95" customHeight="1" x14ac:dyDescent="0.3">
      <c r="B965" s="102" t="s">
        <v>23</v>
      </c>
      <c r="C965" s="192"/>
      <c r="D965" s="193"/>
      <c r="E965" s="194"/>
      <c r="F965" s="21"/>
      <c r="G965" s="45">
        <f>TRUNC(SUM(G963:G964))</f>
        <v>403950</v>
      </c>
      <c r="H965" s="24"/>
      <c r="I965" s="24"/>
      <c r="J965" s="24"/>
      <c r="K965" s="24"/>
      <c r="L965" s="24"/>
      <c r="M965" s="24"/>
    </row>
    <row r="966" spans="2:13" ht="12.95" customHeight="1" x14ac:dyDescent="0.3">
      <c r="B966" s="196"/>
      <c r="C966" s="192"/>
      <c r="D966" s="193"/>
      <c r="E966" s="194"/>
      <c r="F966" s="21"/>
      <c r="G966" s="35"/>
      <c r="H966" s="24"/>
      <c r="I966" s="24"/>
      <c r="J966" s="24"/>
      <c r="K966" s="24"/>
      <c r="L966" s="24"/>
      <c r="M966" s="24"/>
    </row>
    <row r="967" spans="2:13" ht="12.95" customHeight="1" x14ac:dyDescent="0.3">
      <c r="B967" s="98" t="s">
        <v>275</v>
      </c>
      <c r="C967" s="29" t="s">
        <v>10</v>
      </c>
      <c r="D967" s="189" t="s">
        <v>57</v>
      </c>
      <c r="E967" s="80">
        <v>13873</v>
      </c>
      <c r="F967" s="22">
        <v>3.76</v>
      </c>
      <c r="G967" s="70">
        <f>TRUNC($E967*F967,1)</f>
        <v>52162.400000000001</v>
      </c>
      <c r="H967" s="24"/>
      <c r="I967" s="24"/>
      <c r="J967" s="24"/>
      <c r="K967" s="24"/>
      <c r="L967" s="24"/>
      <c r="M967" s="24"/>
    </row>
    <row r="968" spans="2:13" ht="12.95" customHeight="1" x14ac:dyDescent="0.3">
      <c r="B968" s="155" t="s">
        <v>134</v>
      </c>
      <c r="C968" s="78" t="s">
        <v>10</v>
      </c>
      <c r="D968" s="189" t="s">
        <v>57</v>
      </c>
      <c r="E968" s="80">
        <v>3593</v>
      </c>
      <c r="F968" s="22">
        <v>3.76</v>
      </c>
      <c r="G968" s="70">
        <f>TRUNC($E968*F968,1)</f>
        <v>13509.6</v>
      </c>
      <c r="H968" s="24"/>
      <c r="I968" s="24"/>
      <c r="J968" s="24"/>
      <c r="K968" s="24"/>
      <c r="L968" s="24"/>
      <c r="M968" s="24"/>
    </row>
    <row r="969" spans="2:13" ht="12.95" customHeight="1" x14ac:dyDescent="0.3">
      <c r="B969" s="136" t="s">
        <v>24</v>
      </c>
      <c r="C969" s="192"/>
      <c r="D969" s="193"/>
      <c r="E969" s="194"/>
      <c r="F969" s="160"/>
      <c r="G969" s="45">
        <f>TRUNC(SUM(G967:G968))</f>
        <v>65672</v>
      </c>
      <c r="H969" s="24"/>
      <c r="I969" s="24"/>
      <c r="J969" s="24"/>
      <c r="K969" s="24"/>
      <c r="L969" s="24"/>
      <c r="M969" s="24"/>
    </row>
    <row r="970" spans="2:13" ht="12.95" customHeight="1" x14ac:dyDescent="0.3">
      <c r="B970" s="155"/>
      <c r="C970" s="52"/>
      <c r="D970" s="189"/>
      <c r="E970" s="30"/>
      <c r="F970" s="217"/>
      <c r="G970" s="70"/>
      <c r="H970" s="24"/>
      <c r="I970" s="24"/>
      <c r="J970" s="24"/>
      <c r="K970" s="24"/>
      <c r="L970" s="24"/>
      <c r="M970" s="24"/>
    </row>
    <row r="971" spans="2:13" ht="12.95" customHeight="1" x14ac:dyDescent="0.3">
      <c r="B971" s="117" t="s">
        <v>26</v>
      </c>
      <c r="C971" s="276"/>
      <c r="D971" s="277"/>
      <c r="E971" s="278"/>
      <c r="F971" s="276"/>
      <c r="G971" s="280">
        <f>SUM(G961+G965+G969)</f>
        <v>503864</v>
      </c>
      <c r="H971" s="24"/>
      <c r="I971" s="24"/>
      <c r="J971" s="24"/>
      <c r="K971" s="24"/>
      <c r="L971" s="24"/>
      <c r="M971" s="24"/>
    </row>
    <row r="972" spans="2:13" ht="12.95" customHeight="1" x14ac:dyDescent="0.3"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</row>
    <row r="973" spans="2:13" ht="12.95" customHeight="1" x14ac:dyDescent="0.3">
      <c r="B973" s="291" t="s">
        <v>270</v>
      </c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</row>
    <row r="974" spans="2:13" ht="12.95" customHeight="1" x14ac:dyDescent="0.3">
      <c r="B974" s="91" t="s">
        <v>271</v>
      </c>
      <c r="C974" s="91"/>
      <c r="D974" s="6"/>
      <c r="E974" s="6"/>
      <c r="F974" s="6"/>
      <c r="G974" s="260"/>
      <c r="I974" s="260" t="s">
        <v>111</v>
      </c>
      <c r="J974" s="24"/>
    </row>
    <row r="975" spans="2:13" ht="12.95" customHeight="1" x14ac:dyDescent="0.3">
      <c r="B975" s="312" t="s">
        <v>14</v>
      </c>
      <c r="C975" s="314" t="s">
        <v>31</v>
      </c>
      <c r="D975" s="316" t="s">
        <v>19</v>
      </c>
      <c r="E975" s="317" t="s">
        <v>15</v>
      </c>
      <c r="F975" s="319" t="s">
        <v>167</v>
      </c>
      <c r="G975" s="320"/>
      <c r="H975" s="319" t="s">
        <v>168</v>
      </c>
      <c r="I975" s="321"/>
      <c r="J975" s="24"/>
    </row>
    <row r="976" spans="2:13" ht="12.95" customHeight="1" x14ac:dyDescent="0.3">
      <c r="B976" s="313"/>
      <c r="C976" s="315"/>
      <c r="D976" s="316"/>
      <c r="E976" s="318"/>
      <c r="F976" s="176" t="s">
        <v>16</v>
      </c>
      <c r="G976" s="176" t="s">
        <v>17</v>
      </c>
      <c r="H976" s="176" t="s">
        <v>16</v>
      </c>
      <c r="I976" s="177" t="s">
        <v>17</v>
      </c>
    </row>
    <row r="977" spans="2:13" ht="12.95" customHeight="1" x14ac:dyDescent="0.3">
      <c r="B977" s="233" t="s">
        <v>164</v>
      </c>
      <c r="C977" s="129"/>
      <c r="D977" s="109" t="s">
        <v>21</v>
      </c>
      <c r="E977" s="131">
        <v>310884</v>
      </c>
      <c r="F977" s="302">
        <v>1</v>
      </c>
      <c r="G977" s="3">
        <f t="shared" ref="G977:G979" si="177">TRUNC($E977*F977,1)</f>
        <v>310884</v>
      </c>
      <c r="H977" s="302">
        <v>1</v>
      </c>
      <c r="I977" s="3">
        <f t="shared" ref="I977:I979" si="178">TRUNC($E977*H977,1)</f>
        <v>310884</v>
      </c>
    </row>
    <row r="978" spans="2:13" ht="12.95" customHeight="1" x14ac:dyDescent="0.3">
      <c r="B978" s="233" t="s">
        <v>166</v>
      </c>
      <c r="C978" s="129"/>
      <c r="D978" s="109" t="s">
        <v>21</v>
      </c>
      <c r="E978" s="131">
        <v>295138</v>
      </c>
      <c r="F978" s="302">
        <v>1</v>
      </c>
      <c r="G978" s="3">
        <f t="shared" si="177"/>
        <v>295138</v>
      </c>
      <c r="H978" s="302">
        <v>1</v>
      </c>
      <c r="I978" s="3">
        <f t="shared" si="178"/>
        <v>295138</v>
      </c>
    </row>
    <row r="979" spans="2:13" ht="12.95" customHeight="1" x14ac:dyDescent="0.3">
      <c r="B979" s="224" t="s">
        <v>165</v>
      </c>
      <c r="C979" s="129"/>
      <c r="D979" s="109" t="s">
        <v>21</v>
      </c>
      <c r="E979" s="131">
        <v>282536</v>
      </c>
      <c r="F979" s="302">
        <v>1</v>
      </c>
      <c r="G979" s="3">
        <f t="shared" si="177"/>
        <v>282536</v>
      </c>
      <c r="H979" s="302">
        <v>1</v>
      </c>
      <c r="I979" s="3">
        <f t="shared" si="178"/>
        <v>282536</v>
      </c>
    </row>
    <row r="980" spans="2:13" ht="12.95" customHeight="1" x14ac:dyDescent="0.3">
      <c r="B980" s="102" t="s">
        <v>23</v>
      </c>
      <c r="C980" s="241"/>
      <c r="D980" s="18"/>
      <c r="E980" s="241"/>
      <c r="F980" s="241"/>
      <c r="G980" s="19">
        <f>TRUNC(SUM(G977:G979))</f>
        <v>888558</v>
      </c>
      <c r="H980" s="303"/>
      <c r="I980" s="19">
        <f>TRUNC(SUM(I977:I979))</f>
        <v>888558</v>
      </c>
    </row>
    <row r="981" spans="2:13" ht="12.95" customHeight="1" x14ac:dyDescent="0.3">
      <c r="B981" s="129"/>
      <c r="C981" s="129"/>
      <c r="D981" s="7"/>
      <c r="E981" s="110"/>
      <c r="F981" s="110"/>
      <c r="G981" s="8"/>
      <c r="H981" s="110"/>
      <c r="I981" s="8"/>
      <c r="J981" s="4"/>
    </row>
    <row r="982" spans="2:13" ht="12.95" customHeight="1" x14ac:dyDescent="0.3">
      <c r="B982" s="117" t="s">
        <v>26</v>
      </c>
      <c r="C982" s="304"/>
      <c r="D982" s="9"/>
      <c r="E982" s="120"/>
      <c r="F982" s="121"/>
      <c r="G982" s="5">
        <f>SUM(G980)</f>
        <v>888558</v>
      </c>
      <c r="H982" s="121"/>
      <c r="I982" s="5">
        <f>SUM(I980)</f>
        <v>888558</v>
      </c>
      <c r="J982" s="4"/>
    </row>
    <row r="983" spans="2:13" ht="12.95" customHeight="1" x14ac:dyDescent="0.3">
      <c r="B983" s="24"/>
      <c r="C983" s="68"/>
      <c r="D983" s="68"/>
      <c r="E983" s="68"/>
      <c r="F983" s="24"/>
      <c r="G983" s="24"/>
      <c r="H983" s="24"/>
      <c r="I983" s="24"/>
      <c r="J983" s="68"/>
      <c r="K983" s="68"/>
      <c r="L983" s="24"/>
      <c r="M983" s="24"/>
    </row>
    <row r="984" spans="2:13" ht="12.95" customHeight="1" x14ac:dyDescent="0.3">
      <c r="B984" s="91" t="s">
        <v>273</v>
      </c>
      <c r="C984" s="91"/>
      <c r="D984" s="6"/>
      <c r="E984" s="6"/>
      <c r="F984" s="6"/>
      <c r="G984" s="260"/>
      <c r="I984" s="260" t="s">
        <v>111</v>
      </c>
      <c r="J984" s="24"/>
    </row>
    <row r="985" spans="2:13" ht="12.95" customHeight="1" x14ac:dyDescent="0.3">
      <c r="B985" s="312" t="s">
        <v>14</v>
      </c>
      <c r="C985" s="314" t="s">
        <v>31</v>
      </c>
      <c r="D985" s="316" t="s">
        <v>19</v>
      </c>
      <c r="E985" s="317" t="s">
        <v>15</v>
      </c>
      <c r="F985" s="319" t="s">
        <v>169</v>
      </c>
      <c r="G985" s="320"/>
      <c r="H985" s="319" t="s">
        <v>168</v>
      </c>
      <c r="I985" s="321"/>
      <c r="J985" s="24"/>
    </row>
    <row r="986" spans="2:13" ht="12.95" customHeight="1" x14ac:dyDescent="0.3">
      <c r="B986" s="313"/>
      <c r="C986" s="315"/>
      <c r="D986" s="316"/>
      <c r="E986" s="318"/>
      <c r="F986" s="176" t="s">
        <v>16</v>
      </c>
      <c r="G986" s="176" t="s">
        <v>17</v>
      </c>
      <c r="H986" s="176" t="s">
        <v>16</v>
      </c>
      <c r="I986" s="177" t="s">
        <v>17</v>
      </c>
    </row>
    <row r="987" spans="2:13" ht="12.95" customHeight="1" x14ac:dyDescent="0.3">
      <c r="B987" s="233" t="s">
        <v>164</v>
      </c>
      <c r="C987" s="129"/>
      <c r="D987" s="109" t="s">
        <v>21</v>
      </c>
      <c r="E987" s="131">
        <v>310884</v>
      </c>
      <c r="F987" s="302">
        <v>1</v>
      </c>
      <c r="G987" s="3">
        <f t="shared" ref="G987:G989" si="179">TRUNC($E987*F987,1)</f>
        <v>310884</v>
      </c>
      <c r="H987" s="302">
        <v>1</v>
      </c>
      <c r="I987" s="3">
        <f t="shared" ref="I987:I989" si="180">TRUNC($E987*H987,1)</f>
        <v>310884</v>
      </c>
    </row>
    <row r="988" spans="2:13" ht="12.95" customHeight="1" x14ac:dyDescent="0.3">
      <c r="B988" s="233" t="s">
        <v>166</v>
      </c>
      <c r="C988" s="129"/>
      <c r="D988" s="109" t="s">
        <v>21</v>
      </c>
      <c r="E988" s="131">
        <v>295138</v>
      </c>
      <c r="F988" s="302">
        <v>1</v>
      </c>
      <c r="G988" s="3">
        <f t="shared" si="179"/>
        <v>295138</v>
      </c>
      <c r="H988" s="302">
        <v>1</v>
      </c>
      <c r="I988" s="3">
        <f t="shared" si="180"/>
        <v>295138</v>
      </c>
    </row>
    <row r="989" spans="2:13" ht="12.95" customHeight="1" x14ac:dyDescent="0.3">
      <c r="B989" s="224" t="s">
        <v>165</v>
      </c>
      <c r="C989" s="129"/>
      <c r="D989" s="109" t="s">
        <v>21</v>
      </c>
      <c r="E989" s="131">
        <v>282536</v>
      </c>
      <c r="F989" s="302">
        <v>1</v>
      </c>
      <c r="G989" s="3">
        <f t="shared" si="179"/>
        <v>282536</v>
      </c>
      <c r="H989" s="302">
        <v>1</v>
      </c>
      <c r="I989" s="3">
        <f t="shared" si="180"/>
        <v>282536</v>
      </c>
    </row>
    <row r="990" spans="2:13" ht="12.95" customHeight="1" x14ac:dyDescent="0.3">
      <c r="B990" s="102" t="s">
        <v>23</v>
      </c>
      <c r="C990" s="241"/>
      <c r="D990" s="18"/>
      <c r="E990" s="241"/>
      <c r="F990" s="241"/>
      <c r="G990" s="19">
        <f>TRUNC(SUM(G987:G989))</f>
        <v>888558</v>
      </c>
      <c r="H990" s="303"/>
      <c r="I990" s="19">
        <f>TRUNC(SUM(I987:I989))</f>
        <v>888558</v>
      </c>
    </row>
    <row r="991" spans="2:13" ht="12.95" customHeight="1" x14ac:dyDescent="0.3">
      <c r="B991" s="129"/>
      <c r="C991" s="129"/>
      <c r="D991" s="7"/>
      <c r="E991" s="110"/>
      <c r="F991" s="110"/>
      <c r="G991" s="8"/>
      <c r="H991" s="110"/>
      <c r="I991" s="8"/>
      <c r="J991" s="4"/>
    </row>
    <row r="992" spans="2:13" ht="12.95" customHeight="1" x14ac:dyDescent="0.3">
      <c r="B992" s="117" t="s">
        <v>26</v>
      </c>
      <c r="C992" s="304"/>
      <c r="D992" s="9"/>
      <c r="E992" s="120"/>
      <c r="F992" s="121"/>
      <c r="G992" s="5">
        <f>SUM(G990)</f>
        <v>888558</v>
      </c>
      <c r="H992" s="121"/>
      <c r="I992" s="5">
        <f>SUM(I990)</f>
        <v>888558</v>
      </c>
      <c r="J992" s="4"/>
    </row>
    <row r="993" spans="2:10" ht="12.95" customHeight="1" x14ac:dyDescent="0.3">
      <c r="B993" s="24"/>
      <c r="C993" s="68"/>
      <c r="D993" s="68"/>
      <c r="E993" s="68"/>
      <c r="F993" s="24"/>
      <c r="G993" s="24"/>
      <c r="H993" s="24"/>
      <c r="I993" s="24"/>
      <c r="J993" s="68"/>
    </row>
    <row r="994" spans="2:10" ht="12.95" customHeight="1" x14ac:dyDescent="0.3">
      <c r="B994" s="91" t="s">
        <v>272</v>
      </c>
      <c r="C994" s="91"/>
      <c r="D994" s="6"/>
      <c r="E994" s="6"/>
      <c r="F994" s="6"/>
      <c r="G994" s="260"/>
      <c r="I994" s="260" t="s">
        <v>111</v>
      </c>
      <c r="J994" s="24"/>
    </row>
    <row r="995" spans="2:10" ht="12.95" customHeight="1" x14ac:dyDescent="0.3">
      <c r="B995" s="312" t="s">
        <v>14</v>
      </c>
      <c r="C995" s="314" t="s">
        <v>31</v>
      </c>
      <c r="D995" s="316" t="s">
        <v>19</v>
      </c>
      <c r="E995" s="317" t="s">
        <v>15</v>
      </c>
      <c r="F995" s="319" t="s">
        <v>167</v>
      </c>
      <c r="G995" s="320"/>
      <c r="H995" s="319" t="s">
        <v>168</v>
      </c>
      <c r="I995" s="321"/>
      <c r="J995" s="24"/>
    </row>
    <row r="996" spans="2:10" ht="12.95" customHeight="1" x14ac:dyDescent="0.3">
      <c r="B996" s="313"/>
      <c r="C996" s="315"/>
      <c r="D996" s="316"/>
      <c r="E996" s="318"/>
      <c r="F996" s="176" t="s">
        <v>16</v>
      </c>
      <c r="G996" s="176" t="s">
        <v>17</v>
      </c>
      <c r="H996" s="176" t="s">
        <v>16</v>
      </c>
      <c r="I996" s="177" t="s">
        <v>17</v>
      </c>
    </row>
    <row r="997" spans="2:10" ht="12.95" customHeight="1" x14ac:dyDescent="0.3">
      <c r="B997" s="233" t="s">
        <v>164</v>
      </c>
      <c r="C997" s="129"/>
      <c r="D997" s="109" t="s">
        <v>21</v>
      </c>
      <c r="E997" s="131">
        <v>310884</v>
      </c>
      <c r="F997" s="302">
        <v>1</v>
      </c>
      <c r="G997" s="3">
        <f t="shared" ref="G997:G999" si="181">TRUNC($E997*F997,1)</f>
        <v>310884</v>
      </c>
      <c r="H997" s="302">
        <v>1</v>
      </c>
      <c r="I997" s="3">
        <f t="shared" ref="I997:I999" si="182">TRUNC($E997*H997,1)</f>
        <v>310884</v>
      </c>
    </row>
    <row r="998" spans="2:10" ht="12.95" customHeight="1" x14ac:dyDescent="0.3">
      <c r="B998" s="233" t="s">
        <v>166</v>
      </c>
      <c r="C998" s="129"/>
      <c r="D998" s="109" t="s">
        <v>21</v>
      </c>
      <c r="E998" s="131">
        <v>295138</v>
      </c>
      <c r="F998" s="302">
        <v>1</v>
      </c>
      <c r="G998" s="3">
        <f t="shared" si="181"/>
        <v>295138</v>
      </c>
      <c r="H998" s="302">
        <v>1</v>
      </c>
      <c r="I998" s="3">
        <f t="shared" si="182"/>
        <v>295138</v>
      </c>
    </row>
    <row r="999" spans="2:10" ht="12.95" customHeight="1" x14ac:dyDescent="0.3">
      <c r="B999" s="224" t="s">
        <v>165</v>
      </c>
      <c r="C999" s="129"/>
      <c r="D999" s="109" t="s">
        <v>21</v>
      </c>
      <c r="E999" s="131">
        <v>282536</v>
      </c>
      <c r="F999" s="302">
        <v>1</v>
      </c>
      <c r="G999" s="3">
        <f t="shared" si="181"/>
        <v>282536</v>
      </c>
      <c r="H999" s="302">
        <v>1</v>
      </c>
      <c r="I999" s="3">
        <f t="shared" si="182"/>
        <v>282536</v>
      </c>
    </row>
    <row r="1000" spans="2:10" ht="12.95" customHeight="1" x14ac:dyDescent="0.3">
      <c r="B1000" s="102" t="s">
        <v>23</v>
      </c>
      <c r="C1000" s="241"/>
      <c r="D1000" s="18"/>
      <c r="E1000" s="241"/>
      <c r="F1000" s="241"/>
      <c r="G1000" s="19">
        <f>TRUNC(SUM(G997:G999))</f>
        <v>888558</v>
      </c>
      <c r="H1000" s="303"/>
      <c r="I1000" s="19">
        <f>TRUNC(SUM(I997:I999))</f>
        <v>888558</v>
      </c>
    </row>
    <row r="1001" spans="2:10" ht="12.95" customHeight="1" x14ac:dyDescent="0.3">
      <c r="B1001" s="129"/>
      <c r="C1001" s="129"/>
      <c r="D1001" s="7"/>
      <c r="E1001" s="110"/>
      <c r="F1001" s="110"/>
      <c r="G1001" s="8"/>
      <c r="H1001" s="110"/>
      <c r="I1001" s="8"/>
      <c r="J1001" s="4"/>
    </row>
    <row r="1002" spans="2:10" ht="12.95" customHeight="1" x14ac:dyDescent="0.3">
      <c r="B1002" s="117" t="s">
        <v>26</v>
      </c>
      <c r="C1002" s="304"/>
      <c r="D1002" s="9"/>
      <c r="E1002" s="120"/>
      <c r="F1002" s="121"/>
      <c r="G1002" s="5">
        <f>SUM(G1000)</f>
        <v>888558</v>
      </c>
      <c r="H1002" s="121"/>
      <c r="I1002" s="5">
        <f>SUM(I1000)</f>
        <v>888558</v>
      </c>
      <c r="J1002" s="4"/>
    </row>
    <row r="1003" spans="2:10" ht="12.95" customHeight="1" x14ac:dyDescent="0.3">
      <c r="B1003" s="24"/>
      <c r="C1003" s="68"/>
      <c r="D1003" s="68"/>
      <c r="E1003" s="68"/>
      <c r="F1003" s="24"/>
      <c r="G1003" s="24"/>
      <c r="H1003" s="24"/>
      <c r="I1003" s="24"/>
      <c r="J1003" s="68"/>
    </row>
    <row r="1004" spans="2:10" ht="12.95" customHeight="1" x14ac:dyDescent="0.3">
      <c r="B1004" s="91" t="s">
        <v>274</v>
      </c>
      <c r="C1004" s="91"/>
      <c r="D1004" s="6"/>
      <c r="E1004" s="6"/>
      <c r="F1004" s="6"/>
      <c r="G1004" s="260"/>
      <c r="I1004" s="260" t="s">
        <v>111</v>
      </c>
    </row>
    <row r="1005" spans="2:10" ht="12.95" customHeight="1" x14ac:dyDescent="0.3">
      <c r="B1005" s="312" t="s">
        <v>14</v>
      </c>
      <c r="C1005" s="314" t="s">
        <v>31</v>
      </c>
      <c r="D1005" s="316" t="s">
        <v>19</v>
      </c>
      <c r="E1005" s="317" t="s">
        <v>15</v>
      </c>
      <c r="F1005" s="319" t="s">
        <v>169</v>
      </c>
      <c r="G1005" s="320"/>
      <c r="H1005" s="319" t="s">
        <v>168</v>
      </c>
      <c r="I1005" s="321"/>
    </row>
    <row r="1006" spans="2:10" ht="12.95" customHeight="1" x14ac:dyDescent="0.3">
      <c r="B1006" s="313"/>
      <c r="C1006" s="315"/>
      <c r="D1006" s="316"/>
      <c r="E1006" s="318"/>
      <c r="F1006" s="176" t="s">
        <v>16</v>
      </c>
      <c r="G1006" s="176" t="s">
        <v>17</v>
      </c>
      <c r="H1006" s="176" t="s">
        <v>16</v>
      </c>
      <c r="I1006" s="177" t="s">
        <v>17</v>
      </c>
    </row>
    <row r="1007" spans="2:10" ht="12.95" customHeight="1" x14ac:dyDescent="0.3">
      <c r="B1007" s="233" t="s">
        <v>164</v>
      </c>
      <c r="C1007" s="129"/>
      <c r="D1007" s="109" t="s">
        <v>21</v>
      </c>
      <c r="E1007" s="131">
        <v>310884</v>
      </c>
      <c r="F1007" s="302">
        <v>1</v>
      </c>
      <c r="G1007" s="3">
        <f t="shared" ref="G1007:G1009" si="183">TRUNC($E1007*F1007,1)</f>
        <v>310884</v>
      </c>
      <c r="H1007" s="302">
        <v>1</v>
      </c>
      <c r="I1007" s="3">
        <f t="shared" ref="I1007:I1009" si="184">TRUNC($E1007*H1007,1)</f>
        <v>310884</v>
      </c>
    </row>
    <row r="1008" spans="2:10" ht="12.95" customHeight="1" x14ac:dyDescent="0.3">
      <c r="B1008" s="233" t="s">
        <v>166</v>
      </c>
      <c r="C1008" s="129"/>
      <c r="D1008" s="109" t="s">
        <v>21</v>
      </c>
      <c r="E1008" s="131">
        <v>295138</v>
      </c>
      <c r="F1008" s="302">
        <v>1</v>
      </c>
      <c r="G1008" s="3">
        <f t="shared" si="183"/>
        <v>295138</v>
      </c>
      <c r="H1008" s="302">
        <v>1</v>
      </c>
      <c r="I1008" s="3">
        <f t="shared" si="184"/>
        <v>295138</v>
      </c>
    </row>
    <row r="1009" spans="2:13" ht="12.95" customHeight="1" x14ac:dyDescent="0.3">
      <c r="B1009" s="224" t="s">
        <v>165</v>
      </c>
      <c r="C1009" s="129"/>
      <c r="D1009" s="109" t="s">
        <v>21</v>
      </c>
      <c r="E1009" s="131">
        <v>282536</v>
      </c>
      <c r="F1009" s="302">
        <v>1</v>
      </c>
      <c r="G1009" s="3">
        <f t="shared" si="183"/>
        <v>282536</v>
      </c>
      <c r="H1009" s="302">
        <v>1</v>
      </c>
      <c r="I1009" s="3">
        <f t="shared" si="184"/>
        <v>282536</v>
      </c>
    </row>
    <row r="1010" spans="2:13" ht="12.95" customHeight="1" x14ac:dyDescent="0.3">
      <c r="B1010" s="102" t="s">
        <v>23</v>
      </c>
      <c r="C1010" s="241"/>
      <c r="D1010" s="18"/>
      <c r="E1010" s="241"/>
      <c r="F1010" s="241"/>
      <c r="G1010" s="19">
        <f>TRUNC(SUM(G1007:G1009))</f>
        <v>888558</v>
      </c>
      <c r="H1010" s="303"/>
      <c r="I1010" s="19">
        <f>TRUNC(SUM(I1007:I1009))</f>
        <v>888558</v>
      </c>
    </row>
    <row r="1011" spans="2:13" ht="12.95" customHeight="1" x14ac:dyDescent="0.3">
      <c r="B1011" s="129"/>
      <c r="C1011" s="129"/>
      <c r="D1011" s="7"/>
      <c r="E1011" s="110"/>
      <c r="F1011" s="110"/>
      <c r="G1011" s="8"/>
      <c r="H1011" s="110"/>
      <c r="I1011" s="8"/>
    </row>
    <row r="1012" spans="2:13" ht="12.95" customHeight="1" x14ac:dyDescent="0.3">
      <c r="B1012" s="117" t="s">
        <v>26</v>
      </c>
      <c r="C1012" s="304"/>
      <c r="D1012" s="9"/>
      <c r="E1012" s="120"/>
      <c r="F1012" s="121"/>
      <c r="G1012" s="5">
        <f>SUM(G1010)</f>
        <v>888558</v>
      </c>
      <c r="H1012" s="121"/>
      <c r="I1012" s="5">
        <f>SUM(I1010)</f>
        <v>888558</v>
      </c>
    </row>
    <row r="1013" spans="2:13" ht="12.95" customHeight="1" x14ac:dyDescent="0.3">
      <c r="B1013" s="24"/>
      <c r="C1013" s="68"/>
      <c r="D1013" s="68"/>
      <c r="E1013" s="68"/>
      <c r="F1013" s="24"/>
      <c r="G1013" s="24"/>
      <c r="H1013" s="24"/>
      <c r="I1013" s="24"/>
    </row>
    <row r="1014" spans="2:13" ht="12.95" customHeight="1" x14ac:dyDescent="0.3">
      <c r="B1014" s="91" t="s">
        <v>284</v>
      </c>
      <c r="C1014" s="91"/>
      <c r="D1014" s="6"/>
      <c r="E1014" s="6"/>
      <c r="F1014" s="6"/>
      <c r="G1014" s="260"/>
      <c r="I1014" s="260"/>
      <c r="J1014" s="24"/>
    </row>
    <row r="1015" spans="2:13" ht="12.95" customHeight="1" x14ac:dyDescent="0.3">
      <c r="B1015" s="91" t="s">
        <v>285</v>
      </c>
      <c r="C1015" s="91"/>
      <c r="D1015" s="6"/>
      <c r="E1015" s="6"/>
      <c r="F1015" s="6"/>
      <c r="G1015" s="260"/>
      <c r="I1015" s="260" t="s">
        <v>111</v>
      </c>
      <c r="J1015" s="24"/>
    </row>
    <row r="1016" spans="2:13" ht="12.95" customHeight="1" x14ac:dyDescent="0.3">
      <c r="B1016" s="312" t="s">
        <v>14</v>
      </c>
      <c r="C1016" s="314" t="s">
        <v>31</v>
      </c>
      <c r="D1016" s="316" t="s">
        <v>19</v>
      </c>
      <c r="E1016" s="317" t="s">
        <v>15</v>
      </c>
      <c r="F1016" s="319" t="s">
        <v>167</v>
      </c>
      <c r="G1016" s="320"/>
      <c r="H1016" s="319" t="s">
        <v>168</v>
      </c>
      <c r="I1016" s="321"/>
      <c r="J1016" s="24"/>
    </row>
    <row r="1017" spans="2:13" ht="12.95" customHeight="1" x14ac:dyDescent="0.3">
      <c r="B1017" s="313"/>
      <c r="C1017" s="315"/>
      <c r="D1017" s="316"/>
      <c r="E1017" s="318"/>
      <c r="F1017" s="176" t="s">
        <v>16</v>
      </c>
      <c r="G1017" s="176" t="s">
        <v>17</v>
      </c>
      <c r="H1017" s="176" t="s">
        <v>16</v>
      </c>
      <c r="I1017" s="177" t="s">
        <v>17</v>
      </c>
    </row>
    <row r="1018" spans="2:13" ht="12.95" customHeight="1" x14ac:dyDescent="0.3">
      <c r="B1018" s="233" t="s">
        <v>164</v>
      </c>
      <c r="C1018" s="129"/>
      <c r="D1018" s="109" t="s">
        <v>21</v>
      </c>
      <c r="E1018" s="131">
        <v>310884</v>
      </c>
      <c r="F1018" s="302">
        <v>1</v>
      </c>
      <c r="G1018" s="3">
        <f t="shared" ref="G1018:G1019" si="185">TRUNC($E1018*F1018,1)</f>
        <v>310884</v>
      </c>
      <c r="H1018" s="302">
        <v>1</v>
      </c>
      <c r="I1018" s="3">
        <f t="shared" ref="I1018:I1019" si="186">TRUNC($E1018*H1018,1)</f>
        <v>310884</v>
      </c>
    </row>
    <row r="1019" spans="2:13" ht="12.95" customHeight="1" x14ac:dyDescent="0.3">
      <c r="B1019" s="233" t="s">
        <v>166</v>
      </c>
      <c r="C1019" s="129"/>
      <c r="D1019" s="109" t="s">
        <v>21</v>
      </c>
      <c r="E1019" s="131">
        <v>295138</v>
      </c>
      <c r="F1019" s="302">
        <v>1</v>
      </c>
      <c r="G1019" s="3">
        <f t="shared" si="185"/>
        <v>295138</v>
      </c>
      <c r="H1019" s="302">
        <v>1</v>
      </c>
      <c r="I1019" s="3">
        <f t="shared" si="186"/>
        <v>295138</v>
      </c>
    </row>
    <row r="1020" spans="2:13" ht="12.95" customHeight="1" x14ac:dyDescent="0.3">
      <c r="B1020" s="102" t="s">
        <v>23</v>
      </c>
      <c r="C1020" s="241"/>
      <c r="D1020" s="18"/>
      <c r="E1020" s="241"/>
      <c r="F1020" s="241"/>
      <c r="G1020" s="19">
        <f>TRUNC(SUM(G1018:G1019))</f>
        <v>606022</v>
      </c>
      <c r="H1020" s="303"/>
      <c r="I1020" s="19">
        <f>TRUNC(SUM(I1018:I1019))</f>
        <v>606022</v>
      </c>
    </row>
    <row r="1021" spans="2:13" ht="12.95" customHeight="1" x14ac:dyDescent="0.3">
      <c r="B1021" s="129"/>
      <c r="C1021" s="129"/>
      <c r="D1021" s="7"/>
      <c r="E1021" s="110"/>
      <c r="F1021" s="110"/>
      <c r="G1021" s="8"/>
      <c r="H1021" s="110"/>
      <c r="I1021" s="8"/>
      <c r="J1021" s="4"/>
    </row>
    <row r="1022" spans="2:13" ht="12.95" customHeight="1" x14ac:dyDescent="0.3">
      <c r="B1022" s="117" t="s">
        <v>26</v>
      </c>
      <c r="C1022" s="304"/>
      <c r="D1022" s="9"/>
      <c r="E1022" s="120"/>
      <c r="F1022" s="121"/>
      <c r="G1022" s="5">
        <f>SUM(G1020)</f>
        <v>606022</v>
      </c>
      <c r="H1022" s="121"/>
      <c r="I1022" s="5">
        <f>SUM(I1020)</f>
        <v>606022</v>
      </c>
      <c r="J1022" s="4"/>
    </row>
    <row r="1023" spans="2:13" ht="12.95" customHeight="1" x14ac:dyDescent="0.3">
      <c r="B1023" s="24"/>
      <c r="C1023" s="68"/>
      <c r="D1023" s="68"/>
      <c r="E1023" s="68"/>
      <c r="F1023" s="24"/>
      <c r="G1023" s="24"/>
      <c r="H1023" s="24"/>
      <c r="I1023" s="24"/>
      <c r="J1023" s="68"/>
    </row>
    <row r="1024" spans="2:13" ht="12.95" customHeight="1" x14ac:dyDescent="0.3">
      <c r="B1024" s="91" t="s">
        <v>286</v>
      </c>
      <c r="C1024" s="53"/>
      <c r="D1024" s="182"/>
      <c r="E1024" s="53"/>
      <c r="F1024" s="24"/>
      <c r="G1024" s="260" t="s">
        <v>111</v>
      </c>
      <c r="H1024" s="68"/>
      <c r="I1024" s="68"/>
      <c r="J1024" s="68"/>
      <c r="K1024" s="68"/>
      <c r="L1024" s="24"/>
      <c r="M1024" s="24"/>
    </row>
    <row r="1025" spans="2:13" ht="12.95" customHeight="1" x14ac:dyDescent="0.3">
      <c r="B1025" s="324" t="s">
        <v>84</v>
      </c>
      <c r="C1025" s="325" t="s">
        <v>31</v>
      </c>
      <c r="D1025" s="316" t="s">
        <v>19</v>
      </c>
      <c r="E1025" s="326" t="s">
        <v>67</v>
      </c>
      <c r="F1025" s="326" t="s">
        <v>54</v>
      </c>
      <c r="G1025" s="328" t="s">
        <v>32</v>
      </c>
      <c r="H1025" s="68"/>
      <c r="I1025" s="68"/>
      <c r="J1025" s="68"/>
      <c r="K1025" s="68"/>
      <c r="L1025" s="24"/>
      <c r="M1025" s="24"/>
    </row>
    <row r="1026" spans="2:13" ht="12.95" customHeight="1" x14ac:dyDescent="0.3">
      <c r="B1026" s="324"/>
      <c r="C1026" s="325"/>
      <c r="D1026" s="316"/>
      <c r="E1026" s="327"/>
      <c r="F1026" s="327"/>
      <c r="G1026" s="329"/>
      <c r="H1026" s="68"/>
      <c r="I1026" s="68"/>
      <c r="J1026" s="68"/>
      <c r="K1026" s="68"/>
      <c r="L1026" s="24"/>
      <c r="M1026" s="24"/>
    </row>
    <row r="1027" spans="2:13" ht="12.95" customHeight="1" x14ac:dyDescent="0.3">
      <c r="B1027" s="185" t="s">
        <v>202</v>
      </c>
      <c r="C1027" s="73" t="s">
        <v>203</v>
      </c>
      <c r="D1027" s="186" t="s">
        <v>57</v>
      </c>
      <c r="E1027" s="74">
        <v>33899</v>
      </c>
      <c r="F1027" s="302">
        <v>8</v>
      </c>
      <c r="G1027" s="69">
        <f>TRUNC($E1027*F1027,1)</f>
        <v>271192</v>
      </c>
      <c r="H1027" s="68"/>
      <c r="I1027" s="68"/>
      <c r="J1027" s="68"/>
      <c r="K1027" s="68"/>
      <c r="L1027" s="24"/>
      <c r="M1027" s="24"/>
    </row>
    <row r="1028" spans="2:13" ht="12.95" customHeight="1" x14ac:dyDescent="0.3">
      <c r="B1028" s="155" t="s">
        <v>287</v>
      </c>
      <c r="C1028" s="78" t="s">
        <v>288</v>
      </c>
      <c r="D1028" s="188" t="s">
        <v>39</v>
      </c>
      <c r="E1028" s="80">
        <v>0</v>
      </c>
      <c r="F1028" s="302">
        <v>8</v>
      </c>
      <c r="G1028" s="70">
        <f>TRUNC($E1028*F1028,1)</f>
        <v>0</v>
      </c>
      <c r="H1028" s="68"/>
      <c r="I1028" s="68"/>
      <c r="J1028" s="68"/>
      <c r="K1028" s="68"/>
      <c r="L1028" s="24"/>
      <c r="M1028" s="24"/>
    </row>
    <row r="1029" spans="2:13" ht="12.95" customHeight="1" x14ac:dyDescent="0.3">
      <c r="B1029" s="190" t="s">
        <v>277</v>
      </c>
      <c r="C1029" s="78" t="s">
        <v>12</v>
      </c>
      <c r="D1029" s="189" t="s">
        <v>57</v>
      </c>
      <c r="E1029" s="80">
        <v>21654</v>
      </c>
      <c r="F1029" s="302">
        <v>8</v>
      </c>
      <c r="G1029" s="70">
        <f>TRUNC($E1029*F1029,1)</f>
        <v>173232</v>
      </c>
      <c r="H1029" s="68"/>
      <c r="I1029" s="68"/>
      <c r="J1029" s="68"/>
      <c r="K1029" s="68"/>
      <c r="L1029" s="24"/>
      <c r="M1029" s="24"/>
    </row>
    <row r="1030" spans="2:13" ht="12.95" customHeight="1" x14ac:dyDescent="0.3">
      <c r="B1030" s="190" t="s">
        <v>204</v>
      </c>
      <c r="C1030" s="78" t="s">
        <v>205</v>
      </c>
      <c r="D1030" s="188" t="s">
        <v>39</v>
      </c>
      <c r="E1030" s="80">
        <v>25246</v>
      </c>
      <c r="F1030" s="302">
        <v>8</v>
      </c>
      <c r="G1030" s="70">
        <f>TRUNC($E1030*F1030,1)</f>
        <v>201968</v>
      </c>
      <c r="H1030" s="68"/>
      <c r="I1030" s="68"/>
      <c r="J1030" s="68"/>
      <c r="K1030" s="68"/>
      <c r="L1030" s="24"/>
      <c r="M1030" s="24"/>
    </row>
    <row r="1031" spans="2:13" ht="12.95" customHeight="1" x14ac:dyDescent="0.3">
      <c r="B1031" s="136" t="s">
        <v>22</v>
      </c>
      <c r="C1031" s="76"/>
      <c r="D1031" s="77"/>
      <c r="E1031" s="40"/>
      <c r="F1031" s="167"/>
      <c r="G1031" s="45">
        <f>TRUNC(SUM(G1027:G1030))</f>
        <v>646392</v>
      </c>
      <c r="H1031" s="68"/>
      <c r="I1031" s="68"/>
      <c r="J1031" s="68"/>
      <c r="K1031" s="68"/>
      <c r="L1031" s="24"/>
      <c r="M1031" s="24"/>
    </row>
    <row r="1032" spans="2:13" ht="12.95" customHeight="1" x14ac:dyDescent="0.3">
      <c r="B1032" s="75"/>
      <c r="C1032" s="76"/>
      <c r="D1032" s="77"/>
      <c r="E1032" s="40"/>
      <c r="F1032" s="167"/>
      <c r="G1032" s="35"/>
      <c r="H1032" s="68"/>
      <c r="I1032" s="68"/>
      <c r="J1032" s="68"/>
      <c r="K1032" s="68"/>
      <c r="L1032" s="24"/>
      <c r="M1032" s="24"/>
    </row>
    <row r="1033" spans="2:13" ht="12.95" customHeight="1" x14ac:dyDescent="0.3">
      <c r="B1033" s="155" t="s">
        <v>13</v>
      </c>
      <c r="C1033" s="78"/>
      <c r="D1033" s="270" t="s">
        <v>33</v>
      </c>
      <c r="E1033" s="131">
        <v>226122</v>
      </c>
      <c r="F1033" s="302">
        <v>1</v>
      </c>
      <c r="G1033" s="191">
        <f t="shared" ref="G1033:G1038" si="187">TRUNC($E1033*F1033,1)</f>
        <v>226122</v>
      </c>
      <c r="H1033" s="68"/>
      <c r="I1033" s="68"/>
      <c r="J1033" s="68"/>
      <c r="K1033" s="68"/>
      <c r="L1033" s="24"/>
      <c r="M1033" s="24"/>
    </row>
    <row r="1034" spans="2:13" ht="12.95" customHeight="1" x14ac:dyDescent="0.3">
      <c r="B1034" s="156" t="s">
        <v>97</v>
      </c>
      <c r="C1034" s="156"/>
      <c r="D1034" s="109" t="s">
        <v>21</v>
      </c>
      <c r="E1034" s="131">
        <v>295138</v>
      </c>
      <c r="F1034" s="302">
        <v>1</v>
      </c>
      <c r="G1034" s="79">
        <f t="shared" si="187"/>
        <v>295138</v>
      </c>
      <c r="H1034" s="68"/>
      <c r="I1034" s="68"/>
      <c r="J1034" s="68"/>
      <c r="K1034" s="68"/>
      <c r="L1034" s="24"/>
      <c r="M1034" s="24"/>
    </row>
    <row r="1035" spans="2:13" ht="12.95" customHeight="1" x14ac:dyDescent="0.3">
      <c r="B1035" s="155" t="s">
        <v>202</v>
      </c>
      <c r="C1035" s="29" t="s">
        <v>203</v>
      </c>
      <c r="D1035" s="189" t="s">
        <v>57</v>
      </c>
      <c r="E1035" s="80">
        <v>58925</v>
      </c>
      <c r="F1035" s="302">
        <v>8</v>
      </c>
      <c r="G1035" s="79">
        <f t="shared" si="187"/>
        <v>471400</v>
      </c>
      <c r="H1035" s="68"/>
      <c r="I1035" s="68"/>
      <c r="J1035" s="68"/>
      <c r="K1035" s="68"/>
      <c r="L1035" s="24"/>
      <c r="M1035" s="24"/>
    </row>
    <row r="1036" spans="2:13" ht="12.95" customHeight="1" x14ac:dyDescent="0.3">
      <c r="B1036" s="155" t="s">
        <v>287</v>
      </c>
      <c r="C1036" s="78" t="s">
        <v>288</v>
      </c>
      <c r="D1036" s="189" t="s">
        <v>57</v>
      </c>
      <c r="E1036" s="80">
        <v>0</v>
      </c>
      <c r="F1036" s="302">
        <v>8</v>
      </c>
      <c r="G1036" s="79">
        <f t="shared" si="187"/>
        <v>0</v>
      </c>
      <c r="H1036" s="68"/>
      <c r="I1036" s="68"/>
      <c r="J1036" s="68"/>
      <c r="K1036" s="68"/>
      <c r="L1036" s="24"/>
      <c r="M1036" s="24"/>
    </row>
    <row r="1037" spans="2:13" ht="12.95" customHeight="1" x14ac:dyDescent="0.3">
      <c r="B1037" s="190" t="s">
        <v>277</v>
      </c>
      <c r="C1037" s="78" t="s">
        <v>12</v>
      </c>
      <c r="D1037" s="189" t="s">
        <v>57</v>
      </c>
      <c r="E1037" s="80">
        <v>58925</v>
      </c>
      <c r="F1037" s="302">
        <v>8</v>
      </c>
      <c r="G1037" s="79">
        <f t="shared" si="187"/>
        <v>471400</v>
      </c>
      <c r="H1037" s="68"/>
      <c r="I1037" s="68"/>
      <c r="J1037" s="68"/>
      <c r="K1037" s="68"/>
      <c r="L1037" s="24"/>
      <c r="M1037" s="24"/>
    </row>
    <row r="1038" spans="2:13" ht="12.95" customHeight="1" x14ac:dyDescent="0.3">
      <c r="B1038" s="190" t="s">
        <v>204</v>
      </c>
      <c r="C1038" s="78" t="s">
        <v>205</v>
      </c>
      <c r="D1038" s="188" t="s">
        <v>39</v>
      </c>
      <c r="E1038" s="80">
        <v>49698</v>
      </c>
      <c r="F1038" s="302">
        <v>8</v>
      </c>
      <c r="G1038" s="79">
        <f t="shared" si="187"/>
        <v>397584</v>
      </c>
      <c r="H1038" s="68"/>
      <c r="I1038" s="68"/>
      <c r="J1038" s="68"/>
      <c r="K1038" s="68"/>
      <c r="L1038" s="24"/>
      <c r="M1038" s="24"/>
    </row>
    <row r="1039" spans="2:13" ht="12.95" customHeight="1" x14ac:dyDescent="0.3">
      <c r="B1039" s="102" t="s">
        <v>23</v>
      </c>
      <c r="C1039" s="192"/>
      <c r="D1039" s="193"/>
      <c r="E1039" s="194"/>
      <c r="F1039" s="160"/>
      <c r="G1039" s="45">
        <f>TRUNC(SUM(G1033:G1038))</f>
        <v>1861644</v>
      </c>
      <c r="H1039" s="68"/>
      <c r="I1039" s="68"/>
      <c r="J1039" s="68"/>
      <c r="K1039" s="68"/>
      <c r="L1039" s="24"/>
      <c r="M1039" s="24"/>
    </row>
    <row r="1040" spans="2:13" ht="12.95" customHeight="1" x14ac:dyDescent="0.3">
      <c r="B1040" s="196"/>
      <c r="C1040" s="192"/>
      <c r="D1040" s="193"/>
      <c r="E1040" s="194"/>
      <c r="F1040" s="160"/>
      <c r="G1040" s="35"/>
      <c r="H1040" s="68"/>
      <c r="I1040" s="68"/>
      <c r="J1040" s="68"/>
      <c r="K1040" s="68"/>
      <c r="L1040" s="24"/>
      <c r="M1040" s="24"/>
    </row>
    <row r="1041" spans="2:13" ht="12.95" customHeight="1" x14ac:dyDescent="0.3">
      <c r="B1041" s="155" t="s">
        <v>202</v>
      </c>
      <c r="C1041" s="29" t="s">
        <v>203</v>
      </c>
      <c r="D1041" s="189" t="s">
        <v>57</v>
      </c>
      <c r="E1041" s="80">
        <v>46851</v>
      </c>
      <c r="F1041" s="302">
        <v>8</v>
      </c>
      <c r="G1041" s="70">
        <f>TRUNC($E1041*F1041,1)</f>
        <v>374808</v>
      </c>
      <c r="H1041" s="68"/>
      <c r="I1041" s="68"/>
      <c r="J1041" s="68"/>
      <c r="K1041" s="68"/>
      <c r="L1041" s="24"/>
      <c r="M1041" s="24"/>
    </row>
    <row r="1042" spans="2:13" ht="12.95" customHeight="1" x14ac:dyDescent="0.3">
      <c r="B1042" s="155" t="s">
        <v>287</v>
      </c>
      <c r="C1042" s="78" t="s">
        <v>288</v>
      </c>
      <c r="D1042" s="189" t="s">
        <v>57</v>
      </c>
      <c r="E1042" s="80">
        <v>0</v>
      </c>
      <c r="F1042" s="302">
        <v>8</v>
      </c>
      <c r="G1042" s="70">
        <f>TRUNC($E1042*F1042,1)</f>
        <v>0</v>
      </c>
      <c r="H1042" s="68"/>
      <c r="I1042" s="68"/>
      <c r="J1042" s="68"/>
      <c r="K1042" s="68"/>
      <c r="L1042" s="24"/>
      <c r="M1042" s="24"/>
    </row>
    <row r="1043" spans="2:13" ht="12.95" customHeight="1" x14ac:dyDescent="0.3">
      <c r="B1043" s="190" t="s">
        <v>277</v>
      </c>
      <c r="C1043" s="78" t="s">
        <v>12</v>
      </c>
      <c r="D1043" s="189" t="s">
        <v>57</v>
      </c>
      <c r="E1043" s="80">
        <v>27120</v>
      </c>
      <c r="F1043" s="302">
        <v>8</v>
      </c>
      <c r="G1043" s="70">
        <f>TRUNC($E1043*F1043,1)</f>
        <v>216960</v>
      </c>
      <c r="H1043" s="68"/>
      <c r="I1043" s="68"/>
      <c r="J1043" s="68"/>
      <c r="K1043" s="68"/>
      <c r="L1043" s="24"/>
      <c r="M1043" s="24"/>
    </row>
    <row r="1044" spans="2:13" ht="12.95" customHeight="1" x14ac:dyDescent="0.3">
      <c r="B1044" s="190" t="s">
        <v>204</v>
      </c>
      <c r="C1044" s="78" t="s">
        <v>205</v>
      </c>
      <c r="D1044" s="188" t="s">
        <v>39</v>
      </c>
      <c r="E1044" s="80">
        <v>19154</v>
      </c>
      <c r="F1044" s="302">
        <v>8</v>
      </c>
      <c r="G1044" s="70">
        <f>TRUNC($E1044*F1044,1)</f>
        <v>153232</v>
      </c>
      <c r="H1044" s="68"/>
      <c r="I1044" s="68"/>
      <c r="J1044" s="68"/>
      <c r="K1044" s="68"/>
      <c r="L1044" s="24"/>
      <c r="M1044" s="24"/>
    </row>
    <row r="1045" spans="2:13" ht="12.95" customHeight="1" x14ac:dyDescent="0.3">
      <c r="B1045" s="136" t="s">
        <v>24</v>
      </c>
      <c r="C1045" s="192"/>
      <c r="D1045" s="193"/>
      <c r="E1045" s="194"/>
      <c r="F1045" s="160"/>
      <c r="G1045" s="45">
        <f>TRUNC(SUM(G1041:G1044))</f>
        <v>745000</v>
      </c>
      <c r="H1045" s="68"/>
      <c r="I1045" s="68"/>
      <c r="J1045" s="68"/>
      <c r="K1045" s="68"/>
      <c r="L1045" s="24"/>
      <c r="M1045" s="24"/>
    </row>
    <row r="1046" spans="2:13" ht="12.95" customHeight="1" x14ac:dyDescent="0.3">
      <c r="B1046" s="158"/>
      <c r="C1046" s="52"/>
      <c r="D1046" s="189"/>
      <c r="E1046" s="30"/>
      <c r="F1046" s="217"/>
      <c r="G1046" s="70"/>
      <c r="H1046" s="68"/>
      <c r="I1046" s="68"/>
      <c r="J1046" s="68"/>
      <c r="K1046" s="68"/>
      <c r="L1046" s="24"/>
      <c r="M1046" s="24"/>
    </row>
    <row r="1047" spans="2:13" ht="12.95" customHeight="1" x14ac:dyDescent="0.3">
      <c r="B1047" s="117" t="s">
        <v>26</v>
      </c>
      <c r="C1047" s="276"/>
      <c r="D1047" s="277"/>
      <c r="E1047" s="278"/>
      <c r="F1047" s="276"/>
      <c r="G1047" s="280">
        <f>G1031+G1039+G1045</f>
        <v>3253036</v>
      </c>
      <c r="H1047" s="68"/>
      <c r="I1047" s="68"/>
      <c r="J1047" s="68"/>
      <c r="K1047" s="68"/>
      <c r="L1047" s="24"/>
      <c r="M1047" s="24"/>
    </row>
    <row r="1048" spans="2:13" ht="12.95" customHeight="1" x14ac:dyDescent="0.3">
      <c r="B1048" s="24"/>
      <c r="C1048" s="24"/>
      <c r="D1048" s="24"/>
      <c r="E1048" s="24"/>
      <c r="F1048" s="68"/>
      <c r="G1048" s="68"/>
      <c r="H1048" s="68"/>
      <c r="I1048" s="68"/>
      <c r="J1048" s="68"/>
      <c r="K1048" s="68"/>
      <c r="L1048" s="24"/>
      <c r="M1048" s="24"/>
    </row>
    <row r="1049" spans="2:13" ht="12.95" customHeight="1" x14ac:dyDescent="0.3">
      <c r="B1049" s="91" t="s">
        <v>291</v>
      </c>
      <c r="C1049" s="53"/>
      <c r="D1049" s="182"/>
      <c r="E1049" s="53"/>
      <c r="F1049" s="24"/>
      <c r="G1049" s="24"/>
      <c r="H1049" s="24"/>
      <c r="I1049" s="260" t="s">
        <v>120</v>
      </c>
      <c r="J1049" s="68"/>
      <c r="K1049" s="68"/>
      <c r="L1049" s="24"/>
      <c r="M1049" s="24"/>
    </row>
    <row r="1050" spans="2:13" ht="12.95" customHeight="1" x14ac:dyDescent="0.3">
      <c r="B1050" s="337" t="s">
        <v>14</v>
      </c>
      <c r="C1050" s="337" t="s">
        <v>18</v>
      </c>
      <c r="D1050" s="317" t="s">
        <v>19</v>
      </c>
      <c r="E1050" s="317" t="s">
        <v>15</v>
      </c>
      <c r="F1050" s="330" t="s">
        <v>289</v>
      </c>
      <c r="G1050" s="332"/>
      <c r="H1050" s="330" t="s">
        <v>290</v>
      </c>
      <c r="I1050" s="332"/>
      <c r="J1050" s="68"/>
      <c r="K1050" s="68"/>
      <c r="L1050" s="24"/>
      <c r="M1050" s="24"/>
    </row>
    <row r="1051" spans="2:13" ht="12.95" customHeight="1" x14ac:dyDescent="0.3">
      <c r="B1051" s="338"/>
      <c r="C1051" s="338"/>
      <c r="D1051" s="340"/>
      <c r="E1051" s="340"/>
      <c r="F1051" s="93" t="s">
        <v>176</v>
      </c>
      <c r="G1051" s="184">
        <v>1250</v>
      </c>
      <c r="H1051" s="93" t="s">
        <v>176</v>
      </c>
      <c r="I1051" s="184">
        <v>850</v>
      </c>
      <c r="J1051" s="68"/>
      <c r="K1051" s="68"/>
      <c r="L1051" s="24"/>
      <c r="M1051" s="24"/>
    </row>
    <row r="1052" spans="2:13" ht="12.95" customHeight="1" x14ac:dyDescent="0.3">
      <c r="B1052" s="339"/>
      <c r="C1052" s="339"/>
      <c r="D1052" s="318"/>
      <c r="E1052" s="318"/>
      <c r="F1052" s="96" t="s">
        <v>174</v>
      </c>
      <c r="G1052" s="97" t="s">
        <v>175</v>
      </c>
      <c r="H1052" s="96" t="s">
        <v>174</v>
      </c>
      <c r="I1052" s="97" t="s">
        <v>175</v>
      </c>
      <c r="J1052" s="68"/>
      <c r="K1052" s="68"/>
      <c r="L1052" s="24"/>
      <c r="M1052" s="24"/>
    </row>
    <row r="1053" spans="2:13" ht="12.95" customHeight="1" x14ac:dyDescent="0.3">
      <c r="B1053" s="185" t="s">
        <v>202</v>
      </c>
      <c r="C1053" s="73" t="s">
        <v>203</v>
      </c>
      <c r="D1053" s="186" t="s">
        <v>57</v>
      </c>
      <c r="E1053" s="74">
        <v>33899</v>
      </c>
      <c r="F1053" s="302">
        <v>8</v>
      </c>
      <c r="G1053" s="69">
        <f>TRUNC($E1053*F1053,1)</f>
        <v>271192</v>
      </c>
      <c r="H1053" s="302">
        <v>8</v>
      </c>
      <c r="I1053" s="69">
        <f>TRUNC($E1053*H1053,1)</f>
        <v>271192</v>
      </c>
      <c r="J1053" s="68"/>
      <c r="K1053" s="68"/>
      <c r="L1053" s="24"/>
      <c r="M1053" s="24"/>
    </row>
    <row r="1054" spans="2:13" ht="12.95" customHeight="1" x14ac:dyDescent="0.3">
      <c r="B1054" s="155" t="s">
        <v>287</v>
      </c>
      <c r="C1054" s="78" t="s">
        <v>288</v>
      </c>
      <c r="D1054" s="188" t="s">
        <v>39</v>
      </c>
      <c r="E1054" s="80">
        <v>0</v>
      </c>
      <c r="F1054" s="302">
        <v>8</v>
      </c>
      <c r="G1054" s="70">
        <f>TRUNC($E1054*F1054,1)</f>
        <v>0</v>
      </c>
      <c r="H1054" s="302">
        <v>8</v>
      </c>
      <c r="I1054" s="70">
        <f>TRUNC($E1054*H1054,1)</f>
        <v>0</v>
      </c>
      <c r="J1054" s="68"/>
      <c r="K1054" s="68"/>
      <c r="L1054" s="24"/>
      <c r="M1054" s="24"/>
    </row>
    <row r="1055" spans="2:13" ht="12.95" customHeight="1" x14ac:dyDescent="0.3">
      <c r="B1055" s="190" t="s">
        <v>277</v>
      </c>
      <c r="C1055" s="78" t="s">
        <v>12</v>
      </c>
      <c r="D1055" s="189" t="s">
        <v>57</v>
      </c>
      <c r="E1055" s="80">
        <v>21654</v>
      </c>
      <c r="F1055" s="302">
        <v>8</v>
      </c>
      <c r="G1055" s="70">
        <f>TRUNC($E1055*F1055,1)</f>
        <v>173232</v>
      </c>
      <c r="H1055" s="302">
        <v>8</v>
      </c>
      <c r="I1055" s="70">
        <f>TRUNC($E1055*H1055,1)</f>
        <v>173232</v>
      </c>
      <c r="J1055" s="68"/>
      <c r="K1055" s="68"/>
      <c r="L1055" s="24"/>
      <c r="M1055" s="24"/>
    </row>
    <row r="1056" spans="2:13" ht="12.95" customHeight="1" x14ac:dyDescent="0.3">
      <c r="B1056" s="190" t="s">
        <v>204</v>
      </c>
      <c r="C1056" s="78" t="s">
        <v>205</v>
      </c>
      <c r="D1056" s="188" t="s">
        <v>39</v>
      </c>
      <c r="E1056" s="80">
        <v>25246</v>
      </c>
      <c r="F1056" s="302">
        <v>4</v>
      </c>
      <c r="G1056" s="70">
        <f>TRUNC($E1056*F1056,1)</f>
        <v>100984</v>
      </c>
      <c r="H1056" s="302">
        <v>4</v>
      </c>
      <c r="I1056" s="70">
        <f>TRUNC($E1056*H1056,1)</f>
        <v>100984</v>
      </c>
      <c r="J1056" s="68"/>
      <c r="K1056" s="68"/>
      <c r="L1056" s="24"/>
      <c r="M1056" s="24"/>
    </row>
    <row r="1057" spans="2:13" ht="12.95" customHeight="1" x14ac:dyDescent="0.3">
      <c r="B1057" s="136" t="s">
        <v>22</v>
      </c>
      <c r="C1057" s="76"/>
      <c r="D1057" s="77"/>
      <c r="E1057" s="40"/>
      <c r="F1057" s="167"/>
      <c r="G1057" s="45">
        <f>TRUNC(SUM(G1053:G1056))</f>
        <v>545408</v>
      </c>
      <c r="H1057" s="167"/>
      <c r="I1057" s="45">
        <f>TRUNC(SUM(I1053:I1056))</f>
        <v>545408</v>
      </c>
      <c r="J1057" s="68"/>
      <c r="K1057" s="68"/>
      <c r="L1057" s="24"/>
      <c r="M1057" s="24"/>
    </row>
    <row r="1058" spans="2:13" ht="12.95" customHeight="1" x14ac:dyDescent="0.3">
      <c r="B1058" s="75"/>
      <c r="C1058" s="76"/>
      <c r="D1058" s="77"/>
      <c r="E1058" s="40"/>
      <c r="F1058" s="167"/>
      <c r="G1058" s="35"/>
      <c r="H1058" s="167"/>
      <c r="I1058" s="35"/>
      <c r="J1058" s="68"/>
      <c r="K1058" s="68"/>
      <c r="L1058" s="24"/>
      <c r="M1058" s="24"/>
    </row>
    <row r="1059" spans="2:13" ht="12.95" customHeight="1" x14ac:dyDescent="0.3">
      <c r="B1059" s="155" t="s">
        <v>13</v>
      </c>
      <c r="C1059" s="78"/>
      <c r="D1059" s="270" t="s">
        <v>33</v>
      </c>
      <c r="E1059" s="131">
        <v>226122</v>
      </c>
      <c r="F1059" s="302">
        <v>1</v>
      </c>
      <c r="G1059" s="191">
        <f>TRUNC($E1059*F1059,1)</f>
        <v>226122</v>
      </c>
      <c r="H1059" s="302">
        <v>1</v>
      </c>
      <c r="I1059" s="191">
        <f>TRUNC($E1059*H1059,1)</f>
        <v>226122</v>
      </c>
      <c r="J1059" s="68"/>
      <c r="K1059" s="68"/>
      <c r="L1059" s="24"/>
      <c r="M1059" s="24"/>
    </row>
    <row r="1060" spans="2:13" ht="12.95" customHeight="1" x14ac:dyDescent="0.3">
      <c r="B1060" s="155" t="s">
        <v>202</v>
      </c>
      <c r="C1060" s="29" t="s">
        <v>203</v>
      </c>
      <c r="D1060" s="189" t="s">
        <v>57</v>
      </c>
      <c r="E1060" s="80">
        <v>58925</v>
      </c>
      <c r="F1060" s="302">
        <v>8</v>
      </c>
      <c r="G1060" s="79">
        <f>TRUNC($E1060*F1060,1)</f>
        <v>471400</v>
      </c>
      <c r="H1060" s="302">
        <v>8</v>
      </c>
      <c r="I1060" s="79">
        <f>TRUNC($E1060*H1060,1)</f>
        <v>471400</v>
      </c>
      <c r="J1060" s="68"/>
      <c r="K1060" s="68"/>
      <c r="L1060" s="24"/>
      <c r="M1060" s="24"/>
    </row>
    <row r="1061" spans="2:13" ht="12.95" customHeight="1" x14ac:dyDescent="0.3">
      <c r="B1061" s="155" t="s">
        <v>287</v>
      </c>
      <c r="C1061" s="78" t="s">
        <v>288</v>
      </c>
      <c r="D1061" s="189" t="s">
        <v>57</v>
      </c>
      <c r="E1061" s="80">
        <v>0</v>
      </c>
      <c r="F1061" s="302">
        <v>8</v>
      </c>
      <c r="G1061" s="79">
        <f>TRUNC($E1061*F1061,1)</f>
        <v>0</v>
      </c>
      <c r="H1061" s="302">
        <v>8</v>
      </c>
      <c r="I1061" s="79">
        <f>TRUNC($E1061*H1061,1)</f>
        <v>0</v>
      </c>
      <c r="J1061" s="68"/>
      <c r="K1061" s="68"/>
      <c r="L1061" s="24"/>
      <c r="M1061" s="24"/>
    </row>
    <row r="1062" spans="2:13" ht="12.95" customHeight="1" x14ac:dyDescent="0.3">
      <c r="B1062" s="190" t="s">
        <v>277</v>
      </c>
      <c r="C1062" s="78" t="s">
        <v>12</v>
      </c>
      <c r="D1062" s="189" t="s">
        <v>57</v>
      </c>
      <c r="E1062" s="80">
        <v>58925</v>
      </c>
      <c r="F1062" s="302">
        <v>8</v>
      </c>
      <c r="G1062" s="79">
        <f>TRUNC($E1062*F1062,1)</f>
        <v>471400</v>
      </c>
      <c r="H1062" s="302">
        <v>8</v>
      </c>
      <c r="I1062" s="79">
        <f>TRUNC($E1062*H1062,1)</f>
        <v>471400</v>
      </c>
      <c r="J1062" s="68"/>
      <c r="K1062" s="68"/>
      <c r="L1062" s="24"/>
      <c r="M1062" s="24"/>
    </row>
    <row r="1063" spans="2:13" ht="12.95" customHeight="1" x14ac:dyDescent="0.3">
      <c r="B1063" s="190" t="s">
        <v>204</v>
      </c>
      <c r="C1063" s="78" t="s">
        <v>205</v>
      </c>
      <c r="D1063" s="188" t="s">
        <v>39</v>
      </c>
      <c r="E1063" s="80">
        <v>49698</v>
      </c>
      <c r="F1063" s="302">
        <v>4</v>
      </c>
      <c r="G1063" s="79">
        <f>TRUNC($E1063*F1063,1)</f>
        <v>198792</v>
      </c>
      <c r="H1063" s="302">
        <v>4</v>
      </c>
      <c r="I1063" s="79">
        <f>TRUNC($E1063*H1063,1)</f>
        <v>198792</v>
      </c>
      <c r="J1063" s="68"/>
      <c r="K1063" s="68"/>
      <c r="L1063" s="24"/>
      <c r="M1063" s="24"/>
    </row>
    <row r="1064" spans="2:13" ht="12.95" customHeight="1" x14ac:dyDescent="0.3">
      <c r="B1064" s="102" t="s">
        <v>23</v>
      </c>
      <c r="C1064" s="192"/>
      <c r="D1064" s="193"/>
      <c r="E1064" s="194"/>
      <c r="F1064" s="160"/>
      <c r="G1064" s="45">
        <f>TRUNC(SUM(G1059:G1063))</f>
        <v>1367714</v>
      </c>
      <c r="H1064" s="160"/>
      <c r="I1064" s="45">
        <f>TRUNC(SUM(I1059:I1063))</f>
        <v>1367714</v>
      </c>
      <c r="J1064" s="68"/>
      <c r="K1064" s="68"/>
      <c r="L1064" s="24"/>
      <c r="M1064" s="24"/>
    </row>
    <row r="1065" spans="2:13" ht="12.95" customHeight="1" x14ac:dyDescent="0.3">
      <c r="B1065" s="196"/>
      <c r="C1065" s="192"/>
      <c r="D1065" s="193"/>
      <c r="E1065" s="194"/>
      <c r="F1065" s="160"/>
      <c r="G1065" s="35"/>
      <c r="H1065" s="160"/>
      <c r="I1065" s="35"/>
      <c r="J1065" s="68"/>
      <c r="K1065" s="68"/>
      <c r="L1065" s="24"/>
      <c r="M1065" s="24"/>
    </row>
    <row r="1066" spans="2:13" ht="12.95" customHeight="1" x14ac:dyDescent="0.3">
      <c r="B1066" s="155" t="s">
        <v>202</v>
      </c>
      <c r="C1066" s="29" t="s">
        <v>203</v>
      </c>
      <c r="D1066" s="189" t="s">
        <v>57</v>
      </c>
      <c r="E1066" s="80">
        <v>46851</v>
      </c>
      <c r="F1066" s="302">
        <v>8</v>
      </c>
      <c r="G1066" s="70">
        <f>TRUNC($E1066*F1066,1)</f>
        <v>374808</v>
      </c>
      <c r="H1066" s="302">
        <v>8</v>
      </c>
      <c r="I1066" s="70">
        <f>TRUNC($E1066*H1066,1)</f>
        <v>374808</v>
      </c>
      <c r="J1066" s="68"/>
      <c r="K1066" s="68"/>
      <c r="L1066" s="24"/>
      <c r="M1066" s="24"/>
    </row>
    <row r="1067" spans="2:13" ht="12.95" customHeight="1" x14ac:dyDescent="0.3">
      <c r="B1067" s="155" t="s">
        <v>287</v>
      </c>
      <c r="C1067" s="78" t="s">
        <v>288</v>
      </c>
      <c r="D1067" s="189" t="s">
        <v>57</v>
      </c>
      <c r="E1067" s="80">
        <v>0</v>
      </c>
      <c r="F1067" s="302">
        <v>8</v>
      </c>
      <c r="G1067" s="70">
        <f>TRUNC($E1067*F1067,1)</f>
        <v>0</v>
      </c>
      <c r="H1067" s="302">
        <v>8</v>
      </c>
      <c r="I1067" s="70">
        <f>TRUNC($E1067*H1067,1)</f>
        <v>0</v>
      </c>
      <c r="J1067" s="68"/>
      <c r="K1067" s="68"/>
      <c r="L1067" s="24"/>
      <c r="M1067" s="24"/>
    </row>
    <row r="1068" spans="2:13" ht="12.95" customHeight="1" x14ac:dyDescent="0.3">
      <c r="B1068" s="190" t="s">
        <v>277</v>
      </c>
      <c r="C1068" s="78" t="s">
        <v>12</v>
      </c>
      <c r="D1068" s="189" t="s">
        <v>57</v>
      </c>
      <c r="E1068" s="80">
        <v>27120</v>
      </c>
      <c r="F1068" s="302">
        <v>8</v>
      </c>
      <c r="G1068" s="70">
        <f>TRUNC($E1068*F1068,1)</f>
        <v>216960</v>
      </c>
      <c r="H1068" s="302">
        <v>8</v>
      </c>
      <c r="I1068" s="70">
        <f>TRUNC($E1068*H1068,1)</f>
        <v>216960</v>
      </c>
      <c r="J1068" s="68"/>
      <c r="K1068" s="68"/>
      <c r="L1068" s="24"/>
      <c r="M1068" s="24"/>
    </row>
    <row r="1069" spans="2:13" ht="12.95" customHeight="1" x14ac:dyDescent="0.3">
      <c r="B1069" s="190" t="s">
        <v>204</v>
      </c>
      <c r="C1069" s="78" t="s">
        <v>205</v>
      </c>
      <c r="D1069" s="188" t="s">
        <v>39</v>
      </c>
      <c r="E1069" s="80">
        <v>19154</v>
      </c>
      <c r="F1069" s="302">
        <v>4</v>
      </c>
      <c r="G1069" s="70">
        <f>TRUNC($E1069*F1069,1)</f>
        <v>76616</v>
      </c>
      <c r="H1069" s="302">
        <v>4</v>
      </c>
      <c r="I1069" s="70">
        <f>TRUNC($E1069*H1069,1)</f>
        <v>76616</v>
      </c>
      <c r="J1069" s="68"/>
      <c r="K1069" s="68"/>
      <c r="L1069" s="24"/>
      <c r="M1069" s="24"/>
    </row>
    <row r="1070" spans="2:13" ht="12.95" customHeight="1" x14ac:dyDescent="0.3">
      <c r="B1070" s="136" t="s">
        <v>24</v>
      </c>
      <c r="C1070" s="192"/>
      <c r="D1070" s="193"/>
      <c r="E1070" s="194"/>
      <c r="F1070" s="160"/>
      <c r="G1070" s="45">
        <f>TRUNC(SUM(G1066:G1069))</f>
        <v>668384</v>
      </c>
      <c r="H1070" s="160"/>
      <c r="I1070" s="45">
        <f>TRUNC(SUM(I1066:I1069))</f>
        <v>668384</v>
      </c>
      <c r="J1070" s="68"/>
      <c r="K1070" s="68"/>
      <c r="L1070" s="24"/>
      <c r="M1070" s="24"/>
    </row>
    <row r="1071" spans="2:13" ht="12.95" customHeight="1" x14ac:dyDescent="0.3">
      <c r="B1071" s="158"/>
      <c r="C1071" s="52"/>
      <c r="D1071" s="189"/>
      <c r="E1071" s="30"/>
      <c r="F1071" s="217"/>
      <c r="G1071" s="70"/>
      <c r="H1071" s="217"/>
      <c r="I1071" s="70"/>
      <c r="J1071" s="68"/>
      <c r="K1071" s="68"/>
      <c r="L1071" s="24"/>
      <c r="M1071" s="24"/>
    </row>
    <row r="1072" spans="2:13" ht="12.95" customHeight="1" x14ac:dyDescent="0.3">
      <c r="B1072" s="113" t="s">
        <v>26</v>
      </c>
      <c r="C1072" s="192"/>
      <c r="D1072" s="193"/>
      <c r="E1072" s="194"/>
      <c r="F1072" s="192"/>
      <c r="G1072" s="197">
        <f>G1057+G1064+G1070</f>
        <v>2581506</v>
      </c>
      <c r="H1072" s="192"/>
      <c r="I1072" s="197">
        <f>I1057+I1064+I1070</f>
        <v>2581506</v>
      </c>
    </row>
    <row r="1073" spans="2:9" ht="12.95" customHeight="1" x14ac:dyDescent="0.3">
      <c r="B1073" s="117" t="s">
        <v>177</v>
      </c>
      <c r="C1073" s="118"/>
      <c r="D1073" s="119"/>
      <c r="E1073" s="120"/>
      <c r="F1073" s="121"/>
      <c r="G1073" s="122">
        <f>TRUNC((G1072/G1051))</f>
        <v>2065</v>
      </c>
      <c r="H1073" s="121"/>
      <c r="I1073" s="122">
        <f>TRUNC((I1072/I1051))</f>
        <v>3037</v>
      </c>
    </row>
    <row r="1074" spans="2:9" ht="12.95" customHeight="1" x14ac:dyDescent="0.3">
      <c r="B1074" s="24"/>
      <c r="C1074" s="24"/>
      <c r="D1074" s="24"/>
      <c r="E1074" s="24"/>
      <c r="F1074" s="68"/>
      <c r="G1074" s="68"/>
    </row>
  </sheetData>
  <mergeCells count="360">
    <mergeCell ref="F1050:G1050"/>
    <mergeCell ref="B1050:B1052"/>
    <mergeCell ref="C1050:C1052"/>
    <mergeCell ref="D1050:D1052"/>
    <mergeCell ref="E1050:E1052"/>
    <mergeCell ref="H1050:I1050"/>
    <mergeCell ref="B1025:B1026"/>
    <mergeCell ref="C1025:C1026"/>
    <mergeCell ref="D1025:D1026"/>
    <mergeCell ref="E1025:E1026"/>
    <mergeCell ref="F1025:F1026"/>
    <mergeCell ref="G1025:G1026"/>
    <mergeCell ref="H748:I748"/>
    <mergeCell ref="J4:K4"/>
    <mergeCell ref="L4:M4"/>
    <mergeCell ref="B14:B15"/>
    <mergeCell ref="C14:C15"/>
    <mergeCell ref="D14:D15"/>
    <mergeCell ref="E14:E15"/>
    <mergeCell ref="F14:G14"/>
    <mergeCell ref="H14:I14"/>
    <mergeCell ref="J14:K14"/>
    <mergeCell ref="L14:M14"/>
    <mergeCell ref="B4:B6"/>
    <mergeCell ref="C4:C6"/>
    <mergeCell ref="D4:D6"/>
    <mergeCell ref="E4:E6"/>
    <mergeCell ref="F4:G4"/>
    <mergeCell ref="H4:I4"/>
    <mergeCell ref="J33:K33"/>
    <mergeCell ref="B55:B57"/>
    <mergeCell ref="C55:C57"/>
    <mergeCell ref="D55:D57"/>
    <mergeCell ref="E55:E57"/>
    <mergeCell ref="F55:G55"/>
    <mergeCell ref="H55:I55"/>
    <mergeCell ref="J55:K55"/>
    <mergeCell ref="B33:B35"/>
    <mergeCell ref="C33:C35"/>
    <mergeCell ref="D33:D35"/>
    <mergeCell ref="E33:E35"/>
    <mergeCell ref="F33:G33"/>
    <mergeCell ref="H33:I33"/>
    <mergeCell ref="J77:K77"/>
    <mergeCell ref="L77:M77"/>
    <mergeCell ref="B94:B96"/>
    <mergeCell ref="C94:C96"/>
    <mergeCell ref="D94:D96"/>
    <mergeCell ref="E94:E96"/>
    <mergeCell ref="F94:G94"/>
    <mergeCell ref="H94:I94"/>
    <mergeCell ref="J94:K94"/>
    <mergeCell ref="L94:M94"/>
    <mergeCell ref="B77:B79"/>
    <mergeCell ref="C77:C79"/>
    <mergeCell ref="D77:D79"/>
    <mergeCell ref="E77:E79"/>
    <mergeCell ref="F77:G77"/>
    <mergeCell ref="H77:I77"/>
    <mergeCell ref="J111:K111"/>
    <mergeCell ref="B130:B132"/>
    <mergeCell ref="C130:C132"/>
    <mergeCell ref="D130:D132"/>
    <mergeCell ref="E130:E132"/>
    <mergeCell ref="F130:G130"/>
    <mergeCell ref="H130:I130"/>
    <mergeCell ref="J130:K130"/>
    <mergeCell ref="B111:B113"/>
    <mergeCell ref="C111:C113"/>
    <mergeCell ref="D111:D113"/>
    <mergeCell ref="E111:E113"/>
    <mergeCell ref="F111:G111"/>
    <mergeCell ref="H111:I111"/>
    <mergeCell ref="B149:B152"/>
    <mergeCell ref="C149:C152"/>
    <mergeCell ref="D149:D152"/>
    <mergeCell ref="E149:E152"/>
    <mergeCell ref="F149:M149"/>
    <mergeCell ref="F150:G150"/>
    <mergeCell ref="H150:I150"/>
    <mergeCell ref="J150:K150"/>
    <mergeCell ref="L150:M150"/>
    <mergeCell ref="B165:B168"/>
    <mergeCell ref="C165:C168"/>
    <mergeCell ref="D165:D168"/>
    <mergeCell ref="E165:E168"/>
    <mergeCell ref="F165:M165"/>
    <mergeCell ref="F166:G166"/>
    <mergeCell ref="H166:I166"/>
    <mergeCell ref="J166:K166"/>
    <mergeCell ref="L166:M166"/>
    <mergeCell ref="B204:B205"/>
    <mergeCell ref="C204:C205"/>
    <mergeCell ref="D204:D205"/>
    <mergeCell ref="E204:E205"/>
    <mergeCell ref="F204:F205"/>
    <mergeCell ref="G204:G205"/>
    <mergeCell ref="B184:B185"/>
    <mergeCell ref="C184:C185"/>
    <mergeCell ref="D184:D185"/>
    <mergeCell ref="E184:E185"/>
    <mergeCell ref="F184:F185"/>
    <mergeCell ref="G184:G185"/>
    <mergeCell ref="B243:B244"/>
    <mergeCell ref="C243:C244"/>
    <mergeCell ref="D243:D244"/>
    <mergeCell ref="E243:E244"/>
    <mergeCell ref="F243:F244"/>
    <mergeCell ref="G243:G244"/>
    <mergeCell ref="B224:B225"/>
    <mergeCell ref="C224:C225"/>
    <mergeCell ref="D224:D225"/>
    <mergeCell ref="E224:E225"/>
    <mergeCell ref="F224:F225"/>
    <mergeCell ref="G224:G225"/>
    <mergeCell ref="B281:B282"/>
    <mergeCell ref="C281:C282"/>
    <mergeCell ref="D281:D282"/>
    <mergeCell ref="E281:E282"/>
    <mergeCell ref="F281:F282"/>
    <mergeCell ref="G281:G282"/>
    <mergeCell ref="B262:B263"/>
    <mergeCell ref="C262:C263"/>
    <mergeCell ref="D262:D263"/>
    <mergeCell ref="E262:E263"/>
    <mergeCell ref="F262:F263"/>
    <mergeCell ref="G262:G263"/>
    <mergeCell ref="B321:B322"/>
    <mergeCell ref="C321:C322"/>
    <mergeCell ref="D321:D322"/>
    <mergeCell ref="E321:E322"/>
    <mergeCell ref="F321:F322"/>
    <mergeCell ref="G321:G322"/>
    <mergeCell ref="B300:B301"/>
    <mergeCell ref="C300:C301"/>
    <mergeCell ref="D300:D301"/>
    <mergeCell ref="E300:E301"/>
    <mergeCell ref="F300:F301"/>
    <mergeCell ref="G300:G301"/>
    <mergeCell ref="F369:G369"/>
    <mergeCell ref="H369:I369"/>
    <mergeCell ref="B395:B396"/>
    <mergeCell ref="C395:C396"/>
    <mergeCell ref="D395:D396"/>
    <mergeCell ref="E395:E396"/>
    <mergeCell ref="B345:B346"/>
    <mergeCell ref="C345:C346"/>
    <mergeCell ref="D345:D346"/>
    <mergeCell ref="E345:E346"/>
    <mergeCell ref="B369:B371"/>
    <mergeCell ref="C369:C371"/>
    <mergeCell ref="D369:D371"/>
    <mergeCell ref="E369:E371"/>
    <mergeCell ref="F432:I432"/>
    <mergeCell ref="J432:M432"/>
    <mergeCell ref="F433:G433"/>
    <mergeCell ref="H433:I433"/>
    <mergeCell ref="J433:K433"/>
    <mergeCell ref="L433:M433"/>
    <mergeCell ref="B410:B411"/>
    <mergeCell ref="C410:C411"/>
    <mergeCell ref="D410:D411"/>
    <mergeCell ref="E410:E411"/>
    <mergeCell ref="B432:B435"/>
    <mergeCell ref="C432:C435"/>
    <mergeCell ref="D432:D435"/>
    <mergeCell ref="E432:E435"/>
    <mergeCell ref="B449:B452"/>
    <mergeCell ref="C449:C452"/>
    <mergeCell ref="D449:D452"/>
    <mergeCell ref="E449:E452"/>
    <mergeCell ref="F449:I449"/>
    <mergeCell ref="J449:M449"/>
    <mergeCell ref="F450:G450"/>
    <mergeCell ref="H450:I450"/>
    <mergeCell ref="J450:K450"/>
    <mergeCell ref="L450:M450"/>
    <mergeCell ref="B517:B518"/>
    <mergeCell ref="C517:C518"/>
    <mergeCell ref="D517:D518"/>
    <mergeCell ref="E517:E518"/>
    <mergeCell ref="B540:B541"/>
    <mergeCell ref="C540:C541"/>
    <mergeCell ref="D540:D541"/>
    <mergeCell ref="E540:E541"/>
    <mergeCell ref="B468:B469"/>
    <mergeCell ref="C468:C469"/>
    <mergeCell ref="D468:D469"/>
    <mergeCell ref="E468:E469"/>
    <mergeCell ref="B491:B492"/>
    <mergeCell ref="C491:C492"/>
    <mergeCell ref="D491:D492"/>
    <mergeCell ref="E491:E492"/>
    <mergeCell ref="J566:K566"/>
    <mergeCell ref="B591:B593"/>
    <mergeCell ref="C591:C593"/>
    <mergeCell ref="D591:D593"/>
    <mergeCell ref="E591:E593"/>
    <mergeCell ref="F591:G591"/>
    <mergeCell ref="H591:I591"/>
    <mergeCell ref="J591:K591"/>
    <mergeCell ref="B566:B568"/>
    <mergeCell ref="C566:C568"/>
    <mergeCell ref="D566:D568"/>
    <mergeCell ref="E566:E568"/>
    <mergeCell ref="F566:G566"/>
    <mergeCell ref="H566:I566"/>
    <mergeCell ref="F622:G622"/>
    <mergeCell ref="H622:I622"/>
    <mergeCell ref="L591:M591"/>
    <mergeCell ref="B605:B607"/>
    <mergeCell ref="C605:C607"/>
    <mergeCell ref="D605:D607"/>
    <mergeCell ref="E605:E607"/>
    <mergeCell ref="F605:G605"/>
    <mergeCell ref="H605:I605"/>
    <mergeCell ref="B641:B642"/>
    <mergeCell ref="C641:C642"/>
    <mergeCell ref="D641:D642"/>
    <mergeCell ref="E641:E642"/>
    <mergeCell ref="B656:B657"/>
    <mergeCell ref="C656:C657"/>
    <mergeCell ref="D656:D657"/>
    <mergeCell ref="E656:E657"/>
    <mergeCell ref="B622:B624"/>
    <mergeCell ref="C622:C624"/>
    <mergeCell ref="D622:D624"/>
    <mergeCell ref="E622:E624"/>
    <mergeCell ref="J667:K667"/>
    <mergeCell ref="B676:B678"/>
    <mergeCell ref="C676:C678"/>
    <mergeCell ref="D676:D678"/>
    <mergeCell ref="E676:E678"/>
    <mergeCell ref="F676:G676"/>
    <mergeCell ref="H676:I676"/>
    <mergeCell ref="J676:K676"/>
    <mergeCell ref="B667:B669"/>
    <mergeCell ref="C667:C669"/>
    <mergeCell ref="D667:D669"/>
    <mergeCell ref="E667:E669"/>
    <mergeCell ref="F667:G667"/>
    <mergeCell ref="H667:I667"/>
    <mergeCell ref="H729:I729"/>
    <mergeCell ref="B694:B695"/>
    <mergeCell ref="C694:C695"/>
    <mergeCell ref="D694:D695"/>
    <mergeCell ref="E694:E695"/>
    <mergeCell ref="B718:B719"/>
    <mergeCell ref="C718:C719"/>
    <mergeCell ref="D718:D719"/>
    <mergeCell ref="E718:E719"/>
    <mergeCell ref="B763:B764"/>
    <mergeCell ref="C763:C764"/>
    <mergeCell ref="D763:D764"/>
    <mergeCell ref="E763:E764"/>
    <mergeCell ref="F763:F764"/>
    <mergeCell ref="G763:G764"/>
    <mergeCell ref="B729:B731"/>
    <mergeCell ref="C729:C731"/>
    <mergeCell ref="D729:D731"/>
    <mergeCell ref="E729:E731"/>
    <mergeCell ref="F729:G729"/>
    <mergeCell ref="B748:B750"/>
    <mergeCell ref="C748:C750"/>
    <mergeCell ref="D748:D750"/>
    <mergeCell ref="E748:E750"/>
    <mergeCell ref="F748:G748"/>
    <mergeCell ref="J779:K779"/>
    <mergeCell ref="L779:M779"/>
    <mergeCell ref="B811:B812"/>
    <mergeCell ref="C811:C812"/>
    <mergeCell ref="D811:D812"/>
    <mergeCell ref="E811:E812"/>
    <mergeCell ref="F811:F812"/>
    <mergeCell ref="G811:G812"/>
    <mergeCell ref="B779:B781"/>
    <mergeCell ref="C779:C781"/>
    <mergeCell ref="D779:D781"/>
    <mergeCell ref="E779:E781"/>
    <mergeCell ref="F779:G779"/>
    <mergeCell ref="H779:I779"/>
    <mergeCell ref="B849:B850"/>
    <mergeCell ref="C849:C850"/>
    <mergeCell ref="D849:D850"/>
    <mergeCell ref="E849:E850"/>
    <mergeCell ref="F849:F850"/>
    <mergeCell ref="G849:G850"/>
    <mergeCell ref="B827:B828"/>
    <mergeCell ref="C827:C828"/>
    <mergeCell ref="D827:D828"/>
    <mergeCell ref="E827:E828"/>
    <mergeCell ref="F827:F828"/>
    <mergeCell ref="G827:G828"/>
    <mergeCell ref="B888:B889"/>
    <mergeCell ref="C888:C889"/>
    <mergeCell ref="D888:D889"/>
    <mergeCell ref="E888:E889"/>
    <mergeCell ref="F888:F889"/>
    <mergeCell ref="G888:G889"/>
    <mergeCell ref="B870:B871"/>
    <mergeCell ref="C870:C871"/>
    <mergeCell ref="D870:D871"/>
    <mergeCell ref="E870:E871"/>
    <mergeCell ref="F870:F871"/>
    <mergeCell ref="G870:G871"/>
    <mergeCell ref="B918:B919"/>
    <mergeCell ref="C918:C919"/>
    <mergeCell ref="D918:D919"/>
    <mergeCell ref="E918:E919"/>
    <mergeCell ref="F918:F919"/>
    <mergeCell ref="G918:G919"/>
    <mergeCell ref="B904:B905"/>
    <mergeCell ref="C904:C905"/>
    <mergeCell ref="D904:D905"/>
    <mergeCell ref="E904:E905"/>
    <mergeCell ref="F904:F905"/>
    <mergeCell ref="G904:G905"/>
    <mergeCell ref="B975:B976"/>
    <mergeCell ref="C975:C976"/>
    <mergeCell ref="D975:D976"/>
    <mergeCell ref="E975:E976"/>
    <mergeCell ref="F975:G975"/>
    <mergeCell ref="H975:I975"/>
    <mergeCell ref="J940:K940"/>
    <mergeCell ref="B958:B959"/>
    <mergeCell ref="C958:C959"/>
    <mergeCell ref="D958:D959"/>
    <mergeCell ref="E958:E959"/>
    <mergeCell ref="F958:F959"/>
    <mergeCell ref="G958:G959"/>
    <mergeCell ref="B940:B941"/>
    <mergeCell ref="C940:C941"/>
    <mergeCell ref="D940:D941"/>
    <mergeCell ref="E940:E941"/>
    <mergeCell ref="F940:G940"/>
    <mergeCell ref="H940:I940"/>
    <mergeCell ref="B995:B996"/>
    <mergeCell ref="C995:C996"/>
    <mergeCell ref="D995:D996"/>
    <mergeCell ref="E995:E996"/>
    <mergeCell ref="F995:G995"/>
    <mergeCell ref="H995:I995"/>
    <mergeCell ref="B985:B986"/>
    <mergeCell ref="C985:C986"/>
    <mergeCell ref="D985:D986"/>
    <mergeCell ref="E985:E986"/>
    <mergeCell ref="F985:G985"/>
    <mergeCell ref="H985:I985"/>
    <mergeCell ref="B1016:B1017"/>
    <mergeCell ref="C1016:C1017"/>
    <mergeCell ref="D1016:D1017"/>
    <mergeCell ref="E1016:E1017"/>
    <mergeCell ref="F1016:G1016"/>
    <mergeCell ref="H1016:I1016"/>
    <mergeCell ref="B1005:B1006"/>
    <mergeCell ref="C1005:C1006"/>
    <mergeCell ref="D1005:D1006"/>
    <mergeCell ref="E1005:E1006"/>
    <mergeCell ref="F1005:G1005"/>
    <mergeCell ref="H1005:I1005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토공사(상반기)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2026-01-01T07:57:35Z</dcterms:modified>
</cp:coreProperties>
</file>