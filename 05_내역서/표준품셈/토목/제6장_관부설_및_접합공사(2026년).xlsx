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2.토목부문(2026년)\"/>
    </mc:Choice>
  </mc:AlternateContent>
  <xr:revisionPtr revIDLastSave="0" documentId="13_ncr:1_{E10C5C9B-6F40-4EA0-8991-9B875EF0234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관부설 및 접합공사(상반기)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49" i="6" l="1"/>
  <c r="G2348" i="6"/>
  <c r="I2344" i="6"/>
  <c r="G2344" i="6"/>
  <c r="G2338" i="6"/>
  <c r="K2333" i="6"/>
  <c r="I2333" i="6"/>
  <c r="G2333" i="6"/>
  <c r="K2326" i="6"/>
  <c r="K2322" i="6"/>
  <c r="I2322" i="6"/>
  <c r="G2322" i="6"/>
  <c r="K2311" i="6"/>
  <c r="I2311" i="6"/>
  <c r="G2311" i="6"/>
  <c r="I2304" i="6"/>
  <c r="I2300" i="6"/>
  <c r="G2300" i="6"/>
  <c r="G2294" i="6"/>
  <c r="M2289" i="6"/>
  <c r="K2289" i="6"/>
  <c r="I2289" i="6"/>
  <c r="G2289" i="6"/>
  <c r="I2282" i="6"/>
  <c r="K2282" i="6"/>
  <c r="K2278" i="6"/>
  <c r="I2278" i="6"/>
  <c r="G2278" i="6"/>
  <c r="M2271" i="6"/>
  <c r="M2267" i="6"/>
  <c r="K2267" i="6"/>
  <c r="I2267" i="6"/>
  <c r="G2267" i="6"/>
  <c r="G2261" i="6"/>
  <c r="G2260" i="6"/>
  <c r="G2256" i="6"/>
  <c r="I2248" i="6"/>
  <c r="I2247" i="6"/>
  <c r="I2244" i="6"/>
  <c r="I2245" i="6" s="1"/>
  <c r="K2226" i="6"/>
  <c r="G2226" i="6"/>
  <c r="I2226" i="6"/>
  <c r="K2225" i="6"/>
  <c r="I2225" i="6"/>
  <c r="I2227" i="6" s="1"/>
  <c r="G2204" i="6"/>
  <c r="I2182" i="6"/>
  <c r="G2182" i="6"/>
  <c r="I2181" i="6"/>
  <c r="G2181" i="6"/>
  <c r="G2158" i="6"/>
  <c r="G2159" i="6" s="1"/>
  <c r="G2154" i="6"/>
  <c r="M2140" i="6"/>
  <c r="I2139" i="6"/>
  <c r="M2139" i="6"/>
  <c r="M2134" i="6"/>
  <c r="G2125" i="6"/>
  <c r="K2124" i="6"/>
  <c r="G2124" i="6"/>
  <c r="K2123" i="6"/>
  <c r="I2123" i="6"/>
  <c r="M2111" i="6"/>
  <c r="M2112" i="6" s="1"/>
  <c r="G2108" i="6"/>
  <c r="K2106" i="6"/>
  <c r="M2102" i="6"/>
  <c r="G2096" i="6"/>
  <c r="G2097" i="6" s="1"/>
  <c r="G2087" i="6"/>
  <c r="M2078" i="6"/>
  <c r="K2078" i="6"/>
  <c r="M2077" i="6"/>
  <c r="G2076" i="6"/>
  <c r="I2072" i="6"/>
  <c r="G2066" i="6"/>
  <c r="G2054" i="6"/>
  <c r="G2055" i="6" s="1"/>
  <c r="I2051" i="6"/>
  <c r="I2050" i="6"/>
  <c r="I2049" i="6"/>
  <c r="I2046" i="6"/>
  <c r="I2047" i="6" s="1"/>
  <c r="M2039" i="6"/>
  <c r="M2040" i="6" s="1"/>
  <c r="M2031" i="6"/>
  <c r="M2032" i="6" s="1"/>
  <c r="K2020" i="6"/>
  <c r="G2020" i="6"/>
  <c r="G2009" i="6"/>
  <c r="G2010" i="6" s="1"/>
  <c r="I2006" i="6"/>
  <c r="I1994" i="6"/>
  <c r="I1995" i="6" s="1"/>
  <c r="G1994" i="6"/>
  <c r="G1995" i="6" s="1"/>
  <c r="G1991" i="6"/>
  <c r="G1990" i="6"/>
  <c r="I1979" i="6"/>
  <c r="I1980" i="6" s="1"/>
  <c r="I1975" i="6"/>
  <c r="I1960" i="6"/>
  <c r="K1956" i="6"/>
  <c r="K1957" i="6" s="1"/>
  <c r="K1946" i="6"/>
  <c r="I1946" i="6"/>
  <c r="G1946" i="6"/>
  <c r="K1944" i="6"/>
  <c r="G1934" i="6"/>
  <c r="G1935" i="6" s="1"/>
  <c r="K1934" i="6"/>
  <c r="K1935" i="6" s="1"/>
  <c r="I1931" i="6"/>
  <c r="K1931" i="6"/>
  <c r="K1929" i="6"/>
  <c r="I1915" i="6"/>
  <c r="M1911" i="6"/>
  <c r="M1912" i="6" s="1"/>
  <c r="G1901" i="6"/>
  <c r="K1899" i="6"/>
  <c r="I1899" i="6"/>
  <c r="G1899" i="6"/>
  <c r="K1896" i="6"/>
  <c r="K1897" i="6" s="1"/>
  <c r="I1889" i="6"/>
  <c r="I1890" i="6" s="1"/>
  <c r="I1869" i="6"/>
  <c r="M1859" i="6"/>
  <c r="M1860" i="6" s="1"/>
  <c r="K1855" i="6"/>
  <c r="I1855" i="6"/>
  <c r="I1851" i="6"/>
  <c r="I1852" i="6" s="1"/>
  <c r="M1851" i="6"/>
  <c r="M1852" i="6" s="1"/>
  <c r="M1844" i="6"/>
  <c r="M1845" i="6" s="1"/>
  <c r="K1824" i="6"/>
  <c r="I1824" i="6"/>
  <c r="I1823" i="6"/>
  <c r="I1822" i="6"/>
  <c r="I1818" i="6"/>
  <c r="K1809" i="6"/>
  <c r="K1808" i="6"/>
  <c r="I1808" i="6"/>
  <c r="G1808" i="6"/>
  <c r="I1807" i="6"/>
  <c r="I1797" i="6"/>
  <c r="I1798" i="6" s="1"/>
  <c r="I1794" i="6"/>
  <c r="G1793" i="6"/>
  <c r="K1793" i="6"/>
  <c r="I1792" i="6"/>
  <c r="G1782" i="6"/>
  <c r="G1783" i="6" s="1"/>
  <c r="I1779" i="6"/>
  <c r="I1778" i="6"/>
  <c r="G1778" i="6"/>
  <c r="G1777" i="6"/>
  <c r="G1774" i="6" s="1"/>
  <c r="I1777" i="6"/>
  <c r="I1774" i="6" s="1"/>
  <c r="I1767" i="6"/>
  <c r="I1768" i="6" s="1"/>
  <c r="I1763" i="6"/>
  <c r="I1762" i="6"/>
  <c r="I1749" i="6"/>
  <c r="G1739" i="6"/>
  <c r="K1739" i="6"/>
  <c r="G1730" i="6"/>
  <c r="G1731" i="6" s="1"/>
  <c r="K1730" i="6"/>
  <c r="K1731" i="6" s="1"/>
  <c r="G1706" i="6"/>
  <c r="K1706" i="6"/>
  <c r="I1697" i="6"/>
  <c r="I1695" i="6"/>
  <c r="G1691" i="6"/>
  <c r="K1676" i="6"/>
  <c r="I1670" i="6"/>
  <c r="I1671" i="6" s="1"/>
  <c r="G1667" i="6"/>
  <c r="K1666" i="6"/>
  <c r="I1666" i="6"/>
  <c r="G1666" i="6"/>
  <c r="G1665" i="6"/>
  <c r="K1655" i="6"/>
  <c r="K1656" i="6" s="1"/>
  <c r="I1655" i="6"/>
  <c r="I1656" i="6" s="1"/>
  <c r="G1655" i="6"/>
  <c r="G1656" i="6" s="1"/>
  <c r="G1651" i="6"/>
  <c r="K1651" i="6"/>
  <c r="K1650" i="6"/>
  <c r="G1640" i="6"/>
  <c r="G1641" i="6" s="1"/>
  <c r="M1637" i="6"/>
  <c r="M1636" i="6"/>
  <c r="K1635" i="6"/>
  <c r="M1631" i="6"/>
  <c r="G1621" i="6"/>
  <c r="M1612" i="6"/>
  <c r="G1597" i="6"/>
  <c r="I1591" i="6"/>
  <c r="I1584" i="6"/>
  <c r="I1585" i="6" s="1"/>
  <c r="I1565" i="6"/>
  <c r="I1564" i="6"/>
  <c r="I1563" i="6"/>
  <c r="I1560" i="6"/>
  <c r="I1547" i="6"/>
  <c r="G1536" i="6"/>
  <c r="G1537" i="6" s="1"/>
  <c r="I1536" i="6"/>
  <c r="I1537" i="6" s="1"/>
  <c r="I1533" i="6"/>
  <c r="G1533" i="6"/>
  <c r="I1527" i="6"/>
  <c r="M1520" i="6"/>
  <c r="M1521" i="6" s="1"/>
  <c r="M1517" i="6"/>
  <c r="I1515" i="6"/>
  <c r="M1511" i="6"/>
  <c r="G1501" i="6"/>
  <c r="I1500" i="6"/>
  <c r="M1499" i="6"/>
  <c r="K1495" i="6"/>
  <c r="G1495" i="6"/>
  <c r="M1495" i="6"/>
  <c r="I1487" i="6"/>
  <c r="G1477" i="6"/>
  <c r="G1478" i="6" s="1"/>
  <c r="I1474" i="6"/>
  <c r="G1473" i="6"/>
  <c r="I1472" i="6"/>
  <c r="I1461" i="6"/>
  <c r="I1462" i="6" s="1"/>
  <c r="G1461" i="6"/>
  <c r="G1462" i="6" s="1"/>
  <c r="K1458" i="6"/>
  <c r="G1457" i="6"/>
  <c r="K1456" i="6"/>
  <c r="I1456" i="6"/>
  <c r="G1456" i="6"/>
  <c r="I1452" i="6"/>
  <c r="G1436" i="6"/>
  <c r="G1429" i="6"/>
  <c r="G1430" i="6" s="1"/>
  <c r="I1425" i="6"/>
  <c r="I1420" i="6"/>
  <c r="G1413" i="6"/>
  <c r="G1414" i="6" s="1"/>
  <c r="I1410" i="6"/>
  <c r="G1409" i="6"/>
  <c r="I1408" i="6"/>
  <c r="M1397" i="6"/>
  <c r="M1398" i="6" s="1"/>
  <c r="K1394" i="6"/>
  <c r="G1394" i="6"/>
  <c r="M1392" i="6"/>
  <c r="M1388" i="6"/>
  <c r="G1381" i="6"/>
  <c r="G1382" i="6" s="1"/>
  <c r="I1378" i="6"/>
  <c r="M1377" i="6"/>
  <c r="K1376" i="6"/>
  <c r="I1376" i="6"/>
  <c r="G1376" i="6"/>
  <c r="M1376" i="6"/>
  <c r="I1365" i="6"/>
  <c r="I1364" i="6"/>
  <c r="G1349" i="6"/>
  <c r="I1348" i="6"/>
  <c r="G1348" i="6"/>
  <c r="I1347" i="6"/>
  <c r="G1347" i="6"/>
  <c r="G1333" i="6"/>
  <c r="G1332" i="6"/>
  <c r="I1332" i="6"/>
  <c r="M1319" i="6"/>
  <c r="M1317" i="6"/>
  <c r="G1313" i="6"/>
  <c r="G1305" i="6"/>
  <c r="G1306" i="6" s="1"/>
  <c r="I1302" i="6"/>
  <c r="G1302" i="6"/>
  <c r="I1300" i="6"/>
  <c r="G1285" i="6"/>
  <c r="I1285" i="6"/>
  <c r="G1281" i="6"/>
  <c r="I1281" i="6"/>
  <c r="G1275" i="6"/>
  <c r="G1276" i="6" s="1"/>
  <c r="K1271" i="6"/>
  <c r="K1270" i="6"/>
  <c r="G1260" i="6"/>
  <c r="G1261" i="6" s="1"/>
  <c r="K1260" i="6"/>
  <c r="K1261" i="6" s="1"/>
  <c r="G1257" i="6"/>
  <c r="K1257" i="6"/>
  <c r="K1256" i="6"/>
  <c r="K1255" i="6"/>
  <c r="K1251" i="6"/>
  <c r="M1242" i="6"/>
  <c r="G1241" i="6"/>
  <c r="M1241" i="6"/>
  <c r="I1231" i="6"/>
  <c r="I1206" i="6"/>
  <c r="G1187" i="6"/>
  <c r="M1187" i="6"/>
  <c r="M1186" i="6"/>
  <c r="M1188" i="6" s="1"/>
  <c r="M1176" i="6"/>
  <c r="G1129" i="6"/>
  <c r="G1127" i="6"/>
  <c r="K1122" i="6"/>
  <c r="G1122" i="6"/>
  <c r="I1122" i="6"/>
  <c r="K1113" i="6"/>
  <c r="K1115" i="6" s="1"/>
  <c r="K1109" i="6"/>
  <c r="I1108" i="6"/>
  <c r="G1108" i="6"/>
  <c r="K1108" i="6"/>
  <c r="K1107" i="6"/>
  <c r="I1107" i="6"/>
  <c r="G1107" i="6"/>
  <c r="G1102" i="6"/>
  <c r="I1093" i="6"/>
  <c r="I1095" i="6" s="1"/>
  <c r="G1088" i="6"/>
  <c r="K1073" i="6"/>
  <c r="K1075" i="6" s="1"/>
  <c r="I1051" i="6"/>
  <c r="I1053" i="6" s="1"/>
  <c r="G1046" i="6"/>
  <c r="I1027" i="6"/>
  <c r="I1025" i="6"/>
  <c r="G1020" i="6"/>
  <c r="K1006" i="6"/>
  <c r="I987" i="6"/>
  <c r="I986" i="6"/>
  <c r="I980" i="6"/>
  <c r="K971" i="6"/>
  <c r="K973" i="6" s="1"/>
  <c r="I971" i="6"/>
  <c r="I973" i="6" s="1"/>
  <c r="K967" i="6"/>
  <c r="I966" i="6"/>
  <c r="I960" i="6"/>
  <c r="I940" i="6"/>
  <c r="G906" i="6"/>
  <c r="G908" i="6" s="1"/>
  <c r="I902" i="6"/>
  <c r="I901" i="6"/>
  <c r="G901" i="6"/>
  <c r="I900" i="6"/>
  <c r="G886" i="6"/>
  <c r="G888" i="6" s="1"/>
  <c r="G882" i="6"/>
  <c r="G881" i="6"/>
  <c r="G880" i="6"/>
  <c r="G875" i="6"/>
  <c r="M867" i="6"/>
  <c r="M866" i="6"/>
  <c r="I855" i="6"/>
  <c r="I854" i="6"/>
  <c r="I856" i="6" s="1"/>
  <c r="G831" i="6"/>
  <c r="I802" i="6"/>
  <c r="I791" i="6"/>
  <c r="I790" i="6"/>
  <c r="K778" i="6"/>
  <c r="K744" i="6"/>
  <c r="G733" i="6"/>
  <c r="G732" i="6"/>
  <c r="I722" i="6"/>
  <c r="K712" i="6"/>
  <c r="I712" i="6"/>
  <c r="I713" i="6" s="1"/>
  <c r="I709" i="6"/>
  <c r="I710" i="6" s="1"/>
  <c r="I715" i="6" s="1"/>
  <c r="I702" i="6"/>
  <c r="I703" i="6" s="1"/>
  <c r="I652" i="6"/>
  <c r="M632" i="6"/>
  <c r="I622" i="6"/>
  <c r="I623" i="6" s="1"/>
  <c r="I619" i="6"/>
  <c r="I620" i="6" s="1"/>
  <c r="I625" i="6" s="1"/>
  <c r="I610" i="6"/>
  <c r="I609" i="6"/>
  <c r="K602" i="6"/>
  <c r="K601" i="6"/>
  <c r="I593" i="6"/>
  <c r="K586" i="6"/>
  <c r="K585" i="6"/>
  <c r="I578" i="6"/>
  <c r="I577" i="6"/>
  <c r="I569" i="6"/>
  <c r="M569" i="6"/>
  <c r="I562" i="6"/>
  <c r="I561" i="6"/>
  <c r="K554" i="6"/>
  <c r="I546" i="6"/>
  <c r="K537" i="6"/>
  <c r="G527" i="6"/>
  <c r="G528" i="6" s="1"/>
  <c r="G524" i="6"/>
  <c r="G525" i="6" s="1"/>
  <c r="G530" i="6" s="1"/>
  <c r="G531" i="6" s="1"/>
  <c r="I491" i="6"/>
  <c r="I492" i="6" s="1"/>
  <c r="G479" i="6"/>
  <c r="G480" i="6" s="1"/>
  <c r="G467" i="6"/>
  <c r="K467" i="6"/>
  <c r="K464" i="6" s="1"/>
  <c r="K465" i="6" s="1"/>
  <c r="M419" i="6"/>
  <c r="G407" i="6"/>
  <c r="G404" i="6" s="1"/>
  <c r="G405" i="6" s="1"/>
  <c r="K395" i="6"/>
  <c r="K396" i="6" s="1"/>
  <c r="I371" i="6"/>
  <c r="I368" i="6" s="1"/>
  <c r="I369" i="6" s="1"/>
  <c r="K371" i="6"/>
  <c r="K368" i="6" s="1"/>
  <c r="K369" i="6" s="1"/>
  <c r="I357" i="6"/>
  <c r="G347" i="6"/>
  <c r="I336" i="6"/>
  <c r="I338" i="6" s="1"/>
  <c r="G336" i="6"/>
  <c r="G338" i="6" s="1"/>
  <c r="G331" i="6"/>
  <c r="I326" i="6"/>
  <c r="I328" i="6" s="1"/>
  <c r="K317" i="6"/>
  <c r="K319" i="6" s="1"/>
  <c r="I313" i="6"/>
  <c r="I312" i="6"/>
  <c r="I311" i="6"/>
  <c r="K307" i="6"/>
  <c r="K309" i="6" s="1"/>
  <c r="M294" i="6"/>
  <c r="M293" i="6"/>
  <c r="G293" i="6"/>
  <c r="K279" i="6"/>
  <c r="K281" i="6" s="1"/>
  <c r="G275" i="6"/>
  <c r="K274" i="6"/>
  <c r="I274" i="6"/>
  <c r="G274" i="6"/>
  <c r="K273" i="6"/>
  <c r="M260" i="6"/>
  <c r="M262" i="6" s="1"/>
  <c r="G256" i="6"/>
  <c r="I255" i="6"/>
  <c r="K254" i="6"/>
  <c r="G237" i="6"/>
  <c r="I236" i="6"/>
  <c r="K235" i="6"/>
  <c r="M231" i="6"/>
  <c r="M233" i="6" s="1"/>
  <c r="I212" i="6"/>
  <c r="M194" i="6"/>
  <c r="G185" i="6"/>
  <c r="M173" i="6"/>
  <c r="I162" i="6"/>
  <c r="I163" i="6" s="1"/>
  <c r="G162" i="6"/>
  <c r="G163" i="6" s="1"/>
  <c r="I159" i="6"/>
  <c r="I158" i="6"/>
  <c r="K147" i="6"/>
  <c r="K148" i="6" s="1"/>
  <c r="I147" i="6"/>
  <c r="I148" i="6" s="1"/>
  <c r="G147" i="6"/>
  <c r="G148" i="6" s="1"/>
  <c r="K144" i="6"/>
  <c r="K143" i="6"/>
  <c r="I132" i="6"/>
  <c r="I133" i="6" s="1"/>
  <c r="G132" i="6"/>
  <c r="G133" i="6" s="1"/>
  <c r="I128" i="6"/>
  <c r="K117" i="6"/>
  <c r="K118" i="6" s="1"/>
  <c r="I117" i="6"/>
  <c r="I118" i="6" s="1"/>
  <c r="G117" i="6"/>
  <c r="G118" i="6" s="1"/>
  <c r="K113" i="6"/>
  <c r="I102" i="6"/>
  <c r="I103" i="6" s="1"/>
  <c r="G102" i="6"/>
  <c r="G103" i="6" s="1"/>
  <c r="I99" i="6"/>
  <c r="I98" i="6"/>
  <c r="K87" i="6"/>
  <c r="K88" i="6" s="1"/>
  <c r="I87" i="6"/>
  <c r="I88" i="6" s="1"/>
  <c r="G87" i="6"/>
  <c r="G88" i="6" s="1"/>
  <c r="I84" i="6"/>
  <c r="G84" i="6"/>
  <c r="K84" i="6"/>
  <c r="M69" i="6"/>
  <c r="I59" i="6"/>
  <c r="I60" i="6" s="1"/>
  <c r="G59" i="6"/>
  <c r="G60" i="6" s="1"/>
  <c r="I55" i="6"/>
  <c r="G55" i="6"/>
  <c r="I44" i="6"/>
  <c r="I45" i="6" s="1"/>
  <c r="G44" i="6"/>
  <c r="G45" i="6" s="1"/>
  <c r="G41" i="6"/>
  <c r="I40" i="6"/>
  <c r="I29" i="6"/>
  <c r="I30" i="6" s="1"/>
  <c r="G29" i="6"/>
  <c r="G30" i="6" s="1"/>
  <c r="I25" i="6"/>
  <c r="G25" i="6"/>
  <c r="K14" i="6"/>
  <c r="K15" i="6" s="1"/>
  <c r="I14" i="6"/>
  <c r="I15" i="6" s="1"/>
  <c r="G14" i="6"/>
  <c r="G15" i="6" s="1"/>
  <c r="K10" i="6"/>
  <c r="I95" i="6" l="1"/>
  <c r="I96" i="6" s="1"/>
  <c r="G1344" i="6"/>
  <c r="M1183" i="6"/>
  <c r="M1184" i="6" s="1"/>
  <c r="M1190" i="6" s="1"/>
  <c r="M1856" i="6"/>
  <c r="K1856" i="6"/>
  <c r="I2237" i="6"/>
  <c r="G2237" i="6"/>
  <c r="G231" i="6"/>
  <c r="G233" i="6" s="1"/>
  <c r="K577" i="6"/>
  <c r="K579" i="6" s="1"/>
  <c r="K581" i="6" s="1"/>
  <c r="I1270" i="6"/>
  <c r="I1273" i="6" s="1"/>
  <c r="G2203" i="6"/>
  <c r="G2205" i="6" s="1"/>
  <c r="I2203" i="6"/>
  <c r="I2205" i="6" s="1"/>
  <c r="K965" i="6"/>
  <c r="G965" i="6"/>
  <c r="I965" i="6"/>
  <c r="I962" i="6" s="1"/>
  <c r="I963" i="6" s="1"/>
  <c r="G1251" i="6"/>
  <c r="I1413" i="6"/>
  <c r="I1414" i="6" s="1"/>
  <c r="I732" i="6"/>
  <c r="G1352" i="6"/>
  <c r="G1353" i="6" s="1"/>
  <c r="K1352" i="6"/>
  <c r="K1353" i="6" s="1"/>
  <c r="G491" i="6"/>
  <c r="G1011" i="6"/>
  <c r="G1013" i="6" s="1"/>
  <c r="I1011" i="6"/>
  <c r="I1013" i="6" s="1"/>
  <c r="K1011" i="6"/>
  <c r="K1013" i="6" s="1"/>
  <c r="G1176" i="6"/>
  <c r="I1305" i="6"/>
  <c r="I1306" i="6" s="1"/>
  <c r="M1334" i="6"/>
  <c r="K1334" i="6"/>
  <c r="I1334" i="6"/>
  <c r="G1334" i="6"/>
  <c r="G1335" i="6" s="1"/>
  <c r="G1517" i="6"/>
  <c r="I1956" i="6"/>
  <c r="I1957" i="6" s="1"/>
  <c r="I1636" i="6"/>
  <c r="K260" i="6"/>
  <c r="K262" i="6" s="1"/>
  <c r="I897" i="6"/>
  <c r="K1445" i="6"/>
  <c r="K1446" i="6" s="1"/>
  <c r="I1445" i="6"/>
  <c r="I1446" i="6" s="1"/>
  <c r="G1445" i="6"/>
  <c r="G1446" i="6" s="1"/>
  <c r="G1472" i="6"/>
  <c r="G1469" i="6" s="1"/>
  <c r="G10" i="6"/>
  <c r="K269" i="6"/>
  <c r="K271" i="6" s="1"/>
  <c r="I269" i="6"/>
  <c r="I271" i="6" s="1"/>
  <c r="G269" i="6"/>
  <c r="G271" i="6" s="1"/>
  <c r="G1721" i="6"/>
  <c r="I1721" i="6"/>
  <c r="K1721" i="6"/>
  <c r="I479" i="6"/>
  <c r="I480" i="6" s="1"/>
  <c r="K1565" i="6"/>
  <c r="G1809" i="6"/>
  <c r="K479" i="6"/>
  <c r="K476" i="6" s="1"/>
  <c r="K477" i="6" s="1"/>
  <c r="I1352" i="6"/>
  <c r="I1353" i="6" s="1"/>
  <c r="I1809" i="6"/>
  <c r="K1900" i="6"/>
  <c r="G1900" i="6"/>
  <c r="I1900" i="6"/>
  <c r="G1979" i="6"/>
  <c r="G1980" i="6" s="1"/>
  <c r="M2106" i="6"/>
  <c r="I173" i="6"/>
  <c r="I174" i="6" s="1"/>
  <c r="I176" i="6" s="1"/>
  <c r="I177" i="6" s="1"/>
  <c r="I601" i="6"/>
  <c r="G1856" i="6"/>
  <c r="G326" i="6"/>
  <c r="G328" i="6" s="1"/>
  <c r="I723" i="6"/>
  <c r="I719" i="6"/>
  <c r="I720" i="6" s="1"/>
  <c r="I725" i="6" s="1"/>
  <c r="I231" i="6"/>
  <c r="I233" i="6" s="1"/>
  <c r="K960" i="6"/>
  <c r="I1637" i="6"/>
  <c r="G1902" i="6"/>
  <c r="I2005" i="6"/>
  <c r="G2005" i="6"/>
  <c r="G2007" i="6" s="1"/>
  <c r="K2005" i="6"/>
  <c r="M2125" i="6"/>
  <c r="K2125" i="6"/>
  <c r="K2126" i="6" s="1"/>
  <c r="K231" i="6"/>
  <c r="K233" i="6" s="1"/>
  <c r="I330" i="6"/>
  <c r="G330" i="6"/>
  <c r="I1349" i="6"/>
  <c r="I1350" i="6" s="1"/>
  <c r="I1597" i="6"/>
  <c r="I1691" i="6"/>
  <c r="I1902" i="6"/>
  <c r="G2072" i="6"/>
  <c r="G2074" i="6" s="1"/>
  <c r="K546" i="6"/>
  <c r="I1251" i="6"/>
  <c r="I1453" i="6"/>
  <c r="I1454" i="6" s="1"/>
  <c r="I1600" i="6"/>
  <c r="I1601" i="6" s="1"/>
  <c r="G1600" i="6"/>
  <c r="G1601" i="6" s="1"/>
  <c r="G2106" i="6"/>
  <c r="I2125" i="6"/>
  <c r="G173" i="6"/>
  <c r="G1006" i="6"/>
  <c r="G2046" i="6"/>
  <c r="G2047" i="6" s="1"/>
  <c r="I1333" i="6"/>
  <c r="I1329" i="6" s="1"/>
  <c r="I1457" i="6"/>
  <c r="K1457" i="6"/>
  <c r="K1453" i="6" s="1"/>
  <c r="K1454" i="6" s="1"/>
  <c r="K1667" i="6"/>
  <c r="I1667" i="6"/>
  <c r="G1956" i="6"/>
  <c r="G1957" i="6" s="1"/>
  <c r="G113" i="6"/>
  <c r="G692" i="6"/>
  <c r="K692" i="6"/>
  <c r="K693" i="6" s="1"/>
  <c r="I692" i="6"/>
  <c r="I689" i="6" s="1"/>
  <c r="I690" i="6" s="1"/>
  <c r="K831" i="6"/>
  <c r="I831" i="6"/>
  <c r="K1517" i="6"/>
  <c r="I1911" i="6"/>
  <c r="I1912" i="6" s="1"/>
  <c r="I1934" i="6"/>
  <c r="I1935" i="6" s="1"/>
  <c r="K275" i="6"/>
  <c r="K277" i="6" s="1"/>
  <c r="K283" i="6" s="1"/>
  <c r="K284" i="6" s="1"/>
  <c r="I275" i="6"/>
  <c r="I407" i="6"/>
  <c r="I404" i="6" s="1"/>
  <c r="I405" i="6" s="1"/>
  <c r="M1313" i="6"/>
  <c r="K1313" i="6"/>
  <c r="I1517" i="6"/>
  <c r="M347" i="6"/>
  <c r="I347" i="6"/>
  <c r="I985" i="6"/>
  <c r="I989" i="6" s="1"/>
  <c r="K985" i="6"/>
  <c r="I2024" i="6"/>
  <c r="I2025" i="6" s="1"/>
  <c r="K2024" i="6"/>
  <c r="K2025" i="6" s="1"/>
  <c r="I733" i="6"/>
  <c r="I2076" i="6"/>
  <c r="I2108" i="6"/>
  <c r="G1109" i="6"/>
  <c r="G1111" i="6" s="1"/>
  <c r="G1317" i="6"/>
  <c r="K1378" i="6"/>
  <c r="G1425" i="6"/>
  <c r="G1762" i="6"/>
  <c r="G1807" i="6"/>
  <c r="K1889" i="6"/>
  <c r="K1890" i="6" s="1"/>
  <c r="I2338" i="6"/>
  <c r="G69" i="6"/>
  <c r="G98" i="6"/>
  <c r="K185" i="6"/>
  <c r="K186" i="6" s="1"/>
  <c r="I585" i="6"/>
  <c r="K791" i="6"/>
  <c r="I1109" i="6"/>
  <c r="G1458" i="6"/>
  <c r="K2006" i="6"/>
  <c r="G2050" i="6"/>
  <c r="I2111" i="6"/>
  <c r="I2112" i="6" s="1"/>
  <c r="K987" i="6"/>
  <c r="K1186" i="6"/>
  <c r="G1256" i="6"/>
  <c r="G1258" i="6" s="1"/>
  <c r="I1458" i="6"/>
  <c r="G1584" i="6"/>
  <c r="G1585" i="6" s="1"/>
  <c r="I1665" i="6"/>
  <c r="K1807" i="6"/>
  <c r="G1929" i="6"/>
  <c r="G2077" i="6"/>
  <c r="G2073" i="6" s="1"/>
  <c r="G159" i="6"/>
  <c r="I273" i="6"/>
  <c r="K312" i="6"/>
  <c r="I331" i="6"/>
  <c r="I586" i="6"/>
  <c r="I744" i="6"/>
  <c r="K802" i="6"/>
  <c r="K855" i="6"/>
  <c r="K856" i="6" s="1"/>
  <c r="G900" i="6"/>
  <c r="G897" i="6" s="1"/>
  <c r="G967" i="6"/>
  <c r="I1275" i="6"/>
  <c r="I1276" i="6" s="1"/>
  <c r="G1365" i="6"/>
  <c r="K1381" i="6"/>
  <c r="K1382" i="6" s="1"/>
  <c r="G1408" i="6"/>
  <c r="G1405" i="6" s="1"/>
  <c r="I1429" i="6"/>
  <c r="I1430" i="6" s="1"/>
  <c r="K1452" i="6"/>
  <c r="K1563" i="6"/>
  <c r="K1584" i="6"/>
  <c r="K1585" i="6" s="1"/>
  <c r="K1665" i="6"/>
  <c r="K1662" i="6" s="1"/>
  <c r="I1676" i="6"/>
  <c r="K1822" i="6"/>
  <c r="K1825" i="6" s="1"/>
  <c r="I1896" i="6"/>
  <c r="I1897" i="6" s="1"/>
  <c r="I1901" i="6"/>
  <c r="I1991" i="6"/>
  <c r="I2009" i="6"/>
  <c r="I2010" i="6" s="1"/>
  <c r="G2051" i="6"/>
  <c r="K2077" i="6"/>
  <c r="G2102" i="6"/>
  <c r="K2248" i="6"/>
  <c r="K2294" i="6"/>
  <c r="K610" i="6"/>
  <c r="I554" i="6"/>
  <c r="M2076" i="6"/>
  <c r="M2073" i="6" s="1"/>
  <c r="I2158" i="6"/>
  <c r="I2159" i="6" s="1"/>
  <c r="I2204" i="6"/>
  <c r="I41" i="6"/>
  <c r="I37" i="6" s="1"/>
  <c r="I38" i="6" s="1"/>
  <c r="K702" i="6"/>
  <c r="K699" i="6" s="1"/>
  <c r="K700" i="6" s="1"/>
  <c r="I1501" i="6"/>
  <c r="I1612" i="6"/>
  <c r="G1697" i="6"/>
  <c r="I1990" i="6"/>
  <c r="I1992" i="6" s="1"/>
  <c r="I1997" i="6" s="1"/>
  <c r="M2096" i="6"/>
  <c r="M2097" i="6" s="1"/>
  <c r="K2134" i="6"/>
  <c r="K2247" i="6"/>
  <c r="I69" i="6"/>
  <c r="G273" i="6"/>
  <c r="G277" i="6" s="1"/>
  <c r="G744" i="6"/>
  <c r="I1650" i="6"/>
  <c r="I1844" i="6"/>
  <c r="I1845" i="6" s="1"/>
  <c r="I2294" i="6"/>
  <c r="G1188" i="6"/>
  <c r="K1275" i="6"/>
  <c r="K1276" i="6" s="1"/>
  <c r="K1901" i="6"/>
  <c r="I2102" i="6"/>
  <c r="G554" i="6"/>
  <c r="K790" i="6"/>
  <c r="G1271" i="6"/>
  <c r="G1397" i="6"/>
  <c r="G1398" i="6" s="1"/>
  <c r="K1500" i="6"/>
  <c r="G2049" i="6"/>
  <c r="G2052" i="6" s="1"/>
  <c r="G2057" i="6" s="1"/>
  <c r="I185" i="6"/>
  <c r="I186" i="6" s="1"/>
  <c r="G585" i="6"/>
  <c r="G587" i="6" s="1"/>
  <c r="G589" i="6" s="1"/>
  <c r="K986" i="6"/>
  <c r="G1255" i="6"/>
  <c r="G1252" i="6" s="1"/>
  <c r="G1253" i="6" s="1"/>
  <c r="K1397" i="6"/>
  <c r="K1398" i="6" s="1"/>
  <c r="K1670" i="6"/>
  <c r="K1671" i="6" s="1"/>
  <c r="G1859" i="6"/>
  <c r="G1860" i="6" s="1"/>
  <c r="I2031" i="6"/>
  <c r="I2032" i="6" s="1"/>
  <c r="K236" i="6"/>
  <c r="K311" i="6"/>
  <c r="G1186" i="6"/>
  <c r="G1364" i="6"/>
  <c r="G1361" i="6" s="1"/>
  <c r="G1362" i="6" s="1"/>
  <c r="G1944" i="6"/>
  <c r="K2338" i="6"/>
  <c r="K561" i="6"/>
  <c r="K622" i="6"/>
  <c r="K619" i="6" s="1"/>
  <c r="K620" i="6" s="1"/>
  <c r="G1025" i="6"/>
  <c r="I1361" i="6"/>
  <c r="I1362" i="6" s="1"/>
  <c r="I1381" i="6"/>
  <c r="I1382" i="6" s="1"/>
  <c r="I1477" i="6"/>
  <c r="I1478" i="6" s="1"/>
  <c r="G1676" i="6"/>
  <c r="I1825" i="6"/>
  <c r="G1896" i="6"/>
  <c r="G1897" i="6" s="1"/>
  <c r="K212" i="6"/>
  <c r="K213" i="6" s="1"/>
  <c r="K313" i="6"/>
  <c r="G371" i="6"/>
  <c r="I467" i="6"/>
  <c r="I464" i="6" s="1"/>
  <c r="I465" i="6" s="1"/>
  <c r="G569" i="6"/>
  <c r="G571" i="6" s="1"/>
  <c r="G573" i="6" s="1"/>
  <c r="K866" i="6"/>
  <c r="G971" i="6"/>
  <c r="G973" i="6" s="1"/>
  <c r="G1027" i="6"/>
  <c r="I1111" i="6"/>
  <c r="I1388" i="6"/>
  <c r="I1436" i="6"/>
  <c r="K1564" i="6"/>
  <c r="K1823" i="6"/>
  <c r="G1931" i="6"/>
  <c r="I2039" i="6"/>
  <c r="I2040" i="6" s="1"/>
  <c r="G2078" i="6"/>
  <c r="G2079" i="6" s="1"/>
  <c r="K2102" i="6"/>
  <c r="G2282" i="6"/>
  <c r="G2284" i="6" s="1"/>
  <c r="I2326" i="6"/>
  <c r="I2328" i="6" s="1"/>
  <c r="G56" i="6"/>
  <c r="G57" i="6" s="1"/>
  <c r="I56" i="6"/>
  <c r="I52" i="6" s="1"/>
  <c r="I53" i="6" s="1"/>
  <c r="K83" i="6"/>
  <c r="K80" i="6" s="1"/>
  <c r="K81" i="6" s="1"/>
  <c r="I83" i="6"/>
  <c r="I85" i="6" s="1"/>
  <c r="G83" i="6"/>
  <c r="K779" i="6"/>
  <c r="K775" i="6" s="1"/>
  <c r="K776" i="6" s="1"/>
  <c r="I779" i="6"/>
  <c r="G779" i="6"/>
  <c r="K2327" i="6"/>
  <c r="K2323" i="6" s="1"/>
  <c r="K2324" i="6" s="1"/>
  <c r="I2327" i="6"/>
  <c r="G2327" i="6"/>
  <c r="G383" i="6"/>
  <c r="K383" i="6"/>
  <c r="I383" i="6"/>
  <c r="K515" i="6"/>
  <c r="K512" i="6" s="1"/>
  <c r="K513" i="6" s="1"/>
  <c r="I515" i="6"/>
  <c r="G515" i="6"/>
  <c r="G516" i="6" s="1"/>
  <c r="K1007" i="6"/>
  <c r="G1007" i="6"/>
  <c r="I1007" i="6"/>
  <c r="G1068" i="6"/>
  <c r="K1068" i="6"/>
  <c r="I1068" i="6"/>
  <c r="G1104" i="6"/>
  <c r="G1105" i="6" s="1"/>
  <c r="K1133" i="6"/>
  <c r="K1135" i="6" s="1"/>
  <c r="G1133" i="6"/>
  <c r="G1135" i="6" s="1"/>
  <c r="I1133" i="6"/>
  <c r="I1135" i="6" s="1"/>
  <c r="K1149" i="6"/>
  <c r="G1149" i="6"/>
  <c r="I1149" i="6"/>
  <c r="K1559" i="6"/>
  <c r="I1559" i="6"/>
  <c r="I1561" i="6" s="1"/>
  <c r="G1559" i="6"/>
  <c r="I1680" i="6"/>
  <c r="K1680" i="6"/>
  <c r="I1788" i="6"/>
  <c r="K1788" i="6"/>
  <c r="K1971" i="6"/>
  <c r="K1972" i="6" s="1"/>
  <c r="I1971" i="6"/>
  <c r="I1972" i="6" s="1"/>
  <c r="G1971" i="6"/>
  <c r="G1972" i="6" s="1"/>
  <c r="M292" i="6"/>
  <c r="M296" i="6" s="1"/>
  <c r="I292" i="6"/>
  <c r="G292" i="6"/>
  <c r="K431" i="6"/>
  <c r="K428" i="6" s="1"/>
  <c r="K429" i="6" s="1"/>
  <c r="I431" i="6"/>
  <c r="G431" i="6"/>
  <c r="K843" i="6"/>
  <c r="I843" i="6"/>
  <c r="G843" i="6"/>
  <c r="G2337" i="6"/>
  <c r="G2334" i="6" s="1"/>
  <c r="G2335" i="6" s="1"/>
  <c r="K2337" i="6"/>
  <c r="I2337" i="6"/>
  <c r="K11" i="6"/>
  <c r="K7" i="6" s="1"/>
  <c r="K8" i="6" s="1"/>
  <c r="G11" i="6"/>
  <c r="G12" i="6" s="1"/>
  <c r="G40" i="6"/>
  <c r="I221" i="6"/>
  <c r="I222" i="6" s="1"/>
  <c r="K221" i="6"/>
  <c r="K222" i="6" s="1"/>
  <c r="M298" i="6"/>
  <c r="M300" i="6" s="1"/>
  <c r="K298" i="6"/>
  <c r="K300" i="6" s="1"/>
  <c r="I298" i="6"/>
  <c r="I300" i="6" s="1"/>
  <c r="G298" i="6"/>
  <c r="G300" i="6" s="1"/>
  <c r="I315" i="6"/>
  <c r="K538" i="6"/>
  <c r="K539" i="6" s="1"/>
  <c r="K541" i="6" s="1"/>
  <c r="I538" i="6"/>
  <c r="G538" i="6"/>
  <c r="K553" i="6"/>
  <c r="K555" i="6" s="1"/>
  <c r="K557" i="6" s="1"/>
  <c r="I553" i="6"/>
  <c r="G553" i="6"/>
  <c r="I594" i="6"/>
  <c r="I595" i="6" s="1"/>
  <c r="I597" i="6" s="1"/>
  <c r="K594" i="6"/>
  <c r="K1005" i="6"/>
  <c r="K1002" i="6" s="1"/>
  <c r="K1003" i="6" s="1"/>
  <c r="G1005" i="6"/>
  <c r="G1009" i="6" s="1"/>
  <c r="I1005" i="6"/>
  <c r="G1426" i="6"/>
  <c r="I1426" i="6"/>
  <c r="I26" i="6"/>
  <c r="I22" i="6" s="1"/>
  <c r="I23" i="6" s="1"/>
  <c r="G26" i="6"/>
  <c r="G27" i="6" s="1"/>
  <c r="K250" i="6"/>
  <c r="K252" i="6" s="1"/>
  <c r="M250" i="6"/>
  <c r="M252" i="6" s="1"/>
  <c r="G468" i="6"/>
  <c r="G464" i="6"/>
  <c r="G465" i="6" s="1"/>
  <c r="I753" i="6"/>
  <c r="G753" i="6"/>
  <c r="I803" i="6"/>
  <c r="I804" i="6" s="1"/>
  <c r="K803" i="6"/>
  <c r="K114" i="6"/>
  <c r="K110" i="6" s="1"/>
  <c r="K111" i="6" s="1"/>
  <c r="G114" i="6"/>
  <c r="M70" i="6"/>
  <c r="M71" i="6" s="1"/>
  <c r="M73" i="6" s="1"/>
  <c r="M74" i="6" s="1"/>
  <c r="G70" i="6"/>
  <c r="I129" i="6"/>
  <c r="I125" i="6" s="1"/>
  <c r="I126" i="6" s="1"/>
  <c r="G129" i="6"/>
  <c r="G172" i="6"/>
  <c r="K172" i="6"/>
  <c r="I172" i="6"/>
  <c r="I203" i="6"/>
  <c r="I200" i="6" s="1"/>
  <c r="I201" i="6" s="1"/>
  <c r="K203" i="6"/>
  <c r="K204" i="6" s="1"/>
  <c r="M241" i="6"/>
  <c r="M243" i="6" s="1"/>
  <c r="K241" i="6"/>
  <c r="K243" i="6" s="1"/>
  <c r="I241" i="6"/>
  <c r="I243" i="6" s="1"/>
  <c r="G241" i="6"/>
  <c r="G243" i="6" s="1"/>
  <c r="M288" i="6"/>
  <c r="M290" i="6" s="1"/>
  <c r="K288" i="6"/>
  <c r="K290" i="6" s="1"/>
  <c r="I288" i="6"/>
  <c r="I290" i="6" s="1"/>
  <c r="G288" i="6"/>
  <c r="G290" i="6" s="1"/>
  <c r="I545" i="6"/>
  <c r="I547" i="6" s="1"/>
  <c r="I549" i="6" s="1"/>
  <c r="K545" i="6"/>
  <c r="K743" i="6"/>
  <c r="K745" i="6" s="1"/>
  <c r="K747" i="6" s="1"/>
  <c r="K748" i="6" s="1"/>
  <c r="I743" i="6"/>
  <c r="G743" i="6"/>
  <c r="G745" i="6" s="1"/>
  <c r="G747" i="6" s="1"/>
  <c r="G748" i="6" s="1"/>
  <c r="K830" i="6"/>
  <c r="K827" i="6" s="1"/>
  <c r="K828" i="6" s="1"/>
  <c r="I830" i="6"/>
  <c r="G830" i="6"/>
  <c r="G832" i="6" s="1"/>
  <c r="K842" i="6"/>
  <c r="I842" i="6"/>
  <c r="I839" i="6" s="1"/>
  <c r="I840" i="6" s="1"/>
  <c r="G842" i="6"/>
  <c r="I920" i="6"/>
  <c r="K920" i="6"/>
  <c r="K1147" i="6"/>
  <c r="G1147" i="6"/>
  <c r="I1147" i="6"/>
  <c r="M1166" i="6"/>
  <c r="G1166" i="6"/>
  <c r="K1166" i="6"/>
  <c r="I1166" i="6"/>
  <c r="G1197" i="6"/>
  <c r="K1197" i="6"/>
  <c r="I1197" i="6"/>
  <c r="I1301" i="6"/>
  <c r="I1297" i="6" s="1"/>
  <c r="G1301" i="6"/>
  <c r="I100" i="6"/>
  <c r="I105" i="6" s="1"/>
  <c r="I106" i="6" s="1"/>
  <c r="I929" i="6"/>
  <c r="I931" i="6" s="1"/>
  <c r="K929" i="6"/>
  <c r="K931" i="6" s="1"/>
  <c r="I945" i="6"/>
  <c r="K945" i="6"/>
  <c r="K1040" i="6"/>
  <c r="G1040" i="6"/>
  <c r="K1082" i="6"/>
  <c r="G1082" i="6"/>
  <c r="G1183" i="6"/>
  <c r="G1184" i="6" s="1"/>
  <c r="K1207" i="6"/>
  <c r="G1207" i="6"/>
  <c r="M1230" i="6"/>
  <c r="K1230" i="6"/>
  <c r="G1230" i="6"/>
  <c r="I1290" i="6"/>
  <c r="I1291" i="6" s="1"/>
  <c r="G1290" i="6"/>
  <c r="G1291" i="6" s="1"/>
  <c r="M1322" i="6"/>
  <c r="M1323" i="6" s="1"/>
  <c r="K1322" i="6"/>
  <c r="K1323" i="6" s="1"/>
  <c r="I1322" i="6"/>
  <c r="I1323" i="6" s="1"/>
  <c r="G1322" i="6"/>
  <c r="G1323" i="6" s="1"/>
  <c r="G1516" i="6"/>
  <c r="K1516" i="6"/>
  <c r="I1516" i="6"/>
  <c r="I1512" i="6" s="1"/>
  <c r="G1575" i="6"/>
  <c r="I1575" i="6"/>
  <c r="K1652" i="6"/>
  <c r="K1653" i="6" s="1"/>
  <c r="I1652" i="6"/>
  <c r="G1652" i="6"/>
  <c r="G1668" i="6"/>
  <c r="G1662" i="6"/>
  <c r="I1871" i="6"/>
  <c r="G1871" i="6"/>
  <c r="K1885" i="6"/>
  <c r="I1885" i="6"/>
  <c r="G1885" i="6"/>
  <c r="I2183" i="6"/>
  <c r="I2178" i="6"/>
  <c r="I2179" i="6" s="1"/>
  <c r="K2193" i="6"/>
  <c r="I2193" i="6"/>
  <c r="G2193" i="6"/>
  <c r="G128" i="6"/>
  <c r="G158" i="6"/>
  <c r="G194" i="6"/>
  <c r="G195" i="6" s="1"/>
  <c r="I237" i="6"/>
  <c r="G260" i="6"/>
  <c r="G262" i="6" s="1"/>
  <c r="G307" i="6"/>
  <c r="G309" i="6" s="1"/>
  <c r="G311" i="6"/>
  <c r="G312" i="6"/>
  <c r="G313" i="6"/>
  <c r="G419" i="6"/>
  <c r="G476" i="6"/>
  <c r="G477" i="6" s="1"/>
  <c r="G482" i="6" s="1"/>
  <c r="G483" i="6" s="1"/>
  <c r="I488" i="6"/>
  <c r="I489" i="6" s="1"/>
  <c r="I494" i="6" s="1"/>
  <c r="I495" i="6" s="1"/>
  <c r="I527" i="6"/>
  <c r="I528" i="6" s="1"/>
  <c r="G537" i="6"/>
  <c r="K562" i="6"/>
  <c r="K578" i="6"/>
  <c r="G602" i="6"/>
  <c r="K609" i="6"/>
  <c r="G632" i="6"/>
  <c r="G629" i="6" s="1"/>
  <c r="G630" i="6" s="1"/>
  <c r="K652" i="6"/>
  <c r="K649" i="6" s="1"/>
  <c r="K650" i="6" s="1"/>
  <c r="K689" i="6"/>
  <c r="K690" i="6" s="1"/>
  <c r="K695" i="6" s="1"/>
  <c r="K722" i="6"/>
  <c r="K723" i="6" s="1"/>
  <c r="G778" i="6"/>
  <c r="G790" i="6"/>
  <c r="G791" i="6"/>
  <c r="K854" i="6"/>
  <c r="G866" i="6"/>
  <c r="G867" i="6"/>
  <c r="G868" i="6" s="1"/>
  <c r="I906" i="6"/>
  <c r="I908" i="6" s="1"/>
  <c r="I930" i="6"/>
  <c r="K930" i="6"/>
  <c r="I946" i="6"/>
  <c r="K946" i="6"/>
  <c r="K966" i="6"/>
  <c r="G966" i="6"/>
  <c r="K980" i="6"/>
  <c r="G980" i="6"/>
  <c r="I1020" i="6"/>
  <c r="I1040" i="6"/>
  <c r="G1067" i="6"/>
  <c r="K1067" i="6"/>
  <c r="G1069" i="6"/>
  <c r="K1069" i="6"/>
  <c r="I1082" i="6"/>
  <c r="K1148" i="6"/>
  <c r="G1148" i="6"/>
  <c r="M1167" i="6"/>
  <c r="G1167" i="6"/>
  <c r="G1196" i="6"/>
  <c r="K1196" i="6"/>
  <c r="I1207" i="6"/>
  <c r="I1230" i="6"/>
  <c r="I1227" i="6" s="1"/>
  <c r="I1228" i="6" s="1"/>
  <c r="K1272" i="6"/>
  <c r="K1273" i="6" s="1"/>
  <c r="I1272" i="6"/>
  <c r="G1272" i="6"/>
  <c r="M1328" i="6"/>
  <c r="I1328" i="6"/>
  <c r="G1328" i="6"/>
  <c r="G1350" i="6"/>
  <c r="I1393" i="6"/>
  <c r="K1393" i="6"/>
  <c r="M1504" i="6"/>
  <c r="M1505" i="6" s="1"/>
  <c r="K1504" i="6"/>
  <c r="K1505" i="6" s="1"/>
  <c r="I1504" i="6"/>
  <c r="I1505" i="6" s="1"/>
  <c r="G1504" i="6"/>
  <c r="G1505" i="6" s="1"/>
  <c r="I1532" i="6"/>
  <c r="G1532" i="6"/>
  <c r="I1549" i="6"/>
  <c r="G1549" i="6"/>
  <c r="I1596" i="6"/>
  <c r="G1596" i="6"/>
  <c r="G1758" i="6"/>
  <c r="I1758" i="6"/>
  <c r="M1839" i="6"/>
  <c r="G1839" i="6"/>
  <c r="I1839" i="6"/>
  <c r="M2091" i="6"/>
  <c r="K2091" i="6"/>
  <c r="I2091" i="6"/>
  <c r="G2091" i="6"/>
  <c r="I2107" i="6"/>
  <c r="M2107" i="6"/>
  <c r="G2107" i="6"/>
  <c r="G2109" i="6" s="1"/>
  <c r="K2170" i="6"/>
  <c r="I2170" i="6"/>
  <c r="G2170" i="6"/>
  <c r="I194" i="6"/>
  <c r="K237" i="6"/>
  <c r="I260" i="6"/>
  <c r="I262" i="6" s="1"/>
  <c r="I307" i="6"/>
  <c r="I309" i="6" s="1"/>
  <c r="I419" i="6"/>
  <c r="K527" i="6"/>
  <c r="I537" i="6"/>
  <c r="I563" i="6"/>
  <c r="I565" i="6" s="1"/>
  <c r="I579" i="6"/>
  <c r="I581" i="6" s="1"/>
  <c r="G586" i="6"/>
  <c r="K593" i="6"/>
  <c r="G601" i="6"/>
  <c r="I602" i="6"/>
  <c r="I632" i="6"/>
  <c r="I778" i="6"/>
  <c r="I866" i="6"/>
  <c r="I867" i="6"/>
  <c r="I919" i="6"/>
  <c r="K919" i="6"/>
  <c r="K916" i="6" s="1"/>
  <c r="K917" i="6" s="1"/>
  <c r="K940" i="6"/>
  <c r="G940" i="6"/>
  <c r="I947" i="6"/>
  <c r="K947" i="6"/>
  <c r="I1000" i="6"/>
  <c r="K1000" i="6"/>
  <c r="K1051" i="6"/>
  <c r="K1053" i="6" s="1"/>
  <c r="G1051" i="6"/>
  <c r="G1053" i="6" s="1"/>
  <c r="I1067" i="6"/>
  <c r="I1069" i="6"/>
  <c r="K1093" i="6"/>
  <c r="K1095" i="6" s="1"/>
  <c r="G1093" i="6"/>
  <c r="G1095" i="6" s="1"/>
  <c r="I1148" i="6"/>
  <c r="I1167" i="6"/>
  <c r="I1196" i="6"/>
  <c r="K1206" i="6"/>
  <c r="G1206" i="6"/>
  <c r="M1219" i="6"/>
  <c r="G1219" i="6"/>
  <c r="M1231" i="6"/>
  <c r="G1231" i="6"/>
  <c r="I1286" i="6"/>
  <c r="I1282" i="6" s="1"/>
  <c r="I1283" i="6" s="1"/>
  <c r="G1286" i="6"/>
  <c r="M1318" i="6"/>
  <c r="M1320" i="6" s="1"/>
  <c r="G1318" i="6"/>
  <c r="G1314" i="6" s="1"/>
  <c r="G1315" i="6" s="1"/>
  <c r="K1337" i="6"/>
  <c r="K1338" i="6" s="1"/>
  <c r="I1337" i="6"/>
  <c r="I1338" i="6" s="1"/>
  <c r="G1337" i="6"/>
  <c r="G1338" i="6" s="1"/>
  <c r="I1344" i="6"/>
  <c r="G1372" i="6"/>
  <c r="K1372" i="6"/>
  <c r="I1372" i="6"/>
  <c r="G1543" i="6"/>
  <c r="I1543" i="6"/>
  <c r="G1611" i="6"/>
  <c r="I1611" i="6"/>
  <c r="G1622" i="6"/>
  <c r="G1623" i="6" s="1"/>
  <c r="I1622" i="6"/>
  <c r="K1740" i="6"/>
  <c r="K1736" i="6" s="1"/>
  <c r="K1737" i="6" s="1"/>
  <c r="G1740" i="6"/>
  <c r="G1736" i="6" s="1"/>
  <c r="G1737" i="6" s="1"/>
  <c r="I1740" i="6"/>
  <c r="I1812" i="6"/>
  <c r="I1813" i="6" s="1"/>
  <c r="K1812" i="6"/>
  <c r="K1813" i="6" s="1"/>
  <c r="G1989" i="6"/>
  <c r="G1992" i="6" s="1"/>
  <c r="I1989" i="6"/>
  <c r="K1347" i="6"/>
  <c r="K1348" i="6"/>
  <c r="K1349" i="6"/>
  <c r="K1350" i="6" s="1"/>
  <c r="K1388" i="6"/>
  <c r="K1612" i="6"/>
  <c r="K1636" i="6"/>
  <c r="K1632" i="6" s="1"/>
  <c r="I1681" i="6"/>
  <c r="K1681" i="6"/>
  <c r="I1710" i="6"/>
  <c r="K1710" i="6"/>
  <c r="I1780" i="6"/>
  <c r="K1792" i="6"/>
  <c r="G1792" i="6"/>
  <c r="K1794" i="6"/>
  <c r="G1794" i="6"/>
  <c r="G1795" i="6" s="1"/>
  <c r="K1818" i="6"/>
  <c r="G1818" i="6"/>
  <c r="K1886" i="6"/>
  <c r="I1886" i="6"/>
  <c r="G1886" i="6"/>
  <c r="I1904" i="6"/>
  <c r="I1905" i="6" s="1"/>
  <c r="K1904" i="6"/>
  <c r="K1905" i="6" s="1"/>
  <c r="I2004" i="6"/>
  <c r="K2004" i="6"/>
  <c r="G2004" i="6"/>
  <c r="M2143" i="6"/>
  <c r="M2144" i="6" s="1"/>
  <c r="K2143" i="6"/>
  <c r="K2144" i="6" s="1"/>
  <c r="G2143" i="6"/>
  <c r="G2144" i="6" s="1"/>
  <c r="G2155" i="6"/>
  <c r="I2155" i="6"/>
  <c r="K2171" i="6"/>
  <c r="I2171" i="6"/>
  <c r="G2171" i="6"/>
  <c r="K2283" i="6"/>
  <c r="K2279" i="6" s="1"/>
  <c r="K2280" i="6" s="1"/>
  <c r="I2283" i="6"/>
  <c r="G2283" i="6"/>
  <c r="I1682" i="6"/>
  <c r="K1682" i="6"/>
  <c r="I1711" i="6"/>
  <c r="K1711" i="6"/>
  <c r="I1759" i="6"/>
  <c r="M1836" i="6"/>
  <c r="M1837" i="6" s="1"/>
  <c r="K1836" i="6"/>
  <c r="K1837" i="6" s="1"/>
  <c r="G1836" i="6"/>
  <c r="G1837" i="6" s="1"/>
  <c r="K1881" i="6"/>
  <c r="K1882" i="6" s="1"/>
  <c r="I1881" i="6"/>
  <c r="I1882" i="6" s="1"/>
  <c r="G1881" i="6"/>
  <c r="G1882" i="6" s="1"/>
  <c r="M1916" i="6"/>
  <c r="K1916" i="6"/>
  <c r="I1916" i="6"/>
  <c r="G1916" i="6"/>
  <c r="K1945" i="6"/>
  <c r="K1947" i="6" s="1"/>
  <c r="I1945" i="6"/>
  <c r="I1947" i="6" s="1"/>
  <c r="G1945" i="6"/>
  <c r="G2019" i="6"/>
  <c r="K2019" i="6"/>
  <c r="K2214" i="6"/>
  <c r="I2214" i="6"/>
  <c r="G2214" i="6"/>
  <c r="I2236" i="6"/>
  <c r="K2236" i="6"/>
  <c r="G2236" i="6"/>
  <c r="I2272" i="6"/>
  <c r="K2272" i="6"/>
  <c r="I2293" i="6"/>
  <c r="K2293" i="6"/>
  <c r="I967" i="6"/>
  <c r="I1006" i="6"/>
  <c r="I1186" i="6"/>
  <c r="I1187" i="6"/>
  <c r="I1260" i="6"/>
  <c r="I1261" i="6" s="1"/>
  <c r="G1270" i="6"/>
  <c r="I1271" i="6"/>
  <c r="G1300" i="6"/>
  <c r="I1313" i="6"/>
  <c r="I1317" i="6"/>
  <c r="I1320" i="6" s="1"/>
  <c r="I1366" i="6"/>
  <c r="G1388" i="6"/>
  <c r="I1394" i="6"/>
  <c r="I1397" i="6"/>
  <c r="I1398" i="6" s="1"/>
  <c r="I1409" i="6"/>
  <c r="I1405" i="6" s="1"/>
  <c r="K1436" i="6"/>
  <c r="K1461" i="6"/>
  <c r="K1462" i="6" s="1"/>
  <c r="I1473" i="6"/>
  <c r="I1469" i="6" s="1"/>
  <c r="I1495" i="6"/>
  <c r="K1501" i="6"/>
  <c r="K1515" i="6"/>
  <c r="G1612" i="6"/>
  <c r="G1608" i="6" s="1"/>
  <c r="G1609" i="6" s="1"/>
  <c r="I1621" i="6"/>
  <c r="I1623" i="6" s="1"/>
  <c r="G1636" i="6"/>
  <c r="G1637" i="6"/>
  <c r="G1650" i="6"/>
  <c r="I1651" i="6"/>
  <c r="I1647" i="6" s="1"/>
  <c r="I1712" i="6"/>
  <c r="K1712" i="6"/>
  <c r="I1782" i="6"/>
  <c r="I1783" i="6" s="1"/>
  <c r="K1797" i="6"/>
  <c r="K1798" i="6" s="1"/>
  <c r="G1797" i="6"/>
  <c r="G1798" i="6" s="1"/>
  <c r="I1836" i="6"/>
  <c r="I1837" i="6" s="1"/>
  <c r="I1841" i="6"/>
  <c r="K1841" i="6"/>
  <c r="K1884" i="6"/>
  <c r="I1884" i="6"/>
  <c r="G1884" i="6"/>
  <c r="M1919" i="6"/>
  <c r="M1920" i="6" s="1"/>
  <c r="I1919" i="6"/>
  <c r="I1920" i="6" s="1"/>
  <c r="G1919" i="6"/>
  <c r="G1920" i="6" s="1"/>
  <c r="K1930" i="6"/>
  <c r="K1932" i="6" s="1"/>
  <c r="I1930" i="6"/>
  <c r="G1930" i="6"/>
  <c r="G1932" i="6" s="1"/>
  <c r="I1964" i="6"/>
  <c r="I1965" i="6" s="1"/>
  <c r="K1964" i="6"/>
  <c r="K1965" i="6" s="1"/>
  <c r="G1964" i="6"/>
  <c r="G1965" i="6" s="1"/>
  <c r="I1986" i="6"/>
  <c r="I1987" i="6" s="1"/>
  <c r="G1986" i="6"/>
  <c r="G1987" i="6" s="1"/>
  <c r="I2065" i="6"/>
  <c r="G2065" i="6"/>
  <c r="G2153" i="6"/>
  <c r="I2153" i="6"/>
  <c r="G2178" i="6"/>
  <c r="G2179" i="6" s="1"/>
  <c r="K2192" i="6"/>
  <c r="I2192" i="6"/>
  <c r="G2192" i="6"/>
  <c r="K2215" i="6"/>
  <c r="I2215" i="6"/>
  <c r="G2215" i="6"/>
  <c r="K1844" i="6"/>
  <c r="K1845" i="6" s="1"/>
  <c r="K2031" i="6"/>
  <c r="K2032" i="6" s="1"/>
  <c r="K2039" i="6"/>
  <c r="K2040" i="6" s="1"/>
  <c r="M2108" i="6"/>
  <c r="K2111" i="6"/>
  <c r="K2112" i="6" s="1"/>
  <c r="K2139" i="6"/>
  <c r="K2158" i="6"/>
  <c r="K2159" i="6" s="1"/>
  <c r="K2181" i="6"/>
  <c r="K2182" i="6"/>
  <c r="K2203" i="6"/>
  <c r="K2205" i="6" s="1"/>
  <c r="K2204" i="6"/>
  <c r="I2222" i="6"/>
  <c r="I2223" i="6" s="1"/>
  <c r="I2229" i="6" s="1"/>
  <c r="K2237" i="6"/>
  <c r="G2326" i="6"/>
  <c r="I2348" i="6"/>
  <c r="I2345" i="6" s="1"/>
  <c r="I2346" i="6" s="1"/>
  <c r="I1706" i="6"/>
  <c r="I1730" i="6"/>
  <c r="I1731" i="6" s="1"/>
  <c r="I1739" i="6"/>
  <c r="I1793" i="6"/>
  <c r="I1795" i="6" s="1"/>
  <c r="G1844" i="6"/>
  <c r="G1845" i="6" s="1"/>
  <c r="G1851" i="6"/>
  <c r="G1852" i="6" s="1"/>
  <c r="I1856" i="6"/>
  <c r="I1859" i="6"/>
  <c r="I1860" i="6" s="1"/>
  <c r="G1911" i="6"/>
  <c r="G1912" i="6" s="1"/>
  <c r="K1915" i="6"/>
  <c r="I1929" i="6"/>
  <c r="I1944" i="6"/>
  <c r="K1979" i="6"/>
  <c r="K1980" i="6" s="1"/>
  <c r="G2006" i="6"/>
  <c r="I2020" i="6"/>
  <c r="G2024" i="6"/>
  <c r="G2025" i="6" s="1"/>
  <c r="G2031" i="6"/>
  <c r="G2032" i="6" s="1"/>
  <c r="G2039" i="6"/>
  <c r="G2040" i="6" s="1"/>
  <c r="I2054" i="6"/>
  <c r="I2055" i="6" s="1"/>
  <c r="M2072" i="6"/>
  <c r="K2076" i="6"/>
  <c r="I2077" i="6"/>
  <c r="I2078" i="6"/>
  <c r="K2087" i="6"/>
  <c r="I2096" i="6"/>
  <c r="I2097" i="6" s="1"/>
  <c r="G2111" i="6"/>
  <c r="G2112" i="6" s="1"/>
  <c r="G2134" i="6"/>
  <c r="G2139" i="6"/>
  <c r="I2154" i="6"/>
  <c r="G2225" i="6"/>
  <c r="G2222" i="6" s="1"/>
  <c r="G2223" i="6" s="1"/>
  <c r="I2279" i="6"/>
  <c r="I2280" i="6" s="1"/>
  <c r="I2284" i="6"/>
  <c r="I155" i="6"/>
  <c r="I156" i="6" s="1"/>
  <c r="I160" i="6"/>
  <c r="M195" i="6"/>
  <c r="M191" i="6"/>
  <c r="M192" i="6" s="1"/>
  <c r="G186" i="6"/>
  <c r="G182" i="6"/>
  <c r="G183" i="6" s="1"/>
  <c r="I209" i="6"/>
  <c r="I210" i="6" s="1"/>
  <c r="I213" i="6"/>
  <c r="K145" i="6"/>
  <c r="K140" i="6"/>
  <c r="K141" i="6" s="1"/>
  <c r="M235" i="6"/>
  <c r="I332" i="6"/>
  <c r="G332" i="6"/>
  <c r="G334" i="6" s="1"/>
  <c r="K348" i="6"/>
  <c r="I348" i="6"/>
  <c r="I524" i="6"/>
  <c r="I525" i="6" s="1"/>
  <c r="I653" i="6"/>
  <c r="I649" i="6"/>
  <c r="I650" i="6" s="1"/>
  <c r="K816" i="6"/>
  <c r="I816" i="6"/>
  <c r="G816" i="6"/>
  <c r="M868" i="6"/>
  <c r="M863" i="6"/>
  <c r="M864" i="6" s="1"/>
  <c r="I10" i="6"/>
  <c r="I11" i="6"/>
  <c r="I42" i="6"/>
  <c r="K69" i="6"/>
  <c r="I70" i="6"/>
  <c r="G99" i="6"/>
  <c r="I113" i="6"/>
  <c r="I114" i="6"/>
  <c r="G143" i="6"/>
  <c r="G144" i="6"/>
  <c r="M172" i="6"/>
  <c r="M174" i="6" s="1"/>
  <c r="M176" i="6" s="1"/>
  <c r="M177" i="6" s="1"/>
  <c r="K173" i="6"/>
  <c r="M185" i="6"/>
  <c r="K194" i="6"/>
  <c r="G235" i="6"/>
  <c r="M236" i="6"/>
  <c r="G250" i="6"/>
  <c r="G252" i="6" s="1"/>
  <c r="G254" i="6"/>
  <c r="G255" i="6"/>
  <c r="I256" i="6"/>
  <c r="G348" i="6"/>
  <c r="G349" i="6" s="1"/>
  <c r="G351" i="6" s="1"/>
  <c r="G352" i="6" s="1"/>
  <c r="I356" i="6"/>
  <c r="I358" i="6" s="1"/>
  <c r="I360" i="6" s="1"/>
  <c r="I361" i="6" s="1"/>
  <c r="G356" i="6"/>
  <c r="I372" i="6"/>
  <c r="I374" i="6" s="1"/>
  <c r="I375" i="6" s="1"/>
  <c r="K392" i="6"/>
  <c r="K393" i="6" s="1"/>
  <c r="K398" i="6" s="1"/>
  <c r="K399" i="6" s="1"/>
  <c r="M420" i="6"/>
  <c r="M416" i="6"/>
  <c r="M417" i="6" s="1"/>
  <c r="I443" i="6"/>
  <c r="G443" i="6"/>
  <c r="K503" i="6"/>
  <c r="I503" i="6"/>
  <c r="K570" i="6"/>
  <c r="I570" i="6"/>
  <c r="I571" i="6" s="1"/>
  <c r="I573" i="6" s="1"/>
  <c r="G570" i="6"/>
  <c r="K662" i="6"/>
  <c r="I662" i="6"/>
  <c r="G662" i="6"/>
  <c r="K672" i="6"/>
  <c r="I672" i="6"/>
  <c r="G672" i="6"/>
  <c r="K682" i="6"/>
  <c r="I682" i="6"/>
  <c r="G682" i="6"/>
  <c r="K764" i="6"/>
  <c r="I764" i="6"/>
  <c r="G764" i="6"/>
  <c r="K817" i="6"/>
  <c r="I817" i="6"/>
  <c r="G817" i="6"/>
  <c r="I895" i="6"/>
  <c r="G895" i="6"/>
  <c r="I904" i="6"/>
  <c r="K951" i="6"/>
  <c r="K953" i="6" s="1"/>
  <c r="I951" i="6"/>
  <c r="I953" i="6" s="1"/>
  <c r="G951" i="6"/>
  <c r="G953" i="6" s="1"/>
  <c r="K1089" i="6"/>
  <c r="I1089" i="6"/>
  <c r="G1089" i="6"/>
  <c r="K1220" i="6"/>
  <c r="I1220" i="6"/>
  <c r="G1220" i="6"/>
  <c r="M1220" i="6"/>
  <c r="I1296" i="6"/>
  <c r="G1296" i="6"/>
  <c r="K468" i="6"/>
  <c r="K470" i="6" s="1"/>
  <c r="K471" i="6" s="1"/>
  <c r="I752" i="6"/>
  <c r="G752" i="6"/>
  <c r="G780" i="6"/>
  <c r="K1062" i="6"/>
  <c r="I1062" i="6"/>
  <c r="G1062" i="6"/>
  <c r="I1646" i="6"/>
  <c r="G1646" i="6"/>
  <c r="K1646" i="6"/>
  <c r="K70" i="6"/>
  <c r="I143" i="6"/>
  <c r="I144" i="6"/>
  <c r="G203" i="6"/>
  <c r="G212" i="6"/>
  <c r="G221" i="6"/>
  <c r="I235" i="6"/>
  <c r="I239" i="6" s="1"/>
  <c r="G236" i="6"/>
  <c r="M237" i="6"/>
  <c r="I250" i="6"/>
  <c r="I252" i="6" s="1"/>
  <c r="I254" i="6"/>
  <c r="K255" i="6"/>
  <c r="K256" i="6"/>
  <c r="I294" i="6"/>
  <c r="G294" i="6"/>
  <c r="M348" i="6"/>
  <c r="M349" i="6" s="1"/>
  <c r="M351" i="6" s="1"/>
  <c r="M352" i="6" s="1"/>
  <c r="K372" i="6"/>
  <c r="K374" i="6" s="1"/>
  <c r="K375" i="6" s="1"/>
  <c r="G408" i="6"/>
  <c r="G410" i="6" s="1"/>
  <c r="G411" i="6" s="1"/>
  <c r="K443" i="6"/>
  <c r="K455" i="6"/>
  <c r="I455" i="6"/>
  <c r="G503" i="6"/>
  <c r="M570" i="6"/>
  <c r="M571" i="6" s="1"/>
  <c r="M573" i="6" s="1"/>
  <c r="K587" i="6"/>
  <c r="K589" i="6" s="1"/>
  <c r="K642" i="6"/>
  <c r="I642" i="6"/>
  <c r="G642" i="6"/>
  <c r="G693" i="6"/>
  <c r="G689" i="6"/>
  <c r="G690" i="6" s="1"/>
  <c r="K765" i="6"/>
  <c r="I765" i="6"/>
  <c r="G765" i="6"/>
  <c r="I851" i="6"/>
  <c r="I852" i="6" s="1"/>
  <c r="I858" i="6" s="1"/>
  <c r="I859" i="6" s="1"/>
  <c r="K1087" i="6"/>
  <c r="I1087" i="6"/>
  <c r="G1087" i="6"/>
  <c r="K1104" i="6"/>
  <c r="K1111" i="6"/>
  <c r="M254" i="6"/>
  <c r="M255" i="6"/>
  <c r="M256" i="6"/>
  <c r="I279" i="6"/>
  <c r="I281" i="6" s="1"/>
  <c r="G279" i="6"/>
  <c r="G281" i="6" s="1"/>
  <c r="K293" i="6"/>
  <c r="I293" i="6"/>
  <c r="K294" i="6"/>
  <c r="I317" i="6"/>
  <c r="I319" i="6" s="1"/>
  <c r="G317" i="6"/>
  <c r="G319" i="6" s="1"/>
  <c r="G357" i="6"/>
  <c r="I395" i="6"/>
  <c r="G395" i="6"/>
  <c r="G455" i="6"/>
  <c r="I468" i="6"/>
  <c r="I470" i="6" s="1"/>
  <c r="I471" i="6" s="1"/>
  <c r="M503" i="6"/>
  <c r="K603" i="6"/>
  <c r="K605" i="6" s="1"/>
  <c r="I611" i="6"/>
  <c r="I613" i="6" s="1"/>
  <c r="M633" i="6"/>
  <c r="M629" i="6"/>
  <c r="M630" i="6" s="1"/>
  <c r="M642" i="6"/>
  <c r="I699" i="6"/>
  <c r="I700" i="6" s="1"/>
  <c r="I705" i="6" s="1"/>
  <c r="K713" i="6"/>
  <c r="K709" i="6"/>
  <c r="K710" i="6" s="1"/>
  <c r="G734" i="6"/>
  <c r="G736" i="6" s="1"/>
  <c r="G737" i="6" s="1"/>
  <c r="I792" i="6"/>
  <c r="I787" i="6"/>
  <c r="I788" i="6" s="1"/>
  <c r="G884" i="6"/>
  <c r="G877" i="6"/>
  <c r="G878" i="6" s="1"/>
  <c r="K991" i="6"/>
  <c r="K993" i="6" s="1"/>
  <c r="I991" i="6"/>
  <c r="I993" i="6" s="1"/>
  <c r="G991" i="6"/>
  <c r="G993" i="6" s="1"/>
  <c r="K1252" i="6"/>
  <c r="K1253" i="6" s="1"/>
  <c r="K1258" i="6"/>
  <c r="M652" i="6"/>
  <c r="K1045" i="6"/>
  <c r="I1045" i="6"/>
  <c r="K1047" i="6"/>
  <c r="I1047" i="6"/>
  <c r="K1128" i="6"/>
  <c r="I1128" i="6"/>
  <c r="I1153" i="6"/>
  <c r="I1155" i="6" s="1"/>
  <c r="G1153" i="6"/>
  <c r="G1155" i="6" s="1"/>
  <c r="K1177" i="6"/>
  <c r="I1177" i="6"/>
  <c r="G1177" i="6"/>
  <c r="M1238" i="6"/>
  <c r="M1239" i="6" s="1"/>
  <c r="M1243" i="6"/>
  <c r="G1329" i="6"/>
  <c r="I1343" i="6"/>
  <c r="K1343" i="6"/>
  <c r="G1343" i="6"/>
  <c r="G1345" i="6" s="1"/>
  <c r="K292" i="6"/>
  <c r="K347" i="6"/>
  <c r="K349" i="6" s="1"/>
  <c r="K351" i="6" s="1"/>
  <c r="K352" i="6" s="1"/>
  <c r="K419" i="6"/>
  <c r="G545" i="6"/>
  <c r="G546" i="6"/>
  <c r="G561" i="6"/>
  <c r="G562" i="6"/>
  <c r="K569" i="6"/>
  <c r="G577" i="6"/>
  <c r="G578" i="6"/>
  <c r="G593" i="6"/>
  <c r="G594" i="6"/>
  <c r="G609" i="6"/>
  <c r="G610" i="6"/>
  <c r="G622" i="6"/>
  <c r="K632" i="6"/>
  <c r="G652" i="6"/>
  <c r="M692" i="6"/>
  <c r="G702" i="6"/>
  <c r="G712" i="6"/>
  <c r="G722" i="6"/>
  <c r="G802" i="6"/>
  <c r="G803" i="6"/>
  <c r="G854" i="6"/>
  <c r="G855" i="6"/>
  <c r="K867" i="6"/>
  <c r="G902" i="6"/>
  <c r="G919" i="6"/>
  <c r="G920" i="6"/>
  <c r="G929" i="6"/>
  <c r="G930" i="6"/>
  <c r="G945" i="6"/>
  <c r="G946" i="6"/>
  <c r="G947" i="6"/>
  <c r="G960" i="6"/>
  <c r="G985" i="6"/>
  <c r="G986" i="6"/>
  <c r="G987" i="6"/>
  <c r="G1000" i="6"/>
  <c r="I1026" i="6"/>
  <c r="I1022" i="6" s="1"/>
  <c r="I1023" i="6" s="1"/>
  <c r="G1026" i="6"/>
  <c r="I1031" i="6"/>
  <c r="I1033" i="6" s="1"/>
  <c r="G1031" i="6"/>
  <c r="G1033" i="6" s="1"/>
  <c r="G1045" i="6"/>
  <c r="G1047" i="6"/>
  <c r="K1088" i="6"/>
  <c r="I1088" i="6"/>
  <c r="I1104" i="6"/>
  <c r="I1113" i="6"/>
  <c r="I1115" i="6" s="1"/>
  <c r="G1113" i="6"/>
  <c r="G1115" i="6" s="1"/>
  <c r="G1128" i="6"/>
  <c r="G1124" i="6" s="1"/>
  <c r="G1125" i="6" s="1"/>
  <c r="K1142" i="6"/>
  <c r="I1142" i="6"/>
  <c r="K1153" i="6"/>
  <c r="K1155" i="6" s="1"/>
  <c r="M1177" i="6"/>
  <c r="M1173" i="6" s="1"/>
  <c r="M1174" i="6" s="1"/>
  <c r="K1267" i="6"/>
  <c r="I1287" i="6"/>
  <c r="G1287" i="6"/>
  <c r="K1319" i="6"/>
  <c r="I1319" i="6"/>
  <c r="G1319" i="6"/>
  <c r="K1046" i="6"/>
  <c r="I1046" i="6"/>
  <c r="I1073" i="6"/>
  <c r="I1075" i="6" s="1"/>
  <c r="G1073" i="6"/>
  <c r="G1075" i="6" s="1"/>
  <c r="K1102" i="6"/>
  <c r="I1102" i="6"/>
  <c r="K1127" i="6"/>
  <c r="I1127" i="6"/>
  <c r="K1129" i="6"/>
  <c r="I1129" i="6"/>
  <c r="G1142" i="6"/>
  <c r="M1178" i="6"/>
  <c r="K1242" i="6"/>
  <c r="I1242" i="6"/>
  <c r="G1242" i="6"/>
  <c r="G1238" i="6" s="1"/>
  <c r="G1239" i="6" s="1"/>
  <c r="K1266" i="6"/>
  <c r="I1266" i="6"/>
  <c r="G1266" i="6"/>
  <c r="K1441" i="6"/>
  <c r="I1441" i="6"/>
  <c r="G1441" i="6"/>
  <c r="K1167" i="6"/>
  <c r="I1176" i="6"/>
  <c r="K1187" i="6"/>
  <c r="I1219" i="6"/>
  <c r="K1231" i="6"/>
  <c r="I1241" i="6"/>
  <c r="I1255" i="6"/>
  <c r="I1256" i="6"/>
  <c r="I1257" i="6"/>
  <c r="K1317" i="6"/>
  <c r="I1318" i="6"/>
  <c r="K1328" i="6"/>
  <c r="K1332" i="6"/>
  <c r="K1333" i="6"/>
  <c r="M1337" i="6"/>
  <c r="M1338" i="6" s="1"/>
  <c r="M1373" i="6"/>
  <c r="K1377" i="6"/>
  <c r="I1377" i="6"/>
  <c r="I1373" i="6" s="1"/>
  <c r="G1377" i="6"/>
  <c r="G1373" i="6" s="1"/>
  <c r="K1392" i="6"/>
  <c r="I1392" i="6"/>
  <c r="G1392" i="6"/>
  <c r="I1424" i="6"/>
  <c r="G1424" i="6"/>
  <c r="K1442" i="6"/>
  <c r="I1442" i="6"/>
  <c r="G1442" i="6"/>
  <c r="I1488" i="6"/>
  <c r="I1484" i="6" s="1"/>
  <c r="I1485" i="6" s="1"/>
  <c r="G1488" i="6"/>
  <c r="K1499" i="6"/>
  <c r="I1499" i="6"/>
  <c r="G1499" i="6"/>
  <c r="K1520" i="6"/>
  <c r="K1521" i="6" s="1"/>
  <c r="I1520" i="6"/>
  <c r="I1521" i="6" s="1"/>
  <c r="G1520" i="6"/>
  <c r="G1521" i="6" s="1"/>
  <c r="I1548" i="6"/>
  <c r="G1548" i="6"/>
  <c r="I1552" i="6"/>
  <c r="I1553" i="6" s="1"/>
  <c r="G1552" i="6"/>
  <c r="G1553" i="6" s="1"/>
  <c r="I1566" i="6"/>
  <c r="K1579" i="6"/>
  <c r="I1579" i="6"/>
  <c r="G1579" i="6"/>
  <c r="I1595" i="6"/>
  <c r="G1595" i="6"/>
  <c r="K1727" i="6"/>
  <c r="I1727" i="6"/>
  <c r="G1727" i="6"/>
  <c r="I1773" i="6"/>
  <c r="I1775" i="6" s="1"/>
  <c r="I1785" i="6" s="1"/>
  <c r="G1773" i="6"/>
  <c r="G1775" i="6" s="1"/>
  <c r="K1176" i="6"/>
  <c r="K1219" i="6"/>
  <c r="K1241" i="6"/>
  <c r="G1282" i="6"/>
  <c r="G1283" i="6" s="1"/>
  <c r="K1318" i="6"/>
  <c r="M1332" i="6"/>
  <c r="M1333" i="6"/>
  <c r="G1459" i="6"/>
  <c r="G1453" i="6"/>
  <c r="K1580" i="6"/>
  <c r="I1580" i="6"/>
  <c r="G1580" i="6"/>
  <c r="I1404" i="6"/>
  <c r="I1406" i="6" s="1"/>
  <c r="G1404" i="6"/>
  <c r="K1440" i="6"/>
  <c r="I1440" i="6"/>
  <c r="G1440" i="6"/>
  <c r="I1468" i="6"/>
  <c r="G1468" i="6"/>
  <c r="K1511" i="6"/>
  <c r="I1511" i="6"/>
  <c r="G1511" i="6"/>
  <c r="I1531" i="6"/>
  <c r="G1531" i="6"/>
  <c r="K1568" i="6"/>
  <c r="K1569" i="6" s="1"/>
  <c r="I1568" i="6"/>
  <c r="I1569" i="6" s="1"/>
  <c r="G1568" i="6"/>
  <c r="G1569" i="6" s="1"/>
  <c r="K1581" i="6"/>
  <c r="I1581" i="6"/>
  <c r="G1581" i="6"/>
  <c r="I1764" i="6"/>
  <c r="I1765" i="6" s="1"/>
  <c r="G1764" i="6"/>
  <c r="K1914" i="6"/>
  <c r="I1914" i="6"/>
  <c r="G1914" i="6"/>
  <c r="M1914" i="6"/>
  <c r="M1378" i="6"/>
  <c r="M1379" i="6" s="1"/>
  <c r="M1393" i="6"/>
  <c r="M1389" i="6" s="1"/>
  <c r="M1390" i="6" s="1"/>
  <c r="M1500" i="6"/>
  <c r="M1515" i="6"/>
  <c r="K1575" i="6"/>
  <c r="K1611" i="6"/>
  <c r="K1621" i="6"/>
  <c r="K1622" i="6"/>
  <c r="I1635" i="6"/>
  <c r="G1635" i="6"/>
  <c r="K1640" i="6"/>
  <c r="K1641" i="6" s="1"/>
  <c r="I1640" i="6"/>
  <c r="I1641" i="6" s="1"/>
  <c r="K1647" i="6"/>
  <c r="G1741" i="6"/>
  <c r="K1803" i="6"/>
  <c r="I1803" i="6"/>
  <c r="G1803" i="6"/>
  <c r="K1854" i="6"/>
  <c r="I1854" i="6"/>
  <c r="G1854" i="6"/>
  <c r="G2021" i="6"/>
  <c r="K2021" i="6"/>
  <c r="I2021" i="6"/>
  <c r="K2092" i="6"/>
  <c r="K2088" i="6" s="1"/>
  <c r="M2092" i="6"/>
  <c r="I2092" i="6"/>
  <c r="G2092" i="6"/>
  <c r="M1372" i="6"/>
  <c r="G1378" i="6"/>
  <c r="M1381" i="6"/>
  <c r="M1382" i="6" s="1"/>
  <c r="G1393" i="6"/>
  <c r="M1394" i="6"/>
  <c r="G1410" i="6"/>
  <c r="G1411" i="6" s="1"/>
  <c r="G1420" i="6"/>
  <c r="G1452" i="6"/>
  <c r="G1454" i="6" s="1"/>
  <c r="G1474" i="6"/>
  <c r="G1487" i="6"/>
  <c r="G1500" i="6"/>
  <c r="M1501" i="6"/>
  <c r="G1515" i="6"/>
  <c r="M1516" i="6"/>
  <c r="G1527" i="6"/>
  <c r="G1547" i="6"/>
  <c r="G1563" i="6"/>
  <c r="G1564" i="6"/>
  <c r="G1565" i="6"/>
  <c r="G1591" i="6"/>
  <c r="M1611" i="6"/>
  <c r="K1631" i="6"/>
  <c r="I1631" i="6"/>
  <c r="K1661" i="6"/>
  <c r="I1661" i="6"/>
  <c r="I1696" i="6"/>
  <c r="I1698" i="6" s="1"/>
  <c r="G1696" i="6"/>
  <c r="I1700" i="6"/>
  <c r="I1701" i="6" s="1"/>
  <c r="G1700" i="6"/>
  <c r="G1701" i="6" s="1"/>
  <c r="K1725" i="6"/>
  <c r="I1725" i="6"/>
  <c r="G1725" i="6"/>
  <c r="I1750" i="6"/>
  <c r="G1750" i="6"/>
  <c r="K1789" i="6"/>
  <c r="I1810" i="6"/>
  <c r="I1804" i="6"/>
  <c r="K1840" i="6"/>
  <c r="I1840" i="6"/>
  <c r="G1840" i="6"/>
  <c r="M1854" i="6"/>
  <c r="I1870" i="6"/>
  <c r="G1870" i="6"/>
  <c r="I1874" i="6"/>
  <c r="I1875" i="6" s="1"/>
  <c r="G1874" i="6"/>
  <c r="G1875" i="6" s="1"/>
  <c r="K1926" i="6"/>
  <c r="K1927" i="6" s="1"/>
  <c r="I1926" i="6"/>
  <c r="I1927" i="6" s="1"/>
  <c r="G1926" i="6"/>
  <c r="G1927" i="6" s="1"/>
  <c r="I1949" i="6"/>
  <c r="I1950" i="6" s="1"/>
  <c r="K1949" i="6"/>
  <c r="K1950" i="6" s="1"/>
  <c r="G1949" i="6"/>
  <c r="G1950" i="6" s="1"/>
  <c r="K1976" i="6"/>
  <c r="G1976" i="6"/>
  <c r="I1976" i="6"/>
  <c r="G1631" i="6"/>
  <c r="M1635" i="6"/>
  <c r="M1640" i="6"/>
  <c r="M1641" i="6" s="1"/>
  <c r="G1661" i="6"/>
  <c r="K1685" i="6"/>
  <c r="K1686" i="6" s="1"/>
  <c r="I1685" i="6"/>
  <c r="I1686" i="6" s="1"/>
  <c r="G1685" i="6"/>
  <c r="G1686" i="6" s="1"/>
  <c r="K1715" i="6"/>
  <c r="K1716" i="6" s="1"/>
  <c r="I1715" i="6"/>
  <c r="I1716" i="6" s="1"/>
  <c r="G1715" i="6"/>
  <c r="G1716" i="6" s="1"/>
  <c r="K1726" i="6"/>
  <c r="I1726" i="6"/>
  <c r="G1726" i="6"/>
  <c r="G1789" i="6"/>
  <c r="I1819" i="6"/>
  <c r="I1820" i="6" s="1"/>
  <c r="K1827" i="6"/>
  <c r="K1828" i="6" s="1"/>
  <c r="I1827" i="6"/>
  <c r="I1828" i="6" s="1"/>
  <c r="G1827" i="6"/>
  <c r="G1828" i="6" s="1"/>
  <c r="M1840" i="6"/>
  <c r="I1866" i="6"/>
  <c r="I1867" i="6" s="1"/>
  <c r="G1866" i="6"/>
  <c r="G1867" i="6" s="1"/>
  <c r="K1941" i="6"/>
  <c r="K1942" i="6" s="1"/>
  <c r="I1941" i="6"/>
  <c r="I1942" i="6" s="1"/>
  <c r="G1941" i="6"/>
  <c r="G1942" i="6" s="1"/>
  <c r="K1974" i="6"/>
  <c r="G1974" i="6"/>
  <c r="I1974" i="6"/>
  <c r="K2034" i="6"/>
  <c r="M2034" i="6"/>
  <c r="I2034" i="6"/>
  <c r="G2034" i="6"/>
  <c r="K2128" i="6"/>
  <c r="K2129" i="6" s="1"/>
  <c r="G2128" i="6"/>
  <c r="G2129" i="6" s="1"/>
  <c r="M2128" i="6"/>
  <c r="M2129" i="6" s="1"/>
  <c r="I2128" i="6"/>
  <c r="I2129" i="6" s="1"/>
  <c r="M1841" i="6"/>
  <c r="M1855" i="6"/>
  <c r="M1915" i="6"/>
  <c r="K1959" i="6"/>
  <c r="G1959" i="6"/>
  <c r="K1961" i="6"/>
  <c r="G1961" i="6"/>
  <c r="K2016" i="6"/>
  <c r="K2017" i="6" s="1"/>
  <c r="I2016" i="6"/>
  <c r="I2017" i="6" s="1"/>
  <c r="G2016" i="6"/>
  <c r="G2017" i="6" s="1"/>
  <c r="I2035" i="6"/>
  <c r="M2035" i="6"/>
  <c r="K2035" i="6"/>
  <c r="G2035" i="6"/>
  <c r="I2093" i="6"/>
  <c r="M2093" i="6"/>
  <c r="K2093" i="6"/>
  <c r="G2093" i="6"/>
  <c r="K2119" i="6"/>
  <c r="M2119" i="6"/>
  <c r="I2119" i="6"/>
  <c r="G2119" i="6"/>
  <c r="K2120" i="6"/>
  <c r="K2138" i="6"/>
  <c r="G2138" i="6"/>
  <c r="M2138" i="6"/>
  <c r="I2138" i="6"/>
  <c r="G2262" i="6"/>
  <c r="G2257" i="6"/>
  <c r="G2258" i="6" s="1"/>
  <c r="K1637" i="6"/>
  <c r="G1670" i="6"/>
  <c r="G1671" i="6" s="1"/>
  <c r="G1680" i="6"/>
  <c r="G1681" i="6"/>
  <c r="G1682" i="6"/>
  <c r="G1695" i="6"/>
  <c r="G1710" i="6"/>
  <c r="G1711" i="6"/>
  <c r="G1712" i="6"/>
  <c r="G1749" i="6"/>
  <c r="G1763" i="6"/>
  <c r="G1767" i="6"/>
  <c r="G1768" i="6" s="1"/>
  <c r="G1779" i="6"/>
  <c r="G1780" i="6" s="1"/>
  <c r="G1788" i="6"/>
  <c r="G1812" i="6"/>
  <c r="G1813" i="6" s="1"/>
  <c r="G1822" i="6"/>
  <c r="G1823" i="6"/>
  <c r="G1824" i="6"/>
  <c r="K1839" i="6"/>
  <c r="G1841" i="6"/>
  <c r="K1851" i="6"/>
  <c r="K1852" i="6" s="1"/>
  <c r="G1855" i="6"/>
  <c r="K1859" i="6"/>
  <c r="K1860" i="6" s="1"/>
  <c r="G1869" i="6"/>
  <c r="G1889" i="6"/>
  <c r="G1890" i="6" s="1"/>
  <c r="G1904" i="6"/>
  <c r="G1905" i="6" s="1"/>
  <c r="K1911" i="6"/>
  <c r="K1912" i="6" s="1"/>
  <c r="G1915" i="6"/>
  <c r="K1919" i="6"/>
  <c r="K1920" i="6" s="1"/>
  <c r="I1959" i="6"/>
  <c r="I1961" i="6"/>
  <c r="K1975" i="6"/>
  <c r="G1975" i="6"/>
  <c r="K2001" i="6"/>
  <c r="K2002" i="6" s="1"/>
  <c r="I2001" i="6"/>
  <c r="I2002" i="6" s="1"/>
  <c r="G2001" i="6"/>
  <c r="G2002" i="6" s="1"/>
  <c r="G2036" i="6"/>
  <c r="M2036" i="6"/>
  <c r="K2036" i="6"/>
  <c r="I2036" i="6"/>
  <c r="I2081" i="6"/>
  <c r="I2082" i="6" s="1"/>
  <c r="M2081" i="6"/>
  <c r="M2082" i="6" s="1"/>
  <c r="K2081" i="6"/>
  <c r="K2082" i="6" s="1"/>
  <c r="G2081" i="6"/>
  <c r="G2082" i="6" s="1"/>
  <c r="K1960" i="6"/>
  <c r="G1960" i="6"/>
  <c r="K2009" i="6"/>
  <c r="K2010" i="6" s="1"/>
  <c r="I2052" i="6"/>
  <c r="K2072" i="6"/>
  <c r="M2087" i="6"/>
  <c r="K2096" i="6"/>
  <c r="K2097" i="6" s="1"/>
  <c r="I2106" i="6"/>
  <c r="K2107" i="6"/>
  <c r="K2108" i="6"/>
  <c r="M2123" i="6"/>
  <c r="M2124" i="6"/>
  <c r="I2249" i="6"/>
  <c r="I2251" i="6" s="1"/>
  <c r="G2140" i="6"/>
  <c r="K2140" i="6"/>
  <c r="I2305" i="6"/>
  <c r="I2306" i="6" s="1"/>
  <c r="G2305" i="6"/>
  <c r="I2019" i="6"/>
  <c r="I2066" i="6"/>
  <c r="I2087" i="6"/>
  <c r="G2123" i="6"/>
  <c r="I2124" i="6"/>
  <c r="I2126" i="6" s="1"/>
  <c r="I2140" i="6"/>
  <c r="K2149" i="6"/>
  <c r="I2149" i="6"/>
  <c r="G2149" i="6"/>
  <c r="K2227" i="6"/>
  <c r="K2222" i="6"/>
  <c r="K2223" i="6" s="1"/>
  <c r="K2271" i="6"/>
  <c r="I2271" i="6"/>
  <c r="G2271" i="6"/>
  <c r="K2315" i="6"/>
  <c r="I2315" i="6"/>
  <c r="G2315" i="6"/>
  <c r="K2316" i="6"/>
  <c r="I2316" i="6"/>
  <c r="G2316" i="6"/>
  <c r="I2134" i="6"/>
  <c r="I2143" i="6"/>
  <c r="I2144" i="6" s="1"/>
  <c r="K2153" i="6"/>
  <c r="K2154" i="6"/>
  <c r="K2155" i="6"/>
  <c r="G2183" i="6"/>
  <c r="M2272" i="6"/>
  <c r="M2268" i="6" s="1"/>
  <c r="M2269" i="6" s="1"/>
  <c r="M2293" i="6"/>
  <c r="G2247" i="6"/>
  <c r="G2248" i="6"/>
  <c r="G2272" i="6"/>
  <c r="G2293" i="6"/>
  <c r="M2294" i="6"/>
  <c r="G2304" i="6"/>
  <c r="G2349" i="6"/>
  <c r="G2350" i="6" s="1"/>
  <c r="K150" i="6" l="1"/>
  <c r="K151" i="6" s="1"/>
  <c r="G2103" i="6"/>
  <c r="M2094" i="6"/>
  <c r="K799" i="6"/>
  <c r="K800" i="6" s="1"/>
  <c r="M2079" i="6"/>
  <c r="G2088" i="6"/>
  <c r="G2089" i="6" s="1"/>
  <c r="K921" i="6"/>
  <c r="K923" i="6" s="1"/>
  <c r="G633" i="6"/>
  <c r="G635" i="6" s="1"/>
  <c r="K115" i="6"/>
  <c r="K120" i="6" s="1"/>
  <c r="K121" i="6" s="1"/>
  <c r="G1288" i="6"/>
  <c r="G1293" i="6" s="1"/>
  <c r="K1707" i="6"/>
  <c r="K1708" i="6" s="1"/>
  <c r="I1707" i="6"/>
  <c r="I1708" i="6" s="1"/>
  <c r="I799" i="6"/>
  <c r="I800" i="6" s="1"/>
  <c r="I693" i="6"/>
  <c r="M1314" i="6"/>
  <c r="M1315" i="6" s="1"/>
  <c r="M1325" i="6" s="1"/>
  <c r="K2238" i="6"/>
  <c r="K2167" i="6"/>
  <c r="K2168" i="6" s="1"/>
  <c r="G2189" i="6"/>
  <c r="G2190" i="6" s="1"/>
  <c r="M2103" i="6"/>
  <c r="M2104" i="6" s="1"/>
  <c r="G1320" i="6"/>
  <c r="G1325" i="6" s="1"/>
  <c r="K2189" i="6"/>
  <c r="K2190" i="6" s="1"/>
  <c r="K1566" i="6"/>
  <c r="K1560" i="6"/>
  <c r="K1561" i="6" s="1"/>
  <c r="K1571" i="6" s="1"/>
  <c r="I916" i="6"/>
  <c r="I917" i="6" s="1"/>
  <c r="I258" i="6"/>
  <c r="K1857" i="6"/>
  <c r="I1470" i="6"/>
  <c r="M1216" i="6"/>
  <c r="M1217" i="6" s="1"/>
  <c r="I182" i="6"/>
  <c r="I183" i="6" s="1"/>
  <c r="I188" i="6" s="1"/>
  <c r="K2073" i="6"/>
  <c r="G1947" i="6"/>
  <c r="K1208" i="6"/>
  <c r="G340" i="6"/>
  <c r="G341" i="6" s="1"/>
  <c r="K962" i="6"/>
  <c r="K963" i="6" s="1"/>
  <c r="K1804" i="6"/>
  <c r="K1805" i="6" s="1"/>
  <c r="K1815" i="6" s="1"/>
  <c r="K1810" i="6"/>
  <c r="I80" i="6"/>
  <c r="I81" i="6" s="1"/>
  <c r="I90" i="6" s="1"/>
  <c r="I91" i="6" s="1"/>
  <c r="I1746" i="6"/>
  <c r="I1747" i="6" s="1"/>
  <c r="I1751" i="6"/>
  <c r="I408" i="6"/>
  <c r="I410" i="6" s="1"/>
  <c r="I411" i="6" s="1"/>
  <c r="K2249" i="6"/>
  <c r="K2244" i="6"/>
  <c r="K2245" i="6" s="1"/>
  <c r="K2251" i="6" s="1"/>
  <c r="G283" i="6"/>
  <c r="G284" i="6" s="1"/>
  <c r="I71" i="6"/>
  <c r="I73" i="6" s="1"/>
  <c r="I74" i="6" s="1"/>
  <c r="K787" i="6"/>
  <c r="K788" i="6" s="1"/>
  <c r="K794" i="6" s="1"/>
  <c r="K795" i="6" s="1"/>
  <c r="K792" i="6"/>
  <c r="G904" i="6"/>
  <c r="I57" i="6"/>
  <c r="I62" i="6" s="1"/>
  <c r="I63" i="6" s="1"/>
  <c r="G488" i="6"/>
  <c r="G489" i="6" s="1"/>
  <c r="G492" i="6"/>
  <c r="I432" i="6"/>
  <c r="I428" i="6"/>
  <c r="I429" i="6" s="1"/>
  <c r="I434" i="6" s="1"/>
  <c r="I435" i="6" s="1"/>
  <c r="G1022" i="6"/>
  <c r="G1023" i="6" s="1"/>
  <c r="G1035" i="6" s="1"/>
  <c r="G1036" i="6" s="1"/>
  <c r="I587" i="6"/>
  <c r="I589" i="6" s="1"/>
  <c r="I1459" i="6"/>
  <c r="I1464" i="6" s="1"/>
  <c r="G555" i="6"/>
  <c r="G557" i="6" s="1"/>
  <c r="I1842" i="6"/>
  <c r="G754" i="6"/>
  <c r="G756" i="6" s="1"/>
  <c r="G757" i="6" s="1"/>
  <c r="I1183" i="6"/>
  <c r="I1184" i="6" s="1"/>
  <c r="K2216" i="6"/>
  <c r="K2211" i="6"/>
  <c r="K2212" i="6" s="1"/>
  <c r="K239" i="6"/>
  <c r="K245" i="6" s="1"/>
  <c r="K246" i="6" s="1"/>
  <c r="I555" i="6"/>
  <c r="I557" i="6" s="1"/>
  <c r="G1872" i="6"/>
  <c r="G1877" i="6" s="1"/>
  <c r="K182" i="6"/>
  <c r="K183" i="6" s="1"/>
  <c r="K188" i="6" s="1"/>
  <c r="G1647" i="6"/>
  <c r="G1648" i="6" s="1"/>
  <c r="G1653" i="6"/>
  <c r="K1677" i="6"/>
  <c r="K1678" i="6" s="1"/>
  <c r="I191" i="6"/>
  <c r="I192" i="6" s="1"/>
  <c r="I195" i="6"/>
  <c r="I197" i="6" s="1"/>
  <c r="I1208" i="6"/>
  <c r="I1203" i="6"/>
  <c r="I1204" i="6" s="1"/>
  <c r="I1210" i="6" s="1"/>
  <c r="I844" i="6"/>
  <c r="I846" i="6" s="1"/>
  <c r="I847" i="6" s="1"/>
  <c r="K2200" i="6"/>
  <c r="K2201" i="6" s="1"/>
  <c r="K2207" i="6" s="1"/>
  <c r="K1819" i="6"/>
  <c r="K1820" i="6" s="1"/>
  <c r="K1830" i="6" s="1"/>
  <c r="I2073" i="6"/>
  <c r="I2074" i="6" s="1"/>
  <c r="G2022" i="6"/>
  <c r="G2027" i="6" s="1"/>
  <c r="G603" i="6"/>
  <c r="G605" i="6" s="1"/>
  <c r="G2172" i="6"/>
  <c r="K1198" i="6"/>
  <c r="K851" i="6"/>
  <c r="K852" i="6" s="1"/>
  <c r="K858" i="6" s="1"/>
  <c r="K859" i="6" s="1"/>
  <c r="I204" i="6"/>
  <c r="K2290" i="6"/>
  <c r="K2291" i="6" s="1"/>
  <c r="K595" i="6"/>
  <c r="K597" i="6" s="1"/>
  <c r="K1105" i="6"/>
  <c r="K1117" i="6" s="1"/>
  <c r="K1118" i="6" s="1"/>
  <c r="G827" i="6"/>
  <c r="G828" i="6" s="1"/>
  <c r="G52" i="6"/>
  <c r="G53" i="6" s="1"/>
  <c r="G62" i="6" s="1"/>
  <c r="G63" i="6" s="1"/>
  <c r="I1368" i="6"/>
  <c r="I2290" i="6"/>
  <c r="I2291" i="6" s="1"/>
  <c r="I2295" i="6"/>
  <c r="I1168" i="6"/>
  <c r="M302" i="6"/>
  <c r="M303" i="6" s="1"/>
  <c r="G71" i="6"/>
  <c r="G73" i="6" s="1"/>
  <c r="G74" i="6" s="1"/>
  <c r="I1009" i="6"/>
  <c r="K989" i="6"/>
  <c r="I1907" i="6"/>
  <c r="K1518" i="6"/>
  <c r="K2194" i="6"/>
  <c r="G539" i="6"/>
  <c r="G541" i="6" s="1"/>
  <c r="K563" i="6"/>
  <c r="K565" i="6" s="1"/>
  <c r="I1608" i="6"/>
  <c r="I1609" i="6" s="1"/>
  <c r="K315" i="6"/>
  <c r="K321" i="6" s="1"/>
  <c r="K322" i="6" s="1"/>
  <c r="G1355" i="6"/>
  <c r="K832" i="6"/>
  <c r="K834" i="6" s="1"/>
  <c r="K835" i="6" s="1"/>
  <c r="K174" i="6"/>
  <c r="K176" i="6" s="1"/>
  <c r="K177" i="6" s="1"/>
  <c r="G1297" i="6"/>
  <c r="G1298" i="6" s="1"/>
  <c r="G2233" i="6"/>
  <c r="G2234" i="6" s="1"/>
  <c r="I1330" i="6"/>
  <c r="K949" i="6"/>
  <c r="M1168" i="6"/>
  <c r="I2339" i="6"/>
  <c r="G775" i="6"/>
  <c r="G776" i="6" s="1"/>
  <c r="G782" i="6" s="1"/>
  <c r="G783" i="6" s="1"/>
  <c r="I277" i="6"/>
  <c r="I283" i="6" s="1"/>
  <c r="I284" i="6" s="1"/>
  <c r="G1759" i="6"/>
  <c r="G1760" i="6" s="1"/>
  <c r="I349" i="6"/>
  <c r="I351" i="6" s="1"/>
  <c r="I352" i="6" s="1"/>
  <c r="K1902" i="6"/>
  <c r="K1907" i="6" s="1"/>
  <c r="M1842" i="6"/>
  <c r="M1847" i="6" s="1"/>
  <c r="G898" i="6"/>
  <c r="I334" i="6"/>
  <c r="I340" i="6" s="1"/>
  <c r="I341" i="6" s="1"/>
  <c r="M2109" i="6"/>
  <c r="I2156" i="6"/>
  <c r="G115" i="6"/>
  <c r="I695" i="6"/>
  <c r="I982" i="6"/>
  <c r="I983" i="6" s="1"/>
  <c r="I995" i="6" s="1"/>
  <c r="I996" i="6" s="1"/>
  <c r="K2089" i="6"/>
  <c r="G2156" i="6"/>
  <c r="I2238" i="6"/>
  <c r="G1907" i="6"/>
  <c r="G1790" i="6"/>
  <c r="G1800" i="6" s="1"/>
  <c r="G1374" i="6"/>
  <c r="I1105" i="6"/>
  <c r="G1330" i="6"/>
  <c r="G1340" i="6" s="1"/>
  <c r="I2079" i="6"/>
  <c r="I1932" i="6"/>
  <c r="I1937" i="6" s="1"/>
  <c r="I863" i="6"/>
  <c r="I864" i="6" s="1"/>
  <c r="G969" i="6"/>
  <c r="G563" i="6"/>
  <c r="G565" i="6" s="1"/>
  <c r="G1232" i="6"/>
  <c r="I1071" i="6"/>
  <c r="G2328" i="6"/>
  <c r="K2295" i="6"/>
  <c r="K2297" i="6" s="1"/>
  <c r="G1029" i="6"/>
  <c r="G547" i="6"/>
  <c r="G549" i="6" s="1"/>
  <c r="K804" i="6"/>
  <c r="K806" i="6" s="1"/>
  <c r="K807" i="6" s="1"/>
  <c r="K432" i="6"/>
  <c r="K434" i="6" s="1"/>
  <c r="K435" i="6" s="1"/>
  <c r="G2104" i="6"/>
  <c r="G2114" i="6" s="1"/>
  <c r="K982" i="6"/>
  <c r="K983" i="6" s="1"/>
  <c r="K995" i="6" s="1"/>
  <c r="K996" i="6" s="1"/>
  <c r="I245" i="6"/>
  <c r="I246" i="6" s="1"/>
  <c r="G962" i="6"/>
  <c r="G963" i="6" s="1"/>
  <c r="G975" i="6" s="1"/>
  <c r="G976" i="6" s="1"/>
  <c r="I47" i="6"/>
  <c r="I48" i="6" s="1"/>
  <c r="I603" i="6"/>
  <c r="I605" i="6" s="1"/>
  <c r="K1512" i="6"/>
  <c r="K1513" i="6" s="1"/>
  <c r="K1523" i="6" s="1"/>
  <c r="K1638" i="6"/>
  <c r="K1268" i="6"/>
  <c r="K1278" i="6" s="1"/>
  <c r="K926" i="6"/>
  <c r="K927" i="6" s="1"/>
  <c r="K933" i="6" s="1"/>
  <c r="K12" i="6"/>
  <c r="I1379" i="6"/>
  <c r="K1183" i="6"/>
  <c r="K1184" i="6" s="1"/>
  <c r="K1203" i="6"/>
  <c r="K1204" i="6" s="1"/>
  <c r="K1210" i="6" s="1"/>
  <c r="K969" i="6"/>
  <c r="G2211" i="6"/>
  <c r="G2212" i="6" s="1"/>
  <c r="K547" i="6"/>
  <c r="K549" i="6" s="1"/>
  <c r="I206" i="6"/>
  <c r="G2339" i="6"/>
  <c r="G2341" i="6" s="1"/>
  <c r="I2062" i="6"/>
  <c r="I2063" i="6" s="1"/>
  <c r="I2233" i="6"/>
  <c r="I2234" i="6" s="1"/>
  <c r="K1790" i="6"/>
  <c r="I1857" i="6"/>
  <c r="I1862" i="6" s="1"/>
  <c r="I1613" i="6"/>
  <c r="G1366" i="6"/>
  <c r="G1368" i="6" s="1"/>
  <c r="G1002" i="6"/>
  <c r="G1003" i="6" s="1"/>
  <c r="G1015" i="6" s="1"/>
  <c r="G1016" i="6" s="1"/>
  <c r="K623" i="6"/>
  <c r="K625" i="6" s="1"/>
  <c r="M1163" i="6"/>
  <c r="M1164" i="6" s="1"/>
  <c r="M1170" i="6" s="1"/>
  <c r="K703" i="6"/>
  <c r="K705" i="6" s="1"/>
  <c r="G191" i="6"/>
  <c r="G192" i="6" s="1"/>
  <c r="G197" i="6" s="1"/>
  <c r="I1267" i="6"/>
  <c r="I476" i="6"/>
  <c r="I477" i="6" s="1"/>
  <c r="I482" i="6" s="1"/>
  <c r="I483" i="6" s="1"/>
  <c r="I218" i="6"/>
  <c r="I219" i="6" s="1"/>
  <c r="I224" i="6" s="1"/>
  <c r="M197" i="6"/>
  <c r="K2183" i="6"/>
  <c r="I1887" i="6"/>
  <c r="I1892" i="6" s="1"/>
  <c r="I1653" i="6"/>
  <c r="K1795" i="6"/>
  <c r="G155" i="6"/>
  <c r="G156" i="6" s="1"/>
  <c r="K1009" i="6"/>
  <c r="K1015" i="6" s="1"/>
  <c r="K1016" i="6" s="1"/>
  <c r="I1847" i="6"/>
  <c r="I2323" i="6"/>
  <c r="I2324" i="6" s="1"/>
  <c r="I2330" i="6" s="1"/>
  <c r="G2279" i="6"/>
  <c r="G2280" i="6" s="1"/>
  <c r="K719" i="6"/>
  <c r="K720" i="6" s="1"/>
  <c r="K725" i="6" s="1"/>
  <c r="K1064" i="6"/>
  <c r="K1065" i="6" s="1"/>
  <c r="K1232" i="6"/>
  <c r="M1221" i="6"/>
  <c r="M1223" i="6" s="1"/>
  <c r="K863" i="6"/>
  <c r="K864" i="6" s="1"/>
  <c r="G1173" i="6"/>
  <c r="G1174" i="6" s="1"/>
  <c r="I27" i="6"/>
  <c r="I32" i="6" s="1"/>
  <c r="I33" i="6" s="1"/>
  <c r="K1683" i="6"/>
  <c r="I745" i="6"/>
  <c r="I747" i="6" s="1"/>
  <c r="I748" i="6" s="1"/>
  <c r="G372" i="6"/>
  <c r="G368" i="6"/>
  <c r="G369" i="6" s="1"/>
  <c r="G374" i="6" s="1"/>
  <c r="G375" i="6" s="1"/>
  <c r="I2334" i="6"/>
  <c r="I2335" i="6" s="1"/>
  <c r="G1765" i="6"/>
  <c r="I1917" i="6"/>
  <c r="I1922" i="6" s="1"/>
  <c r="K1917" i="6"/>
  <c r="K1922" i="6" s="1"/>
  <c r="I806" i="6"/>
  <c r="I807" i="6" s="1"/>
  <c r="G296" i="6"/>
  <c r="G302" i="6" s="1"/>
  <c r="G303" i="6" s="1"/>
  <c r="G1887" i="6"/>
  <c r="G2238" i="6"/>
  <c r="K2328" i="6"/>
  <c r="K2330" i="6" s="1"/>
  <c r="K2074" i="6"/>
  <c r="I2094" i="6"/>
  <c r="K1663" i="6"/>
  <c r="G1618" i="6"/>
  <c r="G1619" i="6" s="1"/>
  <c r="G1625" i="6" s="1"/>
  <c r="K1193" i="6"/>
  <c r="K1194" i="6" s="1"/>
  <c r="K1071" i="6"/>
  <c r="I1345" i="6"/>
  <c r="I1355" i="6" s="1"/>
  <c r="K942" i="6"/>
  <c r="K943" i="6" s="1"/>
  <c r="I1303" i="6"/>
  <c r="K2172" i="6"/>
  <c r="K2174" i="6" s="1"/>
  <c r="G1168" i="6"/>
  <c r="K1459" i="6"/>
  <c r="K1464" i="6" s="1"/>
  <c r="I734" i="6"/>
  <c r="I736" i="6" s="1"/>
  <c r="I737" i="6" s="1"/>
  <c r="I868" i="6"/>
  <c r="I949" i="6"/>
  <c r="I1288" i="6"/>
  <c r="I1293" i="6" s="1"/>
  <c r="G1190" i="6"/>
  <c r="K2079" i="6"/>
  <c r="K1937" i="6"/>
  <c r="I1518" i="6"/>
  <c r="K2094" i="6"/>
  <c r="I1298" i="6"/>
  <c r="I2057" i="6"/>
  <c r="M2037" i="6"/>
  <c r="M2042" i="6" s="1"/>
  <c r="I1872" i="6"/>
  <c r="I1877" i="6" s="1"/>
  <c r="K780" i="6"/>
  <c r="K782" i="6" s="1"/>
  <c r="K783" i="6" s="1"/>
  <c r="G1216" i="6"/>
  <c r="G1217" i="6" s="1"/>
  <c r="G512" i="6"/>
  <c r="G513" i="6" s="1"/>
  <c r="K209" i="6"/>
  <c r="K210" i="6" s="1"/>
  <c r="K215" i="6" s="1"/>
  <c r="G110" i="6"/>
  <c r="G111" i="6" s="1"/>
  <c r="I2200" i="6"/>
  <c r="I2201" i="6" s="1"/>
  <c r="I2207" i="6" s="1"/>
  <c r="G2200" i="6"/>
  <c r="G2201" i="6" s="1"/>
  <c r="G2207" i="6" s="1"/>
  <c r="K2007" i="6"/>
  <c r="K2012" i="6" s="1"/>
  <c r="I539" i="6"/>
  <c r="I541" i="6" s="1"/>
  <c r="G174" i="6"/>
  <c r="G176" i="6" s="1"/>
  <c r="G177" i="6" s="1"/>
  <c r="I1683" i="6"/>
  <c r="I1335" i="6"/>
  <c r="I1340" i="6" s="1"/>
  <c r="I1668" i="6"/>
  <c r="I1662" i="6"/>
  <c r="I1663" i="6" s="1"/>
  <c r="I1673" i="6" s="1"/>
  <c r="G1475" i="6"/>
  <c r="K1713" i="6"/>
  <c r="I1374" i="6"/>
  <c r="G1892" i="6"/>
  <c r="I1952" i="6"/>
  <c r="K611" i="6"/>
  <c r="K613" i="6" s="1"/>
  <c r="G1810" i="6"/>
  <c r="G1804" i="6"/>
  <c r="G1805" i="6" s="1"/>
  <c r="G1815" i="6" s="1"/>
  <c r="G22" i="6"/>
  <c r="G23" i="6" s="1"/>
  <c r="G32" i="6" s="1"/>
  <c r="G33" i="6" s="1"/>
  <c r="I130" i="6"/>
  <c r="I135" i="6" s="1"/>
  <c r="I136" i="6" s="1"/>
  <c r="K1668" i="6"/>
  <c r="G2150" i="6"/>
  <c r="G2151" i="6" s="1"/>
  <c r="K1842" i="6"/>
  <c r="K1847" i="6" s="1"/>
  <c r="M2074" i="6"/>
  <c r="M2084" i="6" s="1"/>
  <c r="G2185" i="6"/>
  <c r="I1962" i="6"/>
  <c r="I1967" i="6" s="1"/>
  <c r="I2088" i="6"/>
  <c r="I2089" i="6" s="1"/>
  <c r="G1470" i="6"/>
  <c r="I1314" i="6"/>
  <c r="I1315" i="6" s="1"/>
  <c r="I1325" i="6" s="1"/>
  <c r="M1180" i="6"/>
  <c r="K653" i="6"/>
  <c r="K655" i="6" s="1"/>
  <c r="K480" i="6"/>
  <c r="K482" i="6" s="1"/>
  <c r="K483" i="6" s="1"/>
  <c r="I898" i="6"/>
  <c r="I910" i="6" s="1"/>
  <c r="I911" i="6" s="1"/>
  <c r="K200" i="6"/>
  <c r="K201" i="6" s="1"/>
  <c r="K206" i="6" s="1"/>
  <c r="G100" i="6"/>
  <c r="I969" i="6"/>
  <c r="K2022" i="6"/>
  <c r="I2007" i="6"/>
  <c r="I2012" i="6" s="1"/>
  <c r="I975" i="6"/>
  <c r="I976" i="6" s="1"/>
  <c r="K2121" i="6"/>
  <c r="K2131" i="6" s="1"/>
  <c r="K1633" i="6"/>
  <c r="K1643" i="6" s="1"/>
  <c r="M1232" i="6"/>
  <c r="M1227" i="6"/>
  <c r="M1228" i="6" s="1"/>
  <c r="G432" i="6"/>
  <c r="G428" i="6"/>
  <c r="G429" i="6" s="1"/>
  <c r="G434" i="6" s="1"/>
  <c r="G435" i="6" s="1"/>
  <c r="G2194" i="6"/>
  <c r="G2323" i="6"/>
  <c r="G2324" i="6" s="1"/>
  <c r="I2022" i="6"/>
  <c r="I2027" i="6" s="1"/>
  <c r="I2150" i="6"/>
  <c r="I2151" i="6" s="1"/>
  <c r="G2264" i="6"/>
  <c r="I1677" i="6"/>
  <c r="I1678" i="6" s="1"/>
  <c r="K1688" i="6"/>
  <c r="I1618" i="6"/>
  <c r="I1619" i="6" s="1"/>
  <c r="I1625" i="6" s="1"/>
  <c r="G611" i="6"/>
  <c r="G613" i="6" s="1"/>
  <c r="G579" i="6"/>
  <c r="G581" i="6" s="1"/>
  <c r="G890" i="6"/>
  <c r="G891" i="6" s="1"/>
  <c r="K715" i="6"/>
  <c r="M635" i="6"/>
  <c r="I296" i="6"/>
  <c r="I302" i="6" s="1"/>
  <c r="I303" i="6" s="1"/>
  <c r="I264" i="6"/>
  <c r="I265" i="6" s="1"/>
  <c r="I1064" i="6"/>
  <c r="I1065" i="6" s="1"/>
  <c r="G766" i="6"/>
  <c r="G768" i="6" s="1"/>
  <c r="G769" i="6" s="1"/>
  <c r="G120" i="6"/>
  <c r="G121" i="6" s="1"/>
  <c r="G188" i="6"/>
  <c r="I1736" i="6"/>
  <c r="I1737" i="6" s="1"/>
  <c r="I1741" i="6"/>
  <c r="I2189" i="6"/>
  <c r="I2190" i="6" s="1"/>
  <c r="I2194" i="6"/>
  <c r="K1887" i="6"/>
  <c r="K1892" i="6" s="1"/>
  <c r="G1613" i="6"/>
  <c r="G1615" i="6" s="1"/>
  <c r="I1188" i="6"/>
  <c r="I2211" i="6"/>
  <c r="I2212" i="6" s="1"/>
  <c r="I2216" i="6"/>
  <c r="I1713" i="6"/>
  <c r="I775" i="6"/>
  <c r="I776" i="6" s="1"/>
  <c r="I780" i="6"/>
  <c r="G863" i="6"/>
  <c r="G864" i="6" s="1"/>
  <c r="G792" i="6"/>
  <c r="G787" i="6"/>
  <c r="G788" i="6" s="1"/>
  <c r="G125" i="6"/>
  <c r="G126" i="6" s="1"/>
  <c r="G130" i="6"/>
  <c r="I2185" i="6"/>
  <c r="G1163" i="6"/>
  <c r="G1164" i="6" s="1"/>
  <c r="K1144" i="6"/>
  <c r="K1145" i="6" s="1"/>
  <c r="K1151" i="6"/>
  <c r="G844" i="6"/>
  <c r="G839" i="6"/>
  <c r="G840" i="6" s="1"/>
  <c r="I827" i="6"/>
  <c r="I828" i="6" s="1"/>
  <c r="I832" i="6"/>
  <c r="G470" i="6"/>
  <c r="G471" i="6" s="1"/>
  <c r="I384" i="6"/>
  <c r="I380" i="6"/>
  <c r="I381" i="6" s="1"/>
  <c r="I386" i="6" s="1"/>
  <c r="I387" i="6" s="1"/>
  <c r="I1789" i="6"/>
  <c r="I1790" i="6" s="1"/>
  <c r="I1800" i="6" s="1"/>
  <c r="G1071" i="6"/>
  <c r="G1064" i="6"/>
  <c r="G1065" i="6" s="1"/>
  <c r="G1151" i="6"/>
  <c r="G1144" i="6"/>
  <c r="G1145" i="6" s="1"/>
  <c r="G1157" i="6" s="1"/>
  <c r="G1158" i="6" s="1"/>
  <c r="K2178" i="6"/>
  <c r="K2179" i="6" s="1"/>
  <c r="I2350" i="6"/>
  <c r="I2352" i="6" s="1"/>
  <c r="I2067" i="6"/>
  <c r="I1977" i="6"/>
  <c r="I1982" i="6" s="1"/>
  <c r="G1663" i="6"/>
  <c r="G1673" i="6" s="1"/>
  <c r="M2088" i="6"/>
  <c r="M2089" i="6" s="1"/>
  <c r="M2099" i="6" s="1"/>
  <c r="M1502" i="6"/>
  <c r="I1513" i="6"/>
  <c r="G1406" i="6"/>
  <c r="G1416" i="6" s="1"/>
  <c r="K1741" i="6"/>
  <c r="K1743" i="6" s="1"/>
  <c r="G1785" i="6"/>
  <c r="K571" i="6"/>
  <c r="K573" i="6" s="1"/>
  <c r="K1227" i="6"/>
  <c r="K1228" i="6" s="1"/>
  <c r="K1234" i="6" s="1"/>
  <c r="I926" i="6"/>
  <c r="I927" i="6" s="1"/>
  <c r="I933" i="6" s="1"/>
  <c r="I921" i="6"/>
  <c r="I754" i="6"/>
  <c r="I756" i="6" s="1"/>
  <c r="I757" i="6" s="1"/>
  <c r="G1131" i="6"/>
  <c r="G1137" i="6" s="1"/>
  <c r="G1138" i="6" s="1"/>
  <c r="K516" i="6"/>
  <c r="K518" i="6" s="1"/>
  <c r="K519" i="6" s="1"/>
  <c r="K85" i="6"/>
  <c r="K90" i="6" s="1"/>
  <c r="K91" i="6" s="1"/>
  <c r="G2062" i="6"/>
  <c r="G2063" i="6" s="1"/>
  <c r="G2067" i="6"/>
  <c r="I1475" i="6"/>
  <c r="I1480" i="6" s="1"/>
  <c r="I1198" i="6"/>
  <c r="I1193" i="6"/>
  <c r="I1194" i="6" s="1"/>
  <c r="I633" i="6"/>
  <c r="I629" i="6"/>
  <c r="I630" i="6" s="1"/>
  <c r="K524" i="6"/>
  <c r="K525" i="6" s="1"/>
  <c r="K528" i="6"/>
  <c r="G2167" i="6"/>
  <c r="G2168" i="6" s="1"/>
  <c r="G315" i="6"/>
  <c r="G321" i="6" s="1"/>
  <c r="G322" i="6" s="1"/>
  <c r="G1227" i="6"/>
  <c r="G1228" i="6" s="1"/>
  <c r="I942" i="6"/>
  <c r="I943" i="6" s="1"/>
  <c r="I1002" i="6"/>
  <c r="I1003" i="6" s="1"/>
  <c r="K380" i="6"/>
  <c r="K381" i="6" s="1"/>
  <c r="K384" i="6"/>
  <c r="G85" i="6"/>
  <c r="G80" i="6"/>
  <c r="G81" i="6" s="1"/>
  <c r="G90" i="6" s="1"/>
  <c r="G91" i="6" s="1"/>
  <c r="G834" i="6"/>
  <c r="G835" i="6" s="1"/>
  <c r="I530" i="6"/>
  <c r="I531" i="6" s="1"/>
  <c r="G1208" i="6"/>
  <c r="G1203" i="6"/>
  <c r="G1204" i="6" s="1"/>
  <c r="G870" i="6"/>
  <c r="G871" i="6" s="1"/>
  <c r="G2227" i="6"/>
  <c r="G2229" i="6" s="1"/>
  <c r="K2284" i="6"/>
  <c r="K2286" i="6" s="1"/>
  <c r="K2233" i="6"/>
  <c r="K2234" i="6" s="1"/>
  <c r="K2240" i="6" s="1"/>
  <c r="G1997" i="6"/>
  <c r="G2216" i="6"/>
  <c r="G2218" i="6" s="1"/>
  <c r="G2286" i="6"/>
  <c r="G2345" i="6"/>
  <c r="G2346" i="6" s="1"/>
  <c r="G2352" i="6" s="1"/>
  <c r="G1962" i="6"/>
  <c r="G1967" i="6" s="1"/>
  <c r="G1977" i="6"/>
  <c r="G1982" i="6" s="1"/>
  <c r="K1952" i="6"/>
  <c r="G1937" i="6"/>
  <c r="G1842" i="6"/>
  <c r="G1847" i="6" s="1"/>
  <c r="M1395" i="6"/>
  <c r="M1400" i="6" s="1"/>
  <c r="M1496" i="6"/>
  <c r="M1497" i="6" s="1"/>
  <c r="I1550" i="6"/>
  <c r="K1163" i="6"/>
  <c r="K1164" i="6" s="1"/>
  <c r="I1268" i="6"/>
  <c r="I1278" i="6" s="1"/>
  <c r="I1117" i="6"/>
  <c r="I1118" i="6" s="1"/>
  <c r="G1303" i="6"/>
  <c r="K1263" i="6"/>
  <c r="G1117" i="6"/>
  <c r="G1118" i="6" s="1"/>
  <c r="I321" i="6"/>
  <c r="I322" i="6" s="1"/>
  <c r="M258" i="6"/>
  <c r="M264" i="6" s="1"/>
  <c r="M265" i="6" s="1"/>
  <c r="K258" i="6"/>
  <c r="K264" i="6" s="1"/>
  <c r="K265" i="6" s="1"/>
  <c r="G518" i="6"/>
  <c r="G519" i="6" s="1"/>
  <c r="G258" i="6"/>
  <c r="G264" i="6" s="1"/>
  <c r="G265" i="6" s="1"/>
  <c r="K218" i="6"/>
  <c r="K219" i="6" s="1"/>
  <c r="K224" i="6" s="1"/>
  <c r="G160" i="6"/>
  <c r="G7" i="6"/>
  <c r="G8" i="6" s="1"/>
  <c r="G17" i="6" s="1"/>
  <c r="G18" i="6" s="1"/>
  <c r="M870" i="6"/>
  <c r="M871" i="6" s="1"/>
  <c r="I2286" i="6"/>
  <c r="G1273" i="6"/>
  <c r="G1267" i="6"/>
  <c r="G1268" i="6" s="1"/>
  <c r="G1278" i="6" s="1"/>
  <c r="I1411" i="6"/>
  <c r="I1416" i="6" s="1"/>
  <c r="K1344" i="6"/>
  <c r="K1345" i="6" s="1"/>
  <c r="K1355" i="6" s="1"/>
  <c r="I420" i="6"/>
  <c r="I416" i="6"/>
  <c r="I417" i="6" s="1"/>
  <c r="I2167" i="6"/>
  <c r="I2168" i="6" s="1"/>
  <c r="I2172" i="6"/>
  <c r="I1760" i="6"/>
  <c r="I1770" i="6" s="1"/>
  <c r="G1198" i="6"/>
  <c r="G1193" i="6"/>
  <c r="G1194" i="6" s="1"/>
  <c r="G1200" i="6" s="1"/>
  <c r="G416" i="6"/>
  <c r="G417" i="6" s="1"/>
  <c r="G420" i="6"/>
  <c r="I1232" i="6"/>
  <c r="I1234" i="6" s="1"/>
  <c r="I1163" i="6"/>
  <c r="I1164" i="6" s="1"/>
  <c r="I1151" i="6"/>
  <c r="I1144" i="6"/>
  <c r="I1145" i="6" s="1"/>
  <c r="I1157" i="6" s="1"/>
  <c r="I1158" i="6" s="1"/>
  <c r="K839" i="6"/>
  <c r="K840" i="6" s="1"/>
  <c r="K844" i="6"/>
  <c r="G37" i="6"/>
  <c r="G38" i="6" s="1"/>
  <c r="G42" i="6"/>
  <c r="K2334" i="6"/>
  <c r="K2335" i="6" s="1"/>
  <c r="K2339" i="6"/>
  <c r="I512" i="6"/>
  <c r="I513" i="6" s="1"/>
  <c r="I516" i="6"/>
  <c r="G384" i="6"/>
  <c r="G380" i="6"/>
  <c r="G381" i="6" s="1"/>
  <c r="G386" i="6" s="1"/>
  <c r="G387" i="6" s="1"/>
  <c r="M2126" i="6"/>
  <c r="M2120" i="6"/>
  <c r="M2121" i="6" s="1"/>
  <c r="G1489" i="6"/>
  <c r="G1484" i="6"/>
  <c r="G1485" i="6" s="1"/>
  <c r="K1582" i="6"/>
  <c r="K1576" i="6"/>
  <c r="K1577" i="6" s="1"/>
  <c r="I1243" i="6"/>
  <c r="I1238" i="6"/>
  <c r="I1239" i="6" s="1"/>
  <c r="G916" i="6"/>
  <c r="G917" i="6" s="1"/>
  <c r="G921" i="6"/>
  <c r="K633" i="6"/>
  <c r="K629" i="6"/>
  <c r="K630" i="6" s="1"/>
  <c r="M639" i="6"/>
  <c r="M640" i="6" s="1"/>
  <c r="M643" i="6"/>
  <c r="G452" i="6"/>
  <c r="G453" i="6" s="1"/>
  <c r="G456" i="6"/>
  <c r="G218" i="6"/>
  <c r="G219" i="6" s="1"/>
  <c r="G222" i="6"/>
  <c r="K1648" i="6"/>
  <c r="K1658" i="6" s="1"/>
  <c r="G679" i="6"/>
  <c r="G680" i="6" s="1"/>
  <c r="G683" i="6"/>
  <c r="I669" i="6"/>
  <c r="I670" i="6" s="1"/>
  <c r="I673" i="6"/>
  <c r="K663" i="6"/>
  <c r="K659" i="6"/>
  <c r="K660" i="6" s="1"/>
  <c r="I504" i="6"/>
  <c r="I500" i="6"/>
  <c r="I501" i="6" s="1"/>
  <c r="G440" i="6"/>
  <c r="G441" i="6" s="1"/>
  <c r="G444" i="6"/>
  <c r="M182" i="6"/>
  <c r="M183" i="6" s="1"/>
  <c r="M186" i="6"/>
  <c r="G813" i="6"/>
  <c r="G814" i="6" s="1"/>
  <c r="G818" i="6"/>
  <c r="M1857" i="6"/>
  <c r="M1862" i="6" s="1"/>
  <c r="I1722" i="6"/>
  <c r="I1723" i="6" s="1"/>
  <c r="I1728" i="6"/>
  <c r="I1632" i="6"/>
  <c r="I1633" i="6" s="1"/>
  <c r="I1638" i="6"/>
  <c r="K1335" i="6"/>
  <c r="K1329" i="6"/>
  <c r="K1330" i="6" s="1"/>
  <c r="K1340" i="6" s="1"/>
  <c r="I1178" i="6"/>
  <c r="I1173" i="6"/>
  <c r="I1174" i="6" s="1"/>
  <c r="G942" i="6"/>
  <c r="G943" i="6" s="1"/>
  <c r="G949" i="6"/>
  <c r="G709" i="6"/>
  <c r="G710" i="6" s="1"/>
  <c r="G713" i="6"/>
  <c r="I1084" i="6"/>
  <c r="I1085" i="6" s="1"/>
  <c r="I1091" i="6"/>
  <c r="K643" i="6"/>
  <c r="K639" i="6"/>
  <c r="K640" i="6" s="1"/>
  <c r="K645" i="6" s="1"/>
  <c r="G2244" i="6"/>
  <c r="G2245" i="6" s="1"/>
  <c r="G2249" i="6"/>
  <c r="K2150" i="6"/>
  <c r="K2151" i="6" s="1"/>
  <c r="K2156" i="6"/>
  <c r="G2312" i="6"/>
  <c r="G2313" i="6" s="1"/>
  <c r="G2317" i="6"/>
  <c r="I2120" i="6"/>
  <c r="I2121" i="6" s="1"/>
  <c r="I2131" i="6" s="1"/>
  <c r="I2109" i="6"/>
  <c r="I2103" i="6"/>
  <c r="I2104" i="6" s="1"/>
  <c r="G2012" i="6"/>
  <c r="K1862" i="6"/>
  <c r="G1751" i="6"/>
  <c r="G1746" i="6"/>
  <c r="G1747" i="6" s="1"/>
  <c r="G1698" i="6"/>
  <c r="G1692" i="6"/>
  <c r="G1693" i="6" s="1"/>
  <c r="G2141" i="6"/>
  <c r="G2135" i="6"/>
  <c r="G2136" i="6" s="1"/>
  <c r="K1962" i="6"/>
  <c r="K1967" i="6" s="1"/>
  <c r="K2037" i="6"/>
  <c r="K2042" i="6" s="1"/>
  <c r="K1977" i="6"/>
  <c r="K1982" i="6" s="1"/>
  <c r="K1728" i="6"/>
  <c r="K1722" i="6"/>
  <c r="K1723" i="6" s="1"/>
  <c r="M1613" i="6"/>
  <c r="M1608" i="6"/>
  <c r="M1609" i="6" s="1"/>
  <c r="M1615" i="6" s="1"/>
  <c r="G1560" i="6"/>
  <c r="G1561" i="6" s="1"/>
  <c r="G1566" i="6"/>
  <c r="G1512" i="6"/>
  <c r="G1513" i="6" s="1"/>
  <c r="G1523" i="6" s="1"/>
  <c r="G1518" i="6"/>
  <c r="M1374" i="6"/>
  <c r="M1384" i="6" s="1"/>
  <c r="I1692" i="6"/>
  <c r="I1693" i="6" s="1"/>
  <c r="I1703" i="6" s="1"/>
  <c r="M1518" i="6"/>
  <c r="M1512" i="6"/>
  <c r="M1513" i="6" s="1"/>
  <c r="G1437" i="6"/>
  <c r="G1438" i="6" s="1"/>
  <c r="G1443" i="6"/>
  <c r="I1598" i="6"/>
  <c r="I1592" i="6"/>
  <c r="I1593" i="6" s="1"/>
  <c r="I1603" i="6" s="1"/>
  <c r="I1496" i="6"/>
  <c r="I1497" i="6" s="1"/>
  <c r="I1502" i="6"/>
  <c r="I1389" i="6"/>
  <c r="I1390" i="6" s="1"/>
  <c r="I1395" i="6"/>
  <c r="G1221" i="6"/>
  <c r="K1168" i="6"/>
  <c r="I1489" i="6"/>
  <c r="I1491" i="6" s="1"/>
  <c r="G1243" i="6"/>
  <c r="G1245" i="6" s="1"/>
  <c r="K1188" i="6"/>
  <c r="G699" i="6"/>
  <c r="G700" i="6" s="1"/>
  <c r="G703" i="6"/>
  <c r="G619" i="6"/>
  <c r="G620" i="6" s="1"/>
  <c r="G623" i="6"/>
  <c r="G595" i="6"/>
  <c r="G597" i="6" s="1"/>
  <c r="K420" i="6"/>
  <c r="K416" i="6"/>
  <c r="K417" i="6" s="1"/>
  <c r="M653" i="6"/>
  <c r="M649" i="6"/>
  <c r="M650" i="6" s="1"/>
  <c r="G1178" i="6"/>
  <c r="K1091" i="6"/>
  <c r="K1084" i="6"/>
  <c r="K1085" i="6" s="1"/>
  <c r="K1097" i="6" s="1"/>
  <c r="K1098" i="6" s="1"/>
  <c r="G209" i="6"/>
  <c r="G210" i="6" s="1"/>
  <c r="G213" i="6"/>
  <c r="G910" i="6"/>
  <c r="G911" i="6" s="1"/>
  <c r="I766" i="6"/>
  <c r="I768" i="6" s="1"/>
  <c r="I769" i="6" s="1"/>
  <c r="I679" i="6"/>
  <c r="I680" i="6" s="1"/>
  <c r="I683" i="6"/>
  <c r="K673" i="6"/>
  <c r="K669" i="6"/>
  <c r="K670" i="6" s="1"/>
  <c r="K504" i="6"/>
  <c r="K500" i="6"/>
  <c r="K501" i="6" s="1"/>
  <c r="I444" i="6"/>
  <c r="I440" i="6"/>
  <c r="I441" i="6" s="1"/>
  <c r="G358" i="6"/>
  <c r="G360" i="6" s="1"/>
  <c r="G361" i="6" s="1"/>
  <c r="I110" i="6"/>
  <c r="I111" i="6" s="1"/>
  <c r="I115" i="6"/>
  <c r="I813" i="6"/>
  <c r="I814" i="6" s="1"/>
  <c r="I818" i="6"/>
  <c r="I655" i="6"/>
  <c r="M239" i="6"/>
  <c r="M245" i="6" s="1"/>
  <c r="M246" i="6" s="1"/>
  <c r="I215" i="6"/>
  <c r="I165" i="6"/>
  <c r="I166" i="6" s="1"/>
  <c r="K2103" i="6"/>
  <c r="K2104" i="6" s="1"/>
  <c r="K2109" i="6"/>
  <c r="G1677" i="6"/>
  <c r="G1678" i="6" s="1"/>
  <c r="G1683" i="6"/>
  <c r="K1178" i="6"/>
  <c r="K1173" i="6"/>
  <c r="K1174" i="6" s="1"/>
  <c r="G1598" i="6"/>
  <c r="G1592" i="6"/>
  <c r="G1593" i="6" s="1"/>
  <c r="G982" i="6"/>
  <c r="G983" i="6" s="1"/>
  <c r="G989" i="6"/>
  <c r="G851" i="6"/>
  <c r="G852" i="6" s="1"/>
  <c r="G856" i="6"/>
  <c r="K1049" i="6"/>
  <c r="K1042" i="6"/>
  <c r="K1043" i="6" s="1"/>
  <c r="G504" i="6"/>
  <c r="G500" i="6"/>
  <c r="G501" i="6" s="1"/>
  <c r="K444" i="6"/>
  <c r="K440" i="6"/>
  <c r="K441" i="6" s="1"/>
  <c r="G2295" i="6"/>
  <c r="G2290" i="6"/>
  <c r="G2291" i="6" s="1"/>
  <c r="M2295" i="6"/>
  <c r="M2290" i="6"/>
  <c r="M2291" i="6" s="1"/>
  <c r="I2301" i="6"/>
  <c r="I2302" i="6" s="1"/>
  <c r="I2308" i="6" s="1"/>
  <c r="I2312" i="6"/>
  <c r="I2313" i="6" s="1"/>
  <c r="I2317" i="6"/>
  <c r="G2273" i="6"/>
  <c r="G2268" i="6"/>
  <c r="G2269" i="6" s="1"/>
  <c r="M2114" i="6"/>
  <c r="K2099" i="6"/>
  <c r="G1819" i="6"/>
  <c r="G1820" i="6" s="1"/>
  <c r="G1825" i="6"/>
  <c r="K2141" i="6"/>
  <c r="K2135" i="6"/>
  <c r="K2136" i="6" s="1"/>
  <c r="M2273" i="6"/>
  <c r="M2275" i="6" s="1"/>
  <c r="G2037" i="6"/>
  <c r="G2042" i="6" s="1"/>
  <c r="M1638" i="6"/>
  <c r="M1632" i="6"/>
  <c r="M1633" i="6" s="1"/>
  <c r="G1550" i="6"/>
  <c r="G1544" i="6"/>
  <c r="G1545" i="6" s="1"/>
  <c r="G1464" i="6"/>
  <c r="G1857" i="6"/>
  <c r="G1862" i="6" s="1"/>
  <c r="I1805" i="6"/>
  <c r="I1815" i="6" s="1"/>
  <c r="G1743" i="6"/>
  <c r="K1618" i="6"/>
  <c r="K1619" i="6" s="1"/>
  <c r="K1623" i="6"/>
  <c r="M1917" i="6"/>
  <c r="M1922" i="6" s="1"/>
  <c r="G1534" i="6"/>
  <c r="G1528" i="6"/>
  <c r="G1529" i="6" s="1"/>
  <c r="G1539" i="6" s="1"/>
  <c r="I1437" i="6"/>
  <c r="I1438" i="6" s="1"/>
  <c r="I1443" i="6"/>
  <c r="G1379" i="6"/>
  <c r="K1243" i="6"/>
  <c r="K1238" i="6"/>
  <c r="K1239" i="6" s="1"/>
  <c r="G1576" i="6"/>
  <c r="G1577" i="6" s="1"/>
  <c r="G1582" i="6"/>
  <c r="I1571" i="6"/>
  <c r="K1496" i="6"/>
  <c r="K1497" i="6" s="1"/>
  <c r="K1502" i="6"/>
  <c r="G1427" i="6"/>
  <c r="G1421" i="6"/>
  <c r="G1422" i="6" s="1"/>
  <c r="K1389" i="6"/>
  <c r="K1390" i="6" s="1"/>
  <c r="K1395" i="6"/>
  <c r="K1373" i="6"/>
  <c r="K1374" i="6" s="1"/>
  <c r="K1379" i="6"/>
  <c r="I1221" i="6"/>
  <c r="I1216" i="6"/>
  <c r="I1217" i="6" s="1"/>
  <c r="I1124" i="6"/>
  <c r="I1125" i="6" s="1"/>
  <c r="I1131" i="6"/>
  <c r="I1544" i="6"/>
  <c r="I1545" i="6" s="1"/>
  <c r="G926" i="6"/>
  <c r="G927" i="6" s="1"/>
  <c r="G931" i="6"/>
  <c r="G799" i="6"/>
  <c r="G800" i="6" s="1"/>
  <c r="G804" i="6"/>
  <c r="M693" i="6"/>
  <c r="M689" i="6"/>
  <c r="M690" i="6" s="1"/>
  <c r="G1263" i="6"/>
  <c r="M1245" i="6"/>
  <c r="I1029" i="6"/>
  <c r="I1035" i="6" s="1"/>
  <c r="I1036" i="6" s="1"/>
  <c r="K868" i="6"/>
  <c r="M500" i="6"/>
  <c r="M501" i="6" s="1"/>
  <c r="M504" i="6"/>
  <c r="G392" i="6"/>
  <c r="G393" i="6" s="1"/>
  <c r="G396" i="6"/>
  <c r="G643" i="6"/>
  <c r="G639" i="6"/>
  <c r="G640" i="6" s="1"/>
  <c r="I452" i="6"/>
  <c r="I453" i="6" s="1"/>
  <c r="I456" i="6"/>
  <c r="G200" i="6"/>
  <c r="G201" i="6" s="1"/>
  <c r="G204" i="6"/>
  <c r="I140" i="6"/>
  <c r="I141" i="6" s="1"/>
  <c r="I145" i="6"/>
  <c r="I1648" i="6"/>
  <c r="K766" i="6"/>
  <c r="K768" i="6" s="1"/>
  <c r="K769" i="6" s="1"/>
  <c r="K683" i="6"/>
  <c r="K679" i="6"/>
  <c r="K680" i="6" s="1"/>
  <c r="G659" i="6"/>
  <c r="G660" i="6" s="1"/>
  <c r="G663" i="6"/>
  <c r="G140" i="6"/>
  <c r="G141" i="6" s="1"/>
  <c r="G145" i="6"/>
  <c r="K71" i="6"/>
  <c r="K73" i="6" s="1"/>
  <c r="K74" i="6" s="1"/>
  <c r="K818" i="6"/>
  <c r="K813" i="6"/>
  <c r="K814" i="6" s="1"/>
  <c r="G2306" i="6"/>
  <c r="G2301" i="6"/>
  <c r="G2302" i="6" s="1"/>
  <c r="K2268" i="6"/>
  <c r="K2269" i="6" s="1"/>
  <c r="K2273" i="6"/>
  <c r="G1707" i="6"/>
  <c r="G1708" i="6" s="1"/>
  <c r="G1713" i="6"/>
  <c r="M2135" i="6"/>
  <c r="M2136" i="6" s="1"/>
  <c r="M2141" i="6"/>
  <c r="G1502" i="6"/>
  <c r="G1496" i="6"/>
  <c r="G1497" i="6" s="1"/>
  <c r="G1395" i="6"/>
  <c r="G1389" i="6"/>
  <c r="G1390" i="6" s="1"/>
  <c r="K1320" i="6"/>
  <c r="K1314" i="6"/>
  <c r="K1315" i="6" s="1"/>
  <c r="K2317" i="6"/>
  <c r="K2312" i="6"/>
  <c r="K2313" i="6" s="1"/>
  <c r="I2273" i="6"/>
  <c r="I2268" i="6"/>
  <c r="I2269" i="6" s="1"/>
  <c r="K2229" i="6"/>
  <c r="G2126" i="6"/>
  <c r="G2120" i="6"/>
  <c r="G2121" i="6" s="1"/>
  <c r="G2084" i="6"/>
  <c r="I2135" i="6"/>
  <c r="I2136" i="6" s="1"/>
  <c r="I2141" i="6"/>
  <c r="K2027" i="6"/>
  <c r="I2037" i="6"/>
  <c r="I2042" i="6" s="1"/>
  <c r="G1952" i="6"/>
  <c r="I1830" i="6"/>
  <c r="G1722" i="6"/>
  <c r="G1723" i="6" s="1"/>
  <c r="G1728" i="6"/>
  <c r="G2094" i="6"/>
  <c r="G2099" i="6" s="1"/>
  <c r="G1638" i="6"/>
  <c r="G1632" i="6"/>
  <c r="G1633" i="6" s="1"/>
  <c r="K1613" i="6"/>
  <c r="K1608" i="6"/>
  <c r="K1609" i="6" s="1"/>
  <c r="G1917" i="6"/>
  <c r="G1922" i="6" s="1"/>
  <c r="I1534" i="6"/>
  <c r="I1528" i="6"/>
  <c r="I1529" i="6" s="1"/>
  <c r="K1443" i="6"/>
  <c r="K1437" i="6"/>
  <c r="K1438" i="6" s="1"/>
  <c r="K1448" i="6" s="1"/>
  <c r="M1335" i="6"/>
  <c r="M1329" i="6"/>
  <c r="M1330" i="6" s="1"/>
  <c r="K1221" i="6"/>
  <c r="K1216" i="6"/>
  <c r="K1217" i="6" s="1"/>
  <c r="I1576" i="6"/>
  <c r="I1577" i="6" s="1"/>
  <c r="I1582" i="6"/>
  <c r="I1427" i="6"/>
  <c r="I1421" i="6"/>
  <c r="I1422" i="6" s="1"/>
  <c r="I1432" i="6" s="1"/>
  <c r="I1252" i="6"/>
  <c r="I1253" i="6" s="1"/>
  <c r="I1258" i="6"/>
  <c r="K1131" i="6"/>
  <c r="K1124" i="6"/>
  <c r="K1125" i="6" s="1"/>
  <c r="G1042" i="6"/>
  <c r="G1043" i="6" s="1"/>
  <c r="G1049" i="6"/>
  <c r="G719" i="6"/>
  <c r="G720" i="6" s="1"/>
  <c r="G723" i="6"/>
  <c r="G653" i="6"/>
  <c r="G649" i="6"/>
  <c r="G650" i="6" s="1"/>
  <c r="K296" i="6"/>
  <c r="K302" i="6" s="1"/>
  <c r="K303" i="6" s="1"/>
  <c r="I1042" i="6"/>
  <c r="I1043" i="6" s="1"/>
  <c r="I1049" i="6"/>
  <c r="I794" i="6"/>
  <c r="I795" i="6" s="1"/>
  <c r="I396" i="6"/>
  <c r="I392" i="6"/>
  <c r="I393" i="6" s="1"/>
  <c r="G1084" i="6"/>
  <c r="G1085" i="6" s="1"/>
  <c r="G1091" i="6"/>
  <c r="G695" i="6"/>
  <c r="I643" i="6"/>
  <c r="I639" i="6"/>
  <c r="I640" i="6" s="1"/>
  <c r="K456" i="6"/>
  <c r="K452" i="6"/>
  <c r="K453" i="6" s="1"/>
  <c r="G669" i="6"/>
  <c r="G670" i="6" s="1"/>
  <c r="G673" i="6"/>
  <c r="I659" i="6"/>
  <c r="I660" i="6" s="1"/>
  <c r="I663" i="6"/>
  <c r="G494" i="6"/>
  <c r="G495" i="6" s="1"/>
  <c r="M422" i="6"/>
  <c r="M423" i="6" s="1"/>
  <c r="G239" i="6"/>
  <c r="G245" i="6" s="1"/>
  <c r="G246" i="6" s="1"/>
  <c r="K191" i="6"/>
  <c r="K192" i="6" s="1"/>
  <c r="K195" i="6"/>
  <c r="I12" i="6"/>
  <c r="I7" i="6"/>
  <c r="I8" i="6" s="1"/>
  <c r="I17" i="6" s="1"/>
  <c r="I18" i="6" s="1"/>
  <c r="G95" i="6"/>
  <c r="G96" i="6" s="1"/>
  <c r="G105" i="6" s="1"/>
  <c r="G106" i="6" s="1"/>
  <c r="K17" i="6"/>
  <c r="K18" i="6" s="1"/>
  <c r="I1170" i="6" l="1"/>
  <c r="I1523" i="6"/>
  <c r="I2297" i="6"/>
  <c r="K1800" i="6"/>
  <c r="K1625" i="6"/>
  <c r="G2196" i="6"/>
  <c r="I2240" i="6"/>
  <c r="I2084" i="6"/>
  <c r="K2196" i="6"/>
  <c r="I1718" i="6"/>
  <c r="K975" i="6"/>
  <c r="K976" i="6" s="1"/>
  <c r="I1643" i="6"/>
  <c r="I1015" i="6"/>
  <c r="I1016" i="6" s="1"/>
  <c r="I1190" i="6"/>
  <c r="G1180" i="6"/>
  <c r="G1658" i="6"/>
  <c r="I870" i="6"/>
  <c r="I871" i="6" s="1"/>
  <c r="K1200" i="6"/>
  <c r="I2069" i="6"/>
  <c r="I1753" i="6"/>
  <c r="G1384" i="6"/>
  <c r="I1615" i="6"/>
  <c r="K1718" i="6"/>
  <c r="I1180" i="6"/>
  <c r="I923" i="6"/>
  <c r="I2341" i="6"/>
  <c r="K2218" i="6"/>
  <c r="K1077" i="6"/>
  <c r="K1078" i="6" s="1"/>
  <c r="G2174" i="6"/>
  <c r="I1688" i="6"/>
  <c r="M1507" i="6"/>
  <c r="I2161" i="6"/>
  <c r="G2240" i="6"/>
  <c r="G1770" i="6"/>
  <c r="K1157" i="6"/>
  <c r="K1158" i="6" s="1"/>
  <c r="K1384" i="6"/>
  <c r="I2174" i="6"/>
  <c r="K955" i="6"/>
  <c r="K956" i="6" s="1"/>
  <c r="I2099" i="6"/>
  <c r="I955" i="6"/>
  <c r="I956" i="6" s="1"/>
  <c r="K2084" i="6"/>
  <c r="I1384" i="6"/>
  <c r="K506" i="6"/>
  <c r="K507" i="6" s="1"/>
  <c r="G1703" i="6"/>
  <c r="K2161" i="6"/>
  <c r="G165" i="6"/>
  <c r="G166" i="6" s="1"/>
  <c r="G2161" i="6"/>
  <c r="G1480" i="6"/>
  <c r="G1308" i="6"/>
  <c r="I2196" i="6"/>
  <c r="G685" i="6"/>
  <c r="K1190" i="6"/>
  <c r="G206" i="6"/>
  <c r="G655" i="6"/>
  <c r="G150" i="6"/>
  <c r="G151" i="6" s="1"/>
  <c r="K1170" i="6"/>
  <c r="G446" i="6"/>
  <c r="G447" i="6" s="1"/>
  <c r="G1491" i="6"/>
  <c r="K530" i="6"/>
  <c r="K531" i="6" s="1"/>
  <c r="K2185" i="6"/>
  <c r="I1308" i="6"/>
  <c r="K1400" i="6"/>
  <c r="I1658" i="6"/>
  <c r="G820" i="6"/>
  <c r="G821" i="6" s="1"/>
  <c r="G1234" i="6"/>
  <c r="I1055" i="6"/>
  <c r="I1056" i="6" s="1"/>
  <c r="K1673" i="6"/>
  <c r="G224" i="6"/>
  <c r="G1603" i="6"/>
  <c r="G1223" i="6"/>
  <c r="G2330" i="6"/>
  <c r="G2069" i="6"/>
  <c r="K1507" i="6"/>
  <c r="M188" i="6"/>
  <c r="I1077" i="6"/>
  <c r="I1078" i="6" s="1"/>
  <c r="I2146" i="6"/>
  <c r="G675" i="6"/>
  <c r="I675" i="6"/>
  <c r="G398" i="6"/>
  <c r="G399" i="6" s="1"/>
  <c r="I1555" i="6"/>
  <c r="K870" i="6"/>
  <c r="K871" i="6" s="1"/>
  <c r="I834" i="6"/>
  <c r="I835" i="6" s="1"/>
  <c r="K1223" i="6"/>
  <c r="G1643" i="6"/>
  <c r="M2131" i="6"/>
  <c r="G1077" i="6"/>
  <c r="G1078" i="6" s="1"/>
  <c r="G1170" i="6"/>
  <c r="K197" i="6"/>
  <c r="I645" i="6"/>
  <c r="G725" i="6"/>
  <c r="K1137" i="6"/>
  <c r="K1138" i="6" s="1"/>
  <c r="I1263" i="6"/>
  <c r="I1587" i="6"/>
  <c r="I1539" i="6"/>
  <c r="G1432" i="6"/>
  <c r="G1733" i="6"/>
  <c r="G2131" i="6"/>
  <c r="I2275" i="6"/>
  <c r="M2146" i="6"/>
  <c r="K2275" i="6"/>
  <c r="G806" i="6"/>
  <c r="G807" i="6" s="1"/>
  <c r="G995" i="6"/>
  <c r="G996" i="6" s="1"/>
  <c r="K2114" i="6"/>
  <c r="I120" i="6"/>
  <c r="I121" i="6" s="1"/>
  <c r="G215" i="6"/>
  <c r="G705" i="6"/>
  <c r="I1507" i="6"/>
  <c r="G1571" i="6"/>
  <c r="I2114" i="6"/>
  <c r="G2319" i="6"/>
  <c r="G2251" i="6"/>
  <c r="I1097" i="6"/>
  <c r="I1098" i="6" s="1"/>
  <c r="K635" i="6"/>
  <c r="I1245" i="6"/>
  <c r="K2341" i="6"/>
  <c r="K846" i="6"/>
  <c r="K847" i="6" s="1"/>
  <c r="I422" i="6"/>
  <c r="I423" i="6" s="1"/>
  <c r="I1200" i="6"/>
  <c r="I1743" i="6"/>
  <c r="G135" i="6"/>
  <c r="G136" i="6" s="1"/>
  <c r="I2218" i="6"/>
  <c r="G1718" i="6"/>
  <c r="G933" i="6"/>
  <c r="I1137" i="6"/>
  <c r="I1138" i="6" s="1"/>
  <c r="I1448" i="6"/>
  <c r="G1830" i="6"/>
  <c r="I2319" i="6"/>
  <c r="M2297" i="6"/>
  <c r="K446" i="6"/>
  <c r="K447" i="6" s="1"/>
  <c r="K1055" i="6"/>
  <c r="K1056" i="6" s="1"/>
  <c r="K422" i="6"/>
  <c r="K423" i="6" s="1"/>
  <c r="K1587" i="6"/>
  <c r="I518" i="6"/>
  <c r="I519" i="6" s="1"/>
  <c r="G47" i="6"/>
  <c r="G48" i="6" s="1"/>
  <c r="G422" i="6"/>
  <c r="G423" i="6" s="1"/>
  <c r="G1210" i="6"/>
  <c r="K386" i="6"/>
  <c r="K387" i="6" s="1"/>
  <c r="I635" i="6"/>
  <c r="G846" i="6"/>
  <c r="G847" i="6" s="1"/>
  <c r="G794" i="6"/>
  <c r="G795" i="6" s="1"/>
  <c r="I782" i="6"/>
  <c r="I783" i="6" s="1"/>
  <c r="M1234" i="6"/>
  <c r="G1097" i="6"/>
  <c r="G1098" i="6" s="1"/>
  <c r="K458" i="6"/>
  <c r="K459" i="6" s="1"/>
  <c r="I398" i="6"/>
  <c r="I399" i="6" s="1"/>
  <c r="G1055" i="6"/>
  <c r="G1056" i="6" s="1"/>
  <c r="K1325" i="6"/>
  <c r="G1507" i="6"/>
  <c r="G2308" i="6"/>
  <c r="G665" i="6"/>
  <c r="I150" i="6"/>
  <c r="I151" i="6" s="1"/>
  <c r="I458" i="6"/>
  <c r="I459" i="6" s="1"/>
  <c r="M506" i="6"/>
  <c r="M507" i="6" s="1"/>
  <c r="M695" i="6"/>
  <c r="I1223" i="6"/>
  <c r="G1587" i="6"/>
  <c r="K2146" i="6"/>
  <c r="G2275" i="6"/>
  <c r="K1180" i="6"/>
  <c r="I446" i="6"/>
  <c r="I447" i="6" s="1"/>
  <c r="K675" i="6"/>
  <c r="G1448" i="6"/>
  <c r="K1733" i="6"/>
  <c r="G715" i="6"/>
  <c r="K665" i="6"/>
  <c r="M1340" i="6"/>
  <c r="K1615" i="6"/>
  <c r="K2319" i="6"/>
  <c r="K685" i="6"/>
  <c r="G645" i="6"/>
  <c r="K1245" i="6"/>
  <c r="M1643" i="6"/>
  <c r="G2297" i="6"/>
  <c r="G506" i="6"/>
  <c r="G507" i="6" s="1"/>
  <c r="M655" i="6"/>
  <c r="M1523" i="6"/>
  <c r="G2146" i="6"/>
  <c r="G1753" i="6"/>
  <c r="M645" i="6"/>
  <c r="G923" i="6"/>
  <c r="G1400" i="6"/>
  <c r="K820" i="6"/>
  <c r="K821" i="6" s="1"/>
  <c r="G1555" i="6"/>
  <c r="G955" i="6"/>
  <c r="G956" i="6" s="1"/>
  <c r="I1733" i="6"/>
  <c r="I506" i="6"/>
  <c r="I507" i="6" s="1"/>
  <c r="I665" i="6"/>
  <c r="G858" i="6"/>
  <c r="G859" i="6" s="1"/>
  <c r="G1688" i="6"/>
  <c r="I820" i="6"/>
  <c r="I821" i="6" s="1"/>
  <c r="I685" i="6"/>
  <c r="G625" i="6"/>
  <c r="I1400" i="6"/>
  <c r="G458" i="6"/>
  <c r="G459" i="6" s="1"/>
</calcChain>
</file>

<file path=xl/sharedStrings.xml><?xml version="1.0" encoding="utf-8"?>
<sst xmlns="http://schemas.openxmlformats.org/spreadsheetml/2006/main" count="5115" uniqueCount="203">
  <si>
    <t>도장공</t>
  </si>
  <si>
    <t>보통인부</t>
  </si>
  <si>
    <t>트럭탑재형크레인</t>
  </si>
  <si>
    <t>구분</t>
  </si>
  <si>
    <t>단가</t>
  </si>
  <si>
    <t>수량</t>
  </si>
  <si>
    <t>금액</t>
  </si>
  <si>
    <t>규격</t>
    <phoneticPr fontId="3" type="noConversion"/>
  </si>
  <si>
    <t>단위</t>
    <phoneticPr fontId="3" type="noConversion"/>
  </si>
  <si>
    <t>인</t>
    <phoneticPr fontId="3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</si>
  <si>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</si>
  <si>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</si>
  <si>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</si>
  <si>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합   계</t>
    <phoneticPr fontId="3" type="noConversion"/>
  </si>
  <si>
    <t>5ton</t>
  </si>
  <si>
    <t>식</t>
    <phoneticPr fontId="3" type="noConversion"/>
  </si>
  <si>
    <t>규격</t>
    <phoneticPr fontId="5" type="noConversion"/>
  </si>
  <si>
    <t>hr</t>
  </si>
  <si>
    <t>인력품의 5%</t>
    <phoneticPr fontId="3" type="noConversion"/>
  </si>
  <si>
    <t>크레인(무한궤도)</t>
    <phoneticPr fontId="3" type="noConversion"/>
  </si>
  <si>
    <t>용접공</t>
  </si>
  <si>
    <t>수량</t>
    <phoneticPr fontId="3" type="noConversion"/>
  </si>
  <si>
    <t>(개소당)</t>
    <phoneticPr fontId="3" type="noConversion"/>
  </si>
  <si>
    <t>제 6 장 관부설 및 접합공사</t>
  </si>
  <si>
    <t>6-2 주철관</t>
    <phoneticPr fontId="3" type="noConversion"/>
  </si>
  <si>
    <t>(본당)</t>
    <phoneticPr fontId="3" type="noConversion"/>
  </si>
  <si>
    <t>관경 80㎜</t>
    <phoneticPr fontId="3" type="noConversion"/>
  </si>
  <si>
    <t>관경 100㎜</t>
    <phoneticPr fontId="3" type="noConversion"/>
  </si>
  <si>
    <t>관경 150㎜</t>
    <phoneticPr fontId="3" type="noConversion"/>
  </si>
  <si>
    <t>배관공(수도)</t>
  </si>
  <si>
    <t>(인력) 관경 80㎜</t>
    <phoneticPr fontId="3" type="noConversion"/>
  </si>
  <si>
    <t>(인력) 관경 100㎜</t>
    <phoneticPr fontId="3" type="noConversion"/>
  </si>
  <si>
    <t>(인력) 관경 150㎜</t>
    <phoneticPr fontId="3" type="noConversion"/>
  </si>
  <si>
    <t>10ton</t>
  </si>
  <si>
    <t>관경 100㎜이하</t>
    <phoneticPr fontId="3" type="noConversion"/>
  </si>
  <si>
    <t>관경 200㎜</t>
    <phoneticPr fontId="3" type="noConversion"/>
  </si>
  <si>
    <t>관경 250㎜</t>
    <phoneticPr fontId="3" type="noConversion"/>
  </si>
  <si>
    <t>관경 300㎜</t>
    <phoneticPr fontId="3" type="noConversion"/>
  </si>
  <si>
    <t>관경 350㎜</t>
  </si>
  <si>
    <t>관경 350㎜</t>
    <phoneticPr fontId="3" type="noConversion"/>
  </si>
  <si>
    <t>관경 400㎜</t>
    <phoneticPr fontId="3" type="noConversion"/>
  </si>
  <si>
    <t>관경 450㎜</t>
    <phoneticPr fontId="3" type="noConversion"/>
  </si>
  <si>
    <t>관경 500㎜</t>
  </si>
  <si>
    <t>관경 500㎜</t>
    <phoneticPr fontId="3" type="noConversion"/>
  </si>
  <si>
    <t>관경 600㎜</t>
    <phoneticPr fontId="3" type="noConversion"/>
  </si>
  <si>
    <t>15ton</t>
  </si>
  <si>
    <t>관경 700㎜</t>
    <phoneticPr fontId="3" type="noConversion"/>
  </si>
  <si>
    <t>관경 800㎜</t>
  </si>
  <si>
    <t>관경 800㎜</t>
    <phoneticPr fontId="3" type="noConversion"/>
  </si>
  <si>
    <t>관경 900㎜</t>
    <phoneticPr fontId="3" type="noConversion"/>
  </si>
  <si>
    <t>관경 1,000㎜</t>
    <phoneticPr fontId="3" type="noConversion"/>
  </si>
  <si>
    <t>관경 1,100㎜</t>
    <phoneticPr fontId="3" type="noConversion"/>
  </si>
  <si>
    <t>관경 1,200㎜</t>
    <phoneticPr fontId="3" type="noConversion"/>
  </si>
  <si>
    <t>공구손료</t>
    <phoneticPr fontId="5" type="noConversion"/>
  </si>
  <si>
    <t>인력품의 1%</t>
    <phoneticPr fontId="3" type="noConversion"/>
  </si>
  <si>
    <t>관경 125㎜</t>
    <phoneticPr fontId="3" type="noConversion"/>
  </si>
  <si>
    <t>인력품의 2%</t>
    <phoneticPr fontId="3" type="noConversion"/>
  </si>
  <si>
    <t>관경 200㎜이하</t>
    <phoneticPr fontId="3" type="noConversion"/>
  </si>
  <si>
    <t xml:space="preserve"> </t>
  </si>
  <si>
    <t>6-3 강관</t>
  </si>
  <si>
    <t>관경 1,350㎜</t>
    <phoneticPr fontId="3" type="noConversion"/>
  </si>
  <si>
    <t>관경 1,500㎜</t>
    <phoneticPr fontId="3" type="noConversion"/>
  </si>
  <si>
    <t>관경 1,650㎜</t>
    <phoneticPr fontId="3" type="noConversion"/>
  </si>
  <si>
    <t>관경 1,800㎜</t>
    <phoneticPr fontId="3" type="noConversion"/>
  </si>
  <si>
    <t>관경 2,000㎜</t>
    <phoneticPr fontId="3" type="noConversion"/>
  </si>
  <si>
    <t>관경 2,200㎜</t>
    <phoneticPr fontId="3" type="noConversion"/>
  </si>
  <si>
    <t>관경 2,400㎜</t>
    <phoneticPr fontId="3" type="noConversion"/>
  </si>
  <si>
    <t>6-3-3 도장</t>
    <phoneticPr fontId="3" type="noConversion"/>
  </si>
  <si>
    <t>내부도장</t>
    <phoneticPr fontId="3" type="noConversion"/>
  </si>
  <si>
    <t>외부도장</t>
    <phoneticPr fontId="3" type="noConversion"/>
  </si>
  <si>
    <t>6-3-4 절단</t>
  </si>
  <si>
    <t>A종</t>
    <phoneticPr fontId="3" type="noConversion"/>
  </si>
  <si>
    <t>B종</t>
    <phoneticPr fontId="3" type="noConversion"/>
  </si>
  <si>
    <t>6-4 P.V.C관</t>
  </si>
  <si>
    <t>6-4-1 T.S 접합 및 부설</t>
  </si>
  <si>
    <t>관경 50㎜</t>
    <phoneticPr fontId="3" type="noConversion"/>
  </si>
  <si>
    <t>관경 75㎜</t>
    <phoneticPr fontId="3" type="noConversion"/>
  </si>
  <si>
    <t>6-4-2 고무링 접합 및 부설</t>
  </si>
  <si>
    <t>6-5 P.E관</t>
    <phoneticPr fontId="3" type="noConversion"/>
  </si>
  <si>
    <t>관경 32㎜</t>
    <phoneticPr fontId="3" type="noConversion"/>
  </si>
  <si>
    <t>관경 40㎜</t>
    <phoneticPr fontId="3" type="noConversion"/>
  </si>
  <si>
    <t>6-5-2 밴드 접합 및 부설</t>
  </si>
  <si>
    <t>인력품의 3%</t>
    <phoneticPr fontId="3" type="noConversion"/>
  </si>
  <si>
    <t>인력품의 7%</t>
    <phoneticPr fontId="3" type="noConversion"/>
  </si>
  <si>
    <t>인력품의 15%</t>
    <phoneticPr fontId="3" type="noConversion"/>
  </si>
  <si>
    <t>관경 65㎜</t>
    <phoneticPr fontId="3" type="noConversion"/>
  </si>
  <si>
    <t>관경 75㎜이하</t>
    <phoneticPr fontId="3" type="noConversion"/>
  </si>
  <si>
    <t>(본당)</t>
  </si>
  <si>
    <t>인력품의 6%</t>
    <phoneticPr fontId="3" type="noConversion"/>
  </si>
  <si>
    <t>관경 500㎜이하</t>
    <phoneticPr fontId="3" type="noConversion"/>
  </si>
  <si>
    <t>6-6-3 절단</t>
    <phoneticPr fontId="3" type="noConversion"/>
  </si>
  <si>
    <t>6-6-4 천공 및 접합</t>
  </si>
  <si>
    <t>본관 500㎜이하</t>
    <phoneticPr fontId="3" type="noConversion"/>
  </si>
  <si>
    <t>연결관 150㎜</t>
    <phoneticPr fontId="3" type="noConversion"/>
  </si>
  <si>
    <t>본관 500㎜초과~900㎜이하</t>
    <phoneticPr fontId="3" type="noConversion"/>
  </si>
  <si>
    <t>본관 900㎜초과~1,200㎜이하</t>
    <phoneticPr fontId="3" type="noConversion"/>
  </si>
  <si>
    <t>연결관 200㎜</t>
    <phoneticPr fontId="3" type="noConversion"/>
  </si>
  <si>
    <t>연결관 250㎜</t>
    <phoneticPr fontId="3" type="noConversion"/>
  </si>
  <si>
    <t>연결관 300㎜</t>
    <phoneticPr fontId="3" type="noConversion"/>
  </si>
  <si>
    <t>6-7 기타관</t>
  </si>
  <si>
    <t>6-7-1 PC관 부설 및 접합</t>
    <phoneticPr fontId="3" type="noConversion"/>
  </si>
  <si>
    <t>20ton</t>
  </si>
  <si>
    <t>크레인(타이어)</t>
    <phoneticPr fontId="3" type="noConversion"/>
  </si>
  <si>
    <t>관경 600㎜이하</t>
    <phoneticPr fontId="3" type="noConversion"/>
  </si>
  <si>
    <t>관경 700㎜이하</t>
    <phoneticPr fontId="3" type="noConversion"/>
  </si>
  <si>
    <t>관경 800㎜이하</t>
    <phoneticPr fontId="3" type="noConversion"/>
  </si>
  <si>
    <t>관경 900㎜이하</t>
    <phoneticPr fontId="3" type="noConversion"/>
  </si>
  <si>
    <t>관경 1,000㎜이하</t>
    <phoneticPr fontId="3" type="noConversion"/>
  </si>
  <si>
    <t>관경 1,100㎜이하</t>
    <phoneticPr fontId="3" type="noConversion"/>
  </si>
  <si>
    <t>관경 1,200㎜이하</t>
    <phoneticPr fontId="3" type="noConversion"/>
  </si>
  <si>
    <t>관경 1,350㎜이하</t>
    <phoneticPr fontId="3" type="noConversion"/>
  </si>
  <si>
    <t>관경 1,500㎜이하</t>
    <phoneticPr fontId="3" type="noConversion"/>
  </si>
  <si>
    <t>6-7-2 파형강관 부설 및 접합</t>
    <phoneticPr fontId="3" type="noConversion"/>
  </si>
  <si>
    <t>6-7-3 유리섬유복합관 부설 및 접합</t>
    <phoneticPr fontId="3" type="noConversion"/>
  </si>
  <si>
    <t>관경 150㎜이하</t>
    <phoneticPr fontId="3" type="noConversion"/>
  </si>
  <si>
    <t>관경 1,650㎜이하</t>
    <phoneticPr fontId="3" type="noConversion"/>
  </si>
  <si>
    <t>관경 1,800㎜이하</t>
    <phoneticPr fontId="3" type="noConversion"/>
  </si>
  <si>
    <t>관경 2,000㎜이하</t>
    <phoneticPr fontId="3" type="noConversion"/>
  </si>
  <si>
    <t>관경 2,200㎜이하</t>
    <phoneticPr fontId="3" type="noConversion"/>
  </si>
  <si>
    <t>관경 2,400㎜이하</t>
    <phoneticPr fontId="3" type="noConversion"/>
  </si>
  <si>
    <t>비압력관</t>
  </si>
  <si>
    <t>비압력관</t>
    <phoneticPr fontId="3" type="noConversion"/>
  </si>
  <si>
    <t>압력관</t>
  </si>
  <si>
    <t>(기당)</t>
    <phoneticPr fontId="3" type="noConversion"/>
  </si>
  <si>
    <t>6-8-1 주철제 게이트 제수밸브 부설 및 접합</t>
    <phoneticPr fontId="3" type="noConversion"/>
  </si>
  <si>
    <t>6-8 밸브</t>
    <phoneticPr fontId="3" type="noConversion"/>
  </si>
  <si>
    <t>(인력) 관경 50㎜</t>
    <phoneticPr fontId="3" type="noConversion"/>
  </si>
  <si>
    <t>(인력) 관경 125㎜</t>
    <phoneticPr fontId="3" type="noConversion"/>
  </si>
  <si>
    <t>6-8-2 강관제 게이트 제수밸브 부설 및 접합</t>
  </si>
  <si>
    <t>18ton</t>
    <phoneticPr fontId="3" type="noConversion"/>
  </si>
  <si>
    <t>관경 1,600㎜</t>
    <phoneticPr fontId="3" type="noConversion"/>
  </si>
  <si>
    <r>
      <t>6-8-3 주철제</t>
    </r>
    <r>
      <rPr>
        <sz val="9"/>
        <color theme="1"/>
        <rFont val="Yu Gothic"/>
        <family val="3"/>
        <charset val="128"/>
      </rPr>
      <t>･</t>
    </r>
    <r>
      <rPr>
        <sz val="9"/>
        <color theme="1"/>
        <rFont val="맑은 고딕"/>
        <family val="3"/>
        <charset val="129"/>
        <scheme val="minor"/>
      </rPr>
      <t>강관제 버터플라이 제수밸브 부설 및 접합</t>
    </r>
    <phoneticPr fontId="3" type="noConversion"/>
  </si>
  <si>
    <t>주철제</t>
    <phoneticPr fontId="3" type="noConversion"/>
  </si>
  <si>
    <t>관경 2,100㎜</t>
    <phoneticPr fontId="3" type="noConversion"/>
  </si>
  <si>
    <t>강관제</t>
  </si>
  <si>
    <t>6-8-4 부단수 할정자관 부설 및 접합</t>
    <phoneticPr fontId="3" type="noConversion"/>
  </si>
  <si>
    <t>인력품의 4%</t>
    <phoneticPr fontId="3" type="noConversion"/>
  </si>
  <si>
    <t>6-8-5 부단수 천공 분기점 분기</t>
    <phoneticPr fontId="3" type="noConversion"/>
  </si>
  <si>
    <t>6-8-6 부단수 천공 새들분수전 분기점 분기</t>
    <phoneticPr fontId="3" type="noConversion"/>
  </si>
  <si>
    <t>본관 50㎜</t>
    <phoneticPr fontId="3" type="noConversion"/>
  </si>
  <si>
    <t>지관 13~20㎜</t>
    <phoneticPr fontId="3" type="noConversion"/>
  </si>
  <si>
    <t>지관 25~32㎜</t>
    <phoneticPr fontId="3" type="noConversion"/>
  </si>
  <si>
    <t>지관 40~50㎜</t>
    <phoneticPr fontId="3" type="noConversion"/>
  </si>
  <si>
    <t>본관 80㎜</t>
    <phoneticPr fontId="3" type="noConversion"/>
  </si>
  <si>
    <t>본관 100㎜</t>
    <phoneticPr fontId="3" type="noConversion"/>
  </si>
  <si>
    <t>본관 150㎜</t>
    <phoneticPr fontId="3" type="noConversion"/>
  </si>
  <si>
    <t>본관 200㎜</t>
    <phoneticPr fontId="3" type="noConversion"/>
  </si>
  <si>
    <t>본관 250㎜</t>
    <phoneticPr fontId="3" type="noConversion"/>
  </si>
  <si>
    <t>본관 300㎜</t>
    <phoneticPr fontId="3" type="noConversion"/>
  </si>
  <si>
    <t>본관 400㎜</t>
    <phoneticPr fontId="3" type="noConversion"/>
  </si>
  <si>
    <t>볼트</t>
  </si>
  <si>
    <t>15㎜</t>
  </si>
  <si>
    <t>개</t>
  </si>
  <si>
    <t>19㎜</t>
    <phoneticPr fontId="3" type="noConversion"/>
  </si>
  <si>
    <t>23㎜</t>
    <phoneticPr fontId="3" type="noConversion"/>
  </si>
  <si>
    <t>25㎜</t>
    <phoneticPr fontId="3" type="noConversion"/>
  </si>
  <si>
    <t>27㎜</t>
    <phoneticPr fontId="3" type="noConversion"/>
  </si>
  <si>
    <t>33㎜</t>
    <phoneticPr fontId="3" type="noConversion"/>
  </si>
  <si>
    <t>45㎜</t>
    <phoneticPr fontId="3" type="noConversion"/>
  </si>
  <si>
    <t>52㎜</t>
    <phoneticPr fontId="3" type="noConversion"/>
  </si>
  <si>
    <t>6-8-7 플랜지 조인트 접합</t>
    <phoneticPr fontId="3" type="noConversion"/>
  </si>
  <si>
    <t>6-5-1 조임식 접합 및 부설</t>
  </si>
  <si>
    <t>6-5-3 소켓융착 접합 및 부설</t>
  </si>
  <si>
    <t>6-5-4 바트융착 접합 및 부설</t>
  </si>
  <si>
    <t>6-5-5 분기관 천공 및 접합</t>
  </si>
  <si>
    <t>6-6-1 소켓관 부설 및 접합</t>
  </si>
  <si>
    <t>6-6 철근콘크리트관</t>
  </si>
  <si>
    <t>6-6-2 수밀밴드 접합 및 부설</t>
  </si>
  <si>
    <t>6-7-4 내충격PVC수도관 부설 및 접합</t>
  </si>
  <si>
    <t>(일당)</t>
    <phoneticPr fontId="3" type="noConversion"/>
  </si>
  <si>
    <t>관경 125㎜이하</t>
    <phoneticPr fontId="3" type="noConversion"/>
  </si>
  <si>
    <t>양중장비</t>
    <phoneticPr fontId="3" type="noConversion"/>
  </si>
  <si>
    <t>작업여건을 고려하여 적용</t>
    <phoneticPr fontId="3" type="noConversion"/>
  </si>
  <si>
    <t>금액</t>
    <phoneticPr fontId="3" type="noConversion"/>
  </si>
  <si>
    <t>시공량(본)</t>
    <phoneticPr fontId="3" type="noConversion"/>
  </si>
  <si>
    <t>본당 단가</t>
    <phoneticPr fontId="3" type="noConversion"/>
  </si>
  <si>
    <t>※ 인력에 의한 부설 및 접합을 수행하는 경우 다음 품을 적용한다.</t>
    <phoneticPr fontId="3" type="noConversion"/>
  </si>
  <si>
    <t>관경 120㎜</t>
    <phoneticPr fontId="3" type="noConversion"/>
  </si>
  <si>
    <t>6-2-1 타이튼 접합 및 부설</t>
  </si>
  <si>
    <t>6-2-2 K.P 메커니컬 접합 및 부설</t>
  </si>
  <si>
    <t>관경 1,100㎜~1,200㎜</t>
    <phoneticPr fontId="3" type="noConversion"/>
  </si>
  <si>
    <t>6-2-3 관 절단</t>
    <phoneticPr fontId="3" type="noConversion"/>
  </si>
  <si>
    <t>6-3-1 부설</t>
  </si>
  <si>
    <t>크레인</t>
    <phoneticPr fontId="3" type="noConversion"/>
  </si>
  <si>
    <t>(양중장비)</t>
    <phoneticPr fontId="3" type="noConversion"/>
  </si>
  <si>
    <t>15ton</t>
    <phoneticPr fontId="3" type="noConversion"/>
  </si>
  <si>
    <t>관경 1,350~1,500㎜</t>
    <phoneticPr fontId="3" type="noConversion"/>
  </si>
  <si>
    <t>관경 1,800~2,200㎜</t>
    <phoneticPr fontId="3" type="noConversion"/>
  </si>
  <si>
    <t>A종 겹치기 용접</t>
    <phoneticPr fontId="3" type="noConversion"/>
  </si>
  <si>
    <t>개소당 단가</t>
    <phoneticPr fontId="3" type="noConversion"/>
  </si>
  <si>
    <t>시공량(개소)</t>
    <phoneticPr fontId="3" type="noConversion"/>
  </si>
  <si>
    <t>6-3-2 용접 접합</t>
  </si>
  <si>
    <t>관경 1,500~1,650㎜</t>
    <phoneticPr fontId="3" type="noConversion"/>
  </si>
  <si>
    <t>관경 1,800~2,000㎜</t>
    <phoneticPr fontId="3" type="noConversion"/>
  </si>
  <si>
    <t>A종 베벨엔드용접</t>
    <phoneticPr fontId="3" type="noConversion"/>
  </si>
  <si>
    <t>B종 겹치기 용접</t>
    <phoneticPr fontId="3" type="noConversion"/>
  </si>
  <si>
    <t>인력품의 12%</t>
    <phoneticPr fontId="3" type="noConversion"/>
  </si>
  <si>
    <t>인력품의 14%</t>
    <phoneticPr fontId="3" type="noConversion"/>
  </si>
  <si>
    <t>관경 500~550㎜</t>
    <phoneticPr fontId="3" type="noConversion"/>
  </si>
  <si>
    <t>인력품의 18%</t>
    <phoneticPr fontId="3" type="noConversion"/>
  </si>
  <si>
    <t>관경 1,650~1,800㎜</t>
    <phoneticPr fontId="3" type="noConversion"/>
  </si>
  <si>
    <t>관경 900~1,000㎜</t>
    <phoneticPr fontId="3" type="noConversion"/>
  </si>
  <si>
    <t>관경 1,100~1,200㎜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</si>
</sst>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_(* #,##0_);_(* \(#,##0\);_(* &quot;-&quot;_);_(@_)"/>
    <numFmt numFmtId="180" formatCode="_-* #,##0.0_-;\-* #,##0.0_-;_-* &quot;-&quot;_-;_-@_-"/>
    <numFmt numFmtId="181" formatCode="_-* #,##0.0_-;\-* #,##0.0_-;_-* &quot;-&quot;??_-;_-@_-"/>
    <numFmt numFmtId="182" formatCode="_-* #,##0.00_-;\-* #,##0.00_-;_-* &quot;-&quot;_-;_-@_-"/>
    <numFmt numFmtId="183" formatCode="_-* #,##0.000_-;\-* #,##0.000_-;_-* &quot;-&quot;_-;_-@_-"/>
    <numFmt numFmtId="185" formatCode="#,##0.00_);[Red]\(#,##0.00\)"/>
    <numFmt numFmtId="186" formatCode="0.0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9"/>
      <color indexed="10"/>
      <name val="맑은 고딕"/>
      <family val="3"/>
      <charset val="129"/>
      <scheme val="minor"/>
    </font>
    <font>
      <sz val="9"/>
      <color theme="1"/>
      <name val="Yu Gothic"/>
      <family val="3"/>
      <charset val="128"/>
    </font>
    <font>
      <b/>
      <sz val="8"/>
      <color indexed="10"/>
      <name val="돋움"/>
      <family val="3"/>
      <charset val="129"/>
    </font>
    <font>
      <b/>
      <sz val="9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22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180" fontId="9" fillId="0" borderId="6" xfId="1" applyNumberFormat="1" applyFont="1" applyFill="1" applyBorder="1" applyAlignment="1">
      <alignment horizontal="center" vertical="center"/>
    </xf>
    <xf numFmtId="0" fontId="14" fillId="0" borderId="0" xfId="6" applyFont="1" applyAlignment="1">
      <alignment vertical="center"/>
    </xf>
    <xf numFmtId="181" fontId="9" fillId="0" borderId="6" xfId="7" applyNumberFormat="1" applyFont="1" applyFill="1" applyBorder="1" applyAlignment="1">
      <alignment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41" fontId="17" fillId="0" borderId="5" xfId="5" applyFont="1" applyFill="1" applyBorder="1" applyAlignment="1">
      <alignment vertical="center"/>
    </xf>
    <xf numFmtId="41" fontId="17" fillId="0" borderId="6" xfId="5" applyFont="1" applyFill="1" applyBorder="1" applyAlignment="1">
      <alignment vertical="center"/>
    </xf>
    <xf numFmtId="41" fontId="16" fillId="0" borderId="6" xfId="7" applyFont="1" applyFill="1" applyBorder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0" applyFont="1">
      <alignment vertical="center"/>
    </xf>
    <xf numFmtId="183" fontId="10" fillId="0" borderId="5" xfId="8" applyNumberFormat="1" applyFont="1" applyFill="1" applyBorder="1" applyAlignment="1">
      <alignment vertical="center"/>
    </xf>
    <xf numFmtId="41" fontId="16" fillId="0" borderId="6" xfId="8" applyFont="1" applyFill="1" applyBorder="1" applyAlignment="1">
      <alignment vertical="center"/>
    </xf>
    <xf numFmtId="41" fontId="11" fillId="0" borderId="5" xfId="1" applyFont="1" applyFill="1" applyBorder="1" applyAlignment="1">
      <alignment horizontal="center" vertical="center"/>
    </xf>
    <xf numFmtId="41" fontId="11" fillId="0" borderId="6" xfId="1" applyFont="1" applyFill="1" applyBorder="1" applyAlignment="1">
      <alignment horizontal="right" vertical="center"/>
    </xf>
    <xf numFmtId="185" fontId="21" fillId="0" borderId="0" xfId="4" applyNumberFormat="1" applyFont="1" applyAlignment="1">
      <alignment vertical="center"/>
    </xf>
    <xf numFmtId="0" fontId="6" fillId="0" borderId="0" xfId="0" applyFont="1" applyAlignment="1"/>
    <xf numFmtId="41" fontId="9" fillId="0" borderId="5" xfId="8" applyFont="1" applyFill="1" applyBorder="1" applyAlignment="1">
      <alignment vertical="center"/>
    </xf>
    <xf numFmtId="41" fontId="10" fillId="0" borderId="5" xfId="1" applyFont="1" applyFill="1" applyBorder="1" applyAlignment="1">
      <alignment vertical="center"/>
    </xf>
    <xf numFmtId="182" fontId="10" fillId="0" borderId="5" xfId="8" applyNumberFormat="1" applyFont="1" applyFill="1" applyBorder="1" applyAlignment="1">
      <alignment vertical="center"/>
    </xf>
    <xf numFmtId="41" fontId="10" fillId="0" borderId="0" xfId="8" applyFont="1" applyFill="1" applyBorder="1" applyAlignment="1">
      <alignment vertical="center"/>
    </xf>
    <xf numFmtId="182" fontId="9" fillId="0" borderId="5" xfId="8" applyNumberFormat="1" applyFont="1" applyFill="1" applyBorder="1" applyAlignment="1">
      <alignment vertical="center"/>
    </xf>
    <xf numFmtId="41" fontId="10" fillId="0" borderId="8" xfId="8" applyFont="1" applyFill="1" applyBorder="1" applyAlignment="1">
      <alignment vertical="center"/>
    </xf>
    <xf numFmtId="180" fontId="9" fillId="0" borderId="0" xfId="8" applyNumberFormat="1" applyFont="1" applyFill="1" applyBorder="1" applyAlignment="1">
      <alignment horizontal="center" vertical="center"/>
    </xf>
    <xf numFmtId="182" fontId="12" fillId="0" borderId="5" xfId="1" applyNumberFormat="1" applyFont="1" applyFill="1" applyBorder="1" applyAlignment="1">
      <alignment vertical="center"/>
    </xf>
    <xf numFmtId="41" fontId="10" fillId="0" borderId="6" xfId="8" applyFont="1" applyFill="1" applyBorder="1" applyAlignment="1">
      <alignment vertical="center"/>
    </xf>
    <xf numFmtId="0" fontId="15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centerContinuous" vertical="center"/>
    </xf>
    <xf numFmtId="0" fontId="9" fillId="0" borderId="0" xfId="2" applyFont="1" applyAlignment="1">
      <alignment horizontal="right" vertical="center"/>
    </xf>
    <xf numFmtId="0" fontId="12" fillId="0" borderId="0" xfId="3" applyFont="1" applyAlignment="1">
      <alignment horizontal="right" vertical="center"/>
    </xf>
    <xf numFmtId="0" fontId="9" fillId="0" borderId="3" xfId="6" applyFont="1" applyBorder="1" applyAlignment="1">
      <alignment horizontal="center" vertical="center" shrinkToFit="1"/>
    </xf>
    <xf numFmtId="1" fontId="9" fillId="0" borderId="11" xfId="6" applyNumberFormat="1" applyFont="1" applyBorder="1" applyAlignment="1">
      <alignment horizontal="center" vertical="center" wrapText="1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4" xfId="6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horizontal="right" vertical="center"/>
    </xf>
    <xf numFmtId="0" fontId="16" fillId="0" borderId="4" xfId="6" applyFont="1" applyBorder="1" applyAlignment="1">
      <alignment horizontal="left" vertical="center"/>
    </xf>
    <xf numFmtId="0" fontId="18" fillId="0" borderId="4" xfId="6" applyFont="1" applyBorder="1" applyAlignment="1">
      <alignment horizontal="left" vertical="center"/>
    </xf>
    <xf numFmtId="0" fontId="18" fillId="0" borderId="5" xfId="3" applyFont="1" applyBorder="1" applyAlignment="1">
      <alignment horizontal="center" vertical="center"/>
    </xf>
    <xf numFmtId="0" fontId="16" fillId="0" borderId="5" xfId="6" applyFont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0" fontId="19" fillId="0" borderId="4" xfId="2" applyFont="1" applyBorder="1" applyAlignment="1">
      <alignment horizontal="left" vertical="center"/>
    </xf>
    <xf numFmtId="0" fontId="12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 shrinkToFit="1"/>
    </xf>
    <xf numFmtId="0" fontId="9" fillId="0" borderId="4" xfId="3" applyFont="1" applyBorder="1" applyAlignment="1">
      <alignment horizontal="center" vertical="center"/>
    </xf>
    <xf numFmtId="41" fontId="11" fillId="0" borderId="5" xfId="0" applyNumberFormat="1" applyFont="1" applyBorder="1">
      <alignment vertical="center"/>
    </xf>
    <xf numFmtId="41" fontId="9" fillId="0" borderId="5" xfId="1" applyFont="1" applyFill="1" applyBorder="1" applyAlignment="1">
      <alignment vertical="center"/>
    </xf>
    <xf numFmtId="41" fontId="11" fillId="0" borderId="5" xfId="3" applyNumberFormat="1" applyFont="1" applyBorder="1" applyAlignment="1">
      <alignment vertical="center"/>
    </xf>
    <xf numFmtId="0" fontId="16" fillId="0" borderId="4" xfId="3" applyFont="1" applyBorder="1" applyAlignment="1">
      <alignment vertical="center"/>
    </xf>
    <xf numFmtId="0" fontId="9" fillId="0" borderId="4" xfId="2" applyFont="1" applyBorder="1" applyAlignment="1">
      <alignment horizontal="left" vertical="center"/>
    </xf>
    <xf numFmtId="0" fontId="9" fillId="0" borderId="4" xfId="2" applyFont="1" applyBorder="1" applyAlignment="1">
      <alignment horizontal="left" vertical="center" shrinkToFit="1"/>
    </xf>
    <xf numFmtId="0" fontId="9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41" fontId="9" fillId="0" borderId="5" xfId="2" applyNumberFormat="1" applyFont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22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41" fontId="10" fillId="0" borderId="8" xfId="7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86" fontId="9" fillId="0" borderId="11" xfId="6" applyNumberFormat="1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9" fillId="0" borderId="9" xfId="2" applyFont="1" applyBorder="1" applyAlignment="1">
      <alignment horizontal="left" vertical="center"/>
    </xf>
    <xf numFmtId="0" fontId="10" fillId="0" borderId="7" xfId="2" applyFont="1" applyBorder="1" applyAlignment="1">
      <alignment vertical="center"/>
    </xf>
    <xf numFmtId="41" fontId="11" fillId="0" borderId="6" xfId="0" applyNumberFormat="1" applyFont="1" applyBorder="1">
      <alignment vertical="center"/>
    </xf>
    <xf numFmtId="0" fontId="8" fillId="0" borderId="0" xfId="0" applyFont="1" applyAlignment="1">
      <alignment horizontal="right" vertical="center"/>
    </xf>
    <xf numFmtId="0" fontId="18" fillId="0" borderId="5" xfId="3" applyFont="1" applyBorder="1" applyAlignment="1">
      <alignment vertical="center" shrinkToFit="1"/>
    </xf>
    <xf numFmtId="0" fontId="18" fillId="0" borderId="4" xfId="3" applyFont="1" applyBorder="1" applyAlignment="1">
      <alignment horizontal="center" vertical="center"/>
    </xf>
    <xf numFmtId="0" fontId="17" fillId="0" borderId="5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0" fontId="9" fillId="0" borderId="7" xfId="3" applyFont="1" applyBorder="1" applyAlignment="1">
      <alignment vertical="center" shrinkToFit="1"/>
    </xf>
    <xf numFmtId="0" fontId="9" fillId="0" borderId="9" xfId="3" applyFont="1" applyBorder="1" applyAlignment="1">
      <alignment horizontal="center" vertical="center"/>
    </xf>
    <xf numFmtId="0" fontId="13" fillId="0" borderId="7" xfId="3" applyFont="1" applyBorder="1" applyAlignment="1">
      <alignment vertical="center"/>
    </xf>
    <xf numFmtId="41" fontId="9" fillId="0" borderId="6" xfId="0" applyNumberFormat="1" applyFont="1" applyBorder="1">
      <alignment vertical="center"/>
    </xf>
    <xf numFmtId="0" fontId="9" fillId="0" borderId="12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 shrinkToFit="1"/>
    </xf>
    <xf numFmtId="0" fontId="12" fillId="0" borderId="11" xfId="3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shrinkToFit="1"/>
    </xf>
    <xf numFmtId="0" fontId="12" fillId="0" borderId="8" xfId="3" applyFont="1" applyBorder="1" applyAlignment="1">
      <alignment horizontal="center" vertical="center" shrinkToFit="1"/>
    </xf>
    <xf numFmtId="0" fontId="12" fillId="0" borderId="13" xfId="3" applyFont="1" applyBorder="1" applyAlignment="1">
      <alignment horizontal="center" vertical="center" shrinkToFit="1"/>
    </xf>
    <xf numFmtId="0" fontId="12" fillId="0" borderId="1" xfId="3" applyFont="1" applyBorder="1" applyAlignment="1">
      <alignment horizontal="center" vertical="center" shrinkToFit="1"/>
    </xf>
    <xf numFmtId="0" fontId="12" fillId="0" borderId="2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shrinkToFit="1"/>
    </xf>
    <xf numFmtId="0" fontId="9" fillId="0" borderId="2" xfId="3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12" fillId="0" borderId="4" xfId="3" applyFont="1" applyBorder="1" applyAlignment="1">
      <alignment horizontal="center" vertical="center"/>
    </xf>
    <xf numFmtId="0" fontId="12" fillId="0" borderId="9" xfId="3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 shrinkToFit="1"/>
    </xf>
    <xf numFmtId="0" fontId="9" fillId="0" borderId="5" xfId="3" applyFont="1" applyBorder="1" applyAlignment="1">
      <alignment horizontal="center" vertical="center" shrinkToFit="1"/>
    </xf>
    <xf numFmtId="0" fontId="9" fillId="0" borderId="7" xfId="3" applyFont="1" applyBorder="1" applyAlignment="1">
      <alignment horizontal="center" vertical="center" shrinkToFit="1"/>
    </xf>
    <xf numFmtId="0" fontId="9" fillId="0" borderId="10" xfId="3" applyFont="1" applyBorder="1" applyAlignment="1">
      <alignment horizontal="center" vertical="center"/>
    </xf>
    <xf numFmtId="0" fontId="9" fillId="0" borderId="5" xfId="3" applyFont="1" applyBorder="1" applyAlignment="1">
      <alignment horizontal="center" vertical="center"/>
    </xf>
    <xf numFmtId="0" fontId="9" fillId="0" borderId="7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</cellXfs>
  <cellStyles count="9">
    <cellStyle name="쉼표 [0]" xfId="1" builtinId="6"/>
    <cellStyle name="콤마 [0]_가설공사(1)" xfId="5" xr:uid="{00000000-0005-0000-0000-000002000000}"/>
    <cellStyle name="콤마 [0]_가설공사(2)" xfId="7" xr:uid="{00000000-0005-0000-0000-000003000000}"/>
    <cellStyle name="콤마 [0]_조경공사" xfId="8" xr:uid="{00000000-0005-0000-0000-00000400000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조경공사" xfId="2" xr:uid="{00000000-0005-0000-0000-000009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BC393-8704-497A-B3AF-605ECDF2FA4D}">
  <sheetPr>
    <pageSetUpPr fitToPage="1"/>
  </sheetPr>
  <dimension ref="A1:O2352"/>
  <sheetViews>
    <sheetView tabSelected="1" zoomScaleNormal="100" workbookViewId="0">
      <selection activeCell="N1" sqref="A1:N1048576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33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15" ht="12.95" customHeight="1" x14ac:dyDescent="0.3">
      <c r="A1" s="19"/>
      <c r="B1" s="30" t="s">
        <v>23</v>
      </c>
      <c r="C1" s="31"/>
      <c r="D1" s="32"/>
    </row>
    <row r="2" spans="1:15" ht="12.95" customHeight="1" x14ac:dyDescent="0.15">
      <c r="A2" s="20"/>
      <c r="B2" s="32" t="s">
        <v>24</v>
      </c>
    </row>
    <row r="3" spans="1:15" ht="12.95" customHeight="1" x14ac:dyDescent="0.3">
      <c r="B3" s="34" t="s">
        <v>178</v>
      </c>
      <c r="C3" s="35"/>
      <c r="D3" s="13"/>
      <c r="E3" s="36"/>
      <c r="F3" s="13"/>
      <c r="G3" s="13"/>
      <c r="K3" s="37" t="s">
        <v>169</v>
      </c>
    </row>
    <row r="4" spans="1:15" ht="12.95" customHeight="1" x14ac:dyDescent="0.3">
      <c r="B4" s="89" t="s">
        <v>3</v>
      </c>
      <c r="C4" s="92" t="s">
        <v>7</v>
      </c>
      <c r="D4" s="92" t="s">
        <v>8</v>
      </c>
      <c r="E4" s="92" t="s">
        <v>4</v>
      </c>
      <c r="F4" s="95" t="s">
        <v>170</v>
      </c>
      <c r="G4" s="96"/>
      <c r="H4" s="95" t="s">
        <v>28</v>
      </c>
      <c r="I4" s="96"/>
      <c r="J4" s="95" t="s">
        <v>35</v>
      </c>
      <c r="K4" s="96"/>
    </row>
    <row r="5" spans="1:15" ht="12.95" customHeight="1" x14ac:dyDescent="0.3">
      <c r="B5" s="90"/>
      <c r="C5" s="93"/>
      <c r="D5" s="93"/>
      <c r="E5" s="93"/>
      <c r="F5" s="38" t="s">
        <v>174</v>
      </c>
      <c r="G5" s="39">
        <v>18</v>
      </c>
      <c r="H5" s="38" t="s">
        <v>174</v>
      </c>
      <c r="I5" s="39">
        <v>16</v>
      </c>
      <c r="J5" s="38" t="s">
        <v>174</v>
      </c>
      <c r="K5" s="39">
        <v>12</v>
      </c>
    </row>
    <row r="6" spans="1:15" ht="12.95" customHeight="1" x14ac:dyDescent="0.3">
      <c r="B6" s="91"/>
      <c r="C6" s="94"/>
      <c r="D6" s="94"/>
      <c r="E6" s="94"/>
      <c r="F6" s="40" t="s">
        <v>21</v>
      </c>
      <c r="G6" s="41" t="s">
        <v>173</v>
      </c>
      <c r="H6" s="40" t="s">
        <v>21</v>
      </c>
      <c r="I6" s="41" t="s">
        <v>173</v>
      </c>
      <c r="J6" s="40" t="s">
        <v>21</v>
      </c>
      <c r="K6" s="41" t="s">
        <v>173</v>
      </c>
    </row>
    <row r="7" spans="1:15" ht="12.95" customHeight="1" x14ac:dyDescent="0.3">
      <c r="B7" s="42" t="s">
        <v>53</v>
      </c>
      <c r="C7" s="43" t="s">
        <v>56</v>
      </c>
      <c r="D7" s="44" t="s">
        <v>15</v>
      </c>
      <c r="E7" s="45"/>
      <c r="F7" s="21">
        <v>1</v>
      </c>
      <c r="G7" s="5">
        <f>TRUNC(SUM(G10:G11)*0.02,1)</f>
        <v>13944.5</v>
      </c>
      <c r="H7" s="21">
        <v>1</v>
      </c>
      <c r="I7" s="5">
        <f>TRUNC(SUM(I10:I11)*0.02,1)</f>
        <v>13944.5</v>
      </c>
      <c r="J7" s="21">
        <v>1</v>
      </c>
      <c r="K7" s="5">
        <f>TRUNC(SUM(K10:K11)*0.02,1)</f>
        <v>13944.5</v>
      </c>
    </row>
    <row r="8" spans="1:15" ht="12.95" customHeight="1" x14ac:dyDescent="0.3">
      <c r="B8" s="46" t="s">
        <v>10</v>
      </c>
      <c r="C8" s="47"/>
      <c r="D8" s="48"/>
      <c r="E8" s="49"/>
      <c r="F8" s="25"/>
      <c r="G8" s="12">
        <f>TRUNC(SUM(G7))</f>
        <v>13944</v>
      </c>
      <c r="H8" s="25"/>
      <c r="I8" s="12">
        <f>TRUNC(SUM(I7))</f>
        <v>13944</v>
      </c>
      <c r="J8" s="25"/>
      <c r="K8" s="12">
        <f>TRUNC(SUM(K7))</f>
        <v>13944</v>
      </c>
    </row>
    <row r="9" spans="1:15" ht="12.95" customHeight="1" x14ac:dyDescent="0.3">
      <c r="B9" s="50"/>
      <c r="C9" s="51"/>
      <c r="D9" s="51"/>
      <c r="E9" s="22"/>
      <c r="F9" s="15"/>
      <c r="G9" s="24"/>
      <c r="H9" s="15"/>
      <c r="I9" s="24"/>
      <c r="J9" s="15"/>
      <c r="K9" s="24"/>
    </row>
    <row r="10" spans="1:15" ht="12.95" customHeight="1" x14ac:dyDescent="0.3">
      <c r="B10" s="52" t="s">
        <v>29</v>
      </c>
      <c r="C10" s="53"/>
      <c r="D10" s="54" t="s">
        <v>9</v>
      </c>
      <c r="E10" s="55">
        <v>262580</v>
      </c>
      <c r="F10" s="56">
        <v>2</v>
      </c>
      <c r="G10" s="3">
        <f t="shared" ref="G10:G11" si="0">TRUNC($E10*F10,1)</f>
        <v>525160</v>
      </c>
      <c r="H10" s="56">
        <v>2</v>
      </c>
      <c r="I10" s="3">
        <f t="shared" ref="I10:I11" si="1">TRUNC($E10*H10,1)</f>
        <v>525160</v>
      </c>
      <c r="J10" s="56">
        <v>2</v>
      </c>
      <c r="K10" s="3">
        <f t="shared" ref="K10:K11" si="2">TRUNC($E10*J10,1)</f>
        <v>525160</v>
      </c>
    </row>
    <row r="11" spans="1:15" ht="12.95" customHeight="1" x14ac:dyDescent="0.3">
      <c r="B11" s="52" t="s">
        <v>1</v>
      </c>
      <c r="C11" s="53"/>
      <c r="D11" s="54" t="s">
        <v>9</v>
      </c>
      <c r="E11" s="57">
        <v>172068</v>
      </c>
      <c r="F11" s="56">
        <v>1</v>
      </c>
      <c r="G11" s="3">
        <f t="shared" si="0"/>
        <v>172068</v>
      </c>
      <c r="H11" s="56">
        <v>1</v>
      </c>
      <c r="I11" s="3">
        <f t="shared" si="1"/>
        <v>172068</v>
      </c>
      <c r="J11" s="56">
        <v>1</v>
      </c>
      <c r="K11" s="3">
        <f t="shared" si="2"/>
        <v>172068</v>
      </c>
    </row>
    <row r="12" spans="1:15" ht="12.95" customHeight="1" x14ac:dyDescent="0.3">
      <c r="B12" s="58" t="s">
        <v>11</v>
      </c>
      <c r="C12" s="51"/>
      <c r="D12" s="51"/>
      <c r="E12" s="22"/>
      <c r="F12" s="22"/>
      <c r="G12" s="16">
        <f>TRUNC(SUM(G10:G11))</f>
        <v>697228</v>
      </c>
      <c r="H12" s="22"/>
      <c r="I12" s="16">
        <f>TRUNC(SUM(I10:I11))</f>
        <v>697228</v>
      </c>
      <c r="J12" s="22"/>
      <c r="K12" s="16">
        <f>TRUNC(SUM(K10:K11))</f>
        <v>697228</v>
      </c>
    </row>
    <row r="13" spans="1:15" ht="12.95" customHeight="1" x14ac:dyDescent="0.3">
      <c r="B13" s="50"/>
      <c r="C13" s="51"/>
      <c r="D13" s="51"/>
      <c r="E13" s="22"/>
      <c r="F13" s="22"/>
      <c r="G13" s="24"/>
      <c r="H13" s="22"/>
      <c r="I13" s="24"/>
      <c r="J13" s="22"/>
      <c r="K13" s="24"/>
      <c r="O13" s="14"/>
    </row>
    <row r="14" spans="1:15" ht="12.95" customHeight="1" x14ac:dyDescent="0.3">
      <c r="B14" s="59" t="s">
        <v>171</v>
      </c>
      <c r="C14" s="60" t="s">
        <v>172</v>
      </c>
      <c r="D14" s="61" t="s">
        <v>17</v>
      </c>
      <c r="E14" s="17">
        <v>0</v>
      </c>
      <c r="F14" s="56">
        <v>8</v>
      </c>
      <c r="G14" s="3">
        <f t="shared" ref="G14" si="3">TRUNC($E14*F14,1)</f>
        <v>0</v>
      </c>
      <c r="H14" s="56">
        <v>8</v>
      </c>
      <c r="I14" s="3">
        <f t="shared" ref="I14" si="4">TRUNC($E14*H14,1)</f>
        <v>0</v>
      </c>
      <c r="J14" s="56">
        <v>8</v>
      </c>
      <c r="K14" s="3">
        <f t="shared" ref="K14" si="5">TRUNC($E14*J14,1)</f>
        <v>0</v>
      </c>
      <c r="N14" s="14"/>
      <c r="O14" s="14"/>
    </row>
    <row r="15" spans="1:15" ht="12.95" customHeight="1" x14ac:dyDescent="0.3">
      <c r="B15" s="46" t="s">
        <v>12</v>
      </c>
      <c r="C15" s="51"/>
      <c r="D15" s="51"/>
      <c r="E15" s="62"/>
      <c r="F15" s="15"/>
      <c r="G15" s="16">
        <f>TRUNC(SUM(G14:G14))</f>
        <v>0</v>
      </c>
      <c r="H15" s="15"/>
      <c r="I15" s="16">
        <f>TRUNC(SUM(I14:I14))</f>
        <v>0</v>
      </c>
      <c r="J15" s="15"/>
      <c r="K15" s="16">
        <f>TRUNC(SUM(K14:K14))</f>
        <v>0</v>
      </c>
      <c r="N15" s="14"/>
      <c r="O15" s="14"/>
    </row>
    <row r="16" spans="1:15" ht="12.95" customHeight="1" x14ac:dyDescent="0.3">
      <c r="B16" s="63"/>
      <c r="C16" s="59"/>
      <c r="D16" s="59"/>
      <c r="E16" s="64"/>
      <c r="F16" s="25"/>
      <c r="G16" s="27"/>
      <c r="H16" s="25"/>
      <c r="I16" s="27"/>
      <c r="J16" s="25"/>
      <c r="K16" s="27"/>
      <c r="N16" s="14"/>
      <c r="O16" s="14"/>
    </row>
    <row r="17" spans="2:15" ht="12.95" customHeight="1" x14ac:dyDescent="0.3">
      <c r="B17" s="65" t="s">
        <v>13</v>
      </c>
      <c r="C17" s="51"/>
      <c r="D17" s="51"/>
      <c r="E17" s="62"/>
      <c r="F17" s="62"/>
      <c r="G17" s="29">
        <f>SUM(G8+G12+G15)</f>
        <v>711172</v>
      </c>
      <c r="H17" s="62"/>
      <c r="I17" s="29">
        <f>SUM(I8+I12+I15)</f>
        <v>711172</v>
      </c>
      <c r="J17" s="62"/>
      <c r="K17" s="29">
        <f>SUM(K8+K12+K15)</f>
        <v>711172</v>
      </c>
      <c r="N17" s="14"/>
      <c r="O17" s="14"/>
    </row>
    <row r="18" spans="2:15" ht="12.95" customHeight="1" x14ac:dyDescent="0.3">
      <c r="B18" s="66" t="s">
        <v>175</v>
      </c>
      <c r="C18" s="67"/>
      <c r="D18" s="68"/>
      <c r="E18" s="69"/>
      <c r="F18" s="70"/>
      <c r="G18" s="71">
        <f>TRUNC(G17/G5)</f>
        <v>39509</v>
      </c>
      <c r="H18" s="70"/>
      <c r="I18" s="71">
        <f>TRUNC(I17/I5)</f>
        <v>44448</v>
      </c>
      <c r="J18" s="70"/>
      <c r="K18" s="71">
        <f>TRUNC(K17/K5)</f>
        <v>59264</v>
      </c>
      <c r="N18" s="14"/>
      <c r="O18" s="14"/>
    </row>
    <row r="19" spans="2:15" ht="12.95" customHeight="1" x14ac:dyDescent="0.3">
      <c r="B19" s="89" t="s">
        <v>3</v>
      </c>
      <c r="C19" s="92" t="s">
        <v>7</v>
      </c>
      <c r="D19" s="92" t="s">
        <v>8</v>
      </c>
      <c r="E19" s="92" t="s">
        <v>4</v>
      </c>
      <c r="F19" s="95" t="s">
        <v>36</v>
      </c>
      <c r="G19" s="96"/>
      <c r="H19" s="95" t="s">
        <v>37</v>
      </c>
      <c r="I19" s="96"/>
      <c r="N19" s="14"/>
      <c r="O19" s="14"/>
    </row>
    <row r="20" spans="2:15" ht="12.95" customHeight="1" x14ac:dyDescent="0.3">
      <c r="B20" s="90"/>
      <c r="C20" s="93"/>
      <c r="D20" s="93"/>
      <c r="E20" s="93"/>
      <c r="F20" s="38" t="s">
        <v>174</v>
      </c>
      <c r="G20" s="39">
        <v>10</v>
      </c>
      <c r="H20" s="38" t="s">
        <v>174</v>
      </c>
      <c r="I20" s="39">
        <v>9</v>
      </c>
      <c r="N20" s="14"/>
      <c r="O20" s="14"/>
    </row>
    <row r="21" spans="2:15" ht="12.95" customHeight="1" x14ac:dyDescent="0.3">
      <c r="B21" s="91"/>
      <c r="C21" s="94"/>
      <c r="D21" s="94"/>
      <c r="E21" s="94"/>
      <c r="F21" s="40" t="s">
        <v>21</v>
      </c>
      <c r="G21" s="41" t="s">
        <v>173</v>
      </c>
      <c r="H21" s="40" t="s">
        <v>21</v>
      </c>
      <c r="I21" s="41" t="s">
        <v>173</v>
      </c>
      <c r="N21" s="14"/>
      <c r="O21" s="14"/>
    </row>
    <row r="22" spans="2:15" ht="12.95" customHeight="1" x14ac:dyDescent="0.3">
      <c r="B22" s="42" t="s">
        <v>53</v>
      </c>
      <c r="C22" s="43" t="s">
        <v>56</v>
      </c>
      <c r="D22" s="44" t="s">
        <v>15</v>
      </c>
      <c r="E22" s="45"/>
      <c r="F22" s="21">
        <v>1</v>
      </c>
      <c r="G22" s="5">
        <f>TRUNC(SUM(G25:G26)*0.02,1)</f>
        <v>13944.5</v>
      </c>
      <c r="H22" s="21">
        <v>1</v>
      </c>
      <c r="I22" s="5">
        <f>TRUNC(SUM(I25:I26)*0.02,1)</f>
        <v>13944.5</v>
      </c>
      <c r="N22" s="14"/>
      <c r="O22" s="14"/>
    </row>
    <row r="23" spans="2:15" ht="12.95" customHeight="1" x14ac:dyDescent="0.3">
      <c r="B23" s="46" t="s">
        <v>10</v>
      </c>
      <c r="C23" s="47"/>
      <c r="D23" s="48"/>
      <c r="E23" s="49"/>
      <c r="F23" s="25"/>
      <c r="G23" s="12">
        <f>TRUNC(SUM(G22))</f>
        <v>13944</v>
      </c>
      <c r="H23" s="25"/>
      <c r="I23" s="12">
        <f>TRUNC(SUM(I22))</f>
        <v>13944</v>
      </c>
      <c r="N23" s="14"/>
      <c r="O23" s="14"/>
    </row>
    <row r="24" spans="2:15" ht="12.95" customHeight="1" x14ac:dyDescent="0.3">
      <c r="B24" s="50"/>
      <c r="C24" s="51"/>
      <c r="D24" s="51"/>
      <c r="E24" s="22"/>
      <c r="F24" s="15"/>
      <c r="G24" s="24"/>
      <c r="H24" s="15"/>
      <c r="I24" s="24"/>
    </row>
    <row r="25" spans="2:15" ht="12.95" customHeight="1" x14ac:dyDescent="0.3">
      <c r="B25" s="52" t="s">
        <v>29</v>
      </c>
      <c r="C25" s="53"/>
      <c r="D25" s="54" t="s">
        <v>9</v>
      </c>
      <c r="E25" s="55">
        <v>262580</v>
      </c>
      <c r="F25" s="56">
        <v>2</v>
      </c>
      <c r="G25" s="3">
        <f t="shared" ref="G25:G26" si="6">TRUNC($E25*F25,1)</f>
        <v>525160</v>
      </c>
      <c r="H25" s="56">
        <v>2</v>
      </c>
      <c r="I25" s="3">
        <f t="shared" ref="I25:I26" si="7">TRUNC($E25*H25,1)</f>
        <v>525160</v>
      </c>
    </row>
    <row r="26" spans="2:15" ht="12.95" customHeight="1" x14ac:dyDescent="0.3">
      <c r="B26" s="52" t="s">
        <v>1</v>
      </c>
      <c r="C26" s="53"/>
      <c r="D26" s="54" t="s">
        <v>9</v>
      </c>
      <c r="E26" s="57">
        <v>172068</v>
      </c>
      <c r="F26" s="56">
        <v>1</v>
      </c>
      <c r="G26" s="3">
        <f t="shared" si="6"/>
        <v>172068</v>
      </c>
      <c r="H26" s="56">
        <v>1</v>
      </c>
      <c r="I26" s="3">
        <f t="shared" si="7"/>
        <v>172068</v>
      </c>
    </row>
    <row r="27" spans="2:15" ht="12.95" customHeight="1" x14ac:dyDescent="0.3">
      <c r="B27" s="58" t="s">
        <v>11</v>
      </c>
      <c r="C27" s="51"/>
      <c r="D27" s="51"/>
      <c r="E27" s="22"/>
      <c r="F27" s="22"/>
      <c r="G27" s="16">
        <f>TRUNC(SUM(G25:G26))</f>
        <v>697228</v>
      </c>
      <c r="H27" s="22"/>
      <c r="I27" s="16">
        <f>TRUNC(SUM(I25:I26))</f>
        <v>697228</v>
      </c>
    </row>
    <row r="28" spans="2:15" ht="12.95" customHeight="1" x14ac:dyDescent="0.3">
      <c r="B28" s="50"/>
      <c r="C28" s="51"/>
      <c r="D28" s="51"/>
      <c r="E28" s="22"/>
      <c r="F28" s="22"/>
      <c r="G28" s="24"/>
      <c r="H28" s="22"/>
      <c r="I28" s="24"/>
    </row>
    <row r="29" spans="2:15" ht="12.95" customHeight="1" x14ac:dyDescent="0.3">
      <c r="B29" s="59" t="s">
        <v>171</v>
      </c>
      <c r="C29" s="60" t="s">
        <v>172</v>
      </c>
      <c r="D29" s="61" t="s">
        <v>17</v>
      </c>
      <c r="E29" s="17">
        <v>0</v>
      </c>
      <c r="F29" s="56">
        <v>8</v>
      </c>
      <c r="G29" s="3">
        <f t="shared" ref="G29" si="8">TRUNC($E29*F29,1)</f>
        <v>0</v>
      </c>
      <c r="H29" s="56">
        <v>8</v>
      </c>
      <c r="I29" s="3">
        <f t="shared" ref="I29" si="9">TRUNC($E29*H29,1)</f>
        <v>0</v>
      </c>
    </row>
    <row r="30" spans="2:15" ht="12.95" customHeight="1" x14ac:dyDescent="0.3">
      <c r="B30" s="46" t="s">
        <v>12</v>
      </c>
      <c r="C30" s="51"/>
      <c r="D30" s="51"/>
      <c r="E30" s="62"/>
      <c r="F30" s="15"/>
      <c r="G30" s="16">
        <f>TRUNC(SUM(G29:G29))</f>
        <v>0</v>
      </c>
      <c r="H30" s="15"/>
      <c r="I30" s="16">
        <f>TRUNC(SUM(I29:I29))</f>
        <v>0</v>
      </c>
    </row>
    <row r="31" spans="2:15" ht="12.95" customHeight="1" x14ac:dyDescent="0.3">
      <c r="B31" s="63"/>
      <c r="C31" s="59"/>
      <c r="D31" s="59"/>
      <c r="E31" s="64"/>
      <c r="F31" s="25"/>
      <c r="G31" s="27"/>
      <c r="H31" s="25"/>
      <c r="I31" s="27"/>
    </row>
    <row r="32" spans="2:15" ht="12.95" customHeight="1" x14ac:dyDescent="0.3">
      <c r="B32" s="65" t="s">
        <v>13</v>
      </c>
      <c r="C32" s="51"/>
      <c r="D32" s="51"/>
      <c r="E32" s="62"/>
      <c r="F32" s="62"/>
      <c r="G32" s="29">
        <f>SUM(G23+G27+G30)</f>
        <v>711172</v>
      </c>
      <c r="H32" s="62"/>
      <c r="I32" s="29">
        <f>SUM(I23+I27+I30)</f>
        <v>711172</v>
      </c>
    </row>
    <row r="33" spans="2:9" ht="12.95" customHeight="1" x14ac:dyDescent="0.3">
      <c r="B33" s="66" t="s">
        <v>175</v>
      </c>
      <c r="C33" s="67"/>
      <c r="D33" s="68"/>
      <c r="E33" s="69"/>
      <c r="F33" s="70"/>
      <c r="G33" s="71">
        <f>TRUNC(G32/G20)</f>
        <v>71117</v>
      </c>
      <c r="H33" s="70"/>
      <c r="I33" s="71">
        <f>TRUNC(I32/I20)</f>
        <v>79019</v>
      </c>
    </row>
    <row r="34" spans="2:9" ht="12.95" customHeight="1" x14ac:dyDescent="0.3">
      <c r="B34" s="89" t="s">
        <v>3</v>
      </c>
      <c r="C34" s="92" t="s">
        <v>7</v>
      </c>
      <c r="D34" s="92" t="s">
        <v>8</v>
      </c>
      <c r="E34" s="92" t="s">
        <v>4</v>
      </c>
      <c r="F34" s="95" t="s">
        <v>39</v>
      </c>
      <c r="G34" s="96"/>
      <c r="H34" s="95" t="s">
        <v>40</v>
      </c>
      <c r="I34" s="96"/>
    </row>
    <row r="35" spans="2:9" ht="12.95" customHeight="1" x14ac:dyDescent="0.3">
      <c r="B35" s="90"/>
      <c r="C35" s="93"/>
      <c r="D35" s="93"/>
      <c r="E35" s="93"/>
      <c r="F35" s="38" t="s">
        <v>174</v>
      </c>
      <c r="G35" s="39">
        <v>9</v>
      </c>
      <c r="H35" s="38" t="s">
        <v>174</v>
      </c>
      <c r="I35" s="39">
        <v>8</v>
      </c>
    </row>
    <row r="36" spans="2:9" ht="12.95" customHeight="1" x14ac:dyDescent="0.3">
      <c r="B36" s="91"/>
      <c r="C36" s="94"/>
      <c r="D36" s="94"/>
      <c r="E36" s="94"/>
      <c r="F36" s="40" t="s">
        <v>21</v>
      </c>
      <c r="G36" s="41" t="s">
        <v>173</v>
      </c>
      <c r="H36" s="40" t="s">
        <v>21</v>
      </c>
      <c r="I36" s="41" t="s">
        <v>173</v>
      </c>
    </row>
    <row r="37" spans="2:9" ht="12.95" customHeight="1" x14ac:dyDescent="0.3">
      <c r="B37" s="42" t="s">
        <v>53</v>
      </c>
      <c r="C37" s="43" t="s">
        <v>56</v>
      </c>
      <c r="D37" s="44" t="s">
        <v>15</v>
      </c>
      <c r="E37" s="45"/>
      <c r="F37" s="21">
        <v>1</v>
      </c>
      <c r="G37" s="5">
        <f>TRUNC(SUM(G40:G41)*0.02,1)</f>
        <v>19196.099999999999</v>
      </c>
      <c r="H37" s="21">
        <v>1</v>
      </c>
      <c r="I37" s="5">
        <f>TRUNC(SUM(I40:I41)*0.02,1)</f>
        <v>19196.099999999999</v>
      </c>
    </row>
    <row r="38" spans="2:9" ht="12.95" customHeight="1" x14ac:dyDescent="0.3">
      <c r="B38" s="46" t="s">
        <v>10</v>
      </c>
      <c r="C38" s="47"/>
      <c r="D38" s="48"/>
      <c r="E38" s="49"/>
      <c r="F38" s="25"/>
      <c r="G38" s="12">
        <f>TRUNC(SUM(G37))</f>
        <v>19196</v>
      </c>
      <c r="H38" s="25"/>
      <c r="I38" s="12">
        <f>TRUNC(SUM(I37))</f>
        <v>19196</v>
      </c>
    </row>
    <row r="39" spans="2:9" ht="12.95" customHeight="1" x14ac:dyDescent="0.3">
      <c r="B39" s="50"/>
      <c r="C39" s="51"/>
      <c r="D39" s="51"/>
      <c r="E39" s="22"/>
      <c r="F39" s="15"/>
      <c r="G39" s="24"/>
      <c r="H39" s="15"/>
      <c r="I39" s="24"/>
    </row>
    <row r="40" spans="2:9" ht="12.95" customHeight="1" x14ac:dyDescent="0.3">
      <c r="B40" s="52" t="s">
        <v>29</v>
      </c>
      <c r="C40" s="53"/>
      <c r="D40" s="54" t="s">
        <v>9</v>
      </c>
      <c r="E40" s="55">
        <v>262580</v>
      </c>
      <c r="F40" s="56">
        <v>3</v>
      </c>
      <c r="G40" s="3">
        <f t="shared" ref="G40:G41" si="10">TRUNC($E40*F40,1)</f>
        <v>787740</v>
      </c>
      <c r="H40" s="56">
        <v>3</v>
      </c>
      <c r="I40" s="3">
        <f t="shared" ref="I40:I41" si="11">TRUNC($E40*H40,1)</f>
        <v>787740</v>
      </c>
    </row>
    <row r="41" spans="2:9" ht="12.95" customHeight="1" x14ac:dyDescent="0.3">
      <c r="B41" s="52" t="s">
        <v>1</v>
      </c>
      <c r="C41" s="53"/>
      <c r="D41" s="54" t="s">
        <v>9</v>
      </c>
      <c r="E41" s="57">
        <v>172068</v>
      </c>
      <c r="F41" s="56">
        <v>1</v>
      </c>
      <c r="G41" s="3">
        <f t="shared" si="10"/>
        <v>172068</v>
      </c>
      <c r="H41" s="56">
        <v>1</v>
      </c>
      <c r="I41" s="3">
        <f t="shared" si="11"/>
        <v>172068</v>
      </c>
    </row>
    <row r="42" spans="2:9" ht="12.95" customHeight="1" x14ac:dyDescent="0.3">
      <c r="B42" s="58" t="s">
        <v>11</v>
      </c>
      <c r="C42" s="51"/>
      <c r="D42" s="51"/>
      <c r="E42" s="22"/>
      <c r="F42" s="22"/>
      <c r="G42" s="16">
        <f>TRUNC(SUM(G40:G41))</f>
        <v>959808</v>
      </c>
      <c r="H42" s="22"/>
      <c r="I42" s="16">
        <f>TRUNC(SUM(I40:I41))</f>
        <v>959808</v>
      </c>
    </row>
    <row r="43" spans="2:9" ht="12.95" customHeight="1" x14ac:dyDescent="0.3">
      <c r="B43" s="50"/>
      <c r="C43" s="51"/>
      <c r="D43" s="51"/>
      <c r="E43" s="22"/>
      <c r="F43" s="22"/>
      <c r="G43" s="24"/>
      <c r="H43" s="22"/>
      <c r="I43" s="24"/>
    </row>
    <row r="44" spans="2:9" ht="12.95" customHeight="1" x14ac:dyDescent="0.3">
      <c r="B44" s="59" t="s">
        <v>171</v>
      </c>
      <c r="C44" s="60" t="s">
        <v>172</v>
      </c>
      <c r="D44" s="61" t="s">
        <v>17</v>
      </c>
      <c r="E44" s="17">
        <v>0</v>
      </c>
      <c r="F44" s="56">
        <v>8</v>
      </c>
      <c r="G44" s="3">
        <f t="shared" ref="G44" si="12">TRUNC($E44*F44,1)</f>
        <v>0</v>
      </c>
      <c r="H44" s="56">
        <v>8</v>
      </c>
      <c r="I44" s="3">
        <f t="shared" ref="I44" si="13">TRUNC($E44*H44,1)</f>
        <v>0</v>
      </c>
    </row>
    <row r="45" spans="2:9" ht="12.95" customHeight="1" x14ac:dyDescent="0.3">
      <c r="B45" s="46" t="s">
        <v>12</v>
      </c>
      <c r="C45" s="51"/>
      <c r="D45" s="51"/>
      <c r="E45" s="62"/>
      <c r="F45" s="15"/>
      <c r="G45" s="16">
        <f>TRUNC(SUM(G44:G44))</f>
        <v>0</v>
      </c>
      <c r="H45" s="15"/>
      <c r="I45" s="16">
        <f>TRUNC(SUM(I44:I44))</f>
        <v>0</v>
      </c>
    </row>
    <row r="46" spans="2:9" ht="12.95" customHeight="1" x14ac:dyDescent="0.3">
      <c r="B46" s="63"/>
      <c r="C46" s="59"/>
      <c r="D46" s="59"/>
      <c r="E46" s="64"/>
      <c r="F46" s="25"/>
      <c r="G46" s="27"/>
      <c r="H46" s="25"/>
      <c r="I46" s="27"/>
    </row>
    <row r="47" spans="2:9" ht="12.95" customHeight="1" x14ac:dyDescent="0.3">
      <c r="B47" s="65" t="s">
        <v>13</v>
      </c>
      <c r="C47" s="51"/>
      <c r="D47" s="51"/>
      <c r="E47" s="62"/>
      <c r="F47" s="62"/>
      <c r="G47" s="29">
        <f>SUM(G38+G42+G45)</f>
        <v>979004</v>
      </c>
      <c r="H47" s="62"/>
      <c r="I47" s="29">
        <f>SUM(I38+I42+I45)</f>
        <v>979004</v>
      </c>
    </row>
    <row r="48" spans="2:9" ht="12.95" customHeight="1" x14ac:dyDescent="0.3">
      <c r="B48" s="66" t="s">
        <v>175</v>
      </c>
      <c r="C48" s="67"/>
      <c r="D48" s="68"/>
      <c r="E48" s="69"/>
      <c r="F48" s="70"/>
      <c r="G48" s="71">
        <f>TRUNC(G47/G35)</f>
        <v>108778</v>
      </c>
      <c r="H48" s="70"/>
      <c r="I48" s="71">
        <f>TRUNC(I47/I35)</f>
        <v>122375</v>
      </c>
    </row>
    <row r="49" spans="2:9" ht="12.95" customHeight="1" x14ac:dyDescent="0.3">
      <c r="B49" s="89" t="s">
        <v>3</v>
      </c>
      <c r="C49" s="92" t="s">
        <v>7</v>
      </c>
      <c r="D49" s="92" t="s">
        <v>8</v>
      </c>
      <c r="E49" s="92" t="s">
        <v>4</v>
      </c>
      <c r="F49" s="95" t="s">
        <v>41</v>
      </c>
      <c r="G49" s="96"/>
      <c r="H49" s="95" t="s">
        <v>43</v>
      </c>
      <c r="I49" s="96"/>
    </row>
    <row r="50" spans="2:9" ht="12.95" customHeight="1" x14ac:dyDescent="0.3">
      <c r="B50" s="90"/>
      <c r="C50" s="93"/>
      <c r="D50" s="93"/>
      <c r="E50" s="93"/>
      <c r="F50" s="38" t="s">
        <v>174</v>
      </c>
      <c r="G50" s="39">
        <v>7</v>
      </c>
      <c r="H50" s="38" t="s">
        <v>174</v>
      </c>
      <c r="I50" s="39">
        <v>6</v>
      </c>
    </row>
    <row r="51" spans="2:9" ht="12.95" customHeight="1" x14ac:dyDescent="0.3">
      <c r="B51" s="91"/>
      <c r="C51" s="94"/>
      <c r="D51" s="94"/>
      <c r="E51" s="94"/>
      <c r="F51" s="40" t="s">
        <v>21</v>
      </c>
      <c r="G51" s="41" t="s">
        <v>173</v>
      </c>
      <c r="H51" s="40" t="s">
        <v>21</v>
      </c>
      <c r="I51" s="41" t="s">
        <v>173</v>
      </c>
    </row>
    <row r="52" spans="2:9" ht="12.95" customHeight="1" x14ac:dyDescent="0.3">
      <c r="B52" s="42" t="s">
        <v>53</v>
      </c>
      <c r="C52" s="43" t="s">
        <v>56</v>
      </c>
      <c r="D52" s="44" t="s">
        <v>15</v>
      </c>
      <c r="E52" s="45"/>
      <c r="F52" s="21">
        <v>1</v>
      </c>
      <c r="G52" s="5">
        <f>TRUNC(SUM(G55:G56)*0.02,1)</f>
        <v>19196.099999999999</v>
      </c>
      <c r="H52" s="21">
        <v>1</v>
      </c>
      <c r="I52" s="5">
        <f>TRUNC(SUM(I55:I56)*0.02,1)</f>
        <v>19196.099999999999</v>
      </c>
    </row>
    <row r="53" spans="2:9" ht="12.95" customHeight="1" x14ac:dyDescent="0.3">
      <c r="B53" s="46" t="s">
        <v>10</v>
      </c>
      <c r="C53" s="47"/>
      <c r="D53" s="48"/>
      <c r="E53" s="49"/>
      <c r="F53" s="25"/>
      <c r="G53" s="12">
        <f>TRUNC(SUM(G52))</f>
        <v>19196</v>
      </c>
      <c r="H53" s="25"/>
      <c r="I53" s="12">
        <f>TRUNC(SUM(I52))</f>
        <v>19196</v>
      </c>
    </row>
    <row r="54" spans="2:9" ht="12.95" customHeight="1" x14ac:dyDescent="0.3">
      <c r="B54" s="50"/>
      <c r="C54" s="51"/>
      <c r="D54" s="51"/>
      <c r="E54" s="22"/>
      <c r="F54" s="15"/>
      <c r="G54" s="24"/>
      <c r="H54" s="15"/>
      <c r="I54" s="24"/>
    </row>
    <row r="55" spans="2:9" ht="12.95" customHeight="1" x14ac:dyDescent="0.3">
      <c r="B55" s="52" t="s">
        <v>29</v>
      </c>
      <c r="C55" s="53"/>
      <c r="D55" s="54" t="s">
        <v>9</v>
      </c>
      <c r="E55" s="55">
        <v>262580</v>
      </c>
      <c r="F55" s="56">
        <v>3</v>
      </c>
      <c r="G55" s="3">
        <f t="shared" ref="G55:G56" si="14">TRUNC($E55*F55,1)</f>
        <v>787740</v>
      </c>
      <c r="H55" s="56">
        <v>3</v>
      </c>
      <c r="I55" s="3">
        <f t="shared" ref="I55:I56" si="15">TRUNC($E55*H55,1)</f>
        <v>787740</v>
      </c>
    </row>
    <row r="56" spans="2:9" ht="12.95" customHeight="1" x14ac:dyDescent="0.3">
      <c r="B56" s="52" t="s">
        <v>1</v>
      </c>
      <c r="C56" s="53"/>
      <c r="D56" s="54" t="s">
        <v>9</v>
      </c>
      <c r="E56" s="57">
        <v>172068</v>
      </c>
      <c r="F56" s="56">
        <v>1</v>
      </c>
      <c r="G56" s="3">
        <f t="shared" si="14"/>
        <v>172068</v>
      </c>
      <c r="H56" s="56">
        <v>1</v>
      </c>
      <c r="I56" s="3">
        <f t="shared" si="15"/>
        <v>172068</v>
      </c>
    </row>
    <row r="57" spans="2:9" ht="12.95" customHeight="1" x14ac:dyDescent="0.3">
      <c r="B57" s="58" t="s">
        <v>11</v>
      </c>
      <c r="C57" s="51"/>
      <c r="D57" s="51"/>
      <c r="E57" s="22"/>
      <c r="F57" s="22"/>
      <c r="G57" s="16">
        <f>TRUNC(SUM(G55:G56))</f>
        <v>959808</v>
      </c>
      <c r="H57" s="22"/>
      <c r="I57" s="16">
        <f>TRUNC(SUM(I55:I56))</f>
        <v>959808</v>
      </c>
    </row>
    <row r="58" spans="2:9" ht="12.95" customHeight="1" x14ac:dyDescent="0.3">
      <c r="B58" s="50"/>
      <c r="C58" s="51"/>
      <c r="D58" s="51"/>
      <c r="E58" s="22"/>
      <c r="F58" s="22"/>
      <c r="G58" s="24"/>
      <c r="H58" s="22"/>
      <c r="I58" s="24"/>
    </row>
    <row r="59" spans="2:9" ht="12.95" customHeight="1" x14ac:dyDescent="0.3">
      <c r="B59" s="59" t="s">
        <v>171</v>
      </c>
      <c r="C59" s="60" t="s">
        <v>172</v>
      </c>
      <c r="D59" s="61" t="s">
        <v>17</v>
      </c>
      <c r="E59" s="17">
        <v>0</v>
      </c>
      <c r="F59" s="56">
        <v>8</v>
      </c>
      <c r="G59" s="3">
        <f t="shared" ref="G59" si="16">TRUNC($E59*F59,1)</f>
        <v>0</v>
      </c>
      <c r="H59" s="56">
        <v>8</v>
      </c>
      <c r="I59" s="3">
        <f t="shared" ref="I59" si="17">TRUNC($E59*H59,1)</f>
        <v>0</v>
      </c>
    </row>
    <row r="60" spans="2:9" ht="12.95" customHeight="1" x14ac:dyDescent="0.3">
      <c r="B60" s="46" t="s">
        <v>12</v>
      </c>
      <c r="C60" s="51"/>
      <c r="D60" s="51"/>
      <c r="E60" s="62"/>
      <c r="F60" s="15"/>
      <c r="G60" s="16">
        <f>TRUNC(SUM(G59:G59))</f>
        <v>0</v>
      </c>
      <c r="H60" s="15"/>
      <c r="I60" s="16">
        <f>TRUNC(SUM(I59:I59))</f>
        <v>0</v>
      </c>
    </row>
    <row r="61" spans="2:9" ht="12.95" customHeight="1" x14ac:dyDescent="0.3">
      <c r="B61" s="63"/>
      <c r="C61" s="59"/>
      <c r="D61" s="59"/>
      <c r="E61" s="64"/>
      <c r="F61" s="25"/>
      <c r="G61" s="27"/>
      <c r="H61" s="25"/>
      <c r="I61" s="27"/>
    </row>
    <row r="62" spans="2:9" ht="12.95" customHeight="1" x14ac:dyDescent="0.3">
      <c r="B62" s="65" t="s">
        <v>13</v>
      </c>
      <c r="C62" s="51"/>
      <c r="D62" s="51"/>
      <c r="E62" s="62"/>
      <c r="F62" s="62"/>
      <c r="G62" s="29">
        <f>SUM(G53+G57+G60)</f>
        <v>979004</v>
      </c>
      <c r="H62" s="62"/>
      <c r="I62" s="29">
        <f>SUM(I53+I57+I60)</f>
        <v>979004</v>
      </c>
    </row>
    <row r="63" spans="2:9" ht="12.95" customHeight="1" x14ac:dyDescent="0.3">
      <c r="B63" s="66" t="s">
        <v>175</v>
      </c>
      <c r="C63" s="67"/>
      <c r="D63" s="68"/>
      <c r="E63" s="69"/>
      <c r="F63" s="70"/>
      <c r="G63" s="71">
        <f>TRUNC(G62/G50)</f>
        <v>139857</v>
      </c>
      <c r="H63" s="70"/>
      <c r="I63" s="71">
        <f>TRUNC(I62/I50)</f>
        <v>163167</v>
      </c>
    </row>
    <row r="64" spans="2:9" ht="12.95" customHeight="1" x14ac:dyDescent="0.3">
      <c r="B64" s="72"/>
      <c r="C64" s="14"/>
      <c r="D64" s="14"/>
      <c r="E64" s="14"/>
      <c r="F64" s="14"/>
      <c r="G64" s="14"/>
    </row>
    <row r="65" spans="2:13" ht="12.95" customHeight="1" x14ac:dyDescent="0.3">
      <c r="B65" s="72" t="s">
        <v>176</v>
      </c>
      <c r="C65" s="14"/>
      <c r="D65" s="14"/>
      <c r="E65" s="14"/>
      <c r="F65" s="14"/>
      <c r="G65" s="14"/>
      <c r="M65" s="37" t="s">
        <v>169</v>
      </c>
    </row>
    <row r="66" spans="2:13" ht="12.95" customHeight="1" x14ac:dyDescent="0.3">
      <c r="B66" s="89" t="s">
        <v>3</v>
      </c>
      <c r="C66" s="92" t="s">
        <v>7</v>
      </c>
      <c r="D66" s="92" t="s">
        <v>8</v>
      </c>
      <c r="E66" s="92" t="s">
        <v>4</v>
      </c>
      <c r="F66" s="95" t="s">
        <v>26</v>
      </c>
      <c r="G66" s="96"/>
      <c r="H66" s="95" t="s">
        <v>27</v>
      </c>
      <c r="I66" s="96"/>
      <c r="J66" s="95" t="s">
        <v>177</v>
      </c>
      <c r="K66" s="96"/>
      <c r="L66" s="95" t="s">
        <v>28</v>
      </c>
      <c r="M66" s="96"/>
    </row>
    <row r="67" spans="2:13" ht="12.95" customHeight="1" x14ac:dyDescent="0.3">
      <c r="B67" s="90"/>
      <c r="C67" s="93"/>
      <c r="D67" s="93"/>
      <c r="E67" s="93"/>
      <c r="F67" s="38" t="s">
        <v>174</v>
      </c>
      <c r="G67" s="39">
        <v>15</v>
      </c>
      <c r="H67" s="38" t="s">
        <v>174</v>
      </c>
      <c r="I67" s="39">
        <v>13</v>
      </c>
      <c r="J67" s="38" t="s">
        <v>174</v>
      </c>
      <c r="K67" s="39">
        <v>13</v>
      </c>
      <c r="L67" s="38" t="s">
        <v>174</v>
      </c>
      <c r="M67" s="39">
        <v>10</v>
      </c>
    </row>
    <row r="68" spans="2:13" ht="12.95" customHeight="1" x14ac:dyDescent="0.3">
      <c r="B68" s="91"/>
      <c r="C68" s="94"/>
      <c r="D68" s="94"/>
      <c r="E68" s="94"/>
      <c r="F68" s="40" t="s">
        <v>21</v>
      </c>
      <c r="G68" s="41" t="s">
        <v>173</v>
      </c>
      <c r="H68" s="40" t="s">
        <v>21</v>
      </c>
      <c r="I68" s="41" t="s">
        <v>173</v>
      </c>
      <c r="J68" s="40" t="s">
        <v>21</v>
      </c>
      <c r="K68" s="41" t="s">
        <v>173</v>
      </c>
      <c r="L68" s="40" t="s">
        <v>21</v>
      </c>
      <c r="M68" s="41" t="s">
        <v>173</v>
      </c>
    </row>
    <row r="69" spans="2:13" ht="12.95" customHeight="1" x14ac:dyDescent="0.3">
      <c r="B69" s="52" t="s">
        <v>29</v>
      </c>
      <c r="C69" s="53"/>
      <c r="D69" s="54" t="s">
        <v>9</v>
      </c>
      <c r="E69" s="55">
        <v>262580</v>
      </c>
      <c r="F69" s="56">
        <v>3</v>
      </c>
      <c r="G69" s="3">
        <f t="shared" ref="G69:G70" si="18">TRUNC($E69*F69,1)</f>
        <v>787740</v>
      </c>
      <c r="H69" s="56">
        <v>3</v>
      </c>
      <c r="I69" s="3">
        <f t="shared" ref="I69:I70" si="19">TRUNC($E69*H69,1)</f>
        <v>787740</v>
      </c>
      <c r="J69" s="56">
        <v>4</v>
      </c>
      <c r="K69" s="3">
        <f t="shared" ref="K69:K70" si="20">TRUNC($E69*J69,1)</f>
        <v>1050320</v>
      </c>
      <c r="L69" s="56">
        <v>4</v>
      </c>
      <c r="M69" s="3">
        <f t="shared" ref="M69:M70" si="21">TRUNC($E69*L69,1)</f>
        <v>1050320</v>
      </c>
    </row>
    <row r="70" spans="2:13" ht="12.95" customHeight="1" x14ac:dyDescent="0.3">
      <c r="B70" s="52" t="s">
        <v>1</v>
      </c>
      <c r="C70" s="53"/>
      <c r="D70" s="54" t="s">
        <v>9</v>
      </c>
      <c r="E70" s="57">
        <v>172068</v>
      </c>
      <c r="F70" s="56">
        <v>1</v>
      </c>
      <c r="G70" s="3">
        <f t="shared" si="18"/>
        <v>172068</v>
      </c>
      <c r="H70" s="56">
        <v>1</v>
      </c>
      <c r="I70" s="3">
        <f t="shared" si="19"/>
        <v>172068</v>
      </c>
      <c r="J70" s="56">
        <v>1</v>
      </c>
      <c r="K70" s="3">
        <f t="shared" si="20"/>
        <v>172068</v>
      </c>
      <c r="L70" s="56">
        <v>1</v>
      </c>
      <c r="M70" s="3">
        <f t="shared" si="21"/>
        <v>172068</v>
      </c>
    </row>
    <row r="71" spans="2:13" ht="12.95" customHeight="1" x14ac:dyDescent="0.3">
      <c r="B71" s="58" t="s">
        <v>11</v>
      </c>
      <c r="C71" s="51"/>
      <c r="D71" s="51"/>
      <c r="E71" s="22"/>
      <c r="F71" s="22"/>
      <c r="G71" s="16">
        <f>TRUNC(SUM(G69:G70))</f>
        <v>959808</v>
      </c>
      <c r="H71" s="22"/>
      <c r="I71" s="16">
        <f>TRUNC(SUM(I69:I70))</f>
        <v>959808</v>
      </c>
      <c r="J71" s="22"/>
      <c r="K71" s="16">
        <f>TRUNC(SUM(K69:K70))</f>
        <v>1222388</v>
      </c>
      <c r="L71" s="22"/>
      <c r="M71" s="16">
        <f>TRUNC(SUM(M69:M70))</f>
        <v>1222388</v>
      </c>
    </row>
    <row r="72" spans="2:13" ht="12.95" customHeight="1" x14ac:dyDescent="0.3">
      <c r="B72" s="50"/>
      <c r="C72" s="51"/>
      <c r="D72" s="51"/>
      <c r="E72" s="22"/>
      <c r="F72" s="22"/>
      <c r="G72" s="24"/>
      <c r="H72" s="22"/>
      <c r="I72" s="24"/>
      <c r="J72" s="22"/>
      <c r="K72" s="24"/>
      <c r="L72" s="22"/>
      <c r="M72" s="24"/>
    </row>
    <row r="73" spans="2:13" ht="12.95" customHeight="1" x14ac:dyDescent="0.3">
      <c r="B73" s="65" t="s">
        <v>13</v>
      </c>
      <c r="C73" s="51"/>
      <c r="D73" s="51"/>
      <c r="E73" s="62"/>
      <c r="F73" s="62"/>
      <c r="G73" s="29">
        <f>SUM(G71)</f>
        <v>959808</v>
      </c>
      <c r="H73" s="62"/>
      <c r="I73" s="29">
        <f>SUM(I71)</f>
        <v>959808</v>
      </c>
      <c r="J73" s="62"/>
      <c r="K73" s="29">
        <f>SUM(K71)</f>
        <v>1222388</v>
      </c>
      <c r="L73" s="62"/>
      <c r="M73" s="29">
        <f>SUM(M71)</f>
        <v>1222388</v>
      </c>
    </row>
    <row r="74" spans="2:13" ht="12.95" customHeight="1" x14ac:dyDescent="0.3">
      <c r="B74" s="66" t="s">
        <v>175</v>
      </c>
      <c r="C74" s="67"/>
      <c r="D74" s="68"/>
      <c r="E74" s="69"/>
      <c r="F74" s="70"/>
      <c r="G74" s="71">
        <f>TRUNC(G73/G67)</f>
        <v>63987</v>
      </c>
      <c r="H74" s="70"/>
      <c r="I74" s="71">
        <f>TRUNC(I73/I67)</f>
        <v>73831</v>
      </c>
      <c r="J74" s="70"/>
      <c r="K74" s="71">
        <f>TRUNC(K73/K67)</f>
        <v>94029</v>
      </c>
      <c r="L74" s="70"/>
      <c r="M74" s="71">
        <f>TRUNC(M73/M67)</f>
        <v>122238</v>
      </c>
    </row>
    <row r="75" spans="2:13" ht="12.95" customHeight="1" x14ac:dyDescent="0.3">
      <c r="B75" s="72"/>
      <c r="C75" s="14"/>
      <c r="D75" s="14"/>
      <c r="E75" s="14"/>
      <c r="F75" s="14"/>
      <c r="G75" s="14"/>
    </row>
    <row r="76" spans="2:13" ht="12.95" customHeight="1" x14ac:dyDescent="0.3">
      <c r="B76" s="34" t="s">
        <v>179</v>
      </c>
      <c r="C76" s="35"/>
      <c r="D76" s="13"/>
      <c r="E76" s="36"/>
      <c r="F76" s="13"/>
      <c r="G76" s="13"/>
      <c r="K76" s="37" t="s">
        <v>169</v>
      </c>
    </row>
    <row r="77" spans="2:13" ht="12.95" customHeight="1" x14ac:dyDescent="0.3">
      <c r="B77" s="89" t="s">
        <v>3</v>
      </c>
      <c r="C77" s="92" t="s">
        <v>7</v>
      </c>
      <c r="D77" s="92" t="s">
        <v>8</v>
      </c>
      <c r="E77" s="92" t="s">
        <v>4</v>
      </c>
      <c r="F77" s="95" t="s">
        <v>170</v>
      </c>
      <c r="G77" s="96"/>
      <c r="H77" s="95" t="s">
        <v>28</v>
      </c>
      <c r="I77" s="96"/>
      <c r="J77" s="95" t="s">
        <v>35</v>
      </c>
      <c r="K77" s="96"/>
    </row>
    <row r="78" spans="2:13" ht="12.95" customHeight="1" x14ac:dyDescent="0.3">
      <c r="B78" s="90"/>
      <c r="C78" s="93"/>
      <c r="D78" s="93"/>
      <c r="E78" s="93"/>
      <c r="F78" s="38" t="s">
        <v>174</v>
      </c>
      <c r="G78" s="39">
        <v>17</v>
      </c>
      <c r="H78" s="38" t="s">
        <v>174</v>
      </c>
      <c r="I78" s="39">
        <v>14</v>
      </c>
      <c r="J78" s="38" t="s">
        <v>174</v>
      </c>
      <c r="K78" s="39">
        <v>11</v>
      </c>
    </row>
    <row r="79" spans="2:13" ht="12.95" customHeight="1" x14ac:dyDescent="0.3">
      <c r="B79" s="91"/>
      <c r="C79" s="94"/>
      <c r="D79" s="94"/>
      <c r="E79" s="94"/>
      <c r="F79" s="40" t="s">
        <v>21</v>
      </c>
      <c r="G79" s="41" t="s">
        <v>173</v>
      </c>
      <c r="H79" s="40" t="s">
        <v>21</v>
      </c>
      <c r="I79" s="41" t="s">
        <v>173</v>
      </c>
      <c r="J79" s="40" t="s">
        <v>21</v>
      </c>
      <c r="K79" s="41" t="s">
        <v>173</v>
      </c>
    </row>
    <row r="80" spans="2:13" ht="12.95" customHeight="1" x14ac:dyDescent="0.3">
      <c r="B80" s="42" t="s">
        <v>53</v>
      </c>
      <c r="C80" s="43" t="s">
        <v>136</v>
      </c>
      <c r="D80" s="44" t="s">
        <v>15</v>
      </c>
      <c r="E80" s="45"/>
      <c r="F80" s="21">
        <v>1</v>
      </c>
      <c r="G80" s="5">
        <f>TRUNC(SUM(G83:G84)*0.04,1)</f>
        <v>27889.1</v>
      </c>
      <c r="H80" s="21">
        <v>1</v>
      </c>
      <c r="I80" s="5">
        <f>TRUNC(SUM(I83:I84)*0.04,1)</f>
        <v>27889.1</v>
      </c>
      <c r="J80" s="21">
        <v>1</v>
      </c>
      <c r="K80" s="5">
        <f>TRUNC(SUM(K83:K84)*0.04,1)</f>
        <v>27889.1</v>
      </c>
    </row>
    <row r="81" spans="2:11" ht="12.95" customHeight="1" x14ac:dyDescent="0.3">
      <c r="B81" s="46" t="s">
        <v>10</v>
      </c>
      <c r="C81" s="47"/>
      <c r="D81" s="48"/>
      <c r="E81" s="49"/>
      <c r="F81" s="25"/>
      <c r="G81" s="12">
        <f>TRUNC(SUM(G80))</f>
        <v>27889</v>
      </c>
      <c r="H81" s="25"/>
      <c r="I81" s="12">
        <f>TRUNC(SUM(I80))</f>
        <v>27889</v>
      </c>
      <c r="J81" s="25"/>
      <c r="K81" s="12">
        <f>TRUNC(SUM(K80))</f>
        <v>27889</v>
      </c>
    </row>
    <row r="82" spans="2:11" ht="12.95" customHeight="1" x14ac:dyDescent="0.3">
      <c r="B82" s="50"/>
      <c r="C82" s="51"/>
      <c r="D82" s="51"/>
      <c r="E82" s="22"/>
      <c r="F82" s="15"/>
      <c r="G82" s="24"/>
      <c r="H82" s="15"/>
      <c r="I82" s="24"/>
      <c r="J82" s="15"/>
      <c r="K82" s="24"/>
    </row>
    <row r="83" spans="2:11" ht="12.95" customHeight="1" x14ac:dyDescent="0.3">
      <c r="B83" s="52" t="s">
        <v>29</v>
      </c>
      <c r="C83" s="53"/>
      <c r="D83" s="54" t="s">
        <v>9</v>
      </c>
      <c r="E83" s="55">
        <v>262580</v>
      </c>
      <c r="F83" s="56">
        <v>2</v>
      </c>
      <c r="G83" s="3">
        <f t="shared" ref="G83:G84" si="22">TRUNC($E83*F83,1)</f>
        <v>525160</v>
      </c>
      <c r="H83" s="56">
        <v>2</v>
      </c>
      <c r="I83" s="3">
        <f t="shared" ref="I83:I84" si="23">TRUNC($E83*H83,1)</f>
        <v>525160</v>
      </c>
      <c r="J83" s="56">
        <v>2</v>
      </c>
      <c r="K83" s="3">
        <f t="shared" ref="K83:K84" si="24">TRUNC($E83*J83,1)</f>
        <v>525160</v>
      </c>
    </row>
    <row r="84" spans="2:11" ht="12.95" customHeight="1" x14ac:dyDescent="0.3">
      <c r="B84" s="52" t="s">
        <v>1</v>
      </c>
      <c r="C84" s="53"/>
      <c r="D84" s="54" t="s">
        <v>9</v>
      </c>
      <c r="E84" s="57">
        <v>172068</v>
      </c>
      <c r="F84" s="56">
        <v>1</v>
      </c>
      <c r="G84" s="3">
        <f t="shared" si="22"/>
        <v>172068</v>
      </c>
      <c r="H84" s="56">
        <v>1</v>
      </c>
      <c r="I84" s="3">
        <f t="shared" si="23"/>
        <v>172068</v>
      </c>
      <c r="J84" s="56">
        <v>1</v>
      </c>
      <c r="K84" s="3">
        <f t="shared" si="24"/>
        <v>172068</v>
      </c>
    </row>
    <row r="85" spans="2:11" ht="12.95" customHeight="1" x14ac:dyDescent="0.3">
      <c r="B85" s="58" t="s">
        <v>11</v>
      </c>
      <c r="C85" s="51"/>
      <c r="D85" s="51"/>
      <c r="E85" s="22"/>
      <c r="F85" s="22"/>
      <c r="G85" s="16">
        <f>TRUNC(SUM(G83:G84))</f>
        <v>697228</v>
      </c>
      <c r="H85" s="22"/>
      <c r="I85" s="16">
        <f>TRUNC(SUM(I83:I84))</f>
        <v>697228</v>
      </c>
      <c r="J85" s="22"/>
      <c r="K85" s="16">
        <f>TRUNC(SUM(K83:K84))</f>
        <v>697228</v>
      </c>
    </row>
    <row r="86" spans="2:11" ht="12.95" customHeight="1" x14ac:dyDescent="0.3">
      <c r="B86" s="50"/>
      <c r="C86" s="51"/>
      <c r="D86" s="51"/>
      <c r="E86" s="22"/>
      <c r="F86" s="22"/>
      <c r="G86" s="24"/>
      <c r="H86" s="22"/>
      <c r="I86" s="24"/>
      <c r="J86" s="22"/>
      <c r="K86" s="24"/>
    </row>
    <row r="87" spans="2:11" ht="12.95" customHeight="1" x14ac:dyDescent="0.3">
      <c r="B87" s="59" t="s">
        <v>171</v>
      </c>
      <c r="C87" s="60" t="s">
        <v>172</v>
      </c>
      <c r="D87" s="61" t="s">
        <v>17</v>
      </c>
      <c r="E87" s="17">
        <v>0</v>
      </c>
      <c r="F87" s="56">
        <v>8</v>
      </c>
      <c r="G87" s="3">
        <f t="shared" ref="G87" si="25">TRUNC($E87*F87,1)</f>
        <v>0</v>
      </c>
      <c r="H87" s="56">
        <v>8</v>
      </c>
      <c r="I87" s="3">
        <f t="shared" ref="I87" si="26">TRUNC($E87*H87,1)</f>
        <v>0</v>
      </c>
      <c r="J87" s="56">
        <v>8</v>
      </c>
      <c r="K87" s="3">
        <f t="shared" ref="K87" si="27">TRUNC($E87*J87,1)</f>
        <v>0</v>
      </c>
    </row>
    <row r="88" spans="2:11" ht="12.95" customHeight="1" x14ac:dyDescent="0.3">
      <c r="B88" s="46" t="s">
        <v>12</v>
      </c>
      <c r="C88" s="51"/>
      <c r="D88" s="51"/>
      <c r="E88" s="62"/>
      <c r="F88" s="15"/>
      <c r="G88" s="16">
        <f>TRUNC(SUM(G87:G87))</f>
        <v>0</v>
      </c>
      <c r="H88" s="15"/>
      <c r="I88" s="16">
        <f>TRUNC(SUM(I87:I87))</f>
        <v>0</v>
      </c>
      <c r="J88" s="15"/>
      <c r="K88" s="16">
        <f>TRUNC(SUM(K87:K87))</f>
        <v>0</v>
      </c>
    </row>
    <row r="89" spans="2:11" ht="12.95" customHeight="1" x14ac:dyDescent="0.3">
      <c r="B89" s="63"/>
      <c r="C89" s="59"/>
      <c r="D89" s="59"/>
      <c r="E89" s="64"/>
      <c r="F89" s="25"/>
      <c r="G89" s="27"/>
      <c r="H89" s="25"/>
      <c r="I89" s="27"/>
      <c r="J89" s="25"/>
      <c r="K89" s="27"/>
    </row>
    <row r="90" spans="2:11" ht="12.95" customHeight="1" x14ac:dyDescent="0.3">
      <c r="B90" s="65" t="s">
        <v>13</v>
      </c>
      <c r="C90" s="51"/>
      <c r="D90" s="51"/>
      <c r="E90" s="62"/>
      <c r="F90" s="62"/>
      <c r="G90" s="29">
        <f>SUM(G81+G85+G88)</f>
        <v>725117</v>
      </c>
      <c r="H90" s="62"/>
      <c r="I90" s="29">
        <f>SUM(I81+I85+I88)</f>
        <v>725117</v>
      </c>
      <c r="J90" s="62"/>
      <c r="K90" s="29">
        <f>SUM(K81+K85+K88)</f>
        <v>725117</v>
      </c>
    </row>
    <row r="91" spans="2:11" ht="12.95" customHeight="1" x14ac:dyDescent="0.3">
      <c r="B91" s="66" t="s">
        <v>175</v>
      </c>
      <c r="C91" s="67"/>
      <c r="D91" s="68"/>
      <c r="E91" s="69"/>
      <c r="F91" s="70"/>
      <c r="G91" s="71">
        <f>TRUNC(G90/G78)</f>
        <v>42653</v>
      </c>
      <c r="H91" s="70"/>
      <c r="I91" s="71">
        <f>TRUNC(I90/I78)</f>
        <v>51794</v>
      </c>
      <c r="J91" s="70"/>
      <c r="K91" s="71">
        <f>TRUNC(K90/K78)</f>
        <v>65919</v>
      </c>
    </row>
    <row r="92" spans="2:11" ht="12.95" customHeight="1" x14ac:dyDescent="0.3">
      <c r="B92" s="89" t="s">
        <v>3</v>
      </c>
      <c r="C92" s="92" t="s">
        <v>7</v>
      </c>
      <c r="D92" s="92" t="s">
        <v>8</v>
      </c>
      <c r="E92" s="92" t="s">
        <v>4</v>
      </c>
      <c r="F92" s="95" t="s">
        <v>36</v>
      </c>
      <c r="G92" s="96"/>
      <c r="H92" s="95" t="s">
        <v>37</v>
      </c>
      <c r="I92" s="96"/>
    </row>
    <row r="93" spans="2:11" ht="12.95" customHeight="1" x14ac:dyDescent="0.3">
      <c r="B93" s="90"/>
      <c r="C93" s="93"/>
      <c r="D93" s="93"/>
      <c r="E93" s="93"/>
      <c r="F93" s="38" t="s">
        <v>174</v>
      </c>
      <c r="G93" s="39">
        <v>10</v>
      </c>
      <c r="H93" s="38" t="s">
        <v>174</v>
      </c>
      <c r="I93" s="39">
        <v>8</v>
      </c>
    </row>
    <row r="94" spans="2:11" ht="12.95" customHeight="1" x14ac:dyDescent="0.3">
      <c r="B94" s="91"/>
      <c r="C94" s="94"/>
      <c r="D94" s="94"/>
      <c r="E94" s="94"/>
      <c r="F94" s="40" t="s">
        <v>21</v>
      </c>
      <c r="G94" s="41" t="s">
        <v>173</v>
      </c>
      <c r="H94" s="40" t="s">
        <v>21</v>
      </c>
      <c r="I94" s="41" t="s">
        <v>173</v>
      </c>
    </row>
    <row r="95" spans="2:11" ht="12.95" customHeight="1" x14ac:dyDescent="0.3">
      <c r="B95" s="42" t="s">
        <v>53</v>
      </c>
      <c r="C95" s="43" t="s">
        <v>136</v>
      </c>
      <c r="D95" s="44" t="s">
        <v>15</v>
      </c>
      <c r="E95" s="45"/>
      <c r="F95" s="21">
        <v>1</v>
      </c>
      <c r="G95" s="5">
        <f>TRUNC(SUM(G98:G99)*0.04,1)</f>
        <v>27889.1</v>
      </c>
      <c r="H95" s="21">
        <v>1</v>
      </c>
      <c r="I95" s="5">
        <f>TRUNC(SUM(I98:I99)*0.04,1)</f>
        <v>27889.1</v>
      </c>
    </row>
    <row r="96" spans="2:11" ht="12.95" customHeight="1" x14ac:dyDescent="0.3">
      <c r="B96" s="46" t="s">
        <v>10</v>
      </c>
      <c r="C96" s="47"/>
      <c r="D96" s="48"/>
      <c r="E96" s="49"/>
      <c r="F96" s="25"/>
      <c r="G96" s="12">
        <f>TRUNC(SUM(G95))</f>
        <v>27889</v>
      </c>
      <c r="H96" s="25"/>
      <c r="I96" s="12">
        <f>TRUNC(SUM(I95))</f>
        <v>27889</v>
      </c>
    </row>
    <row r="97" spans="2:11" ht="12.95" customHeight="1" x14ac:dyDescent="0.3">
      <c r="B97" s="50"/>
      <c r="C97" s="51"/>
      <c r="D97" s="51"/>
      <c r="E97" s="22"/>
      <c r="F97" s="15"/>
      <c r="G97" s="24"/>
      <c r="H97" s="15"/>
      <c r="I97" s="24"/>
    </row>
    <row r="98" spans="2:11" ht="12.95" customHeight="1" x14ac:dyDescent="0.3">
      <c r="B98" s="52" t="s">
        <v>29</v>
      </c>
      <c r="C98" s="53"/>
      <c r="D98" s="54" t="s">
        <v>9</v>
      </c>
      <c r="E98" s="55">
        <v>262580</v>
      </c>
      <c r="F98" s="56">
        <v>2</v>
      </c>
      <c r="G98" s="3">
        <f t="shared" ref="G98:G99" si="28">TRUNC($E98*F98,1)</f>
        <v>525160</v>
      </c>
      <c r="H98" s="56">
        <v>2</v>
      </c>
      <c r="I98" s="3">
        <f t="shared" ref="I98:I99" si="29">TRUNC($E98*H98,1)</f>
        <v>525160</v>
      </c>
    </row>
    <row r="99" spans="2:11" ht="12.95" customHeight="1" x14ac:dyDescent="0.3">
      <c r="B99" s="52" t="s">
        <v>1</v>
      </c>
      <c r="C99" s="53"/>
      <c r="D99" s="54" t="s">
        <v>9</v>
      </c>
      <c r="E99" s="57">
        <v>172068</v>
      </c>
      <c r="F99" s="56">
        <v>1</v>
      </c>
      <c r="G99" s="3">
        <f t="shared" si="28"/>
        <v>172068</v>
      </c>
      <c r="H99" s="56">
        <v>1</v>
      </c>
      <c r="I99" s="3">
        <f t="shared" si="29"/>
        <v>172068</v>
      </c>
    </row>
    <row r="100" spans="2:11" ht="12.95" customHeight="1" x14ac:dyDescent="0.3">
      <c r="B100" s="58" t="s">
        <v>11</v>
      </c>
      <c r="C100" s="51"/>
      <c r="D100" s="51"/>
      <c r="E100" s="22"/>
      <c r="F100" s="22"/>
      <c r="G100" s="16">
        <f>TRUNC(SUM(G98:G99))</f>
        <v>697228</v>
      </c>
      <c r="H100" s="22"/>
      <c r="I100" s="16">
        <f>TRUNC(SUM(I98:I99))</f>
        <v>697228</v>
      </c>
    </row>
    <row r="101" spans="2:11" ht="12.95" customHeight="1" x14ac:dyDescent="0.3">
      <c r="B101" s="50"/>
      <c r="C101" s="51"/>
      <c r="D101" s="51"/>
      <c r="E101" s="22"/>
      <c r="F101" s="22"/>
      <c r="G101" s="24"/>
      <c r="H101" s="22"/>
      <c r="I101" s="24"/>
    </row>
    <row r="102" spans="2:11" ht="12.95" customHeight="1" x14ac:dyDescent="0.3">
      <c r="B102" s="59" t="s">
        <v>171</v>
      </c>
      <c r="C102" s="60" t="s">
        <v>172</v>
      </c>
      <c r="D102" s="61" t="s">
        <v>17</v>
      </c>
      <c r="E102" s="17">
        <v>0</v>
      </c>
      <c r="F102" s="56">
        <v>8</v>
      </c>
      <c r="G102" s="3">
        <f t="shared" ref="G102" si="30">TRUNC($E102*F102,1)</f>
        <v>0</v>
      </c>
      <c r="H102" s="56">
        <v>8</v>
      </c>
      <c r="I102" s="3">
        <f t="shared" ref="I102" si="31">TRUNC($E102*H102,1)</f>
        <v>0</v>
      </c>
    </row>
    <row r="103" spans="2:11" ht="12.95" customHeight="1" x14ac:dyDescent="0.3">
      <c r="B103" s="46" t="s">
        <v>12</v>
      </c>
      <c r="C103" s="51"/>
      <c r="D103" s="51"/>
      <c r="E103" s="62"/>
      <c r="F103" s="15"/>
      <c r="G103" s="16">
        <f>TRUNC(SUM(G102:G102))</f>
        <v>0</v>
      </c>
      <c r="H103" s="15"/>
      <c r="I103" s="16">
        <f>TRUNC(SUM(I102:I102))</f>
        <v>0</v>
      </c>
    </row>
    <row r="104" spans="2:11" ht="12.95" customHeight="1" x14ac:dyDescent="0.3">
      <c r="B104" s="63"/>
      <c r="C104" s="59"/>
      <c r="D104" s="59"/>
      <c r="E104" s="64"/>
      <c r="F104" s="25"/>
      <c r="G104" s="27"/>
      <c r="H104" s="25"/>
      <c r="I104" s="27"/>
    </row>
    <row r="105" spans="2:11" ht="12.95" customHeight="1" x14ac:dyDescent="0.3">
      <c r="B105" s="65" t="s">
        <v>13</v>
      </c>
      <c r="C105" s="51"/>
      <c r="D105" s="51"/>
      <c r="E105" s="62"/>
      <c r="F105" s="62"/>
      <c r="G105" s="29">
        <f>SUM(G96+G100+G103)</f>
        <v>725117</v>
      </c>
      <c r="H105" s="62"/>
      <c r="I105" s="29">
        <f>SUM(I96+I100+I103)</f>
        <v>725117</v>
      </c>
    </row>
    <row r="106" spans="2:11" ht="12.95" customHeight="1" x14ac:dyDescent="0.3">
      <c r="B106" s="66" t="s">
        <v>175</v>
      </c>
      <c r="C106" s="67"/>
      <c r="D106" s="68"/>
      <c r="E106" s="69"/>
      <c r="F106" s="70"/>
      <c r="G106" s="71">
        <f>TRUNC(G105/G93)</f>
        <v>72511</v>
      </c>
      <c r="H106" s="70"/>
      <c r="I106" s="71">
        <f>TRUNC(I105/I93)</f>
        <v>90639</v>
      </c>
    </row>
    <row r="107" spans="2:11" ht="12.95" customHeight="1" x14ac:dyDescent="0.3">
      <c r="B107" s="89" t="s">
        <v>3</v>
      </c>
      <c r="C107" s="92" t="s">
        <v>7</v>
      </c>
      <c r="D107" s="92" t="s">
        <v>8</v>
      </c>
      <c r="E107" s="92" t="s">
        <v>4</v>
      </c>
      <c r="F107" s="95" t="s">
        <v>38</v>
      </c>
      <c r="G107" s="96"/>
      <c r="H107" s="95" t="s">
        <v>40</v>
      </c>
      <c r="I107" s="96"/>
      <c r="J107" s="95" t="s">
        <v>41</v>
      </c>
      <c r="K107" s="96"/>
    </row>
    <row r="108" spans="2:11" ht="12.95" customHeight="1" x14ac:dyDescent="0.3">
      <c r="B108" s="90"/>
      <c r="C108" s="93"/>
      <c r="D108" s="93"/>
      <c r="E108" s="93"/>
      <c r="F108" s="38" t="s">
        <v>174</v>
      </c>
      <c r="G108" s="73">
        <v>8.5</v>
      </c>
      <c r="H108" s="38" t="s">
        <v>174</v>
      </c>
      <c r="I108" s="73">
        <v>7.5</v>
      </c>
      <c r="J108" s="38" t="s">
        <v>174</v>
      </c>
      <c r="K108" s="73">
        <v>6.5</v>
      </c>
    </row>
    <row r="109" spans="2:11" ht="12.95" customHeight="1" x14ac:dyDescent="0.3">
      <c r="B109" s="91"/>
      <c r="C109" s="94"/>
      <c r="D109" s="94"/>
      <c r="E109" s="94"/>
      <c r="F109" s="40" t="s">
        <v>21</v>
      </c>
      <c r="G109" s="41" t="s">
        <v>173</v>
      </c>
      <c r="H109" s="40" t="s">
        <v>21</v>
      </c>
      <c r="I109" s="41" t="s">
        <v>173</v>
      </c>
      <c r="J109" s="40" t="s">
        <v>21</v>
      </c>
      <c r="K109" s="41" t="s">
        <v>173</v>
      </c>
    </row>
    <row r="110" spans="2:11" ht="12.95" customHeight="1" x14ac:dyDescent="0.3">
      <c r="B110" s="42" t="s">
        <v>53</v>
      </c>
      <c r="C110" s="43" t="s">
        <v>82</v>
      </c>
      <c r="D110" s="44" t="s">
        <v>15</v>
      </c>
      <c r="E110" s="45"/>
      <c r="F110" s="21">
        <v>1</v>
      </c>
      <c r="G110" s="5">
        <f>TRUNC(SUM(G113:G114)*0.03,1)</f>
        <v>28794.2</v>
      </c>
      <c r="H110" s="21">
        <v>1</v>
      </c>
      <c r="I110" s="5">
        <f>TRUNC(SUM(I113:I114)*0.03,1)</f>
        <v>28794.2</v>
      </c>
      <c r="J110" s="21">
        <v>1</v>
      </c>
      <c r="K110" s="5">
        <f>TRUNC(SUM(K113:K114)*0.03,1)</f>
        <v>28794.2</v>
      </c>
    </row>
    <row r="111" spans="2:11" ht="12.95" customHeight="1" x14ac:dyDescent="0.3">
      <c r="B111" s="46" t="s">
        <v>10</v>
      </c>
      <c r="C111" s="47"/>
      <c r="D111" s="48"/>
      <c r="E111" s="49"/>
      <c r="F111" s="25"/>
      <c r="G111" s="12">
        <f>TRUNC(SUM(G110))</f>
        <v>28794</v>
      </c>
      <c r="H111" s="25"/>
      <c r="I111" s="12">
        <f>TRUNC(SUM(I110))</f>
        <v>28794</v>
      </c>
      <c r="J111" s="25"/>
      <c r="K111" s="12">
        <f>TRUNC(SUM(K110))</f>
        <v>28794</v>
      </c>
    </row>
    <row r="112" spans="2:11" ht="12.95" customHeight="1" x14ac:dyDescent="0.3">
      <c r="B112" s="50"/>
      <c r="C112" s="51"/>
      <c r="D112" s="51"/>
      <c r="E112" s="22"/>
      <c r="F112" s="15"/>
      <c r="G112" s="24"/>
      <c r="H112" s="15"/>
      <c r="I112" s="24"/>
      <c r="J112" s="15"/>
      <c r="K112" s="24"/>
    </row>
    <row r="113" spans="2:11" ht="12.95" customHeight="1" x14ac:dyDescent="0.3">
      <c r="B113" s="52" t="s">
        <v>29</v>
      </c>
      <c r="C113" s="53"/>
      <c r="D113" s="54" t="s">
        <v>9</v>
      </c>
      <c r="E113" s="55">
        <v>262580</v>
      </c>
      <c r="F113" s="56">
        <v>3</v>
      </c>
      <c r="G113" s="3">
        <f t="shared" ref="G113:G114" si="32">TRUNC($E113*F113,1)</f>
        <v>787740</v>
      </c>
      <c r="H113" s="56">
        <v>3</v>
      </c>
      <c r="I113" s="3">
        <f t="shared" ref="I113:I114" si="33">TRUNC($E113*H113,1)</f>
        <v>787740</v>
      </c>
      <c r="J113" s="56">
        <v>3</v>
      </c>
      <c r="K113" s="3">
        <f t="shared" ref="K113:K114" si="34">TRUNC($E113*J113,1)</f>
        <v>787740</v>
      </c>
    </row>
    <row r="114" spans="2:11" ht="12.95" customHeight="1" x14ac:dyDescent="0.3">
      <c r="B114" s="52" t="s">
        <v>1</v>
      </c>
      <c r="C114" s="53"/>
      <c r="D114" s="54" t="s">
        <v>9</v>
      </c>
      <c r="E114" s="57">
        <v>172068</v>
      </c>
      <c r="F114" s="56">
        <v>1</v>
      </c>
      <c r="G114" s="3">
        <f t="shared" si="32"/>
        <v>172068</v>
      </c>
      <c r="H114" s="56">
        <v>1</v>
      </c>
      <c r="I114" s="3">
        <f t="shared" si="33"/>
        <v>172068</v>
      </c>
      <c r="J114" s="56">
        <v>1</v>
      </c>
      <c r="K114" s="3">
        <f t="shared" si="34"/>
        <v>172068</v>
      </c>
    </row>
    <row r="115" spans="2:11" ht="12.95" customHeight="1" x14ac:dyDescent="0.3">
      <c r="B115" s="58" t="s">
        <v>11</v>
      </c>
      <c r="C115" s="51"/>
      <c r="D115" s="51"/>
      <c r="E115" s="22"/>
      <c r="F115" s="22"/>
      <c r="G115" s="16">
        <f>TRUNC(SUM(G113:G114))</f>
        <v>959808</v>
      </c>
      <c r="H115" s="22"/>
      <c r="I115" s="16">
        <f>TRUNC(SUM(I113:I114))</f>
        <v>959808</v>
      </c>
      <c r="J115" s="22"/>
      <c r="K115" s="16">
        <f>TRUNC(SUM(K113:K114))</f>
        <v>959808</v>
      </c>
    </row>
    <row r="116" spans="2:11" ht="12.95" customHeight="1" x14ac:dyDescent="0.3">
      <c r="B116" s="50"/>
      <c r="C116" s="51"/>
      <c r="D116" s="51"/>
      <c r="E116" s="22"/>
      <c r="F116" s="22"/>
      <c r="G116" s="24"/>
      <c r="H116" s="22"/>
      <c r="I116" s="24"/>
      <c r="J116" s="22"/>
      <c r="K116" s="24"/>
    </row>
    <row r="117" spans="2:11" ht="12.95" customHeight="1" x14ac:dyDescent="0.3">
      <c r="B117" s="59" t="s">
        <v>171</v>
      </c>
      <c r="C117" s="60" t="s">
        <v>172</v>
      </c>
      <c r="D117" s="61" t="s">
        <v>17</v>
      </c>
      <c r="E117" s="17">
        <v>0</v>
      </c>
      <c r="F117" s="56">
        <v>8</v>
      </c>
      <c r="G117" s="3">
        <f t="shared" ref="G117" si="35">TRUNC($E117*F117,1)</f>
        <v>0</v>
      </c>
      <c r="H117" s="56">
        <v>8</v>
      </c>
      <c r="I117" s="3">
        <f t="shared" ref="I117" si="36">TRUNC($E117*H117,1)</f>
        <v>0</v>
      </c>
      <c r="J117" s="56">
        <v>8</v>
      </c>
      <c r="K117" s="3">
        <f t="shared" ref="K117" si="37">TRUNC($E117*J117,1)</f>
        <v>0</v>
      </c>
    </row>
    <row r="118" spans="2:11" ht="12.95" customHeight="1" x14ac:dyDescent="0.3">
      <c r="B118" s="46" t="s">
        <v>12</v>
      </c>
      <c r="C118" s="51"/>
      <c r="D118" s="51"/>
      <c r="E118" s="62"/>
      <c r="F118" s="15"/>
      <c r="G118" s="16">
        <f>TRUNC(SUM(G117:G117))</f>
        <v>0</v>
      </c>
      <c r="H118" s="15"/>
      <c r="I118" s="16">
        <f>TRUNC(SUM(I117:I117))</f>
        <v>0</v>
      </c>
      <c r="J118" s="15"/>
      <c r="K118" s="16">
        <f>TRUNC(SUM(K117:K117))</f>
        <v>0</v>
      </c>
    </row>
    <row r="119" spans="2:11" ht="12.95" customHeight="1" x14ac:dyDescent="0.3">
      <c r="B119" s="63"/>
      <c r="C119" s="59"/>
      <c r="D119" s="59"/>
      <c r="E119" s="64"/>
      <c r="F119" s="25"/>
      <c r="G119" s="27"/>
      <c r="H119" s="25"/>
      <c r="I119" s="27"/>
      <c r="J119" s="25"/>
      <c r="K119" s="27"/>
    </row>
    <row r="120" spans="2:11" ht="12.95" customHeight="1" x14ac:dyDescent="0.3">
      <c r="B120" s="65" t="s">
        <v>13</v>
      </c>
      <c r="C120" s="51"/>
      <c r="D120" s="51"/>
      <c r="E120" s="62"/>
      <c r="F120" s="62"/>
      <c r="G120" s="29">
        <f>SUM(G111+G115+G118)</f>
        <v>988602</v>
      </c>
      <c r="H120" s="62"/>
      <c r="I120" s="29">
        <f>SUM(I111+I115+I118)</f>
        <v>988602</v>
      </c>
      <c r="J120" s="62"/>
      <c r="K120" s="29">
        <f>SUM(K111+K115+K118)</f>
        <v>988602</v>
      </c>
    </row>
    <row r="121" spans="2:11" ht="12.95" customHeight="1" x14ac:dyDescent="0.3">
      <c r="B121" s="66" t="s">
        <v>175</v>
      </c>
      <c r="C121" s="67"/>
      <c r="D121" s="68"/>
      <c r="E121" s="69"/>
      <c r="F121" s="70"/>
      <c r="G121" s="71">
        <f>TRUNC(G120/G108)</f>
        <v>116306</v>
      </c>
      <c r="H121" s="70"/>
      <c r="I121" s="71">
        <f>TRUNC(I120/I108)</f>
        <v>131813</v>
      </c>
      <c r="J121" s="70"/>
      <c r="K121" s="71">
        <f>TRUNC(K120/K108)</f>
        <v>152092</v>
      </c>
    </row>
    <row r="122" spans="2:11" ht="12.95" customHeight="1" x14ac:dyDescent="0.3">
      <c r="B122" s="89" t="s">
        <v>3</v>
      </c>
      <c r="C122" s="92" t="s">
        <v>7</v>
      </c>
      <c r="D122" s="92" t="s">
        <v>8</v>
      </c>
      <c r="E122" s="92" t="s">
        <v>4</v>
      </c>
      <c r="F122" s="95" t="s">
        <v>42</v>
      </c>
      <c r="G122" s="96"/>
      <c r="H122" s="95" t="s">
        <v>44</v>
      </c>
      <c r="I122" s="96"/>
    </row>
    <row r="123" spans="2:11" ht="12.95" customHeight="1" x14ac:dyDescent="0.3">
      <c r="B123" s="90"/>
      <c r="C123" s="93"/>
      <c r="D123" s="93"/>
      <c r="E123" s="93"/>
      <c r="F123" s="38" t="s">
        <v>174</v>
      </c>
      <c r="G123" s="73">
        <v>6</v>
      </c>
      <c r="H123" s="38" t="s">
        <v>174</v>
      </c>
      <c r="I123" s="73">
        <v>5</v>
      </c>
    </row>
    <row r="124" spans="2:11" ht="12.95" customHeight="1" x14ac:dyDescent="0.3">
      <c r="B124" s="91"/>
      <c r="C124" s="94"/>
      <c r="D124" s="94"/>
      <c r="E124" s="94"/>
      <c r="F124" s="40" t="s">
        <v>21</v>
      </c>
      <c r="G124" s="41" t="s">
        <v>173</v>
      </c>
      <c r="H124" s="40" t="s">
        <v>21</v>
      </c>
      <c r="I124" s="41" t="s">
        <v>173</v>
      </c>
    </row>
    <row r="125" spans="2:11" ht="12.95" customHeight="1" x14ac:dyDescent="0.3">
      <c r="B125" s="42" t="s">
        <v>53</v>
      </c>
      <c r="C125" s="43" t="s">
        <v>82</v>
      </c>
      <c r="D125" s="44" t="s">
        <v>15</v>
      </c>
      <c r="E125" s="45"/>
      <c r="F125" s="21">
        <v>1</v>
      </c>
      <c r="G125" s="5">
        <f>TRUNC(SUM(G128:G129)*0.03,1)</f>
        <v>28794.2</v>
      </c>
      <c r="H125" s="21">
        <v>1</v>
      </c>
      <c r="I125" s="5">
        <f>TRUNC(SUM(I128:I129)*0.03,1)</f>
        <v>28794.2</v>
      </c>
    </row>
    <row r="126" spans="2:11" ht="12.95" customHeight="1" x14ac:dyDescent="0.3">
      <c r="B126" s="46" t="s">
        <v>10</v>
      </c>
      <c r="C126" s="47"/>
      <c r="D126" s="48"/>
      <c r="E126" s="49"/>
      <c r="F126" s="25"/>
      <c r="G126" s="12">
        <f>TRUNC(SUM(G125))</f>
        <v>28794</v>
      </c>
      <c r="H126" s="25"/>
      <c r="I126" s="12">
        <f>TRUNC(SUM(I125))</f>
        <v>28794</v>
      </c>
    </row>
    <row r="127" spans="2:11" ht="12.95" customHeight="1" x14ac:dyDescent="0.3">
      <c r="B127" s="50"/>
      <c r="C127" s="51"/>
      <c r="D127" s="51"/>
      <c r="E127" s="22"/>
      <c r="F127" s="15"/>
      <c r="G127" s="24"/>
      <c r="H127" s="15"/>
      <c r="I127" s="24"/>
    </row>
    <row r="128" spans="2:11" ht="12.95" customHeight="1" x14ac:dyDescent="0.3">
      <c r="B128" s="52" t="s">
        <v>29</v>
      </c>
      <c r="C128" s="53"/>
      <c r="D128" s="54" t="s">
        <v>9</v>
      </c>
      <c r="E128" s="55">
        <v>262580</v>
      </c>
      <c r="F128" s="56">
        <v>3</v>
      </c>
      <c r="G128" s="3">
        <f t="shared" ref="G128:G129" si="38">TRUNC($E128*F128,1)</f>
        <v>787740</v>
      </c>
      <c r="H128" s="56">
        <v>3</v>
      </c>
      <c r="I128" s="3">
        <f t="shared" ref="I128:I129" si="39">TRUNC($E128*H128,1)</f>
        <v>787740</v>
      </c>
    </row>
    <row r="129" spans="2:11" ht="12.95" customHeight="1" x14ac:dyDescent="0.3">
      <c r="B129" s="52" t="s">
        <v>1</v>
      </c>
      <c r="C129" s="53"/>
      <c r="D129" s="54" t="s">
        <v>9</v>
      </c>
      <c r="E129" s="57">
        <v>172068</v>
      </c>
      <c r="F129" s="56">
        <v>1</v>
      </c>
      <c r="G129" s="3">
        <f t="shared" si="38"/>
        <v>172068</v>
      </c>
      <c r="H129" s="56">
        <v>1</v>
      </c>
      <c r="I129" s="3">
        <f t="shared" si="39"/>
        <v>172068</v>
      </c>
    </row>
    <row r="130" spans="2:11" ht="12.95" customHeight="1" x14ac:dyDescent="0.3">
      <c r="B130" s="58" t="s">
        <v>11</v>
      </c>
      <c r="C130" s="51"/>
      <c r="D130" s="51"/>
      <c r="E130" s="22"/>
      <c r="F130" s="22"/>
      <c r="G130" s="16">
        <f>TRUNC(SUM(G128:G129))</f>
        <v>959808</v>
      </c>
      <c r="H130" s="22"/>
      <c r="I130" s="16">
        <f>TRUNC(SUM(I128:I129))</f>
        <v>959808</v>
      </c>
    </row>
    <row r="131" spans="2:11" ht="12.95" customHeight="1" x14ac:dyDescent="0.3">
      <c r="B131" s="50"/>
      <c r="C131" s="51"/>
      <c r="D131" s="51"/>
      <c r="E131" s="22"/>
      <c r="F131" s="22"/>
      <c r="G131" s="24"/>
      <c r="H131" s="22"/>
      <c r="I131" s="24"/>
    </row>
    <row r="132" spans="2:11" ht="12.95" customHeight="1" x14ac:dyDescent="0.3">
      <c r="B132" s="59" t="s">
        <v>171</v>
      </c>
      <c r="C132" s="60" t="s">
        <v>172</v>
      </c>
      <c r="D132" s="61" t="s">
        <v>17</v>
      </c>
      <c r="E132" s="17">
        <v>0</v>
      </c>
      <c r="F132" s="56">
        <v>8</v>
      </c>
      <c r="G132" s="3">
        <f t="shared" ref="G132" si="40">TRUNC($E132*F132,1)</f>
        <v>0</v>
      </c>
      <c r="H132" s="56">
        <v>8</v>
      </c>
      <c r="I132" s="3">
        <f t="shared" ref="I132" si="41">TRUNC($E132*H132,1)</f>
        <v>0</v>
      </c>
    </row>
    <row r="133" spans="2:11" ht="12.95" customHeight="1" x14ac:dyDescent="0.3">
      <c r="B133" s="46" t="s">
        <v>12</v>
      </c>
      <c r="C133" s="51"/>
      <c r="D133" s="51"/>
      <c r="E133" s="62"/>
      <c r="F133" s="15"/>
      <c r="G133" s="16">
        <f>TRUNC(SUM(G132:G132))</f>
        <v>0</v>
      </c>
      <c r="H133" s="15"/>
      <c r="I133" s="16">
        <f>TRUNC(SUM(I132:I132))</f>
        <v>0</v>
      </c>
    </row>
    <row r="134" spans="2:11" ht="12.95" customHeight="1" x14ac:dyDescent="0.3">
      <c r="B134" s="63"/>
      <c r="C134" s="59"/>
      <c r="D134" s="59"/>
      <c r="E134" s="64"/>
      <c r="F134" s="25"/>
      <c r="G134" s="27"/>
      <c r="H134" s="25"/>
      <c r="I134" s="27"/>
    </row>
    <row r="135" spans="2:11" ht="12.95" customHeight="1" x14ac:dyDescent="0.3">
      <c r="B135" s="65" t="s">
        <v>13</v>
      </c>
      <c r="C135" s="51"/>
      <c r="D135" s="51"/>
      <c r="E135" s="62"/>
      <c r="F135" s="62"/>
      <c r="G135" s="29">
        <f>SUM(G126+G130+G133)</f>
        <v>988602</v>
      </c>
      <c r="H135" s="62"/>
      <c r="I135" s="29">
        <f>SUM(I126+I130+I133)</f>
        <v>988602</v>
      </c>
    </row>
    <row r="136" spans="2:11" ht="12.95" customHeight="1" x14ac:dyDescent="0.3">
      <c r="B136" s="66" t="s">
        <v>175</v>
      </c>
      <c r="C136" s="67"/>
      <c r="D136" s="68"/>
      <c r="E136" s="69"/>
      <c r="F136" s="70"/>
      <c r="G136" s="71">
        <f>TRUNC(G135/G123)</f>
        <v>164767</v>
      </c>
      <c r="H136" s="70"/>
      <c r="I136" s="71">
        <f>TRUNC(I135/I123)</f>
        <v>197720</v>
      </c>
    </row>
    <row r="137" spans="2:11" ht="12.95" customHeight="1" x14ac:dyDescent="0.3">
      <c r="B137" s="89" t="s">
        <v>3</v>
      </c>
      <c r="C137" s="92" t="s">
        <v>7</v>
      </c>
      <c r="D137" s="92" t="s">
        <v>8</v>
      </c>
      <c r="E137" s="92" t="s">
        <v>4</v>
      </c>
      <c r="F137" s="95" t="s">
        <v>46</v>
      </c>
      <c r="G137" s="96"/>
      <c r="H137" s="95" t="s">
        <v>47</v>
      </c>
      <c r="I137" s="96"/>
      <c r="J137" s="95" t="s">
        <v>49</v>
      </c>
      <c r="K137" s="96"/>
    </row>
    <row r="138" spans="2:11" ht="12.95" customHeight="1" x14ac:dyDescent="0.3">
      <c r="B138" s="90"/>
      <c r="C138" s="93"/>
      <c r="D138" s="93"/>
      <c r="E138" s="93"/>
      <c r="F138" s="38" t="s">
        <v>174</v>
      </c>
      <c r="G138" s="73">
        <v>5</v>
      </c>
      <c r="H138" s="38" t="s">
        <v>174</v>
      </c>
      <c r="I138" s="73">
        <v>4.5</v>
      </c>
      <c r="J138" s="38" t="s">
        <v>174</v>
      </c>
      <c r="K138" s="73">
        <v>4</v>
      </c>
    </row>
    <row r="139" spans="2:11" ht="12.95" customHeight="1" x14ac:dyDescent="0.3">
      <c r="B139" s="91"/>
      <c r="C139" s="94"/>
      <c r="D139" s="94"/>
      <c r="E139" s="94"/>
      <c r="F139" s="40" t="s">
        <v>21</v>
      </c>
      <c r="G139" s="41" t="s">
        <v>173</v>
      </c>
      <c r="H139" s="40" t="s">
        <v>21</v>
      </c>
      <c r="I139" s="41" t="s">
        <v>173</v>
      </c>
      <c r="J139" s="40" t="s">
        <v>21</v>
      </c>
      <c r="K139" s="41" t="s">
        <v>173</v>
      </c>
    </row>
    <row r="140" spans="2:11" ht="12.95" customHeight="1" x14ac:dyDescent="0.3">
      <c r="B140" s="42" t="s">
        <v>53</v>
      </c>
      <c r="C140" s="43" t="s">
        <v>56</v>
      </c>
      <c r="D140" s="44" t="s">
        <v>15</v>
      </c>
      <c r="E140" s="45"/>
      <c r="F140" s="21">
        <v>1</v>
      </c>
      <c r="G140" s="5">
        <f>TRUNC(SUM(G143:G144)*0.02,1)</f>
        <v>24447.7</v>
      </c>
      <c r="H140" s="21">
        <v>1</v>
      </c>
      <c r="I140" s="5">
        <f>TRUNC(SUM(I143:I144)*0.02,1)</f>
        <v>24447.7</v>
      </c>
      <c r="J140" s="21">
        <v>1</v>
      </c>
      <c r="K140" s="5">
        <f>TRUNC(SUM(K143:K144)*0.02,1)</f>
        <v>24447.7</v>
      </c>
    </row>
    <row r="141" spans="2:11" ht="12.95" customHeight="1" x14ac:dyDescent="0.3">
      <c r="B141" s="46" t="s">
        <v>10</v>
      </c>
      <c r="C141" s="47"/>
      <c r="D141" s="48"/>
      <c r="E141" s="49"/>
      <c r="F141" s="25"/>
      <c r="G141" s="12">
        <f>TRUNC(SUM(G140))</f>
        <v>24447</v>
      </c>
      <c r="H141" s="25"/>
      <c r="I141" s="12">
        <f>TRUNC(SUM(I140))</f>
        <v>24447</v>
      </c>
      <c r="J141" s="25"/>
      <c r="K141" s="12">
        <f>TRUNC(SUM(K140))</f>
        <v>24447</v>
      </c>
    </row>
    <row r="142" spans="2:11" ht="12.95" customHeight="1" x14ac:dyDescent="0.3">
      <c r="B142" s="50"/>
      <c r="C142" s="51"/>
      <c r="D142" s="51"/>
      <c r="E142" s="22"/>
      <c r="F142" s="15"/>
      <c r="G142" s="24"/>
      <c r="H142" s="15"/>
      <c r="I142" s="24"/>
      <c r="J142" s="15"/>
      <c r="K142" s="24"/>
    </row>
    <row r="143" spans="2:11" ht="12.95" customHeight="1" x14ac:dyDescent="0.3">
      <c r="B143" s="52" t="s">
        <v>29</v>
      </c>
      <c r="C143" s="53"/>
      <c r="D143" s="54" t="s">
        <v>9</v>
      </c>
      <c r="E143" s="55">
        <v>262580</v>
      </c>
      <c r="F143" s="56">
        <v>4</v>
      </c>
      <c r="G143" s="3">
        <f t="shared" ref="G143:G144" si="42">TRUNC($E143*F143,1)</f>
        <v>1050320</v>
      </c>
      <c r="H143" s="56">
        <v>4</v>
      </c>
      <c r="I143" s="3">
        <f t="shared" ref="I143:I144" si="43">TRUNC($E143*H143,1)</f>
        <v>1050320</v>
      </c>
      <c r="J143" s="56">
        <v>4</v>
      </c>
      <c r="K143" s="3">
        <f t="shared" ref="K143:K144" si="44">TRUNC($E143*J143,1)</f>
        <v>1050320</v>
      </c>
    </row>
    <row r="144" spans="2:11" ht="12.95" customHeight="1" x14ac:dyDescent="0.3">
      <c r="B144" s="52" t="s">
        <v>1</v>
      </c>
      <c r="C144" s="53"/>
      <c r="D144" s="54" t="s">
        <v>9</v>
      </c>
      <c r="E144" s="57">
        <v>172068</v>
      </c>
      <c r="F144" s="56">
        <v>1</v>
      </c>
      <c r="G144" s="3">
        <f t="shared" si="42"/>
        <v>172068</v>
      </c>
      <c r="H144" s="56">
        <v>1</v>
      </c>
      <c r="I144" s="3">
        <f t="shared" si="43"/>
        <v>172068</v>
      </c>
      <c r="J144" s="56">
        <v>1</v>
      </c>
      <c r="K144" s="3">
        <f t="shared" si="44"/>
        <v>172068</v>
      </c>
    </row>
    <row r="145" spans="2:11" ht="12.95" customHeight="1" x14ac:dyDescent="0.3">
      <c r="B145" s="58" t="s">
        <v>11</v>
      </c>
      <c r="C145" s="51"/>
      <c r="D145" s="51"/>
      <c r="E145" s="22"/>
      <c r="F145" s="22"/>
      <c r="G145" s="16">
        <f>TRUNC(SUM(G143:G144))</f>
        <v>1222388</v>
      </c>
      <c r="H145" s="22"/>
      <c r="I145" s="16">
        <f>TRUNC(SUM(I143:I144))</f>
        <v>1222388</v>
      </c>
      <c r="J145" s="22"/>
      <c r="K145" s="16">
        <f>TRUNC(SUM(K143:K144))</f>
        <v>1222388</v>
      </c>
    </row>
    <row r="146" spans="2:11" ht="12.95" customHeight="1" x14ac:dyDescent="0.3">
      <c r="B146" s="50"/>
      <c r="C146" s="51"/>
      <c r="D146" s="51"/>
      <c r="E146" s="22"/>
      <c r="F146" s="22"/>
      <c r="G146" s="24"/>
      <c r="H146" s="22"/>
      <c r="I146" s="24"/>
      <c r="J146" s="22"/>
      <c r="K146" s="24"/>
    </row>
    <row r="147" spans="2:11" ht="12.95" customHeight="1" x14ac:dyDescent="0.3">
      <c r="B147" s="59" t="s">
        <v>171</v>
      </c>
      <c r="C147" s="60" t="s">
        <v>172</v>
      </c>
      <c r="D147" s="61" t="s">
        <v>17</v>
      </c>
      <c r="E147" s="17">
        <v>0</v>
      </c>
      <c r="F147" s="56">
        <v>8</v>
      </c>
      <c r="G147" s="3">
        <f t="shared" ref="G147" si="45">TRUNC($E147*F147,1)</f>
        <v>0</v>
      </c>
      <c r="H147" s="56">
        <v>8</v>
      </c>
      <c r="I147" s="3">
        <f t="shared" ref="I147" si="46">TRUNC($E147*H147,1)</f>
        <v>0</v>
      </c>
      <c r="J147" s="56">
        <v>8</v>
      </c>
      <c r="K147" s="3">
        <f t="shared" ref="K147" si="47">TRUNC($E147*J147,1)</f>
        <v>0</v>
      </c>
    </row>
    <row r="148" spans="2:11" ht="12.95" customHeight="1" x14ac:dyDescent="0.3">
      <c r="B148" s="46" t="s">
        <v>12</v>
      </c>
      <c r="C148" s="51"/>
      <c r="D148" s="51"/>
      <c r="E148" s="62"/>
      <c r="F148" s="15"/>
      <c r="G148" s="16">
        <f>TRUNC(SUM(G147:G147))</f>
        <v>0</v>
      </c>
      <c r="H148" s="15"/>
      <c r="I148" s="16">
        <f>TRUNC(SUM(I147:I147))</f>
        <v>0</v>
      </c>
      <c r="J148" s="15"/>
      <c r="K148" s="16">
        <f>TRUNC(SUM(K147:K147))</f>
        <v>0</v>
      </c>
    </row>
    <row r="149" spans="2:11" ht="12.95" customHeight="1" x14ac:dyDescent="0.3">
      <c r="B149" s="63"/>
      <c r="C149" s="59"/>
      <c r="D149" s="59"/>
      <c r="E149" s="64"/>
      <c r="F149" s="25"/>
      <c r="G149" s="27"/>
      <c r="H149" s="25"/>
      <c r="I149" s="27"/>
      <c r="J149" s="25"/>
      <c r="K149" s="27"/>
    </row>
    <row r="150" spans="2:11" ht="12.95" customHeight="1" x14ac:dyDescent="0.3">
      <c r="B150" s="65" t="s">
        <v>13</v>
      </c>
      <c r="C150" s="51"/>
      <c r="D150" s="51"/>
      <c r="E150" s="62"/>
      <c r="F150" s="62"/>
      <c r="G150" s="29">
        <f>SUM(G141+G145+G148)</f>
        <v>1246835</v>
      </c>
      <c r="H150" s="62"/>
      <c r="I150" s="29">
        <f>SUM(I141+I145+I148)</f>
        <v>1246835</v>
      </c>
      <c r="J150" s="62"/>
      <c r="K150" s="29">
        <f>SUM(K141+K145+K148)</f>
        <v>1246835</v>
      </c>
    </row>
    <row r="151" spans="2:11" ht="12.95" customHeight="1" x14ac:dyDescent="0.3">
      <c r="B151" s="66" t="s">
        <v>175</v>
      </c>
      <c r="C151" s="67"/>
      <c r="D151" s="68"/>
      <c r="E151" s="69"/>
      <c r="F151" s="70"/>
      <c r="G151" s="71">
        <f>TRUNC(G150/G138)</f>
        <v>249367</v>
      </c>
      <c r="H151" s="70"/>
      <c r="I151" s="71">
        <f>TRUNC(I150/I138)</f>
        <v>277074</v>
      </c>
      <c r="J151" s="70"/>
      <c r="K151" s="71">
        <f>TRUNC(K150/K138)</f>
        <v>311708</v>
      </c>
    </row>
    <row r="152" spans="2:11" ht="12.95" customHeight="1" x14ac:dyDescent="0.3">
      <c r="B152" s="89" t="s">
        <v>3</v>
      </c>
      <c r="C152" s="92" t="s">
        <v>7</v>
      </c>
      <c r="D152" s="92" t="s">
        <v>8</v>
      </c>
      <c r="E152" s="92" t="s">
        <v>4</v>
      </c>
      <c r="F152" s="95" t="s">
        <v>50</v>
      </c>
      <c r="G152" s="96"/>
      <c r="H152" s="95" t="s">
        <v>180</v>
      </c>
      <c r="I152" s="96"/>
    </row>
    <row r="153" spans="2:11" ht="12.95" customHeight="1" x14ac:dyDescent="0.3">
      <c r="B153" s="90"/>
      <c r="C153" s="93"/>
      <c r="D153" s="93"/>
      <c r="E153" s="93"/>
      <c r="F153" s="38" t="s">
        <v>174</v>
      </c>
      <c r="G153" s="73">
        <v>3.5</v>
      </c>
      <c r="H153" s="38" t="s">
        <v>174</v>
      </c>
      <c r="I153" s="73">
        <v>3</v>
      </c>
    </row>
    <row r="154" spans="2:11" ht="12.95" customHeight="1" x14ac:dyDescent="0.3">
      <c r="B154" s="91"/>
      <c r="C154" s="94"/>
      <c r="D154" s="94"/>
      <c r="E154" s="94"/>
      <c r="F154" s="40" t="s">
        <v>21</v>
      </c>
      <c r="G154" s="41" t="s">
        <v>173</v>
      </c>
      <c r="H154" s="40" t="s">
        <v>21</v>
      </c>
      <c r="I154" s="41" t="s">
        <v>173</v>
      </c>
    </row>
    <row r="155" spans="2:11" ht="12.95" customHeight="1" x14ac:dyDescent="0.3">
      <c r="B155" s="42" t="s">
        <v>53</v>
      </c>
      <c r="C155" s="43" t="s">
        <v>56</v>
      </c>
      <c r="D155" s="44" t="s">
        <v>15</v>
      </c>
      <c r="E155" s="45"/>
      <c r="F155" s="21">
        <v>1</v>
      </c>
      <c r="G155" s="5">
        <f>TRUNC(SUM(G158:G159)*0.02,1)</f>
        <v>24447.7</v>
      </c>
      <c r="H155" s="21">
        <v>1</v>
      </c>
      <c r="I155" s="5">
        <f>TRUNC(SUM(I158:I159)*0.02,1)</f>
        <v>24447.7</v>
      </c>
    </row>
    <row r="156" spans="2:11" ht="12.95" customHeight="1" x14ac:dyDescent="0.3">
      <c r="B156" s="46" t="s">
        <v>10</v>
      </c>
      <c r="C156" s="47"/>
      <c r="D156" s="48"/>
      <c r="E156" s="49"/>
      <c r="F156" s="25"/>
      <c r="G156" s="12">
        <f>TRUNC(SUM(G155))</f>
        <v>24447</v>
      </c>
      <c r="H156" s="25"/>
      <c r="I156" s="12">
        <f>TRUNC(SUM(I155))</f>
        <v>24447</v>
      </c>
    </row>
    <row r="157" spans="2:11" ht="12.95" customHeight="1" x14ac:dyDescent="0.3">
      <c r="B157" s="50"/>
      <c r="C157" s="51"/>
      <c r="D157" s="51"/>
      <c r="E157" s="22"/>
      <c r="F157" s="15"/>
      <c r="G157" s="24"/>
      <c r="H157" s="15"/>
      <c r="I157" s="24"/>
    </row>
    <row r="158" spans="2:11" ht="12.95" customHeight="1" x14ac:dyDescent="0.3">
      <c r="B158" s="52" t="s">
        <v>29</v>
      </c>
      <c r="C158" s="53"/>
      <c r="D158" s="54" t="s">
        <v>9</v>
      </c>
      <c r="E158" s="55">
        <v>262580</v>
      </c>
      <c r="F158" s="56">
        <v>4</v>
      </c>
      <c r="G158" s="3">
        <f t="shared" ref="G158:G159" si="48">TRUNC($E158*F158,1)</f>
        <v>1050320</v>
      </c>
      <c r="H158" s="56">
        <v>4</v>
      </c>
      <c r="I158" s="3">
        <f t="shared" ref="I158:I159" si="49">TRUNC($E158*H158,1)</f>
        <v>1050320</v>
      </c>
    </row>
    <row r="159" spans="2:11" ht="12.95" customHeight="1" x14ac:dyDescent="0.3">
      <c r="B159" s="52" t="s">
        <v>1</v>
      </c>
      <c r="C159" s="53"/>
      <c r="D159" s="54" t="s">
        <v>9</v>
      </c>
      <c r="E159" s="57">
        <v>172068</v>
      </c>
      <c r="F159" s="56">
        <v>1</v>
      </c>
      <c r="G159" s="3">
        <f t="shared" si="48"/>
        <v>172068</v>
      </c>
      <c r="H159" s="56">
        <v>1</v>
      </c>
      <c r="I159" s="3">
        <f t="shared" si="49"/>
        <v>172068</v>
      </c>
    </row>
    <row r="160" spans="2:11" ht="12.95" customHeight="1" x14ac:dyDescent="0.3">
      <c r="B160" s="58" t="s">
        <v>11</v>
      </c>
      <c r="C160" s="51"/>
      <c r="D160" s="51"/>
      <c r="E160" s="22"/>
      <c r="F160" s="22"/>
      <c r="G160" s="16">
        <f>TRUNC(SUM(G158:G159))</f>
        <v>1222388</v>
      </c>
      <c r="H160" s="22"/>
      <c r="I160" s="16">
        <f>TRUNC(SUM(I158:I159))</f>
        <v>1222388</v>
      </c>
    </row>
    <row r="161" spans="2:13" ht="12.95" customHeight="1" x14ac:dyDescent="0.3">
      <c r="B161" s="50"/>
      <c r="C161" s="51"/>
      <c r="D161" s="51"/>
      <c r="E161" s="22"/>
      <c r="F161" s="22"/>
      <c r="G161" s="24"/>
      <c r="H161" s="22"/>
      <c r="I161" s="24"/>
    </row>
    <row r="162" spans="2:13" ht="12.95" customHeight="1" x14ac:dyDescent="0.3">
      <c r="B162" s="59" t="s">
        <v>171</v>
      </c>
      <c r="C162" s="60" t="s">
        <v>172</v>
      </c>
      <c r="D162" s="61" t="s">
        <v>17</v>
      </c>
      <c r="E162" s="17">
        <v>0</v>
      </c>
      <c r="F162" s="56">
        <v>8</v>
      </c>
      <c r="G162" s="3">
        <f t="shared" ref="G162" si="50">TRUNC($E162*F162,1)</f>
        <v>0</v>
      </c>
      <c r="H162" s="56">
        <v>8</v>
      </c>
      <c r="I162" s="3">
        <f t="shared" ref="I162" si="51">TRUNC($E162*H162,1)</f>
        <v>0</v>
      </c>
    </row>
    <row r="163" spans="2:13" ht="12.95" customHeight="1" x14ac:dyDescent="0.3">
      <c r="B163" s="46" t="s">
        <v>12</v>
      </c>
      <c r="C163" s="51"/>
      <c r="D163" s="51"/>
      <c r="E163" s="62"/>
      <c r="F163" s="15"/>
      <c r="G163" s="16">
        <f>TRUNC(SUM(G162:G162))</f>
        <v>0</v>
      </c>
      <c r="H163" s="15"/>
      <c r="I163" s="16">
        <f>TRUNC(SUM(I162:I162))</f>
        <v>0</v>
      </c>
    </row>
    <row r="164" spans="2:13" ht="12.95" customHeight="1" x14ac:dyDescent="0.3">
      <c r="B164" s="63"/>
      <c r="C164" s="59"/>
      <c r="D164" s="59"/>
      <c r="E164" s="64"/>
      <c r="F164" s="25"/>
      <c r="G164" s="27"/>
      <c r="H164" s="25"/>
      <c r="I164" s="27"/>
    </row>
    <row r="165" spans="2:13" ht="12.95" customHeight="1" x14ac:dyDescent="0.3">
      <c r="B165" s="65" t="s">
        <v>13</v>
      </c>
      <c r="C165" s="51"/>
      <c r="D165" s="51"/>
      <c r="E165" s="62"/>
      <c r="F165" s="62"/>
      <c r="G165" s="29">
        <f>SUM(G156+G160+G163)</f>
        <v>1246835</v>
      </c>
      <c r="H165" s="62"/>
      <c r="I165" s="29">
        <f>SUM(I156+I160+I163)</f>
        <v>1246835</v>
      </c>
    </row>
    <row r="166" spans="2:13" ht="12.95" customHeight="1" x14ac:dyDescent="0.3">
      <c r="B166" s="66" t="s">
        <v>175</v>
      </c>
      <c r="C166" s="67"/>
      <c r="D166" s="68"/>
      <c r="E166" s="69"/>
      <c r="F166" s="70"/>
      <c r="G166" s="71">
        <f>TRUNC(G165/G153)</f>
        <v>356238</v>
      </c>
      <c r="H166" s="70"/>
      <c r="I166" s="71">
        <f>TRUNC(I165/I153)</f>
        <v>415611</v>
      </c>
    </row>
    <row r="168" spans="2:13" ht="12.95" customHeight="1" x14ac:dyDescent="0.3">
      <c r="B168" s="72" t="s">
        <v>176</v>
      </c>
      <c r="C168" s="14"/>
      <c r="D168" s="14"/>
      <c r="E168" s="14"/>
      <c r="F168" s="14"/>
      <c r="G168" s="14"/>
      <c r="M168" s="37" t="s">
        <v>169</v>
      </c>
    </row>
    <row r="169" spans="2:13" ht="12.95" customHeight="1" x14ac:dyDescent="0.3">
      <c r="B169" s="89" t="s">
        <v>3</v>
      </c>
      <c r="C169" s="92" t="s">
        <v>7</v>
      </c>
      <c r="D169" s="92" t="s">
        <v>8</v>
      </c>
      <c r="E169" s="92" t="s">
        <v>4</v>
      </c>
      <c r="F169" s="95" t="s">
        <v>26</v>
      </c>
      <c r="G169" s="96"/>
      <c r="H169" s="95" t="s">
        <v>27</v>
      </c>
      <c r="I169" s="96"/>
      <c r="J169" s="95" t="s">
        <v>177</v>
      </c>
      <c r="K169" s="96"/>
      <c r="L169" s="95" t="s">
        <v>28</v>
      </c>
      <c r="M169" s="96"/>
    </row>
    <row r="170" spans="2:13" ht="12.95" customHeight="1" x14ac:dyDescent="0.3">
      <c r="B170" s="90"/>
      <c r="C170" s="93"/>
      <c r="D170" s="93"/>
      <c r="E170" s="93"/>
      <c r="F170" s="38" t="s">
        <v>174</v>
      </c>
      <c r="G170" s="39">
        <v>13</v>
      </c>
      <c r="H170" s="38" t="s">
        <v>174</v>
      </c>
      <c r="I170" s="39">
        <v>12</v>
      </c>
      <c r="J170" s="38" t="s">
        <v>174</v>
      </c>
      <c r="K170" s="39">
        <v>13</v>
      </c>
      <c r="L170" s="38" t="s">
        <v>174</v>
      </c>
      <c r="M170" s="39">
        <v>9</v>
      </c>
    </row>
    <row r="171" spans="2:13" ht="12.95" customHeight="1" x14ac:dyDescent="0.3">
      <c r="B171" s="91"/>
      <c r="C171" s="94"/>
      <c r="D171" s="94"/>
      <c r="E171" s="94"/>
      <c r="F171" s="40" t="s">
        <v>21</v>
      </c>
      <c r="G171" s="41" t="s">
        <v>173</v>
      </c>
      <c r="H171" s="40" t="s">
        <v>21</v>
      </c>
      <c r="I171" s="41" t="s">
        <v>173</v>
      </c>
      <c r="J171" s="40" t="s">
        <v>21</v>
      </c>
      <c r="K171" s="41" t="s">
        <v>173</v>
      </c>
      <c r="L171" s="40" t="s">
        <v>21</v>
      </c>
      <c r="M171" s="41" t="s">
        <v>173</v>
      </c>
    </row>
    <row r="172" spans="2:13" ht="12.95" customHeight="1" x14ac:dyDescent="0.3">
      <c r="B172" s="52" t="s">
        <v>29</v>
      </c>
      <c r="C172" s="53"/>
      <c r="D172" s="54" t="s">
        <v>9</v>
      </c>
      <c r="E172" s="55">
        <v>262580</v>
      </c>
      <c r="F172" s="56">
        <v>3</v>
      </c>
      <c r="G172" s="3">
        <f t="shared" ref="G172:G173" si="52">TRUNC($E172*F172,1)</f>
        <v>787740</v>
      </c>
      <c r="H172" s="56">
        <v>3</v>
      </c>
      <c r="I172" s="3">
        <f t="shared" ref="I172:I173" si="53">TRUNC($E172*H172,1)</f>
        <v>787740</v>
      </c>
      <c r="J172" s="56">
        <v>4</v>
      </c>
      <c r="K172" s="3">
        <f t="shared" ref="K172:K173" si="54">TRUNC($E172*J172,1)</f>
        <v>1050320</v>
      </c>
      <c r="L172" s="56">
        <v>4</v>
      </c>
      <c r="M172" s="3">
        <f t="shared" ref="M172:M173" si="55">TRUNC($E172*L172,1)</f>
        <v>1050320</v>
      </c>
    </row>
    <row r="173" spans="2:13" ht="12.95" customHeight="1" x14ac:dyDescent="0.3">
      <c r="B173" s="52" t="s">
        <v>1</v>
      </c>
      <c r="C173" s="53"/>
      <c r="D173" s="54" t="s">
        <v>9</v>
      </c>
      <c r="E173" s="57">
        <v>172068</v>
      </c>
      <c r="F173" s="56">
        <v>1</v>
      </c>
      <c r="G173" s="3">
        <f t="shared" si="52"/>
        <v>172068</v>
      </c>
      <c r="H173" s="56">
        <v>1</v>
      </c>
      <c r="I173" s="3">
        <f t="shared" si="53"/>
        <v>172068</v>
      </c>
      <c r="J173" s="56">
        <v>1</v>
      </c>
      <c r="K173" s="3">
        <f t="shared" si="54"/>
        <v>172068</v>
      </c>
      <c r="L173" s="56">
        <v>1</v>
      </c>
      <c r="M173" s="3">
        <f t="shared" si="55"/>
        <v>172068</v>
      </c>
    </row>
    <row r="174" spans="2:13" ht="12.95" customHeight="1" x14ac:dyDescent="0.3">
      <c r="B174" s="58" t="s">
        <v>11</v>
      </c>
      <c r="C174" s="51"/>
      <c r="D174" s="51"/>
      <c r="E174" s="22"/>
      <c r="F174" s="22"/>
      <c r="G174" s="16">
        <f>TRUNC(SUM(G172:G173))</f>
        <v>959808</v>
      </c>
      <c r="H174" s="22"/>
      <c r="I174" s="16">
        <f>TRUNC(SUM(I172:I173))</f>
        <v>959808</v>
      </c>
      <c r="J174" s="22"/>
      <c r="K174" s="16">
        <f>TRUNC(SUM(K172:K173))</f>
        <v>1222388</v>
      </c>
      <c r="L174" s="22"/>
      <c r="M174" s="16">
        <f>TRUNC(SUM(M172:M173))</f>
        <v>1222388</v>
      </c>
    </row>
    <row r="175" spans="2:13" ht="12.95" customHeight="1" x14ac:dyDescent="0.3">
      <c r="B175" s="50"/>
      <c r="C175" s="51"/>
      <c r="D175" s="51"/>
      <c r="E175" s="22"/>
      <c r="F175" s="22"/>
      <c r="G175" s="24"/>
      <c r="H175" s="22"/>
      <c r="I175" s="24"/>
      <c r="J175" s="22"/>
      <c r="K175" s="24"/>
      <c r="L175" s="22"/>
      <c r="M175" s="24"/>
    </row>
    <row r="176" spans="2:13" ht="12.95" customHeight="1" x14ac:dyDescent="0.3">
      <c r="B176" s="65" t="s">
        <v>13</v>
      </c>
      <c r="C176" s="51"/>
      <c r="D176" s="51"/>
      <c r="E176" s="62"/>
      <c r="F176" s="62"/>
      <c r="G176" s="29">
        <f>SUM(G174)</f>
        <v>959808</v>
      </c>
      <c r="H176" s="62"/>
      <c r="I176" s="29">
        <f>SUM(I174)</f>
        <v>959808</v>
      </c>
      <c r="J176" s="62"/>
      <c r="K176" s="29">
        <f>SUM(K174)</f>
        <v>1222388</v>
      </c>
      <c r="L176" s="62"/>
      <c r="M176" s="29">
        <f>SUM(M174)</f>
        <v>1222388</v>
      </c>
    </row>
    <row r="177" spans="2:13" ht="12.95" customHeight="1" x14ac:dyDescent="0.3">
      <c r="B177" s="66" t="s">
        <v>175</v>
      </c>
      <c r="C177" s="67"/>
      <c r="D177" s="68"/>
      <c r="E177" s="69"/>
      <c r="F177" s="70"/>
      <c r="G177" s="71">
        <f>TRUNC(G176/G170)</f>
        <v>73831</v>
      </c>
      <c r="H177" s="70"/>
      <c r="I177" s="71">
        <f>TRUNC(I176/I170)</f>
        <v>79984</v>
      </c>
      <c r="J177" s="70"/>
      <c r="K177" s="71">
        <f>TRUNC(K176/K170)</f>
        <v>94029</v>
      </c>
      <c r="L177" s="70"/>
      <c r="M177" s="71">
        <f>TRUNC(M176/M170)</f>
        <v>135820</v>
      </c>
    </row>
    <row r="178" spans="2:13" ht="12.95" customHeight="1" x14ac:dyDescent="0.3">
      <c r="B178" s="72"/>
      <c r="C178" s="14"/>
      <c r="D178" s="14"/>
      <c r="E178" s="14"/>
      <c r="F178" s="14"/>
      <c r="G178" s="14"/>
    </row>
    <row r="179" spans="2:13" ht="12.95" customHeight="1" x14ac:dyDescent="0.3">
      <c r="B179" s="34" t="s">
        <v>181</v>
      </c>
      <c r="C179" s="35"/>
      <c r="D179" s="13"/>
      <c r="E179" s="36"/>
      <c r="F179" s="13"/>
      <c r="G179" s="13"/>
      <c r="M179" s="37" t="s">
        <v>22</v>
      </c>
    </row>
    <row r="180" spans="2:13" ht="12.95" customHeight="1" x14ac:dyDescent="0.3">
      <c r="B180" s="97" t="s">
        <v>3</v>
      </c>
      <c r="C180" s="99" t="s">
        <v>16</v>
      </c>
      <c r="D180" s="101" t="s">
        <v>8</v>
      </c>
      <c r="E180" s="92" t="s">
        <v>4</v>
      </c>
      <c r="F180" s="95" t="s">
        <v>34</v>
      </c>
      <c r="G180" s="96"/>
      <c r="H180" s="95" t="s">
        <v>55</v>
      </c>
      <c r="I180" s="102"/>
      <c r="J180" s="95" t="s">
        <v>28</v>
      </c>
      <c r="K180" s="102"/>
      <c r="L180" s="95" t="s">
        <v>57</v>
      </c>
      <c r="M180" s="96"/>
    </row>
    <row r="181" spans="2:13" ht="12.95" customHeight="1" x14ac:dyDescent="0.3">
      <c r="B181" s="98"/>
      <c r="C181" s="100"/>
      <c r="D181" s="101"/>
      <c r="E181" s="94"/>
      <c r="F181" s="74" t="s">
        <v>5</v>
      </c>
      <c r="G181" s="75" t="s">
        <v>6</v>
      </c>
      <c r="H181" s="74" t="s">
        <v>5</v>
      </c>
      <c r="I181" s="75" t="s">
        <v>6</v>
      </c>
      <c r="J181" s="74" t="s">
        <v>5</v>
      </c>
      <c r="K181" s="75" t="s">
        <v>6</v>
      </c>
      <c r="L181" s="74" t="s">
        <v>5</v>
      </c>
      <c r="M181" s="75" t="s">
        <v>6</v>
      </c>
    </row>
    <row r="182" spans="2:13" ht="12.95" customHeight="1" x14ac:dyDescent="0.3">
      <c r="B182" s="42" t="s">
        <v>53</v>
      </c>
      <c r="C182" s="43" t="s">
        <v>18</v>
      </c>
      <c r="D182" s="44" t="s">
        <v>15</v>
      </c>
      <c r="E182" s="45"/>
      <c r="F182" s="21">
        <v>1</v>
      </c>
      <c r="G182" s="5">
        <f>TRUNC(SUM(G185:G185)*0.05,1)</f>
        <v>1050.3</v>
      </c>
      <c r="H182" s="21">
        <v>1</v>
      </c>
      <c r="I182" s="5">
        <f>TRUNC(SUM(I185:I185)*0.05,1)</f>
        <v>1181.5999999999999</v>
      </c>
      <c r="J182" s="21">
        <v>1</v>
      </c>
      <c r="K182" s="5">
        <f>TRUNC(SUM(K185:K185)*0.05,1)</f>
        <v>1312.9</v>
      </c>
      <c r="L182" s="21">
        <v>1</v>
      </c>
      <c r="M182" s="5">
        <f>TRUNC(SUM(M185:M185)*0.05,1)</f>
        <v>1575.4</v>
      </c>
    </row>
    <row r="183" spans="2:13" ht="12.95" customHeight="1" x14ac:dyDescent="0.3">
      <c r="B183" s="46" t="s">
        <v>10</v>
      </c>
      <c r="C183" s="47"/>
      <c r="D183" s="48"/>
      <c r="E183" s="49"/>
      <c r="F183" s="25"/>
      <c r="G183" s="12">
        <f>TRUNC(SUM(G182))</f>
        <v>1050</v>
      </c>
      <c r="H183" s="25"/>
      <c r="I183" s="12">
        <f>TRUNC(SUM(I182))</f>
        <v>1181</v>
      </c>
      <c r="J183" s="25"/>
      <c r="K183" s="12">
        <f>TRUNC(SUM(K182))</f>
        <v>1312</v>
      </c>
      <c r="L183" s="25"/>
      <c r="M183" s="12">
        <f>TRUNC(SUM(M182))</f>
        <v>1575</v>
      </c>
    </row>
    <row r="184" spans="2:13" ht="12.95" customHeight="1" x14ac:dyDescent="0.3">
      <c r="B184" s="50"/>
      <c r="C184" s="51"/>
      <c r="D184" s="51"/>
      <c r="E184" s="22"/>
      <c r="F184" s="15"/>
      <c r="G184" s="24"/>
      <c r="H184" s="15"/>
      <c r="I184" s="24"/>
      <c r="J184" s="15"/>
      <c r="K184" s="24"/>
      <c r="L184" s="15"/>
      <c r="M184" s="24"/>
    </row>
    <row r="185" spans="2:13" ht="12.95" customHeight="1" x14ac:dyDescent="0.3">
      <c r="B185" s="52" t="s">
        <v>29</v>
      </c>
      <c r="C185" s="53"/>
      <c r="D185" s="54" t="s">
        <v>9</v>
      </c>
      <c r="E185" s="55">
        <v>262580</v>
      </c>
      <c r="F185" s="25">
        <v>0.08</v>
      </c>
      <c r="G185" s="3">
        <f t="shared" ref="G185" si="56">TRUNC($E185*F185,1)</f>
        <v>21006.400000000001</v>
      </c>
      <c r="H185" s="25">
        <v>0.09</v>
      </c>
      <c r="I185" s="3">
        <f t="shared" ref="I185" si="57">TRUNC($E185*H185,1)</f>
        <v>23632.2</v>
      </c>
      <c r="J185" s="25">
        <v>0.1</v>
      </c>
      <c r="K185" s="3">
        <f t="shared" ref="K185" si="58">TRUNC($E185*J185,1)</f>
        <v>26258</v>
      </c>
      <c r="L185" s="25">
        <v>0.12</v>
      </c>
      <c r="M185" s="3">
        <f t="shared" ref="M185" si="59">TRUNC($E185*L185,1)</f>
        <v>31509.599999999999</v>
      </c>
    </row>
    <row r="186" spans="2:13" ht="12.95" customHeight="1" x14ac:dyDescent="0.3">
      <c r="B186" s="58" t="s">
        <v>11</v>
      </c>
      <c r="C186" s="51"/>
      <c r="D186" s="51"/>
      <c r="E186" s="22"/>
      <c r="F186" s="15"/>
      <c r="G186" s="16">
        <f>TRUNC(SUM(G185:G185))</f>
        <v>21006</v>
      </c>
      <c r="H186" s="15" t="s">
        <v>58</v>
      </c>
      <c r="I186" s="16">
        <f>TRUNC(SUM(I185:I185))</f>
        <v>23632</v>
      </c>
      <c r="J186" s="15" t="s">
        <v>58</v>
      </c>
      <c r="K186" s="16">
        <f>TRUNC(SUM(K185:K185))</f>
        <v>26258</v>
      </c>
      <c r="L186" s="15"/>
      <c r="M186" s="16">
        <f>TRUNC(SUM(M185:M185))</f>
        <v>31509</v>
      </c>
    </row>
    <row r="187" spans="2:13" ht="12.95" customHeight="1" x14ac:dyDescent="0.3">
      <c r="B187" s="50"/>
      <c r="C187" s="51"/>
      <c r="D187" s="51"/>
      <c r="E187" s="22"/>
      <c r="F187" s="15"/>
      <c r="G187" s="24"/>
      <c r="H187" s="15"/>
      <c r="I187" s="24"/>
      <c r="J187" s="15"/>
      <c r="K187" s="24"/>
      <c r="L187" s="15"/>
      <c r="M187" s="24"/>
    </row>
    <row r="188" spans="2:13" ht="12.95" customHeight="1" x14ac:dyDescent="0.3">
      <c r="B188" s="66" t="s">
        <v>13</v>
      </c>
      <c r="C188" s="76"/>
      <c r="D188" s="76"/>
      <c r="E188" s="77"/>
      <c r="F188" s="77"/>
      <c r="G188" s="26">
        <f>SUM(G183+G186)</f>
        <v>22056</v>
      </c>
      <c r="H188" s="77"/>
      <c r="I188" s="26">
        <f>SUM(I183+I186)</f>
        <v>24813</v>
      </c>
      <c r="J188" s="77"/>
      <c r="K188" s="26">
        <f>SUM(K183+K186)</f>
        <v>27570</v>
      </c>
      <c r="L188" s="77"/>
      <c r="M188" s="26">
        <f>SUM(M183+M186)</f>
        <v>33084</v>
      </c>
    </row>
    <row r="189" spans="2:13" ht="12.95" customHeight="1" x14ac:dyDescent="0.3">
      <c r="B189" s="97" t="s">
        <v>3</v>
      </c>
      <c r="C189" s="99" t="s">
        <v>16</v>
      </c>
      <c r="D189" s="101" t="s">
        <v>8</v>
      </c>
      <c r="E189" s="92" t="s">
        <v>4</v>
      </c>
      <c r="F189" s="95" t="s">
        <v>36</v>
      </c>
      <c r="G189" s="96"/>
      <c r="H189" s="95" t="s">
        <v>37</v>
      </c>
      <c r="I189" s="96"/>
      <c r="J189" s="95" t="s">
        <v>39</v>
      </c>
      <c r="K189" s="96"/>
      <c r="L189" s="95" t="s">
        <v>40</v>
      </c>
      <c r="M189" s="96"/>
    </row>
    <row r="190" spans="2:13" ht="12.95" customHeight="1" x14ac:dyDescent="0.3">
      <c r="B190" s="98"/>
      <c r="C190" s="100"/>
      <c r="D190" s="101"/>
      <c r="E190" s="94"/>
      <c r="F190" s="74" t="s">
        <v>5</v>
      </c>
      <c r="G190" s="75" t="s">
        <v>6</v>
      </c>
      <c r="H190" s="74" t="s">
        <v>5</v>
      </c>
      <c r="I190" s="75" t="s">
        <v>6</v>
      </c>
      <c r="J190" s="74" t="s">
        <v>5</v>
      </c>
      <c r="K190" s="75" t="s">
        <v>6</v>
      </c>
      <c r="L190" s="74" t="s">
        <v>5</v>
      </c>
      <c r="M190" s="75" t="s">
        <v>6</v>
      </c>
    </row>
    <row r="191" spans="2:13" ht="12.95" customHeight="1" x14ac:dyDescent="0.3">
      <c r="B191" s="42" t="s">
        <v>53</v>
      </c>
      <c r="C191" s="43" t="s">
        <v>18</v>
      </c>
      <c r="D191" s="44" t="s">
        <v>15</v>
      </c>
      <c r="E191" s="45"/>
      <c r="F191" s="21">
        <v>1</v>
      </c>
      <c r="G191" s="5">
        <f>TRUNC(SUM(G194:G194)*0.05,1)</f>
        <v>1838</v>
      </c>
      <c r="H191" s="21">
        <v>1</v>
      </c>
      <c r="I191" s="5">
        <f>TRUNC(SUM(I194:I194)*0.05,1)</f>
        <v>2100.6</v>
      </c>
      <c r="J191" s="21">
        <v>1</v>
      </c>
      <c r="K191" s="5">
        <f>TRUNC(SUM(K194:K194)*0.05,1)</f>
        <v>2363.1999999999998</v>
      </c>
      <c r="L191" s="21">
        <v>1</v>
      </c>
      <c r="M191" s="5">
        <f>TRUNC(SUM(M194:M194)*0.05,1)</f>
        <v>2625.8</v>
      </c>
    </row>
    <row r="192" spans="2:13" ht="12.95" customHeight="1" x14ac:dyDescent="0.3">
      <c r="B192" s="46" t="s">
        <v>10</v>
      </c>
      <c r="C192" s="47"/>
      <c r="D192" s="48"/>
      <c r="E192" s="49"/>
      <c r="F192" s="25"/>
      <c r="G192" s="12">
        <f>TRUNC(SUM(G191))</f>
        <v>1838</v>
      </c>
      <c r="H192" s="25"/>
      <c r="I192" s="12">
        <f>TRUNC(SUM(I191))</f>
        <v>2100</v>
      </c>
      <c r="J192" s="25"/>
      <c r="K192" s="12">
        <f>TRUNC(SUM(K191))</f>
        <v>2363</v>
      </c>
      <c r="L192" s="25"/>
      <c r="M192" s="12">
        <f>TRUNC(SUM(M191))</f>
        <v>2625</v>
      </c>
    </row>
    <row r="193" spans="2:13" ht="12.95" customHeight="1" x14ac:dyDescent="0.3">
      <c r="B193" s="50"/>
      <c r="C193" s="51"/>
      <c r="D193" s="51"/>
      <c r="E193" s="22"/>
      <c r="F193" s="15"/>
      <c r="G193" s="24"/>
      <c r="H193" s="15"/>
      <c r="I193" s="24"/>
      <c r="J193" s="15"/>
      <c r="K193" s="24"/>
      <c r="L193" s="15"/>
      <c r="M193" s="24"/>
    </row>
    <row r="194" spans="2:13" ht="12.95" customHeight="1" x14ac:dyDescent="0.3">
      <c r="B194" s="52" t="s">
        <v>29</v>
      </c>
      <c r="C194" s="53"/>
      <c r="D194" s="54" t="s">
        <v>9</v>
      </c>
      <c r="E194" s="55">
        <v>262580</v>
      </c>
      <c r="F194" s="25">
        <v>0.14000000000000001</v>
      </c>
      <c r="G194" s="3">
        <f t="shared" ref="G194" si="60">TRUNC($E194*F194,1)</f>
        <v>36761.199999999997</v>
      </c>
      <c r="H194" s="25">
        <v>0.16</v>
      </c>
      <c r="I194" s="3">
        <f t="shared" ref="I194" si="61">TRUNC($E194*H194,1)</f>
        <v>42012.800000000003</v>
      </c>
      <c r="J194" s="25">
        <v>0.18</v>
      </c>
      <c r="K194" s="3">
        <f t="shared" ref="K194" si="62">TRUNC($E194*J194,1)</f>
        <v>47264.4</v>
      </c>
      <c r="L194" s="25">
        <v>0.2</v>
      </c>
      <c r="M194" s="3">
        <f t="shared" ref="M194" si="63">TRUNC($E194*L194,1)</f>
        <v>52516</v>
      </c>
    </row>
    <row r="195" spans="2:13" ht="12.95" customHeight="1" x14ac:dyDescent="0.3">
      <c r="B195" s="58" t="s">
        <v>11</v>
      </c>
      <c r="C195" s="51"/>
      <c r="D195" s="51"/>
      <c r="E195" s="22"/>
      <c r="F195" s="15"/>
      <c r="G195" s="16">
        <f>TRUNC(SUM(G194:G194))</f>
        <v>36761</v>
      </c>
      <c r="H195" s="15"/>
      <c r="I195" s="16">
        <f>TRUNC(SUM(I194:I194))</f>
        <v>42012</v>
      </c>
      <c r="J195" s="15"/>
      <c r="K195" s="16">
        <f>TRUNC(SUM(K194:K194))</f>
        <v>47264</v>
      </c>
      <c r="L195" s="15"/>
      <c r="M195" s="16">
        <f>TRUNC(SUM(M194:M194))</f>
        <v>52516</v>
      </c>
    </row>
    <row r="196" spans="2:13" ht="12.95" customHeight="1" x14ac:dyDescent="0.3">
      <c r="B196" s="50"/>
      <c r="C196" s="51"/>
      <c r="D196" s="51"/>
      <c r="E196" s="22"/>
      <c r="F196" s="15"/>
      <c r="G196" s="24"/>
      <c r="H196" s="15"/>
      <c r="I196" s="24"/>
      <c r="J196" s="15"/>
      <c r="K196" s="24"/>
      <c r="L196" s="15"/>
      <c r="M196" s="24"/>
    </row>
    <row r="197" spans="2:13" ht="12.95" customHeight="1" x14ac:dyDescent="0.3">
      <c r="B197" s="66" t="s">
        <v>13</v>
      </c>
      <c r="C197" s="76"/>
      <c r="D197" s="76"/>
      <c r="E197" s="77"/>
      <c r="F197" s="77"/>
      <c r="G197" s="26">
        <f>SUM(G192+G195)</f>
        <v>38599</v>
      </c>
      <c r="H197" s="77"/>
      <c r="I197" s="26">
        <f>SUM(I192+I195)</f>
        <v>44112</v>
      </c>
      <c r="J197" s="77"/>
      <c r="K197" s="26">
        <f>SUM(K192+K195)</f>
        <v>49627</v>
      </c>
      <c r="L197" s="77"/>
      <c r="M197" s="26">
        <f>SUM(M192+M195)</f>
        <v>55141</v>
      </c>
    </row>
    <row r="198" spans="2:13" ht="12.95" customHeight="1" x14ac:dyDescent="0.3">
      <c r="B198" s="97" t="s">
        <v>3</v>
      </c>
      <c r="C198" s="99" t="s">
        <v>16</v>
      </c>
      <c r="D198" s="101" t="s">
        <v>8</v>
      </c>
      <c r="E198" s="92" t="s">
        <v>4</v>
      </c>
      <c r="F198" s="95" t="s">
        <v>41</v>
      </c>
      <c r="G198" s="96"/>
      <c r="H198" s="95" t="s">
        <v>43</v>
      </c>
      <c r="I198" s="96"/>
      <c r="J198" s="95" t="s">
        <v>44</v>
      </c>
      <c r="K198" s="96"/>
    </row>
    <row r="199" spans="2:13" ht="12.95" customHeight="1" x14ac:dyDescent="0.3">
      <c r="B199" s="98"/>
      <c r="C199" s="100"/>
      <c r="D199" s="101"/>
      <c r="E199" s="94"/>
      <c r="F199" s="74" t="s">
        <v>5</v>
      </c>
      <c r="G199" s="75" t="s">
        <v>6</v>
      </c>
      <c r="H199" s="74" t="s">
        <v>5</v>
      </c>
      <c r="I199" s="75" t="s">
        <v>6</v>
      </c>
      <c r="J199" s="74" t="s">
        <v>5</v>
      </c>
      <c r="K199" s="75" t="s">
        <v>6</v>
      </c>
    </row>
    <row r="200" spans="2:13" ht="12.95" customHeight="1" x14ac:dyDescent="0.3">
      <c r="B200" s="42" t="s">
        <v>53</v>
      </c>
      <c r="C200" s="43" t="s">
        <v>18</v>
      </c>
      <c r="D200" s="44" t="s">
        <v>15</v>
      </c>
      <c r="E200" s="45"/>
      <c r="F200" s="21">
        <v>1</v>
      </c>
      <c r="G200" s="5">
        <f>TRUNC(SUM(G203:G203)*0.05,1)</f>
        <v>2888.3</v>
      </c>
      <c r="H200" s="21">
        <v>1</v>
      </c>
      <c r="I200" s="5">
        <f>TRUNC(SUM(I203:I203)*0.05,1)</f>
        <v>3150.9</v>
      </c>
      <c r="J200" s="21">
        <v>1</v>
      </c>
      <c r="K200" s="5">
        <f>TRUNC(SUM(K203:K203)*0.05,1)</f>
        <v>3676.1</v>
      </c>
    </row>
    <row r="201" spans="2:13" ht="12.95" customHeight="1" x14ac:dyDescent="0.3">
      <c r="B201" s="46" t="s">
        <v>10</v>
      </c>
      <c r="C201" s="47"/>
      <c r="D201" s="48"/>
      <c r="E201" s="49"/>
      <c r="F201" s="25"/>
      <c r="G201" s="12">
        <f>TRUNC(SUM(G200))</f>
        <v>2888</v>
      </c>
      <c r="H201" s="25"/>
      <c r="I201" s="12">
        <f>TRUNC(SUM(I200))</f>
        <v>3150</v>
      </c>
      <c r="J201" s="25"/>
      <c r="K201" s="12">
        <f>TRUNC(SUM(K200))</f>
        <v>3676</v>
      </c>
    </row>
    <row r="202" spans="2:13" ht="12.95" customHeight="1" x14ac:dyDescent="0.3">
      <c r="B202" s="50"/>
      <c r="C202" s="51"/>
      <c r="D202" s="51"/>
      <c r="E202" s="22"/>
      <c r="F202" s="15"/>
      <c r="G202" s="24"/>
      <c r="H202" s="15"/>
      <c r="I202" s="24"/>
      <c r="J202" s="15"/>
      <c r="K202" s="24"/>
    </row>
    <row r="203" spans="2:13" ht="12.95" customHeight="1" x14ac:dyDescent="0.3">
      <c r="B203" s="52" t="s">
        <v>29</v>
      </c>
      <c r="C203" s="53"/>
      <c r="D203" s="54" t="s">
        <v>9</v>
      </c>
      <c r="E203" s="55">
        <v>262580</v>
      </c>
      <c r="F203" s="25">
        <v>0.22</v>
      </c>
      <c r="G203" s="3">
        <f t="shared" ref="G203" si="64">TRUNC($E203*F203,1)</f>
        <v>57767.6</v>
      </c>
      <c r="H203" s="25">
        <v>0.24</v>
      </c>
      <c r="I203" s="3">
        <f t="shared" ref="I203" si="65">TRUNC($E203*H203,1)</f>
        <v>63019.199999999997</v>
      </c>
      <c r="J203" s="25">
        <v>0.28000000000000003</v>
      </c>
      <c r="K203" s="3">
        <f t="shared" ref="K203" si="66">TRUNC($E203*J203,1)</f>
        <v>73522.399999999994</v>
      </c>
    </row>
    <row r="204" spans="2:13" ht="12.95" customHeight="1" x14ac:dyDescent="0.3">
      <c r="B204" s="58" t="s">
        <v>11</v>
      </c>
      <c r="C204" s="51"/>
      <c r="D204" s="51"/>
      <c r="E204" s="22"/>
      <c r="F204" s="15"/>
      <c r="G204" s="16">
        <f>TRUNC(SUM(G203:G203))</f>
        <v>57767</v>
      </c>
      <c r="H204" s="15"/>
      <c r="I204" s="16">
        <f>TRUNC(SUM(I203:I203))</f>
        <v>63019</v>
      </c>
      <c r="J204" s="15"/>
      <c r="K204" s="16">
        <f>TRUNC(SUM(K203:K203))</f>
        <v>73522</v>
      </c>
    </row>
    <row r="205" spans="2:13" ht="12.95" customHeight="1" x14ac:dyDescent="0.3">
      <c r="B205" s="50"/>
      <c r="C205" s="51"/>
      <c r="D205" s="51"/>
      <c r="E205" s="22"/>
      <c r="F205" s="15"/>
      <c r="G205" s="24"/>
      <c r="H205" s="15"/>
      <c r="I205" s="24"/>
      <c r="J205" s="15"/>
      <c r="K205" s="24"/>
    </row>
    <row r="206" spans="2:13" ht="12.95" customHeight="1" x14ac:dyDescent="0.3">
      <c r="B206" s="66" t="s">
        <v>13</v>
      </c>
      <c r="C206" s="76"/>
      <c r="D206" s="76"/>
      <c r="E206" s="77"/>
      <c r="F206" s="77"/>
      <c r="G206" s="26">
        <f>SUM(G201+G204)</f>
        <v>60655</v>
      </c>
      <c r="H206" s="77"/>
      <c r="I206" s="26">
        <f>SUM(I201+I204)</f>
        <v>66169</v>
      </c>
      <c r="J206" s="77"/>
      <c r="K206" s="26">
        <f>SUM(K201+K204)</f>
        <v>77198</v>
      </c>
    </row>
    <row r="207" spans="2:13" ht="12.95" customHeight="1" x14ac:dyDescent="0.3">
      <c r="B207" s="97" t="s">
        <v>3</v>
      </c>
      <c r="C207" s="99" t="s">
        <v>16</v>
      </c>
      <c r="D207" s="101" t="s">
        <v>8</v>
      </c>
      <c r="E207" s="92" t="s">
        <v>4</v>
      </c>
      <c r="F207" s="95" t="s">
        <v>46</v>
      </c>
      <c r="G207" s="96"/>
      <c r="H207" s="95" t="s">
        <v>48</v>
      </c>
      <c r="I207" s="96"/>
      <c r="J207" s="95" t="s">
        <v>49</v>
      </c>
      <c r="K207" s="96"/>
    </row>
    <row r="208" spans="2:13" ht="12.95" customHeight="1" x14ac:dyDescent="0.3">
      <c r="B208" s="98"/>
      <c r="C208" s="100"/>
      <c r="D208" s="101"/>
      <c r="E208" s="94"/>
      <c r="F208" s="74" t="s">
        <v>5</v>
      </c>
      <c r="G208" s="75" t="s">
        <v>6</v>
      </c>
      <c r="H208" s="74" t="s">
        <v>5</v>
      </c>
      <c r="I208" s="75" t="s">
        <v>6</v>
      </c>
      <c r="J208" s="74" t="s">
        <v>5</v>
      </c>
      <c r="K208" s="75" t="s">
        <v>6</v>
      </c>
    </row>
    <row r="209" spans="2:11" ht="12.95" customHeight="1" x14ac:dyDescent="0.3">
      <c r="B209" s="42" t="s">
        <v>53</v>
      </c>
      <c r="C209" s="43" t="s">
        <v>18</v>
      </c>
      <c r="D209" s="44" t="s">
        <v>15</v>
      </c>
      <c r="E209" s="45"/>
      <c r="F209" s="21">
        <v>1</v>
      </c>
      <c r="G209" s="5">
        <f>TRUNC(SUM(G212:G212)*0.05,1)</f>
        <v>4201.2</v>
      </c>
      <c r="H209" s="21">
        <v>1</v>
      </c>
      <c r="I209" s="5">
        <f>TRUNC(SUM(I212:I212)*0.05,1)</f>
        <v>4726.3999999999996</v>
      </c>
      <c r="J209" s="21">
        <v>1</v>
      </c>
      <c r="K209" s="5">
        <f>TRUNC(SUM(K212:K212)*0.05,1)</f>
        <v>5251.6</v>
      </c>
    </row>
    <row r="210" spans="2:11" ht="12.95" customHeight="1" x14ac:dyDescent="0.3">
      <c r="B210" s="46" t="s">
        <v>10</v>
      </c>
      <c r="C210" s="47"/>
      <c r="D210" s="48"/>
      <c r="E210" s="49"/>
      <c r="F210" s="25"/>
      <c r="G210" s="12">
        <f>TRUNC(SUM(G209))</f>
        <v>4201</v>
      </c>
      <c r="H210" s="25"/>
      <c r="I210" s="12">
        <f>TRUNC(SUM(I209))</f>
        <v>4726</v>
      </c>
      <c r="J210" s="25"/>
      <c r="K210" s="12">
        <f>TRUNC(SUM(K209))</f>
        <v>5251</v>
      </c>
    </row>
    <row r="211" spans="2:11" ht="12.95" customHeight="1" x14ac:dyDescent="0.3">
      <c r="B211" s="50"/>
      <c r="C211" s="51"/>
      <c r="D211" s="51"/>
      <c r="E211" s="22"/>
      <c r="F211" s="15"/>
      <c r="G211" s="24"/>
      <c r="H211" s="15"/>
      <c r="I211" s="24"/>
      <c r="J211" s="15"/>
      <c r="K211" s="24"/>
    </row>
    <row r="212" spans="2:11" ht="12.95" customHeight="1" x14ac:dyDescent="0.3">
      <c r="B212" s="52" t="s">
        <v>29</v>
      </c>
      <c r="C212" s="53"/>
      <c r="D212" s="54" t="s">
        <v>9</v>
      </c>
      <c r="E212" s="55">
        <v>262580</v>
      </c>
      <c r="F212" s="25">
        <v>0.32</v>
      </c>
      <c r="G212" s="3">
        <f t="shared" ref="G212" si="67">TRUNC($E212*F212,1)</f>
        <v>84025.600000000006</v>
      </c>
      <c r="H212" s="25">
        <v>0.36</v>
      </c>
      <c r="I212" s="3">
        <f t="shared" ref="I212" si="68">TRUNC($E212*H212,1)</f>
        <v>94528.8</v>
      </c>
      <c r="J212" s="25">
        <v>0.4</v>
      </c>
      <c r="K212" s="3">
        <f t="shared" ref="K212" si="69">TRUNC($E212*J212,1)</f>
        <v>105032</v>
      </c>
    </row>
    <row r="213" spans="2:11" ht="12.95" customHeight="1" x14ac:dyDescent="0.3">
      <c r="B213" s="58" t="s">
        <v>11</v>
      </c>
      <c r="C213" s="51"/>
      <c r="D213" s="51"/>
      <c r="E213" s="22"/>
      <c r="F213" s="15"/>
      <c r="G213" s="16">
        <f>TRUNC(SUM(G212:G212))</f>
        <v>84025</v>
      </c>
      <c r="H213" s="15"/>
      <c r="I213" s="16">
        <f>TRUNC(SUM(I212:I212))</f>
        <v>94528</v>
      </c>
      <c r="J213" s="15"/>
      <c r="K213" s="16">
        <f>TRUNC(SUM(K212:K212))</f>
        <v>105032</v>
      </c>
    </row>
    <row r="214" spans="2:11" ht="12.95" customHeight="1" x14ac:dyDescent="0.3">
      <c r="B214" s="50"/>
      <c r="C214" s="51"/>
      <c r="D214" s="51"/>
      <c r="E214" s="22"/>
      <c r="F214" s="15"/>
      <c r="G214" s="24"/>
      <c r="H214" s="15"/>
      <c r="I214" s="24"/>
      <c r="J214" s="15"/>
      <c r="K214" s="24"/>
    </row>
    <row r="215" spans="2:11" ht="12.95" customHeight="1" x14ac:dyDescent="0.3">
      <c r="B215" s="66" t="s">
        <v>13</v>
      </c>
      <c r="C215" s="76"/>
      <c r="D215" s="76"/>
      <c r="E215" s="77"/>
      <c r="F215" s="77"/>
      <c r="G215" s="26">
        <f>SUM(G210+G213)</f>
        <v>88226</v>
      </c>
      <c r="H215" s="77"/>
      <c r="I215" s="26">
        <f>SUM(I210+I213)</f>
        <v>99254</v>
      </c>
      <c r="J215" s="77"/>
      <c r="K215" s="26">
        <f>SUM(K210+K213)</f>
        <v>110283</v>
      </c>
    </row>
    <row r="216" spans="2:11" ht="12.95" customHeight="1" x14ac:dyDescent="0.3">
      <c r="B216" s="97" t="s">
        <v>3</v>
      </c>
      <c r="C216" s="99" t="s">
        <v>16</v>
      </c>
      <c r="D216" s="101" t="s">
        <v>8</v>
      </c>
      <c r="E216" s="92" t="s">
        <v>4</v>
      </c>
      <c r="F216" s="95" t="s">
        <v>50</v>
      </c>
      <c r="G216" s="96"/>
      <c r="H216" s="95" t="s">
        <v>51</v>
      </c>
      <c r="I216" s="96"/>
      <c r="J216" s="95" t="s">
        <v>52</v>
      </c>
      <c r="K216" s="96"/>
    </row>
    <row r="217" spans="2:11" ht="12.95" customHeight="1" x14ac:dyDescent="0.3">
      <c r="B217" s="98"/>
      <c r="C217" s="100"/>
      <c r="D217" s="101"/>
      <c r="E217" s="94"/>
      <c r="F217" s="74" t="s">
        <v>5</v>
      </c>
      <c r="G217" s="75" t="s">
        <v>6</v>
      </c>
      <c r="H217" s="74" t="s">
        <v>5</v>
      </c>
      <c r="I217" s="75" t="s">
        <v>6</v>
      </c>
      <c r="J217" s="74" t="s">
        <v>5</v>
      </c>
      <c r="K217" s="75" t="s">
        <v>6</v>
      </c>
    </row>
    <row r="218" spans="2:11" ht="12.95" customHeight="1" x14ac:dyDescent="0.3">
      <c r="B218" s="42" t="s">
        <v>53</v>
      </c>
      <c r="C218" s="43" t="s">
        <v>18</v>
      </c>
      <c r="D218" s="44" t="s">
        <v>15</v>
      </c>
      <c r="E218" s="45"/>
      <c r="F218" s="21">
        <v>1</v>
      </c>
      <c r="G218" s="5">
        <f>TRUNC(SUM(G221:G221)*0.05,1)</f>
        <v>5776.7</v>
      </c>
      <c r="H218" s="21">
        <v>1</v>
      </c>
      <c r="I218" s="5">
        <f>TRUNC(SUM(I221:I221)*0.05,1)</f>
        <v>6301.9</v>
      </c>
      <c r="J218" s="21">
        <v>1</v>
      </c>
      <c r="K218" s="5">
        <f>TRUNC(SUM(K221:K221)*0.05,1)</f>
        <v>6827</v>
      </c>
    </row>
    <row r="219" spans="2:11" ht="12.95" customHeight="1" x14ac:dyDescent="0.3">
      <c r="B219" s="46" t="s">
        <v>10</v>
      </c>
      <c r="C219" s="47"/>
      <c r="D219" s="48"/>
      <c r="E219" s="49"/>
      <c r="F219" s="25"/>
      <c r="G219" s="12">
        <f>TRUNC(SUM(G218))</f>
        <v>5776</v>
      </c>
      <c r="H219" s="25"/>
      <c r="I219" s="12">
        <f>TRUNC(SUM(I218))</f>
        <v>6301</v>
      </c>
      <c r="J219" s="25"/>
      <c r="K219" s="12">
        <f>TRUNC(SUM(K218))</f>
        <v>6827</v>
      </c>
    </row>
    <row r="220" spans="2:11" ht="12.95" customHeight="1" x14ac:dyDescent="0.3">
      <c r="B220" s="50"/>
      <c r="C220" s="51"/>
      <c r="D220" s="51"/>
      <c r="E220" s="22"/>
      <c r="F220" s="15"/>
      <c r="G220" s="24"/>
      <c r="H220" s="15"/>
      <c r="I220" s="24"/>
      <c r="J220" s="15"/>
      <c r="K220" s="24"/>
    </row>
    <row r="221" spans="2:11" ht="12.95" customHeight="1" x14ac:dyDescent="0.3">
      <c r="B221" s="52" t="s">
        <v>29</v>
      </c>
      <c r="C221" s="53"/>
      <c r="D221" s="54" t="s">
        <v>9</v>
      </c>
      <c r="E221" s="55">
        <v>262580</v>
      </c>
      <c r="F221" s="25">
        <v>0.44</v>
      </c>
      <c r="G221" s="3">
        <f t="shared" ref="G221" si="70">TRUNC($E221*F221,1)</f>
        <v>115535.2</v>
      </c>
      <c r="H221" s="25">
        <v>0.48</v>
      </c>
      <c r="I221" s="3">
        <f t="shared" ref="I221" si="71">TRUNC($E221*H221,1)</f>
        <v>126038.39999999999</v>
      </c>
      <c r="J221" s="25">
        <v>0.52</v>
      </c>
      <c r="K221" s="3">
        <f t="shared" ref="K221" si="72">TRUNC($E221*J221,1)</f>
        <v>136541.6</v>
      </c>
    </row>
    <row r="222" spans="2:11" ht="12.95" customHeight="1" x14ac:dyDescent="0.3">
      <c r="B222" s="58" t="s">
        <v>11</v>
      </c>
      <c r="C222" s="51"/>
      <c r="D222" s="51"/>
      <c r="E222" s="22"/>
      <c r="F222" s="15"/>
      <c r="G222" s="16">
        <f>TRUNC(SUM(G221:G221))</f>
        <v>115535</v>
      </c>
      <c r="H222" s="15"/>
      <c r="I222" s="16">
        <f>TRUNC(SUM(I221:I221))</f>
        <v>126038</v>
      </c>
      <c r="J222" s="15"/>
      <c r="K222" s="16">
        <f>TRUNC(SUM(K221:K221))</f>
        <v>136541</v>
      </c>
    </row>
    <row r="223" spans="2:11" ht="12.95" customHeight="1" x14ac:dyDescent="0.3">
      <c r="B223" s="50"/>
      <c r="C223" s="51"/>
      <c r="D223" s="51"/>
      <c r="E223" s="22"/>
      <c r="F223" s="15"/>
      <c r="G223" s="24"/>
      <c r="H223" s="15"/>
      <c r="I223" s="24"/>
      <c r="J223" s="15"/>
      <c r="K223" s="24"/>
    </row>
    <row r="224" spans="2:11" ht="12.95" customHeight="1" x14ac:dyDescent="0.3">
      <c r="B224" s="66" t="s">
        <v>13</v>
      </c>
      <c r="C224" s="76"/>
      <c r="D224" s="76"/>
      <c r="E224" s="77"/>
      <c r="F224" s="77"/>
      <c r="G224" s="26">
        <f>SUM(G219+G222)</f>
        <v>121311</v>
      </c>
      <c r="H224" s="77"/>
      <c r="I224" s="26">
        <f>SUM(I219+I222)</f>
        <v>132339</v>
      </c>
      <c r="J224" s="77"/>
      <c r="K224" s="26">
        <f>SUM(K219+K222)</f>
        <v>143368</v>
      </c>
    </row>
    <row r="226" spans="2:13" ht="12.95" customHeight="1" x14ac:dyDescent="0.3">
      <c r="B226" s="32" t="s">
        <v>59</v>
      </c>
    </row>
    <row r="227" spans="2:13" ht="12.95" customHeight="1" x14ac:dyDescent="0.3">
      <c r="B227" s="34" t="s">
        <v>182</v>
      </c>
      <c r="C227" s="35"/>
      <c r="D227" s="13"/>
      <c r="E227" s="36"/>
      <c r="F227" s="13"/>
      <c r="G227" s="13"/>
      <c r="M227" s="37" t="s">
        <v>169</v>
      </c>
    </row>
    <row r="228" spans="2:13" ht="12.95" customHeight="1" x14ac:dyDescent="0.3">
      <c r="B228" s="89" t="s">
        <v>3</v>
      </c>
      <c r="C228" s="92" t="s">
        <v>7</v>
      </c>
      <c r="D228" s="92" t="s">
        <v>8</v>
      </c>
      <c r="E228" s="92" t="s">
        <v>4</v>
      </c>
      <c r="F228" s="95" t="s">
        <v>170</v>
      </c>
      <c r="G228" s="96"/>
      <c r="H228" s="95" t="s">
        <v>28</v>
      </c>
      <c r="I228" s="96"/>
      <c r="J228" s="95" t="s">
        <v>35</v>
      </c>
      <c r="K228" s="96"/>
      <c r="L228" s="95" t="s">
        <v>36</v>
      </c>
      <c r="M228" s="96"/>
    </row>
    <row r="229" spans="2:13" ht="12.95" customHeight="1" x14ac:dyDescent="0.3">
      <c r="B229" s="90"/>
      <c r="C229" s="93"/>
      <c r="D229" s="93"/>
      <c r="E229" s="93"/>
      <c r="F229" s="38" t="s">
        <v>174</v>
      </c>
      <c r="G229" s="39">
        <v>14</v>
      </c>
      <c r="H229" s="38" t="s">
        <v>174</v>
      </c>
      <c r="I229" s="39">
        <v>13</v>
      </c>
      <c r="J229" s="38" t="s">
        <v>174</v>
      </c>
      <c r="K229" s="39">
        <v>12</v>
      </c>
      <c r="L229" s="38" t="s">
        <v>174</v>
      </c>
      <c r="M229" s="39">
        <v>11</v>
      </c>
    </row>
    <row r="230" spans="2:13" ht="12.95" customHeight="1" x14ac:dyDescent="0.3">
      <c r="B230" s="91"/>
      <c r="C230" s="94"/>
      <c r="D230" s="94"/>
      <c r="E230" s="94"/>
      <c r="F230" s="40" t="s">
        <v>21</v>
      </c>
      <c r="G230" s="41" t="s">
        <v>173</v>
      </c>
      <c r="H230" s="40" t="s">
        <v>21</v>
      </c>
      <c r="I230" s="41" t="s">
        <v>173</v>
      </c>
      <c r="J230" s="40" t="s">
        <v>21</v>
      </c>
      <c r="K230" s="41" t="s">
        <v>173</v>
      </c>
      <c r="L230" s="40" t="s">
        <v>21</v>
      </c>
      <c r="M230" s="41" t="s">
        <v>173</v>
      </c>
    </row>
    <row r="231" spans="2:13" ht="12.95" customHeight="1" x14ac:dyDescent="0.3">
      <c r="B231" s="59" t="s">
        <v>183</v>
      </c>
      <c r="C231" s="59" t="s">
        <v>33</v>
      </c>
      <c r="D231" s="61" t="s">
        <v>17</v>
      </c>
      <c r="E231" s="17">
        <v>7951</v>
      </c>
      <c r="F231" s="56">
        <v>8</v>
      </c>
      <c r="G231" s="3">
        <f t="shared" ref="G231:M231" si="73">TRUNC($E231*F231,1)</f>
        <v>63608</v>
      </c>
      <c r="H231" s="56">
        <v>8</v>
      </c>
      <c r="I231" s="3">
        <f t="shared" si="73"/>
        <v>63608</v>
      </c>
      <c r="J231" s="56">
        <v>8</v>
      </c>
      <c r="K231" s="3">
        <f t="shared" si="73"/>
        <v>63608</v>
      </c>
      <c r="L231" s="56">
        <v>8</v>
      </c>
      <c r="M231" s="3">
        <f t="shared" si="73"/>
        <v>63608</v>
      </c>
    </row>
    <row r="232" spans="2:13" ht="12.95" customHeight="1" x14ac:dyDescent="0.3">
      <c r="B232" s="59" t="s">
        <v>184</v>
      </c>
      <c r="C232" s="60" t="s">
        <v>172</v>
      </c>
      <c r="D232" s="51"/>
      <c r="E232" s="22"/>
      <c r="F232" s="23"/>
      <c r="G232" s="24"/>
      <c r="H232" s="23"/>
      <c r="I232" s="24"/>
      <c r="J232" s="23"/>
      <c r="K232" s="24"/>
      <c r="L232" s="23"/>
      <c r="M232" s="24"/>
    </row>
    <row r="233" spans="2:13" ht="12.95" customHeight="1" x14ac:dyDescent="0.3">
      <c r="B233" s="46" t="s">
        <v>10</v>
      </c>
      <c r="C233" s="51"/>
      <c r="D233" s="51"/>
      <c r="E233" s="22"/>
      <c r="F233" s="23"/>
      <c r="G233" s="16">
        <f>TRUNC(SUM(G231:G231))</f>
        <v>63608</v>
      </c>
      <c r="H233" s="23"/>
      <c r="I233" s="16">
        <f>TRUNC(SUM(I231:I231))</f>
        <v>63608</v>
      </c>
      <c r="J233" s="23"/>
      <c r="K233" s="16">
        <f>TRUNC(SUM(K231:K231))</f>
        <v>63608</v>
      </c>
      <c r="L233" s="23"/>
      <c r="M233" s="16">
        <f>TRUNC(SUM(M231:M231))</f>
        <v>63608</v>
      </c>
    </row>
    <row r="234" spans="2:13" ht="12.95" customHeight="1" x14ac:dyDescent="0.3">
      <c r="B234" s="50"/>
      <c r="C234" s="51"/>
      <c r="D234" s="51"/>
      <c r="E234" s="22"/>
      <c r="F234" s="23"/>
      <c r="G234" s="24"/>
      <c r="H234" s="23"/>
      <c r="I234" s="24"/>
      <c r="J234" s="23"/>
      <c r="K234" s="24"/>
      <c r="L234" s="23"/>
      <c r="M234" s="24"/>
    </row>
    <row r="235" spans="2:13" ht="12.95" customHeight="1" x14ac:dyDescent="0.3">
      <c r="B235" s="52" t="s">
        <v>29</v>
      </c>
      <c r="C235" s="53"/>
      <c r="D235" s="54" t="s">
        <v>9</v>
      </c>
      <c r="E235" s="55">
        <v>262580</v>
      </c>
      <c r="F235" s="56">
        <v>2</v>
      </c>
      <c r="G235" s="3">
        <f t="shared" ref="G235:M237" si="74">TRUNC($E235*F235,1)</f>
        <v>525160</v>
      </c>
      <c r="H235" s="56">
        <v>2</v>
      </c>
      <c r="I235" s="3">
        <f t="shared" si="74"/>
        <v>525160</v>
      </c>
      <c r="J235" s="56">
        <v>2</v>
      </c>
      <c r="K235" s="3">
        <f t="shared" si="74"/>
        <v>525160</v>
      </c>
      <c r="L235" s="56">
        <v>2</v>
      </c>
      <c r="M235" s="3">
        <f t="shared" si="74"/>
        <v>525160</v>
      </c>
    </row>
    <row r="236" spans="2:13" ht="12.95" customHeight="1" x14ac:dyDescent="0.3">
      <c r="B236" s="52" t="s">
        <v>1</v>
      </c>
      <c r="C236" s="53"/>
      <c r="D236" s="54" t="s">
        <v>9</v>
      </c>
      <c r="E236" s="57">
        <v>172068</v>
      </c>
      <c r="F236" s="56">
        <v>1</v>
      </c>
      <c r="G236" s="3">
        <f t="shared" si="74"/>
        <v>172068</v>
      </c>
      <c r="H236" s="56">
        <v>1</v>
      </c>
      <c r="I236" s="3">
        <f t="shared" si="74"/>
        <v>172068</v>
      </c>
      <c r="J236" s="56">
        <v>1</v>
      </c>
      <c r="K236" s="3">
        <f t="shared" si="74"/>
        <v>172068</v>
      </c>
      <c r="L236" s="56">
        <v>1</v>
      </c>
      <c r="M236" s="3">
        <f t="shared" si="74"/>
        <v>172068</v>
      </c>
    </row>
    <row r="237" spans="2:13" ht="12.95" customHeight="1" x14ac:dyDescent="0.3">
      <c r="B237" s="59" t="s">
        <v>183</v>
      </c>
      <c r="C237" s="59" t="s">
        <v>33</v>
      </c>
      <c r="D237" s="61" t="s">
        <v>17</v>
      </c>
      <c r="E237" s="17">
        <v>58925</v>
      </c>
      <c r="F237" s="56">
        <v>8</v>
      </c>
      <c r="G237" s="3">
        <f t="shared" si="74"/>
        <v>471400</v>
      </c>
      <c r="H237" s="56">
        <v>8</v>
      </c>
      <c r="I237" s="3">
        <f t="shared" si="74"/>
        <v>471400</v>
      </c>
      <c r="J237" s="56">
        <v>8</v>
      </c>
      <c r="K237" s="3">
        <f t="shared" si="74"/>
        <v>471400</v>
      </c>
      <c r="L237" s="56">
        <v>8</v>
      </c>
      <c r="M237" s="3">
        <f t="shared" si="74"/>
        <v>471400</v>
      </c>
    </row>
    <row r="238" spans="2:13" ht="12.95" customHeight="1" x14ac:dyDescent="0.3">
      <c r="B238" s="59" t="s">
        <v>184</v>
      </c>
      <c r="C238" s="60" t="s">
        <v>172</v>
      </c>
      <c r="D238" s="51"/>
      <c r="E238" s="22"/>
      <c r="F238" s="23"/>
      <c r="G238" s="24"/>
      <c r="H238" s="23"/>
      <c r="I238" s="24"/>
      <c r="J238" s="23"/>
      <c r="K238" s="24"/>
      <c r="L238" s="23"/>
      <c r="M238" s="24"/>
    </row>
    <row r="239" spans="2:13" ht="12.95" customHeight="1" x14ac:dyDescent="0.3">
      <c r="B239" s="58" t="s">
        <v>11</v>
      </c>
      <c r="C239" s="51"/>
      <c r="D239" s="51"/>
      <c r="E239" s="22"/>
      <c r="F239" s="22"/>
      <c r="G239" s="16">
        <f>TRUNC(SUM(G235:G237))</f>
        <v>1168628</v>
      </c>
      <c r="H239" s="22"/>
      <c r="I239" s="16">
        <f>TRUNC(SUM(I235:I237))</f>
        <v>1168628</v>
      </c>
      <c r="J239" s="22"/>
      <c r="K239" s="16">
        <f>TRUNC(SUM(K235:K237))</f>
        <v>1168628</v>
      </c>
      <c r="L239" s="22"/>
      <c r="M239" s="16">
        <f>TRUNC(SUM(M235:M237))</f>
        <v>1168628</v>
      </c>
    </row>
    <row r="240" spans="2:13" ht="12.95" customHeight="1" x14ac:dyDescent="0.3">
      <c r="B240" s="50"/>
      <c r="C240" s="51"/>
      <c r="D240" s="51"/>
      <c r="E240" s="22"/>
      <c r="F240" s="22"/>
      <c r="G240" s="24"/>
      <c r="H240" s="22"/>
      <c r="I240" s="24"/>
      <c r="J240" s="22"/>
      <c r="K240" s="24"/>
      <c r="L240" s="22"/>
      <c r="M240" s="24"/>
    </row>
    <row r="241" spans="2:13" ht="12.95" customHeight="1" x14ac:dyDescent="0.3">
      <c r="B241" s="59" t="s">
        <v>183</v>
      </c>
      <c r="C241" s="59" t="s">
        <v>33</v>
      </c>
      <c r="D241" s="61" t="s">
        <v>17</v>
      </c>
      <c r="E241" s="17">
        <v>31344</v>
      </c>
      <c r="F241" s="56">
        <v>8</v>
      </c>
      <c r="G241" s="3">
        <f t="shared" ref="G241:M241" si="75">TRUNC($E241*F241,1)</f>
        <v>250752</v>
      </c>
      <c r="H241" s="56">
        <v>8</v>
      </c>
      <c r="I241" s="3">
        <f t="shared" si="75"/>
        <v>250752</v>
      </c>
      <c r="J241" s="56">
        <v>8</v>
      </c>
      <c r="K241" s="3">
        <f t="shared" si="75"/>
        <v>250752</v>
      </c>
      <c r="L241" s="56">
        <v>8</v>
      </c>
      <c r="M241" s="3">
        <f t="shared" si="75"/>
        <v>250752</v>
      </c>
    </row>
    <row r="242" spans="2:13" ht="12.95" customHeight="1" x14ac:dyDescent="0.3">
      <c r="B242" s="59" t="s">
        <v>184</v>
      </c>
      <c r="C242" s="60" t="s">
        <v>172</v>
      </c>
      <c r="D242" s="51"/>
      <c r="E242" s="22"/>
      <c r="F242" s="23"/>
      <c r="G242" s="24"/>
      <c r="H242" s="23"/>
      <c r="I242" s="24"/>
      <c r="J242" s="23"/>
      <c r="K242" s="24"/>
      <c r="L242" s="23"/>
      <c r="M242" s="24"/>
    </row>
    <row r="243" spans="2:13" ht="12.95" customHeight="1" x14ac:dyDescent="0.3">
      <c r="B243" s="46" t="s">
        <v>12</v>
      </c>
      <c r="C243" s="51"/>
      <c r="D243" s="51"/>
      <c r="E243" s="62"/>
      <c r="F243" s="15"/>
      <c r="G243" s="16">
        <f>TRUNC(SUM(G241:G241))</f>
        <v>250752</v>
      </c>
      <c r="H243" s="15"/>
      <c r="I243" s="16">
        <f>TRUNC(SUM(I241:I241))</f>
        <v>250752</v>
      </c>
      <c r="J243" s="15"/>
      <c r="K243" s="16">
        <f>TRUNC(SUM(K241:K241))</f>
        <v>250752</v>
      </c>
      <c r="L243" s="15"/>
      <c r="M243" s="16">
        <f>TRUNC(SUM(M241:M241))</f>
        <v>250752</v>
      </c>
    </row>
    <row r="244" spans="2:13" ht="12.95" customHeight="1" x14ac:dyDescent="0.3">
      <c r="B244" s="63"/>
      <c r="C244" s="59"/>
      <c r="D244" s="59"/>
      <c r="E244" s="64"/>
      <c r="F244" s="25"/>
      <c r="G244" s="27"/>
      <c r="H244" s="25"/>
      <c r="I244" s="27"/>
      <c r="J244" s="25"/>
      <c r="K244" s="27"/>
      <c r="L244" s="25"/>
      <c r="M244" s="27"/>
    </row>
    <row r="245" spans="2:13" ht="12.95" customHeight="1" x14ac:dyDescent="0.3">
      <c r="B245" s="65" t="s">
        <v>13</v>
      </c>
      <c r="C245" s="51"/>
      <c r="D245" s="51"/>
      <c r="E245" s="62"/>
      <c r="F245" s="62"/>
      <c r="G245" s="29">
        <f>SUM(G233+G239+G243)</f>
        <v>1482988</v>
      </c>
      <c r="H245" s="62"/>
      <c r="I245" s="29">
        <f>SUM(I233+I239+I243)</f>
        <v>1482988</v>
      </c>
      <c r="J245" s="62"/>
      <c r="K245" s="29">
        <f>SUM(K233+K239+K243)</f>
        <v>1482988</v>
      </c>
      <c r="L245" s="62"/>
      <c r="M245" s="29">
        <f>SUM(M233+M239+M243)</f>
        <v>1482988</v>
      </c>
    </row>
    <row r="246" spans="2:13" ht="12.95" customHeight="1" x14ac:dyDescent="0.3">
      <c r="B246" s="66" t="s">
        <v>175</v>
      </c>
      <c r="C246" s="67"/>
      <c r="D246" s="68"/>
      <c r="E246" s="69"/>
      <c r="F246" s="70"/>
      <c r="G246" s="71">
        <f>TRUNC(G245/G229)</f>
        <v>105927</v>
      </c>
      <c r="H246" s="70"/>
      <c r="I246" s="71">
        <f>TRUNC(I245/I229)</f>
        <v>114076</v>
      </c>
      <c r="J246" s="70"/>
      <c r="K246" s="71">
        <f>TRUNC(K245/K229)</f>
        <v>123582</v>
      </c>
      <c r="L246" s="70"/>
      <c r="M246" s="71">
        <f>TRUNC(M245/M229)</f>
        <v>134817</v>
      </c>
    </row>
    <row r="247" spans="2:13" ht="12.95" customHeight="1" x14ac:dyDescent="0.3">
      <c r="B247" s="89" t="s">
        <v>3</v>
      </c>
      <c r="C247" s="92" t="s">
        <v>7</v>
      </c>
      <c r="D247" s="92" t="s">
        <v>8</v>
      </c>
      <c r="E247" s="92" t="s">
        <v>4</v>
      </c>
      <c r="F247" s="95" t="s">
        <v>37</v>
      </c>
      <c r="G247" s="96"/>
      <c r="H247" s="95" t="s">
        <v>39</v>
      </c>
      <c r="I247" s="96"/>
      <c r="J247" s="95" t="s">
        <v>40</v>
      </c>
      <c r="K247" s="96"/>
      <c r="L247" s="95" t="s">
        <v>41</v>
      </c>
      <c r="M247" s="96"/>
    </row>
    <row r="248" spans="2:13" ht="12.95" customHeight="1" x14ac:dyDescent="0.3">
      <c r="B248" s="90"/>
      <c r="C248" s="93"/>
      <c r="D248" s="93"/>
      <c r="E248" s="93"/>
      <c r="F248" s="38" t="s">
        <v>174</v>
      </c>
      <c r="G248" s="39">
        <v>10</v>
      </c>
      <c r="H248" s="38" t="s">
        <v>174</v>
      </c>
      <c r="I248" s="39">
        <v>10</v>
      </c>
      <c r="J248" s="38" t="s">
        <v>174</v>
      </c>
      <c r="K248" s="39">
        <v>9</v>
      </c>
      <c r="L248" s="38" t="s">
        <v>174</v>
      </c>
      <c r="M248" s="39">
        <v>8</v>
      </c>
    </row>
    <row r="249" spans="2:13" ht="12.95" customHeight="1" x14ac:dyDescent="0.3">
      <c r="B249" s="91"/>
      <c r="C249" s="94"/>
      <c r="D249" s="94"/>
      <c r="E249" s="94"/>
      <c r="F249" s="40" t="s">
        <v>21</v>
      </c>
      <c r="G249" s="41" t="s">
        <v>173</v>
      </c>
      <c r="H249" s="40" t="s">
        <v>21</v>
      </c>
      <c r="I249" s="41" t="s">
        <v>173</v>
      </c>
      <c r="J249" s="40" t="s">
        <v>21</v>
      </c>
      <c r="K249" s="41" t="s">
        <v>173</v>
      </c>
      <c r="L249" s="40" t="s">
        <v>21</v>
      </c>
      <c r="M249" s="41" t="s">
        <v>173</v>
      </c>
    </row>
    <row r="250" spans="2:13" ht="12.95" customHeight="1" x14ac:dyDescent="0.3">
      <c r="B250" s="59" t="s">
        <v>183</v>
      </c>
      <c r="C250" s="59" t="s">
        <v>33</v>
      </c>
      <c r="D250" s="61" t="s">
        <v>17</v>
      </c>
      <c r="E250" s="17">
        <v>7951</v>
      </c>
      <c r="F250" s="56">
        <v>8</v>
      </c>
      <c r="G250" s="3">
        <f t="shared" ref="G250" si="76">TRUNC($E250*F250,1)</f>
        <v>63608</v>
      </c>
      <c r="H250" s="56">
        <v>8</v>
      </c>
      <c r="I250" s="3">
        <f t="shared" ref="I250" si="77">TRUNC($E250*H250,1)</f>
        <v>63608</v>
      </c>
      <c r="J250" s="56">
        <v>8</v>
      </c>
      <c r="K250" s="3">
        <f t="shared" ref="K250" si="78">TRUNC($E250*J250,1)</f>
        <v>63608</v>
      </c>
      <c r="L250" s="56">
        <v>8</v>
      </c>
      <c r="M250" s="3">
        <f t="shared" ref="M250" si="79">TRUNC($E250*L250,1)</f>
        <v>63608</v>
      </c>
    </row>
    <row r="251" spans="2:13" ht="12.95" customHeight="1" x14ac:dyDescent="0.3">
      <c r="B251" s="59" t="s">
        <v>184</v>
      </c>
      <c r="C251" s="60" t="s">
        <v>172</v>
      </c>
      <c r="D251" s="51"/>
      <c r="E251" s="22"/>
      <c r="F251" s="23"/>
      <c r="G251" s="24"/>
      <c r="H251" s="23"/>
      <c r="I251" s="24"/>
      <c r="J251" s="23"/>
      <c r="K251" s="24"/>
      <c r="L251" s="23"/>
      <c r="M251" s="24"/>
    </row>
    <row r="252" spans="2:13" ht="12.95" customHeight="1" x14ac:dyDescent="0.3">
      <c r="B252" s="46" t="s">
        <v>10</v>
      </c>
      <c r="C252" s="51"/>
      <c r="D252" s="51"/>
      <c r="E252" s="22"/>
      <c r="F252" s="23"/>
      <c r="G252" s="16">
        <f>TRUNC(SUM(G250:G250))</f>
        <v>63608</v>
      </c>
      <c r="H252" s="23"/>
      <c r="I252" s="16">
        <f>TRUNC(SUM(I250:I250))</f>
        <v>63608</v>
      </c>
      <c r="J252" s="23"/>
      <c r="K252" s="16">
        <f>TRUNC(SUM(K250:K250))</f>
        <v>63608</v>
      </c>
      <c r="L252" s="23"/>
      <c r="M252" s="16">
        <f>TRUNC(SUM(M250:M250))</f>
        <v>63608</v>
      </c>
    </row>
    <row r="253" spans="2:13" ht="12.95" customHeight="1" x14ac:dyDescent="0.3">
      <c r="B253" s="50"/>
      <c r="C253" s="51"/>
      <c r="D253" s="51"/>
      <c r="E253" s="22"/>
      <c r="F253" s="23"/>
      <c r="G253" s="24"/>
      <c r="H253" s="23"/>
      <c r="I253" s="24"/>
      <c r="J253" s="23"/>
      <c r="K253" s="24"/>
      <c r="L253" s="23"/>
      <c r="M253" s="24"/>
    </row>
    <row r="254" spans="2:13" ht="12.95" customHeight="1" x14ac:dyDescent="0.3">
      <c r="B254" s="52" t="s">
        <v>29</v>
      </c>
      <c r="C254" s="53"/>
      <c r="D254" s="54" t="s">
        <v>9</v>
      </c>
      <c r="E254" s="55">
        <v>262580</v>
      </c>
      <c r="F254" s="56">
        <v>2</v>
      </c>
      <c r="G254" s="3">
        <f t="shared" ref="G254:G256" si="80">TRUNC($E254*F254,1)</f>
        <v>525160</v>
      </c>
      <c r="H254" s="56">
        <v>2</v>
      </c>
      <c r="I254" s="3">
        <f t="shared" ref="I254:I256" si="81">TRUNC($E254*H254,1)</f>
        <v>525160</v>
      </c>
      <c r="J254" s="56">
        <v>2</v>
      </c>
      <c r="K254" s="3">
        <f t="shared" ref="K254:K256" si="82">TRUNC($E254*J254,1)</f>
        <v>525160</v>
      </c>
      <c r="L254" s="56">
        <v>2</v>
      </c>
      <c r="M254" s="3">
        <f t="shared" ref="M254:M256" si="83">TRUNC($E254*L254,1)</f>
        <v>525160</v>
      </c>
    </row>
    <row r="255" spans="2:13" ht="12.95" customHeight="1" x14ac:dyDescent="0.3">
      <c r="B255" s="52" t="s">
        <v>1</v>
      </c>
      <c r="C255" s="53"/>
      <c r="D255" s="54" t="s">
        <v>9</v>
      </c>
      <c r="E255" s="57">
        <v>172068</v>
      </c>
      <c r="F255" s="56">
        <v>1</v>
      </c>
      <c r="G255" s="3">
        <f t="shared" si="80"/>
        <v>172068</v>
      </c>
      <c r="H255" s="56">
        <v>1</v>
      </c>
      <c r="I255" s="3">
        <f t="shared" si="81"/>
        <v>172068</v>
      </c>
      <c r="J255" s="56">
        <v>1</v>
      </c>
      <c r="K255" s="3">
        <f t="shared" si="82"/>
        <v>172068</v>
      </c>
      <c r="L255" s="56">
        <v>1</v>
      </c>
      <c r="M255" s="3">
        <f t="shared" si="83"/>
        <v>172068</v>
      </c>
    </row>
    <row r="256" spans="2:13" ht="12.95" customHeight="1" x14ac:dyDescent="0.3">
      <c r="B256" s="59" t="s">
        <v>183</v>
      </c>
      <c r="C256" s="59" t="s">
        <v>33</v>
      </c>
      <c r="D256" s="61" t="s">
        <v>17</v>
      </c>
      <c r="E256" s="17">
        <v>58925</v>
      </c>
      <c r="F256" s="56">
        <v>8</v>
      </c>
      <c r="G256" s="3">
        <f t="shared" si="80"/>
        <v>471400</v>
      </c>
      <c r="H256" s="56">
        <v>8</v>
      </c>
      <c r="I256" s="3">
        <f t="shared" si="81"/>
        <v>471400</v>
      </c>
      <c r="J256" s="56">
        <v>8</v>
      </c>
      <c r="K256" s="3">
        <f t="shared" si="82"/>
        <v>471400</v>
      </c>
      <c r="L256" s="56">
        <v>8</v>
      </c>
      <c r="M256" s="3">
        <f t="shared" si="83"/>
        <v>471400</v>
      </c>
    </row>
    <row r="257" spans="2:13" ht="12.95" customHeight="1" x14ac:dyDescent="0.3">
      <c r="B257" s="59" t="s">
        <v>184</v>
      </c>
      <c r="C257" s="60" t="s">
        <v>172</v>
      </c>
      <c r="D257" s="51"/>
      <c r="E257" s="22"/>
      <c r="F257" s="23"/>
      <c r="G257" s="24"/>
      <c r="H257" s="23"/>
      <c r="I257" s="24"/>
      <c r="J257" s="23"/>
      <c r="K257" s="24"/>
      <c r="L257" s="23"/>
      <c r="M257" s="24"/>
    </row>
    <row r="258" spans="2:13" ht="12.95" customHeight="1" x14ac:dyDescent="0.3">
      <c r="B258" s="58" t="s">
        <v>11</v>
      </c>
      <c r="C258" s="51"/>
      <c r="D258" s="51"/>
      <c r="E258" s="22"/>
      <c r="F258" s="22"/>
      <c r="G258" s="16">
        <f>TRUNC(SUM(G254:G256))</f>
        <v>1168628</v>
      </c>
      <c r="H258" s="22"/>
      <c r="I258" s="16">
        <f>TRUNC(SUM(I254:I256))</f>
        <v>1168628</v>
      </c>
      <c r="J258" s="22"/>
      <c r="K258" s="16">
        <f>TRUNC(SUM(K254:K256))</f>
        <v>1168628</v>
      </c>
      <c r="L258" s="22"/>
      <c r="M258" s="16">
        <f>TRUNC(SUM(M254:M256))</f>
        <v>1168628</v>
      </c>
    </row>
    <row r="259" spans="2:13" ht="12.95" customHeight="1" x14ac:dyDescent="0.3">
      <c r="B259" s="50"/>
      <c r="C259" s="51"/>
      <c r="D259" s="51"/>
      <c r="E259" s="22"/>
      <c r="F259" s="22"/>
      <c r="G259" s="24"/>
      <c r="H259" s="22"/>
      <c r="I259" s="24"/>
      <c r="J259" s="22"/>
      <c r="K259" s="24"/>
      <c r="L259" s="22"/>
      <c r="M259" s="24"/>
    </row>
    <row r="260" spans="2:13" ht="12.95" customHeight="1" x14ac:dyDescent="0.3">
      <c r="B260" s="59" t="s">
        <v>183</v>
      </c>
      <c r="C260" s="59" t="s">
        <v>33</v>
      </c>
      <c r="D260" s="61" t="s">
        <v>17</v>
      </c>
      <c r="E260" s="17">
        <v>31344</v>
      </c>
      <c r="F260" s="56">
        <v>8</v>
      </c>
      <c r="G260" s="3">
        <f t="shared" ref="G260" si="84">TRUNC($E260*F260,1)</f>
        <v>250752</v>
      </c>
      <c r="H260" s="56">
        <v>8</v>
      </c>
      <c r="I260" s="3">
        <f t="shared" ref="I260" si="85">TRUNC($E260*H260,1)</f>
        <v>250752</v>
      </c>
      <c r="J260" s="56">
        <v>8</v>
      </c>
      <c r="K260" s="3">
        <f t="shared" ref="K260" si="86">TRUNC($E260*J260,1)</f>
        <v>250752</v>
      </c>
      <c r="L260" s="56">
        <v>8</v>
      </c>
      <c r="M260" s="3">
        <f t="shared" ref="M260" si="87">TRUNC($E260*L260,1)</f>
        <v>250752</v>
      </c>
    </row>
    <row r="261" spans="2:13" ht="12.95" customHeight="1" x14ac:dyDescent="0.3">
      <c r="B261" s="59" t="s">
        <v>184</v>
      </c>
      <c r="C261" s="60" t="s">
        <v>172</v>
      </c>
      <c r="D261" s="51"/>
      <c r="E261" s="22"/>
      <c r="F261" s="23"/>
      <c r="G261" s="24"/>
      <c r="H261" s="23"/>
      <c r="I261" s="24"/>
      <c r="J261" s="23"/>
      <c r="K261" s="24"/>
      <c r="L261" s="23"/>
      <c r="M261" s="24"/>
    </row>
    <row r="262" spans="2:13" ht="12.95" customHeight="1" x14ac:dyDescent="0.3">
      <c r="B262" s="46" t="s">
        <v>12</v>
      </c>
      <c r="C262" s="51"/>
      <c r="D262" s="51"/>
      <c r="E262" s="62"/>
      <c r="F262" s="15"/>
      <c r="G262" s="16">
        <f>TRUNC(SUM(G260:G260))</f>
        <v>250752</v>
      </c>
      <c r="H262" s="15"/>
      <c r="I262" s="16">
        <f>TRUNC(SUM(I260:I260))</f>
        <v>250752</v>
      </c>
      <c r="J262" s="15"/>
      <c r="K262" s="16">
        <f>TRUNC(SUM(K260:K260))</f>
        <v>250752</v>
      </c>
      <c r="L262" s="15"/>
      <c r="M262" s="16">
        <f>TRUNC(SUM(M260:M260))</f>
        <v>250752</v>
      </c>
    </row>
    <row r="263" spans="2:13" ht="12.95" customHeight="1" x14ac:dyDescent="0.3">
      <c r="B263" s="63"/>
      <c r="C263" s="59"/>
      <c r="D263" s="59"/>
      <c r="E263" s="64"/>
      <c r="F263" s="25"/>
      <c r="G263" s="27"/>
      <c r="H263" s="25"/>
      <c r="I263" s="27"/>
      <c r="J263" s="25"/>
      <c r="K263" s="27"/>
      <c r="L263" s="25"/>
      <c r="M263" s="27"/>
    </row>
    <row r="264" spans="2:13" ht="12.95" customHeight="1" x14ac:dyDescent="0.3">
      <c r="B264" s="65" t="s">
        <v>13</v>
      </c>
      <c r="C264" s="51"/>
      <c r="D264" s="51"/>
      <c r="E264" s="62"/>
      <c r="F264" s="62"/>
      <c r="G264" s="29">
        <f>SUM(G252+G258+G262)</f>
        <v>1482988</v>
      </c>
      <c r="H264" s="62"/>
      <c r="I264" s="29">
        <f>SUM(I252+I258+I262)</f>
        <v>1482988</v>
      </c>
      <c r="J264" s="62"/>
      <c r="K264" s="29">
        <f>SUM(K252+K258+K262)</f>
        <v>1482988</v>
      </c>
      <c r="L264" s="62"/>
      <c r="M264" s="29">
        <f>SUM(M252+M258+M262)</f>
        <v>1482988</v>
      </c>
    </row>
    <row r="265" spans="2:13" ht="12.95" customHeight="1" x14ac:dyDescent="0.3">
      <c r="B265" s="66" t="s">
        <v>175</v>
      </c>
      <c r="C265" s="67"/>
      <c r="D265" s="68"/>
      <c r="E265" s="69"/>
      <c r="F265" s="70"/>
      <c r="G265" s="71">
        <f>TRUNC(G264/G248)</f>
        <v>148298</v>
      </c>
      <c r="H265" s="70"/>
      <c r="I265" s="71">
        <f>TRUNC(I264/I248)</f>
        <v>148298</v>
      </c>
      <c r="J265" s="70"/>
      <c r="K265" s="71">
        <f>TRUNC(K264/K248)</f>
        <v>164776</v>
      </c>
      <c r="L265" s="70"/>
      <c r="M265" s="71">
        <f>TRUNC(M264/M248)</f>
        <v>185373</v>
      </c>
    </row>
    <row r="266" spans="2:13" ht="12.95" customHeight="1" x14ac:dyDescent="0.3">
      <c r="B266" s="89" t="s">
        <v>3</v>
      </c>
      <c r="C266" s="92" t="s">
        <v>7</v>
      </c>
      <c r="D266" s="92" t="s">
        <v>8</v>
      </c>
      <c r="E266" s="92" t="s">
        <v>4</v>
      </c>
      <c r="F266" s="95" t="s">
        <v>43</v>
      </c>
      <c r="G266" s="96"/>
      <c r="H266" s="95" t="s">
        <v>44</v>
      </c>
      <c r="I266" s="96"/>
      <c r="J266" s="95" t="s">
        <v>46</v>
      </c>
      <c r="K266" s="96"/>
    </row>
    <row r="267" spans="2:13" ht="12.95" customHeight="1" x14ac:dyDescent="0.3">
      <c r="B267" s="90"/>
      <c r="C267" s="93"/>
      <c r="D267" s="93"/>
      <c r="E267" s="93"/>
      <c r="F267" s="38" t="s">
        <v>174</v>
      </c>
      <c r="G267" s="39">
        <v>7</v>
      </c>
      <c r="H267" s="38" t="s">
        <v>174</v>
      </c>
      <c r="I267" s="39">
        <v>6</v>
      </c>
      <c r="J267" s="38" t="s">
        <v>174</v>
      </c>
      <c r="K267" s="39">
        <v>5</v>
      </c>
    </row>
    <row r="268" spans="2:13" ht="12.95" customHeight="1" x14ac:dyDescent="0.3">
      <c r="B268" s="91"/>
      <c r="C268" s="94"/>
      <c r="D268" s="94"/>
      <c r="E268" s="94"/>
      <c r="F268" s="40" t="s">
        <v>21</v>
      </c>
      <c r="G268" s="41" t="s">
        <v>173</v>
      </c>
      <c r="H268" s="40" t="s">
        <v>21</v>
      </c>
      <c r="I268" s="41" t="s">
        <v>173</v>
      </c>
      <c r="J268" s="40" t="s">
        <v>21</v>
      </c>
      <c r="K268" s="41" t="s">
        <v>173</v>
      </c>
    </row>
    <row r="269" spans="2:13" ht="12.95" customHeight="1" x14ac:dyDescent="0.3">
      <c r="B269" s="59" t="s">
        <v>183</v>
      </c>
      <c r="C269" s="59" t="s">
        <v>33</v>
      </c>
      <c r="D269" s="61" t="s">
        <v>17</v>
      </c>
      <c r="E269" s="17">
        <v>7951</v>
      </c>
      <c r="F269" s="56">
        <v>8</v>
      </c>
      <c r="G269" s="3">
        <f t="shared" ref="G269" si="88">TRUNC($E269*F269,1)</f>
        <v>63608</v>
      </c>
      <c r="H269" s="56">
        <v>8</v>
      </c>
      <c r="I269" s="3">
        <f t="shared" ref="I269" si="89">TRUNC($E269*H269,1)</f>
        <v>63608</v>
      </c>
      <c r="J269" s="56">
        <v>8</v>
      </c>
      <c r="K269" s="3">
        <f t="shared" ref="K269" si="90">TRUNC($E269*J269,1)</f>
        <v>63608</v>
      </c>
    </row>
    <row r="270" spans="2:13" ht="12.95" customHeight="1" x14ac:dyDescent="0.3">
      <c r="B270" s="59" t="s">
        <v>184</v>
      </c>
      <c r="C270" s="60" t="s">
        <v>172</v>
      </c>
      <c r="D270" s="51"/>
      <c r="E270" s="22"/>
      <c r="F270" s="23"/>
      <c r="G270" s="24"/>
      <c r="H270" s="23"/>
      <c r="I270" s="24"/>
      <c r="J270" s="23"/>
      <c r="K270" s="24"/>
    </row>
    <row r="271" spans="2:13" ht="12.95" customHeight="1" x14ac:dyDescent="0.3">
      <c r="B271" s="46" t="s">
        <v>10</v>
      </c>
      <c r="C271" s="51"/>
      <c r="D271" s="51"/>
      <c r="E271" s="22"/>
      <c r="F271" s="23"/>
      <c r="G271" s="16">
        <f>TRUNC(SUM(G269:G269))</f>
        <v>63608</v>
      </c>
      <c r="H271" s="23"/>
      <c r="I271" s="16">
        <f>TRUNC(SUM(I269:I269))</f>
        <v>63608</v>
      </c>
      <c r="J271" s="23"/>
      <c r="K271" s="16">
        <f>TRUNC(SUM(K269:K269))</f>
        <v>63608</v>
      </c>
    </row>
    <row r="272" spans="2:13" ht="12.95" customHeight="1" x14ac:dyDescent="0.3">
      <c r="B272" s="50"/>
      <c r="C272" s="51"/>
      <c r="D272" s="51"/>
      <c r="E272" s="22"/>
      <c r="F272" s="23"/>
      <c r="G272" s="24"/>
      <c r="H272" s="23"/>
      <c r="I272" s="24"/>
      <c r="J272" s="23"/>
      <c r="K272" s="24"/>
    </row>
    <row r="273" spans="2:13" ht="12.95" customHeight="1" x14ac:dyDescent="0.3">
      <c r="B273" s="52" t="s">
        <v>29</v>
      </c>
      <c r="C273" s="53"/>
      <c r="D273" s="54" t="s">
        <v>9</v>
      </c>
      <c r="E273" s="55">
        <v>262580</v>
      </c>
      <c r="F273" s="56">
        <v>2</v>
      </c>
      <c r="G273" s="3">
        <f t="shared" ref="G273:G275" si="91">TRUNC($E273*F273,1)</f>
        <v>525160</v>
      </c>
      <c r="H273" s="56">
        <v>2</v>
      </c>
      <c r="I273" s="3">
        <f t="shared" ref="I273:I275" si="92">TRUNC($E273*H273,1)</f>
        <v>525160</v>
      </c>
      <c r="J273" s="56">
        <v>2</v>
      </c>
      <c r="K273" s="3">
        <f t="shared" ref="K273:K275" si="93">TRUNC($E273*J273,1)</f>
        <v>525160</v>
      </c>
    </row>
    <row r="274" spans="2:13" ht="12.95" customHeight="1" x14ac:dyDescent="0.3">
      <c r="B274" s="52" t="s">
        <v>1</v>
      </c>
      <c r="C274" s="53"/>
      <c r="D274" s="54" t="s">
        <v>9</v>
      </c>
      <c r="E274" s="57">
        <v>172068</v>
      </c>
      <c r="F274" s="56">
        <v>1</v>
      </c>
      <c r="G274" s="3">
        <f t="shared" si="91"/>
        <v>172068</v>
      </c>
      <c r="H274" s="56">
        <v>1</v>
      </c>
      <c r="I274" s="3">
        <f t="shared" si="92"/>
        <v>172068</v>
      </c>
      <c r="J274" s="56">
        <v>1</v>
      </c>
      <c r="K274" s="3">
        <f t="shared" si="93"/>
        <v>172068</v>
      </c>
    </row>
    <row r="275" spans="2:13" ht="12.95" customHeight="1" x14ac:dyDescent="0.3">
      <c r="B275" s="59" t="s">
        <v>183</v>
      </c>
      <c r="C275" s="59" t="s">
        <v>33</v>
      </c>
      <c r="D275" s="61" t="s">
        <v>17</v>
      </c>
      <c r="E275" s="17">
        <v>58925</v>
      </c>
      <c r="F275" s="56">
        <v>8</v>
      </c>
      <c r="G275" s="3">
        <f t="shared" si="91"/>
        <v>471400</v>
      </c>
      <c r="H275" s="56">
        <v>8</v>
      </c>
      <c r="I275" s="3">
        <f t="shared" si="92"/>
        <v>471400</v>
      </c>
      <c r="J275" s="56">
        <v>8</v>
      </c>
      <c r="K275" s="3">
        <f t="shared" si="93"/>
        <v>471400</v>
      </c>
    </row>
    <row r="276" spans="2:13" ht="12.95" customHeight="1" x14ac:dyDescent="0.3">
      <c r="B276" s="59" t="s">
        <v>184</v>
      </c>
      <c r="C276" s="60" t="s">
        <v>172</v>
      </c>
      <c r="D276" s="51"/>
      <c r="E276" s="22"/>
      <c r="F276" s="23"/>
      <c r="G276" s="24"/>
      <c r="H276" s="23"/>
      <c r="I276" s="24"/>
      <c r="J276" s="23"/>
      <c r="K276" s="24"/>
    </row>
    <row r="277" spans="2:13" ht="12.95" customHeight="1" x14ac:dyDescent="0.3">
      <c r="B277" s="58" t="s">
        <v>11</v>
      </c>
      <c r="C277" s="51"/>
      <c r="D277" s="51"/>
      <c r="E277" s="22"/>
      <c r="F277" s="22"/>
      <c r="G277" s="16">
        <f>TRUNC(SUM(G273:G275))</f>
        <v>1168628</v>
      </c>
      <c r="H277" s="22"/>
      <c r="I277" s="16">
        <f>TRUNC(SUM(I273:I275))</f>
        <v>1168628</v>
      </c>
      <c r="J277" s="22"/>
      <c r="K277" s="16">
        <f>TRUNC(SUM(K273:K275))</f>
        <v>1168628</v>
      </c>
    </row>
    <row r="278" spans="2:13" ht="12.95" customHeight="1" x14ac:dyDescent="0.3">
      <c r="B278" s="50"/>
      <c r="C278" s="51"/>
      <c r="D278" s="51"/>
      <c r="E278" s="22"/>
      <c r="F278" s="22"/>
      <c r="G278" s="24"/>
      <c r="H278" s="22"/>
      <c r="I278" s="24"/>
      <c r="J278" s="22"/>
      <c r="K278" s="24"/>
    </row>
    <row r="279" spans="2:13" ht="12.95" customHeight="1" x14ac:dyDescent="0.3">
      <c r="B279" s="59" t="s">
        <v>183</v>
      </c>
      <c r="C279" s="59" t="s">
        <v>33</v>
      </c>
      <c r="D279" s="61" t="s">
        <v>17</v>
      </c>
      <c r="E279" s="17">
        <v>31344</v>
      </c>
      <c r="F279" s="56">
        <v>8</v>
      </c>
      <c r="G279" s="3">
        <f t="shared" ref="G279" si="94">TRUNC($E279*F279,1)</f>
        <v>250752</v>
      </c>
      <c r="H279" s="56">
        <v>8</v>
      </c>
      <c r="I279" s="3">
        <f t="shared" ref="I279" si="95">TRUNC($E279*H279,1)</f>
        <v>250752</v>
      </c>
      <c r="J279" s="56">
        <v>8</v>
      </c>
      <c r="K279" s="3">
        <f t="shared" ref="K279" si="96">TRUNC($E279*J279,1)</f>
        <v>250752</v>
      </c>
    </row>
    <row r="280" spans="2:13" ht="12.95" customHeight="1" x14ac:dyDescent="0.3">
      <c r="B280" s="59" t="s">
        <v>184</v>
      </c>
      <c r="C280" s="60" t="s">
        <v>172</v>
      </c>
      <c r="D280" s="51"/>
      <c r="E280" s="22"/>
      <c r="F280" s="23"/>
      <c r="G280" s="24"/>
      <c r="H280" s="23"/>
      <c r="I280" s="24"/>
      <c r="J280" s="23"/>
      <c r="K280" s="24"/>
    </row>
    <row r="281" spans="2:13" ht="12.95" customHeight="1" x14ac:dyDescent="0.3">
      <c r="B281" s="46" t="s">
        <v>12</v>
      </c>
      <c r="C281" s="51"/>
      <c r="D281" s="51"/>
      <c r="E281" s="62"/>
      <c r="F281" s="15"/>
      <c r="G281" s="16">
        <f>TRUNC(SUM(G279:G279))</f>
        <v>250752</v>
      </c>
      <c r="H281" s="15"/>
      <c r="I281" s="16">
        <f>TRUNC(SUM(I279:I279))</f>
        <v>250752</v>
      </c>
      <c r="J281" s="15"/>
      <c r="K281" s="16">
        <f>TRUNC(SUM(K279:K279))</f>
        <v>250752</v>
      </c>
    </row>
    <row r="282" spans="2:13" ht="12.95" customHeight="1" x14ac:dyDescent="0.3">
      <c r="B282" s="63"/>
      <c r="C282" s="59"/>
      <c r="D282" s="59"/>
      <c r="E282" s="64"/>
      <c r="F282" s="25"/>
      <c r="G282" s="27"/>
      <c r="H282" s="25"/>
      <c r="I282" s="27"/>
      <c r="J282" s="25"/>
      <c r="K282" s="27"/>
    </row>
    <row r="283" spans="2:13" ht="12.95" customHeight="1" x14ac:dyDescent="0.3">
      <c r="B283" s="65" t="s">
        <v>13</v>
      </c>
      <c r="C283" s="51"/>
      <c r="D283" s="51"/>
      <c r="E283" s="62"/>
      <c r="F283" s="62"/>
      <c r="G283" s="29">
        <f>SUM(G271+G277+G281)</f>
        <v>1482988</v>
      </c>
      <c r="H283" s="62"/>
      <c r="I283" s="29">
        <f>SUM(I271+I277+I281)</f>
        <v>1482988</v>
      </c>
      <c r="J283" s="62"/>
      <c r="K283" s="29">
        <f>SUM(K271+K277+K281)</f>
        <v>1482988</v>
      </c>
    </row>
    <row r="284" spans="2:13" ht="12.95" customHeight="1" x14ac:dyDescent="0.3">
      <c r="B284" s="66" t="s">
        <v>175</v>
      </c>
      <c r="C284" s="67"/>
      <c r="D284" s="68"/>
      <c r="E284" s="69"/>
      <c r="F284" s="70"/>
      <c r="G284" s="71">
        <f>TRUNC(G283/G267)</f>
        <v>211855</v>
      </c>
      <c r="H284" s="70"/>
      <c r="I284" s="71">
        <f>TRUNC(I283/I267)</f>
        <v>247164</v>
      </c>
      <c r="J284" s="70"/>
      <c r="K284" s="71">
        <f>TRUNC(K283/K267)</f>
        <v>296597</v>
      </c>
    </row>
    <row r="285" spans="2:13" ht="12.95" customHeight="1" x14ac:dyDescent="0.3">
      <c r="B285" s="89" t="s">
        <v>3</v>
      </c>
      <c r="C285" s="92" t="s">
        <v>7</v>
      </c>
      <c r="D285" s="92" t="s">
        <v>8</v>
      </c>
      <c r="E285" s="92" t="s">
        <v>4</v>
      </c>
      <c r="F285" s="95" t="s">
        <v>48</v>
      </c>
      <c r="G285" s="96"/>
      <c r="H285" s="95" t="s">
        <v>49</v>
      </c>
      <c r="I285" s="96"/>
      <c r="J285" s="95" t="s">
        <v>50</v>
      </c>
      <c r="K285" s="96"/>
      <c r="L285" s="95" t="s">
        <v>51</v>
      </c>
      <c r="M285" s="96"/>
    </row>
    <row r="286" spans="2:13" ht="12.95" customHeight="1" x14ac:dyDescent="0.3">
      <c r="B286" s="90"/>
      <c r="C286" s="93"/>
      <c r="D286" s="93"/>
      <c r="E286" s="93"/>
      <c r="F286" s="38" t="s">
        <v>174</v>
      </c>
      <c r="G286" s="73">
        <v>5.5</v>
      </c>
      <c r="H286" s="38" t="s">
        <v>174</v>
      </c>
      <c r="I286" s="73">
        <v>4.5</v>
      </c>
      <c r="J286" s="38" t="s">
        <v>174</v>
      </c>
      <c r="K286" s="73">
        <v>3.5</v>
      </c>
      <c r="L286" s="38" t="s">
        <v>174</v>
      </c>
      <c r="M286" s="73">
        <v>3</v>
      </c>
    </row>
    <row r="287" spans="2:13" ht="12.95" customHeight="1" x14ac:dyDescent="0.3">
      <c r="B287" s="91"/>
      <c r="C287" s="94"/>
      <c r="D287" s="94"/>
      <c r="E287" s="94"/>
      <c r="F287" s="40" t="s">
        <v>21</v>
      </c>
      <c r="G287" s="41" t="s">
        <v>173</v>
      </c>
      <c r="H287" s="40" t="s">
        <v>21</v>
      </c>
      <c r="I287" s="41" t="s">
        <v>173</v>
      </c>
      <c r="J287" s="40" t="s">
        <v>21</v>
      </c>
      <c r="K287" s="41" t="s">
        <v>173</v>
      </c>
      <c r="L287" s="40" t="s">
        <v>21</v>
      </c>
      <c r="M287" s="41" t="s">
        <v>173</v>
      </c>
    </row>
    <row r="288" spans="2:13" ht="12.95" customHeight="1" x14ac:dyDescent="0.3">
      <c r="B288" s="59" t="s">
        <v>183</v>
      </c>
      <c r="C288" s="59" t="s">
        <v>185</v>
      </c>
      <c r="D288" s="61" t="s">
        <v>17</v>
      </c>
      <c r="E288" s="17">
        <v>9835</v>
      </c>
      <c r="F288" s="56">
        <v>8</v>
      </c>
      <c r="G288" s="3">
        <f t="shared" ref="G288" si="97">TRUNC($E288*F288,1)</f>
        <v>78680</v>
      </c>
      <c r="H288" s="56">
        <v>8</v>
      </c>
      <c r="I288" s="3">
        <f t="shared" ref="I288" si="98">TRUNC($E288*H288,1)</f>
        <v>78680</v>
      </c>
      <c r="J288" s="56">
        <v>8</v>
      </c>
      <c r="K288" s="3">
        <f t="shared" ref="K288" si="99">TRUNC($E288*J288,1)</f>
        <v>78680</v>
      </c>
      <c r="L288" s="56">
        <v>8</v>
      </c>
      <c r="M288" s="3">
        <f t="shared" ref="M288" si="100">TRUNC($E288*L288,1)</f>
        <v>78680</v>
      </c>
    </row>
    <row r="289" spans="2:15" ht="12.95" customHeight="1" x14ac:dyDescent="0.3">
      <c r="B289" s="59" t="s">
        <v>184</v>
      </c>
      <c r="C289" s="60" t="s">
        <v>172</v>
      </c>
      <c r="D289" s="51"/>
      <c r="E289" s="22"/>
      <c r="F289" s="23"/>
      <c r="G289" s="24"/>
      <c r="H289" s="23"/>
      <c r="I289" s="24"/>
      <c r="J289" s="23"/>
      <c r="K289" s="24"/>
      <c r="L289" s="23"/>
      <c r="M289" s="24"/>
    </row>
    <row r="290" spans="2:15" ht="12.95" customHeight="1" x14ac:dyDescent="0.3">
      <c r="B290" s="46" t="s">
        <v>10</v>
      </c>
      <c r="C290" s="51"/>
      <c r="D290" s="51"/>
      <c r="E290" s="22"/>
      <c r="F290" s="23"/>
      <c r="G290" s="16">
        <f>TRUNC(SUM(G288:G288))</f>
        <v>78680</v>
      </c>
      <c r="H290" s="23"/>
      <c r="I290" s="16">
        <f>TRUNC(SUM(I288:I288))</f>
        <v>78680</v>
      </c>
      <c r="J290" s="23"/>
      <c r="K290" s="16">
        <f>TRUNC(SUM(K288:K288))</f>
        <v>78680</v>
      </c>
      <c r="L290" s="23"/>
      <c r="M290" s="16">
        <f>TRUNC(SUM(M288:M288))</f>
        <v>78680</v>
      </c>
    </row>
    <row r="291" spans="2:15" ht="12.95" customHeight="1" x14ac:dyDescent="0.3">
      <c r="B291" s="50"/>
      <c r="C291" s="51"/>
      <c r="D291" s="51"/>
      <c r="E291" s="22"/>
      <c r="F291" s="23"/>
      <c r="G291" s="24"/>
      <c r="H291" s="23"/>
      <c r="I291" s="24"/>
      <c r="J291" s="23"/>
      <c r="K291" s="24"/>
      <c r="L291" s="23"/>
      <c r="M291" s="24"/>
      <c r="O291" s="4"/>
    </row>
    <row r="292" spans="2:15" ht="12.95" customHeight="1" x14ac:dyDescent="0.3">
      <c r="B292" s="52" t="s">
        <v>29</v>
      </c>
      <c r="C292" s="53"/>
      <c r="D292" s="54" t="s">
        <v>9</v>
      </c>
      <c r="E292" s="55">
        <v>262580</v>
      </c>
      <c r="F292" s="56">
        <v>3</v>
      </c>
      <c r="G292" s="3">
        <f t="shared" ref="G292:G294" si="101">TRUNC($E292*F292,1)</f>
        <v>787740</v>
      </c>
      <c r="H292" s="56">
        <v>3</v>
      </c>
      <c r="I292" s="3">
        <f t="shared" ref="I292:I294" si="102">TRUNC($E292*H292,1)</f>
        <v>787740</v>
      </c>
      <c r="J292" s="56">
        <v>3</v>
      </c>
      <c r="K292" s="3">
        <f t="shared" ref="K292:K294" si="103">TRUNC($E292*J292,1)</f>
        <v>787740</v>
      </c>
      <c r="L292" s="56">
        <v>3</v>
      </c>
      <c r="M292" s="3">
        <f t="shared" ref="M292:M294" si="104">TRUNC($E292*L292,1)</f>
        <v>787740</v>
      </c>
      <c r="N292" s="4"/>
      <c r="O292" s="4"/>
    </row>
    <row r="293" spans="2:15" ht="12.95" customHeight="1" x14ac:dyDescent="0.3">
      <c r="B293" s="52" t="s">
        <v>1</v>
      </c>
      <c r="C293" s="53"/>
      <c r="D293" s="54" t="s">
        <v>9</v>
      </c>
      <c r="E293" s="57">
        <v>172068</v>
      </c>
      <c r="F293" s="56">
        <v>1</v>
      </c>
      <c r="G293" s="3">
        <f t="shared" si="101"/>
        <v>172068</v>
      </c>
      <c r="H293" s="56">
        <v>1</v>
      </c>
      <c r="I293" s="3">
        <f t="shared" si="102"/>
        <v>172068</v>
      </c>
      <c r="J293" s="56">
        <v>1</v>
      </c>
      <c r="K293" s="3">
        <f t="shared" si="103"/>
        <v>172068</v>
      </c>
      <c r="L293" s="56">
        <v>1</v>
      </c>
      <c r="M293" s="3">
        <f t="shared" si="104"/>
        <v>172068</v>
      </c>
      <c r="N293" s="4"/>
      <c r="O293" s="4"/>
    </row>
    <row r="294" spans="2:15" ht="12.95" customHeight="1" x14ac:dyDescent="0.3">
      <c r="B294" s="59" t="s">
        <v>183</v>
      </c>
      <c r="C294" s="59" t="s">
        <v>185</v>
      </c>
      <c r="D294" s="61" t="s">
        <v>17</v>
      </c>
      <c r="E294" s="17">
        <v>58925</v>
      </c>
      <c r="F294" s="56">
        <v>8</v>
      </c>
      <c r="G294" s="3">
        <f t="shared" si="101"/>
        <v>471400</v>
      </c>
      <c r="H294" s="56">
        <v>8</v>
      </c>
      <c r="I294" s="3">
        <f t="shared" si="102"/>
        <v>471400</v>
      </c>
      <c r="J294" s="56">
        <v>8</v>
      </c>
      <c r="K294" s="3">
        <f t="shared" si="103"/>
        <v>471400</v>
      </c>
      <c r="L294" s="56">
        <v>8</v>
      </c>
      <c r="M294" s="3">
        <f t="shared" si="104"/>
        <v>471400</v>
      </c>
      <c r="N294" s="4"/>
      <c r="O294" s="4"/>
    </row>
    <row r="295" spans="2:15" ht="12.95" customHeight="1" x14ac:dyDescent="0.3">
      <c r="B295" s="59" t="s">
        <v>184</v>
      </c>
      <c r="C295" s="60" t="s">
        <v>172</v>
      </c>
      <c r="D295" s="51"/>
      <c r="E295" s="22"/>
      <c r="F295" s="23"/>
      <c r="G295" s="24"/>
      <c r="H295" s="23"/>
      <c r="I295" s="24"/>
      <c r="J295" s="23"/>
      <c r="K295" s="24"/>
      <c r="L295" s="23"/>
      <c r="M295" s="24"/>
      <c r="N295" s="4"/>
      <c r="O295" s="4"/>
    </row>
    <row r="296" spans="2:15" ht="12.95" customHeight="1" x14ac:dyDescent="0.3">
      <c r="B296" s="58" t="s">
        <v>11</v>
      </c>
      <c r="C296" s="51"/>
      <c r="D296" s="51"/>
      <c r="E296" s="22"/>
      <c r="F296" s="22"/>
      <c r="G296" s="16">
        <f>TRUNC(SUM(G292:G294))</f>
        <v>1431208</v>
      </c>
      <c r="H296" s="22"/>
      <c r="I296" s="16">
        <f>TRUNC(SUM(I292:I294))</f>
        <v>1431208</v>
      </c>
      <c r="J296" s="22"/>
      <c r="K296" s="16">
        <f>TRUNC(SUM(K292:K294))</f>
        <v>1431208</v>
      </c>
      <c r="L296" s="22"/>
      <c r="M296" s="16">
        <f>TRUNC(SUM(M292:M294))</f>
        <v>1431208</v>
      </c>
      <c r="N296" s="4"/>
      <c r="O296" s="4"/>
    </row>
    <row r="297" spans="2:15" ht="12.95" customHeight="1" x14ac:dyDescent="0.3">
      <c r="B297" s="50"/>
      <c r="C297" s="51"/>
      <c r="D297" s="51"/>
      <c r="E297" s="22"/>
      <c r="F297" s="22"/>
      <c r="G297" s="24"/>
      <c r="H297" s="22"/>
      <c r="I297" s="24"/>
      <c r="J297" s="22"/>
      <c r="K297" s="24"/>
      <c r="L297" s="22"/>
      <c r="M297" s="24"/>
      <c r="N297" s="4"/>
      <c r="O297" s="4"/>
    </row>
    <row r="298" spans="2:15" ht="12.95" customHeight="1" x14ac:dyDescent="0.3">
      <c r="B298" s="59" t="s">
        <v>183</v>
      </c>
      <c r="C298" s="59" t="s">
        <v>185</v>
      </c>
      <c r="D298" s="61" t="s">
        <v>17</v>
      </c>
      <c r="E298" s="17">
        <v>43014</v>
      </c>
      <c r="F298" s="56">
        <v>8</v>
      </c>
      <c r="G298" s="3">
        <f t="shared" ref="G298" si="105">TRUNC($E298*F298,1)</f>
        <v>344112</v>
      </c>
      <c r="H298" s="56">
        <v>8</v>
      </c>
      <c r="I298" s="3">
        <f t="shared" ref="I298" si="106">TRUNC($E298*H298,1)</f>
        <v>344112</v>
      </c>
      <c r="J298" s="56">
        <v>8</v>
      </c>
      <c r="K298" s="3">
        <f t="shared" ref="K298" si="107">TRUNC($E298*J298,1)</f>
        <v>344112</v>
      </c>
      <c r="L298" s="56">
        <v>8</v>
      </c>
      <c r="M298" s="3">
        <f t="shared" ref="M298" si="108">TRUNC($E298*L298,1)</f>
        <v>344112</v>
      </c>
      <c r="N298" s="4"/>
      <c r="O298" s="4"/>
    </row>
    <row r="299" spans="2:15" ht="12.95" customHeight="1" x14ac:dyDescent="0.3">
      <c r="B299" s="59" t="s">
        <v>184</v>
      </c>
      <c r="C299" s="60" t="s">
        <v>172</v>
      </c>
      <c r="D299" s="51"/>
      <c r="E299" s="22"/>
      <c r="F299" s="23"/>
      <c r="G299" s="24"/>
      <c r="H299" s="23"/>
      <c r="I299" s="24"/>
      <c r="J299" s="23"/>
      <c r="K299" s="24"/>
      <c r="L299" s="23"/>
      <c r="M299" s="24"/>
      <c r="N299" s="4"/>
      <c r="O299" s="4"/>
    </row>
    <row r="300" spans="2:15" ht="12.95" customHeight="1" x14ac:dyDescent="0.3">
      <c r="B300" s="46" t="s">
        <v>12</v>
      </c>
      <c r="C300" s="51"/>
      <c r="D300" s="51"/>
      <c r="E300" s="62"/>
      <c r="F300" s="15"/>
      <c r="G300" s="16">
        <f>TRUNC(SUM(G298:G298))</f>
        <v>344112</v>
      </c>
      <c r="H300" s="15"/>
      <c r="I300" s="16">
        <f>TRUNC(SUM(I298:I298))</f>
        <v>344112</v>
      </c>
      <c r="J300" s="15"/>
      <c r="K300" s="16">
        <f>TRUNC(SUM(K298:K298))</f>
        <v>344112</v>
      </c>
      <c r="L300" s="15"/>
      <c r="M300" s="16">
        <f>TRUNC(SUM(M298:M298))</f>
        <v>344112</v>
      </c>
      <c r="N300" s="4"/>
      <c r="O300" s="4"/>
    </row>
    <row r="301" spans="2:15" ht="12.95" customHeight="1" x14ac:dyDescent="0.3">
      <c r="B301" s="63"/>
      <c r="C301" s="59"/>
      <c r="D301" s="59"/>
      <c r="E301" s="64"/>
      <c r="F301" s="25"/>
      <c r="G301" s="27"/>
      <c r="H301" s="25"/>
      <c r="I301" s="27"/>
      <c r="J301" s="25"/>
      <c r="K301" s="27"/>
      <c r="L301" s="25"/>
      <c r="M301" s="27"/>
      <c r="N301" s="4"/>
      <c r="O301" s="4"/>
    </row>
    <row r="302" spans="2:15" ht="12.95" customHeight="1" x14ac:dyDescent="0.3">
      <c r="B302" s="65" t="s">
        <v>13</v>
      </c>
      <c r="C302" s="51"/>
      <c r="D302" s="51"/>
      <c r="E302" s="62"/>
      <c r="F302" s="62"/>
      <c r="G302" s="29">
        <f>SUM(G290+G296+G300)</f>
        <v>1854000</v>
      </c>
      <c r="H302" s="62"/>
      <c r="I302" s="29">
        <f>SUM(I290+I296+I300)</f>
        <v>1854000</v>
      </c>
      <c r="J302" s="62"/>
      <c r="K302" s="29">
        <f>SUM(K290+K296+K300)</f>
        <v>1854000</v>
      </c>
      <c r="L302" s="62"/>
      <c r="M302" s="29">
        <f>SUM(M290+M296+M300)</f>
        <v>1854000</v>
      </c>
      <c r="N302" s="4"/>
      <c r="O302" s="4"/>
    </row>
    <row r="303" spans="2:15" ht="12.95" customHeight="1" x14ac:dyDescent="0.3">
      <c r="B303" s="66" t="s">
        <v>175</v>
      </c>
      <c r="C303" s="67"/>
      <c r="D303" s="68"/>
      <c r="E303" s="69"/>
      <c r="F303" s="70"/>
      <c r="G303" s="71">
        <f>TRUNC(G302/G286)</f>
        <v>337090</v>
      </c>
      <c r="H303" s="70"/>
      <c r="I303" s="71">
        <f>TRUNC(I302/I286)</f>
        <v>412000</v>
      </c>
      <c r="J303" s="70"/>
      <c r="K303" s="71">
        <f>TRUNC(K302/K286)</f>
        <v>529714</v>
      </c>
      <c r="L303" s="70"/>
      <c r="M303" s="71">
        <f>TRUNC(M302/M286)</f>
        <v>618000</v>
      </c>
      <c r="N303" s="4"/>
      <c r="O303" s="4"/>
    </row>
    <row r="304" spans="2:15" ht="12.95" customHeight="1" x14ac:dyDescent="0.3">
      <c r="B304" s="89" t="s">
        <v>3</v>
      </c>
      <c r="C304" s="92" t="s">
        <v>7</v>
      </c>
      <c r="D304" s="92" t="s">
        <v>8</v>
      </c>
      <c r="E304" s="92" t="s">
        <v>4</v>
      </c>
      <c r="F304" s="95" t="s">
        <v>52</v>
      </c>
      <c r="G304" s="96"/>
      <c r="H304" s="95" t="s">
        <v>186</v>
      </c>
      <c r="I304" s="96"/>
      <c r="J304" s="95" t="s">
        <v>62</v>
      </c>
      <c r="K304" s="96"/>
      <c r="L304" s="4"/>
      <c r="M304" s="4"/>
    </row>
    <row r="305" spans="2:13" ht="12.95" customHeight="1" x14ac:dyDescent="0.3">
      <c r="B305" s="90"/>
      <c r="C305" s="93"/>
      <c r="D305" s="93"/>
      <c r="E305" s="93"/>
      <c r="F305" s="38" t="s">
        <v>174</v>
      </c>
      <c r="G305" s="73">
        <v>2.5</v>
      </c>
      <c r="H305" s="38" t="s">
        <v>174</v>
      </c>
      <c r="I305" s="73">
        <v>2</v>
      </c>
      <c r="J305" s="38" t="s">
        <v>174</v>
      </c>
      <c r="K305" s="73">
        <v>1.5</v>
      </c>
      <c r="L305" s="4"/>
      <c r="M305" s="4"/>
    </row>
    <row r="306" spans="2:13" ht="12.95" customHeight="1" x14ac:dyDescent="0.3">
      <c r="B306" s="91"/>
      <c r="C306" s="94"/>
      <c r="D306" s="94"/>
      <c r="E306" s="94"/>
      <c r="F306" s="40" t="s">
        <v>21</v>
      </c>
      <c r="G306" s="41" t="s">
        <v>173</v>
      </c>
      <c r="H306" s="40" t="s">
        <v>21</v>
      </c>
      <c r="I306" s="41" t="s">
        <v>173</v>
      </c>
      <c r="J306" s="40" t="s">
        <v>21</v>
      </c>
      <c r="K306" s="41" t="s">
        <v>173</v>
      </c>
      <c r="L306" s="4"/>
      <c r="M306" s="4"/>
    </row>
    <row r="307" spans="2:13" ht="12.95" customHeight="1" x14ac:dyDescent="0.3">
      <c r="B307" s="59" t="s">
        <v>183</v>
      </c>
      <c r="C307" s="59" t="s">
        <v>185</v>
      </c>
      <c r="D307" s="61" t="s">
        <v>17</v>
      </c>
      <c r="E307" s="17">
        <v>9835</v>
      </c>
      <c r="F307" s="56">
        <v>8</v>
      </c>
      <c r="G307" s="3">
        <f t="shared" ref="G307" si="109">TRUNC($E307*F307,1)</f>
        <v>78680</v>
      </c>
      <c r="H307" s="56">
        <v>8</v>
      </c>
      <c r="I307" s="3">
        <f t="shared" ref="I307" si="110">TRUNC($E307*H307,1)</f>
        <v>78680</v>
      </c>
      <c r="J307" s="56">
        <v>8</v>
      </c>
      <c r="K307" s="3">
        <f t="shared" ref="K307" si="111">TRUNC($E307*J307,1)</f>
        <v>78680</v>
      </c>
      <c r="L307" s="4"/>
      <c r="M307" s="4"/>
    </row>
    <row r="308" spans="2:13" ht="12.95" customHeight="1" x14ac:dyDescent="0.3">
      <c r="B308" s="59" t="s">
        <v>184</v>
      </c>
      <c r="C308" s="60" t="s">
        <v>172</v>
      </c>
      <c r="D308" s="51"/>
      <c r="E308" s="22"/>
      <c r="F308" s="23"/>
      <c r="G308" s="24"/>
      <c r="H308" s="23"/>
      <c r="I308" s="24"/>
      <c r="J308" s="23"/>
      <c r="K308" s="24"/>
      <c r="L308" s="4"/>
    </row>
    <row r="309" spans="2:13" ht="12.95" customHeight="1" x14ac:dyDescent="0.3">
      <c r="B309" s="46" t="s">
        <v>10</v>
      </c>
      <c r="C309" s="51"/>
      <c r="D309" s="51"/>
      <c r="E309" s="22"/>
      <c r="F309" s="23"/>
      <c r="G309" s="16">
        <f>TRUNC(SUM(G307:G307))</f>
        <v>78680</v>
      </c>
      <c r="H309" s="23"/>
      <c r="I309" s="16">
        <f>TRUNC(SUM(I307:I307))</f>
        <v>78680</v>
      </c>
      <c r="J309" s="23"/>
      <c r="K309" s="16">
        <f>TRUNC(SUM(K307:K307))</f>
        <v>78680</v>
      </c>
    </row>
    <row r="310" spans="2:13" ht="12.95" customHeight="1" x14ac:dyDescent="0.3">
      <c r="B310" s="50"/>
      <c r="C310" s="51"/>
      <c r="D310" s="51"/>
      <c r="E310" s="22"/>
      <c r="F310" s="23"/>
      <c r="G310" s="24"/>
      <c r="H310" s="23"/>
      <c r="I310" s="24"/>
      <c r="J310" s="23"/>
      <c r="K310" s="24"/>
    </row>
    <row r="311" spans="2:13" ht="12.95" customHeight="1" x14ac:dyDescent="0.3">
      <c r="B311" s="52" t="s">
        <v>29</v>
      </c>
      <c r="C311" s="53"/>
      <c r="D311" s="54" t="s">
        <v>9</v>
      </c>
      <c r="E311" s="55">
        <v>262580</v>
      </c>
      <c r="F311" s="56">
        <v>3</v>
      </c>
      <c r="G311" s="3">
        <f t="shared" ref="G311:G313" si="112">TRUNC($E311*F311,1)</f>
        <v>787740</v>
      </c>
      <c r="H311" s="56">
        <v>3</v>
      </c>
      <c r="I311" s="3">
        <f t="shared" ref="I311:I313" si="113">TRUNC($E311*H311,1)</f>
        <v>787740</v>
      </c>
      <c r="J311" s="56">
        <v>3</v>
      </c>
      <c r="K311" s="3">
        <f t="shared" ref="K311:K313" si="114">TRUNC($E311*J311,1)</f>
        <v>787740</v>
      </c>
    </row>
    <row r="312" spans="2:13" ht="12.95" customHeight="1" x14ac:dyDescent="0.3">
      <c r="B312" s="52" t="s">
        <v>1</v>
      </c>
      <c r="C312" s="53"/>
      <c r="D312" s="54" t="s">
        <v>9</v>
      </c>
      <c r="E312" s="57">
        <v>172068</v>
      </c>
      <c r="F312" s="56">
        <v>1</v>
      </c>
      <c r="G312" s="3">
        <f t="shared" si="112"/>
        <v>172068</v>
      </c>
      <c r="H312" s="56">
        <v>1</v>
      </c>
      <c r="I312" s="3">
        <f t="shared" si="113"/>
        <v>172068</v>
      </c>
      <c r="J312" s="56">
        <v>1</v>
      </c>
      <c r="K312" s="3">
        <f t="shared" si="114"/>
        <v>172068</v>
      </c>
    </row>
    <row r="313" spans="2:13" ht="12.95" customHeight="1" x14ac:dyDescent="0.3">
      <c r="B313" s="59" t="s">
        <v>183</v>
      </c>
      <c r="C313" s="59" t="s">
        <v>185</v>
      </c>
      <c r="D313" s="61" t="s">
        <v>17</v>
      </c>
      <c r="E313" s="17">
        <v>58925</v>
      </c>
      <c r="F313" s="56">
        <v>8</v>
      </c>
      <c r="G313" s="3">
        <f t="shared" si="112"/>
        <v>471400</v>
      </c>
      <c r="H313" s="56">
        <v>8</v>
      </c>
      <c r="I313" s="3">
        <f t="shared" si="113"/>
        <v>471400</v>
      </c>
      <c r="J313" s="56">
        <v>8</v>
      </c>
      <c r="K313" s="3">
        <f t="shared" si="114"/>
        <v>471400</v>
      </c>
    </row>
    <row r="314" spans="2:13" ht="12.95" customHeight="1" x14ac:dyDescent="0.3">
      <c r="B314" s="59" t="s">
        <v>184</v>
      </c>
      <c r="C314" s="60" t="s">
        <v>172</v>
      </c>
      <c r="D314" s="51"/>
      <c r="E314" s="22"/>
      <c r="F314" s="23"/>
      <c r="G314" s="24"/>
      <c r="H314" s="23"/>
      <c r="I314" s="24"/>
      <c r="J314" s="23"/>
      <c r="K314" s="24"/>
    </row>
    <row r="315" spans="2:13" ht="12.95" customHeight="1" x14ac:dyDescent="0.3">
      <c r="B315" s="58" t="s">
        <v>11</v>
      </c>
      <c r="C315" s="51"/>
      <c r="D315" s="51"/>
      <c r="E315" s="22"/>
      <c r="F315" s="22"/>
      <c r="G315" s="16">
        <f>TRUNC(SUM(G311:G313))</f>
        <v>1431208</v>
      </c>
      <c r="H315" s="22"/>
      <c r="I315" s="16">
        <f>TRUNC(SUM(I311:I313))</f>
        <v>1431208</v>
      </c>
      <c r="J315" s="22"/>
      <c r="K315" s="16">
        <f>TRUNC(SUM(K311:K313))</f>
        <v>1431208</v>
      </c>
    </row>
    <row r="316" spans="2:13" ht="12.95" customHeight="1" x14ac:dyDescent="0.3">
      <c r="B316" s="50"/>
      <c r="C316" s="51"/>
      <c r="D316" s="51"/>
      <c r="E316" s="22"/>
      <c r="F316" s="22"/>
      <c r="G316" s="24"/>
      <c r="H316" s="22"/>
      <c r="I316" s="24"/>
      <c r="J316" s="22"/>
      <c r="K316" s="24"/>
    </row>
    <row r="317" spans="2:13" ht="12.95" customHeight="1" x14ac:dyDescent="0.3">
      <c r="B317" s="59" t="s">
        <v>183</v>
      </c>
      <c r="C317" s="59" t="s">
        <v>185</v>
      </c>
      <c r="D317" s="61" t="s">
        <v>17</v>
      </c>
      <c r="E317" s="17">
        <v>43014</v>
      </c>
      <c r="F317" s="56">
        <v>8</v>
      </c>
      <c r="G317" s="3">
        <f t="shared" ref="G317" si="115">TRUNC($E317*F317,1)</f>
        <v>344112</v>
      </c>
      <c r="H317" s="56">
        <v>8</v>
      </c>
      <c r="I317" s="3">
        <f t="shared" ref="I317" si="116">TRUNC($E317*H317,1)</f>
        <v>344112</v>
      </c>
      <c r="J317" s="56">
        <v>8</v>
      </c>
      <c r="K317" s="3">
        <f t="shared" ref="K317" si="117">TRUNC($E317*J317,1)</f>
        <v>344112</v>
      </c>
    </row>
    <row r="318" spans="2:13" ht="12.95" customHeight="1" x14ac:dyDescent="0.3">
      <c r="B318" s="59" t="s">
        <v>184</v>
      </c>
      <c r="C318" s="60" t="s">
        <v>172</v>
      </c>
      <c r="D318" s="51"/>
      <c r="E318" s="22"/>
      <c r="F318" s="23"/>
      <c r="G318" s="24"/>
      <c r="H318" s="23"/>
      <c r="I318" s="24"/>
      <c r="J318" s="23"/>
      <c r="K318" s="24"/>
    </row>
    <row r="319" spans="2:13" ht="12.95" customHeight="1" x14ac:dyDescent="0.3">
      <c r="B319" s="46" t="s">
        <v>12</v>
      </c>
      <c r="C319" s="51"/>
      <c r="D319" s="51"/>
      <c r="E319" s="62"/>
      <c r="F319" s="15"/>
      <c r="G319" s="16">
        <f>TRUNC(SUM(G317:G317))</f>
        <v>344112</v>
      </c>
      <c r="H319" s="15"/>
      <c r="I319" s="16">
        <f>TRUNC(SUM(I317:I317))</f>
        <v>344112</v>
      </c>
      <c r="J319" s="15"/>
      <c r="K319" s="16">
        <f>TRUNC(SUM(K317:K317))</f>
        <v>344112</v>
      </c>
    </row>
    <row r="320" spans="2:13" ht="12.95" customHeight="1" x14ac:dyDescent="0.3">
      <c r="B320" s="63"/>
      <c r="C320" s="59"/>
      <c r="D320" s="59"/>
      <c r="E320" s="64"/>
      <c r="F320" s="25"/>
      <c r="G320" s="27"/>
      <c r="H320" s="25"/>
      <c r="I320" s="27"/>
      <c r="J320" s="25"/>
      <c r="K320" s="27"/>
    </row>
    <row r="321" spans="2:12" ht="12.95" customHeight="1" x14ac:dyDescent="0.3">
      <c r="B321" s="65" t="s">
        <v>13</v>
      </c>
      <c r="C321" s="51"/>
      <c r="D321" s="51"/>
      <c r="E321" s="62"/>
      <c r="F321" s="62"/>
      <c r="G321" s="29">
        <f>SUM(G309+G315+G319)</f>
        <v>1854000</v>
      </c>
      <c r="H321" s="62"/>
      <c r="I321" s="29">
        <f>SUM(I309+I315+I319)</f>
        <v>1854000</v>
      </c>
      <c r="J321" s="62"/>
      <c r="K321" s="29">
        <f>SUM(K309+K315+K319)</f>
        <v>1854000</v>
      </c>
    </row>
    <row r="322" spans="2:12" ht="12.95" customHeight="1" x14ac:dyDescent="0.3">
      <c r="B322" s="66" t="s">
        <v>175</v>
      </c>
      <c r="C322" s="67"/>
      <c r="D322" s="68"/>
      <c r="E322" s="69"/>
      <c r="F322" s="70"/>
      <c r="G322" s="71">
        <f>TRUNC(G321/G305)</f>
        <v>741600</v>
      </c>
      <c r="H322" s="70"/>
      <c r="I322" s="71">
        <f>TRUNC(I321/I305)</f>
        <v>927000</v>
      </c>
      <c r="J322" s="70"/>
      <c r="K322" s="71">
        <f>TRUNC(K321/K305)</f>
        <v>1236000</v>
      </c>
    </row>
    <row r="323" spans="2:12" ht="12.95" customHeight="1" x14ac:dyDescent="0.3">
      <c r="B323" s="89" t="s">
        <v>3</v>
      </c>
      <c r="C323" s="92" t="s">
        <v>7</v>
      </c>
      <c r="D323" s="92" t="s">
        <v>8</v>
      </c>
      <c r="E323" s="92" t="s">
        <v>4</v>
      </c>
      <c r="F323" s="95" t="s">
        <v>187</v>
      </c>
      <c r="G323" s="96"/>
      <c r="H323" s="95" t="s">
        <v>66</v>
      </c>
      <c r="I323" s="96"/>
      <c r="J323" s="4"/>
      <c r="K323" s="4"/>
    </row>
    <row r="324" spans="2:12" ht="12.95" customHeight="1" x14ac:dyDescent="0.3">
      <c r="B324" s="90"/>
      <c r="C324" s="93"/>
      <c r="D324" s="93"/>
      <c r="E324" s="93"/>
      <c r="F324" s="38" t="s">
        <v>174</v>
      </c>
      <c r="G324" s="73">
        <v>1.5</v>
      </c>
      <c r="H324" s="38" t="s">
        <v>174</v>
      </c>
      <c r="I324" s="73">
        <v>1</v>
      </c>
      <c r="J324" s="4"/>
      <c r="K324" s="4"/>
    </row>
    <row r="325" spans="2:12" ht="12.95" customHeight="1" x14ac:dyDescent="0.3">
      <c r="B325" s="91"/>
      <c r="C325" s="94"/>
      <c r="D325" s="94"/>
      <c r="E325" s="94"/>
      <c r="F325" s="40" t="s">
        <v>21</v>
      </c>
      <c r="G325" s="41" t="s">
        <v>173</v>
      </c>
      <c r="H325" s="40" t="s">
        <v>21</v>
      </c>
      <c r="I325" s="41" t="s">
        <v>173</v>
      </c>
      <c r="J325" s="4"/>
      <c r="K325" s="4"/>
    </row>
    <row r="326" spans="2:12" ht="12.95" customHeight="1" x14ac:dyDescent="0.3">
      <c r="B326" s="59" t="s">
        <v>183</v>
      </c>
      <c r="C326" s="59" t="s">
        <v>185</v>
      </c>
      <c r="D326" s="61" t="s">
        <v>17</v>
      </c>
      <c r="E326" s="17">
        <v>9835</v>
      </c>
      <c r="F326" s="56">
        <v>8</v>
      </c>
      <c r="G326" s="3">
        <f t="shared" ref="G326" si="118">TRUNC($E326*F326,1)</f>
        <v>78680</v>
      </c>
      <c r="H326" s="56">
        <v>8</v>
      </c>
      <c r="I326" s="3">
        <f t="shared" ref="I326" si="119">TRUNC($E326*H326,1)</f>
        <v>78680</v>
      </c>
      <c r="J326" s="4"/>
      <c r="K326" s="4"/>
    </row>
    <row r="327" spans="2:12" ht="12.95" customHeight="1" x14ac:dyDescent="0.3">
      <c r="B327" s="59" t="s">
        <v>184</v>
      </c>
      <c r="C327" s="60" t="s">
        <v>172</v>
      </c>
      <c r="D327" s="51"/>
      <c r="E327" s="22"/>
      <c r="F327" s="23"/>
      <c r="G327" s="24"/>
      <c r="H327" s="23"/>
      <c r="I327" s="24"/>
      <c r="J327" s="4"/>
    </row>
    <row r="328" spans="2:12" ht="12.95" customHeight="1" x14ac:dyDescent="0.3">
      <c r="B328" s="46" t="s">
        <v>10</v>
      </c>
      <c r="C328" s="51"/>
      <c r="D328" s="51"/>
      <c r="E328" s="22"/>
      <c r="F328" s="23"/>
      <c r="G328" s="16">
        <f>TRUNC(SUM(G326:G326))</f>
        <v>78680</v>
      </c>
      <c r="H328" s="23"/>
      <c r="I328" s="16">
        <f>TRUNC(SUM(I326:I326))</f>
        <v>78680</v>
      </c>
    </row>
    <row r="329" spans="2:12" ht="12.95" customHeight="1" x14ac:dyDescent="0.3">
      <c r="B329" s="50"/>
      <c r="C329" s="51"/>
      <c r="D329" s="51"/>
      <c r="E329" s="22"/>
      <c r="F329" s="23"/>
      <c r="G329" s="24"/>
      <c r="H329" s="23"/>
      <c r="I329" s="24"/>
    </row>
    <row r="330" spans="2:12" ht="12.95" customHeight="1" x14ac:dyDescent="0.3">
      <c r="B330" s="52" t="s">
        <v>29</v>
      </c>
      <c r="C330" s="53"/>
      <c r="D330" s="54" t="s">
        <v>9</v>
      </c>
      <c r="E330" s="55">
        <v>262580</v>
      </c>
      <c r="F330" s="56">
        <v>4</v>
      </c>
      <c r="G330" s="3">
        <f t="shared" ref="G330:G332" si="120">TRUNC($E330*F330,1)</f>
        <v>1050320</v>
      </c>
      <c r="H330" s="56">
        <v>4</v>
      </c>
      <c r="I330" s="3">
        <f t="shared" ref="I330:I332" si="121">TRUNC($E330*H330,1)</f>
        <v>1050320</v>
      </c>
    </row>
    <row r="331" spans="2:12" ht="12.95" customHeight="1" x14ac:dyDescent="0.3">
      <c r="B331" s="52" t="s">
        <v>1</v>
      </c>
      <c r="C331" s="53"/>
      <c r="D331" s="54" t="s">
        <v>9</v>
      </c>
      <c r="E331" s="57">
        <v>172068</v>
      </c>
      <c r="F331" s="56">
        <v>1</v>
      </c>
      <c r="G331" s="3">
        <f t="shared" si="120"/>
        <v>172068</v>
      </c>
      <c r="H331" s="56">
        <v>1</v>
      </c>
      <c r="I331" s="3">
        <f t="shared" si="121"/>
        <v>172068</v>
      </c>
    </row>
    <row r="332" spans="2:12" ht="12.95" customHeight="1" x14ac:dyDescent="0.3">
      <c r="B332" s="59" t="s">
        <v>183</v>
      </c>
      <c r="C332" s="59" t="s">
        <v>185</v>
      </c>
      <c r="D332" s="61" t="s">
        <v>17</v>
      </c>
      <c r="E332" s="17">
        <v>58925</v>
      </c>
      <c r="F332" s="56">
        <v>8</v>
      </c>
      <c r="G332" s="3">
        <f t="shared" si="120"/>
        <v>471400</v>
      </c>
      <c r="H332" s="56">
        <v>8</v>
      </c>
      <c r="I332" s="3">
        <f t="shared" si="121"/>
        <v>471400</v>
      </c>
      <c r="L332" s="4"/>
    </row>
    <row r="333" spans="2:12" ht="12.95" customHeight="1" x14ac:dyDescent="0.3">
      <c r="B333" s="59" t="s">
        <v>184</v>
      </c>
      <c r="C333" s="60" t="s">
        <v>172</v>
      </c>
      <c r="D333" s="51"/>
      <c r="E333" s="22"/>
      <c r="F333" s="23"/>
      <c r="G333" s="24"/>
      <c r="H333" s="23"/>
      <c r="I333" s="24"/>
      <c r="L333" s="4"/>
    </row>
    <row r="334" spans="2:12" ht="12.95" customHeight="1" x14ac:dyDescent="0.3">
      <c r="B334" s="58" t="s">
        <v>11</v>
      </c>
      <c r="C334" s="51"/>
      <c r="D334" s="51"/>
      <c r="E334" s="22"/>
      <c r="F334" s="22"/>
      <c r="G334" s="16">
        <f>TRUNC(SUM(G330:G332))</f>
        <v>1693788</v>
      </c>
      <c r="H334" s="22"/>
      <c r="I334" s="16">
        <f>TRUNC(SUM(I330:I332))</f>
        <v>1693788</v>
      </c>
      <c r="L334" s="4"/>
    </row>
    <row r="335" spans="2:12" ht="12.95" customHeight="1" x14ac:dyDescent="0.3">
      <c r="B335" s="50"/>
      <c r="C335" s="51"/>
      <c r="D335" s="51"/>
      <c r="E335" s="22"/>
      <c r="F335" s="22"/>
      <c r="G335" s="24"/>
      <c r="H335" s="22"/>
      <c r="I335" s="24"/>
      <c r="L335" s="4"/>
    </row>
    <row r="336" spans="2:12" ht="12.95" customHeight="1" x14ac:dyDescent="0.3">
      <c r="B336" s="59" t="s">
        <v>183</v>
      </c>
      <c r="C336" s="59" t="s">
        <v>185</v>
      </c>
      <c r="D336" s="61" t="s">
        <v>17</v>
      </c>
      <c r="E336" s="17">
        <v>43014</v>
      </c>
      <c r="F336" s="56">
        <v>8</v>
      </c>
      <c r="G336" s="3">
        <f t="shared" ref="G336" si="122">TRUNC($E336*F336,1)</f>
        <v>344112</v>
      </c>
      <c r="H336" s="56">
        <v>8</v>
      </c>
      <c r="I336" s="3">
        <f t="shared" ref="I336" si="123">TRUNC($E336*H336,1)</f>
        <v>344112</v>
      </c>
      <c r="L336" s="4"/>
    </row>
    <row r="337" spans="2:14" ht="12.95" customHeight="1" x14ac:dyDescent="0.3">
      <c r="B337" s="59" t="s">
        <v>184</v>
      </c>
      <c r="C337" s="60" t="s">
        <v>172</v>
      </c>
      <c r="D337" s="51"/>
      <c r="E337" s="22"/>
      <c r="F337" s="23"/>
      <c r="G337" s="24"/>
      <c r="H337" s="23"/>
      <c r="I337" s="24"/>
    </row>
    <row r="338" spans="2:14" ht="12.95" customHeight="1" x14ac:dyDescent="0.3">
      <c r="B338" s="46" t="s">
        <v>12</v>
      </c>
      <c r="C338" s="51"/>
      <c r="D338" s="51"/>
      <c r="E338" s="62"/>
      <c r="F338" s="15"/>
      <c r="G338" s="16">
        <f>TRUNC(SUM(G336:G336))</f>
        <v>344112</v>
      </c>
      <c r="H338" s="15"/>
      <c r="I338" s="16">
        <f>TRUNC(SUM(I336:I336))</f>
        <v>344112</v>
      </c>
    </row>
    <row r="339" spans="2:14" ht="12.95" customHeight="1" x14ac:dyDescent="0.3">
      <c r="B339" s="63"/>
      <c r="C339" s="59"/>
      <c r="D339" s="59"/>
      <c r="E339" s="64"/>
      <c r="F339" s="25"/>
      <c r="G339" s="27"/>
      <c r="H339" s="25"/>
      <c r="I339" s="27"/>
      <c r="L339" s="9"/>
    </row>
    <row r="340" spans="2:14" ht="12.95" customHeight="1" x14ac:dyDescent="0.3">
      <c r="B340" s="65" t="s">
        <v>13</v>
      </c>
      <c r="C340" s="51"/>
      <c r="D340" s="51"/>
      <c r="E340" s="62"/>
      <c r="F340" s="62"/>
      <c r="G340" s="29">
        <f>SUM(G328+G334+G338)</f>
        <v>2116580</v>
      </c>
      <c r="H340" s="62"/>
      <c r="I340" s="29">
        <f>SUM(I328+I334+I338)</f>
        <v>2116580</v>
      </c>
      <c r="L340" s="9"/>
    </row>
    <row r="341" spans="2:14" ht="12.95" customHeight="1" x14ac:dyDescent="0.3">
      <c r="B341" s="66" t="s">
        <v>175</v>
      </c>
      <c r="C341" s="67"/>
      <c r="D341" s="68"/>
      <c r="E341" s="69"/>
      <c r="F341" s="70"/>
      <c r="G341" s="71">
        <f>TRUNC(G340/G324)</f>
        <v>1411053</v>
      </c>
      <c r="H341" s="70"/>
      <c r="I341" s="71">
        <f>TRUNC(I340/I324)</f>
        <v>2116580</v>
      </c>
      <c r="L341" s="9"/>
    </row>
    <row r="342" spans="2:14" ht="12.95" customHeight="1" x14ac:dyDescent="0.3">
      <c r="L342" s="4"/>
      <c r="M342" s="4"/>
      <c r="N342" s="9"/>
    </row>
    <row r="343" spans="2:14" ht="12.95" customHeight="1" x14ac:dyDescent="0.3">
      <c r="B343" s="72" t="s">
        <v>176</v>
      </c>
      <c r="C343" s="14"/>
      <c r="D343" s="14"/>
      <c r="E343" s="14"/>
      <c r="F343" s="14"/>
      <c r="G343" s="14"/>
      <c r="M343" s="37" t="s">
        <v>169</v>
      </c>
      <c r="N343" s="9"/>
    </row>
    <row r="344" spans="2:14" ht="12.95" customHeight="1" x14ac:dyDescent="0.3">
      <c r="B344" s="89" t="s">
        <v>3</v>
      </c>
      <c r="C344" s="92" t="s">
        <v>7</v>
      </c>
      <c r="D344" s="92" t="s">
        <v>8</v>
      </c>
      <c r="E344" s="92" t="s">
        <v>4</v>
      </c>
      <c r="F344" s="95" t="s">
        <v>26</v>
      </c>
      <c r="G344" s="96"/>
      <c r="H344" s="95" t="s">
        <v>27</v>
      </c>
      <c r="I344" s="96"/>
      <c r="J344" s="95" t="s">
        <v>55</v>
      </c>
      <c r="K344" s="96"/>
      <c r="L344" s="95" t="s">
        <v>28</v>
      </c>
      <c r="M344" s="96"/>
      <c r="N344" s="4"/>
    </row>
    <row r="345" spans="2:14" ht="12.95" customHeight="1" x14ac:dyDescent="0.3">
      <c r="B345" s="90"/>
      <c r="C345" s="93"/>
      <c r="D345" s="93"/>
      <c r="E345" s="93"/>
      <c r="F345" s="38" t="s">
        <v>174</v>
      </c>
      <c r="G345" s="39">
        <v>8</v>
      </c>
      <c r="H345" s="38" t="s">
        <v>174</v>
      </c>
      <c r="I345" s="39">
        <v>6</v>
      </c>
      <c r="J345" s="38" t="s">
        <v>174</v>
      </c>
      <c r="K345" s="39">
        <v>7</v>
      </c>
      <c r="L345" s="38" t="s">
        <v>174</v>
      </c>
      <c r="M345" s="39">
        <v>6</v>
      </c>
    </row>
    <row r="346" spans="2:14" ht="12.95" customHeight="1" x14ac:dyDescent="0.3">
      <c r="B346" s="91"/>
      <c r="C346" s="94"/>
      <c r="D346" s="94"/>
      <c r="E346" s="94"/>
      <c r="F346" s="40" t="s">
        <v>21</v>
      </c>
      <c r="G346" s="41" t="s">
        <v>173</v>
      </c>
      <c r="H346" s="40" t="s">
        <v>21</v>
      </c>
      <c r="I346" s="41" t="s">
        <v>173</v>
      </c>
      <c r="J346" s="40" t="s">
        <v>21</v>
      </c>
      <c r="K346" s="41" t="s">
        <v>173</v>
      </c>
      <c r="L346" s="40" t="s">
        <v>21</v>
      </c>
      <c r="M346" s="41" t="s">
        <v>173</v>
      </c>
    </row>
    <row r="347" spans="2:14" ht="12.95" customHeight="1" x14ac:dyDescent="0.3">
      <c r="B347" s="52" t="s">
        <v>29</v>
      </c>
      <c r="C347" s="53"/>
      <c r="D347" s="54" t="s">
        <v>9</v>
      </c>
      <c r="E347" s="55">
        <v>262580</v>
      </c>
      <c r="F347" s="56">
        <v>2</v>
      </c>
      <c r="G347" s="3">
        <f t="shared" ref="G347:G348" si="124">TRUNC($E347*F347,1)</f>
        <v>525160</v>
      </c>
      <c r="H347" s="56">
        <v>2</v>
      </c>
      <c r="I347" s="3">
        <f t="shared" ref="I347:I348" si="125">TRUNC($E347*H347,1)</f>
        <v>525160</v>
      </c>
      <c r="J347" s="56">
        <v>3</v>
      </c>
      <c r="K347" s="3">
        <f t="shared" ref="K347:K348" si="126">TRUNC($E347*J347,1)</f>
        <v>787740</v>
      </c>
      <c r="L347" s="56">
        <v>3</v>
      </c>
      <c r="M347" s="3">
        <f t="shared" ref="M347:M348" si="127">TRUNC($E347*L347,1)</f>
        <v>787740</v>
      </c>
    </row>
    <row r="348" spans="2:14" ht="12.95" customHeight="1" x14ac:dyDescent="0.3">
      <c r="B348" s="52" t="s">
        <v>1</v>
      </c>
      <c r="C348" s="53"/>
      <c r="D348" s="54" t="s">
        <v>9</v>
      </c>
      <c r="E348" s="57">
        <v>172068</v>
      </c>
      <c r="F348" s="56">
        <v>1</v>
      </c>
      <c r="G348" s="3">
        <f t="shared" si="124"/>
        <v>172068</v>
      </c>
      <c r="H348" s="56">
        <v>1</v>
      </c>
      <c r="I348" s="3">
        <f t="shared" si="125"/>
        <v>172068</v>
      </c>
      <c r="J348" s="56">
        <v>1</v>
      </c>
      <c r="K348" s="3">
        <f t="shared" si="126"/>
        <v>172068</v>
      </c>
      <c r="L348" s="56">
        <v>1</v>
      </c>
      <c r="M348" s="3">
        <f t="shared" si="127"/>
        <v>172068</v>
      </c>
    </row>
    <row r="349" spans="2:14" ht="12.95" customHeight="1" x14ac:dyDescent="0.3">
      <c r="B349" s="58" t="s">
        <v>11</v>
      </c>
      <c r="C349" s="51"/>
      <c r="D349" s="51"/>
      <c r="E349" s="22"/>
      <c r="F349" s="22"/>
      <c r="G349" s="16">
        <f>TRUNC(SUM(G347:G348))</f>
        <v>697228</v>
      </c>
      <c r="H349" s="22"/>
      <c r="I349" s="16">
        <f>TRUNC(SUM(I347:I348))</f>
        <v>697228</v>
      </c>
      <c r="J349" s="22"/>
      <c r="K349" s="16">
        <f>TRUNC(SUM(K347:K348))</f>
        <v>959808</v>
      </c>
      <c r="L349" s="22"/>
      <c r="M349" s="16">
        <f>TRUNC(SUM(M347:M348))</f>
        <v>959808</v>
      </c>
    </row>
    <row r="350" spans="2:14" ht="12.95" customHeight="1" x14ac:dyDescent="0.3">
      <c r="B350" s="50"/>
      <c r="C350" s="51"/>
      <c r="D350" s="51"/>
      <c r="E350" s="22"/>
      <c r="F350" s="22"/>
      <c r="G350" s="24"/>
      <c r="H350" s="22"/>
      <c r="I350" s="24"/>
      <c r="J350" s="22"/>
      <c r="K350" s="24"/>
      <c r="L350" s="22"/>
      <c r="M350" s="24"/>
    </row>
    <row r="351" spans="2:14" ht="12.95" customHeight="1" x14ac:dyDescent="0.3">
      <c r="B351" s="65" t="s">
        <v>13</v>
      </c>
      <c r="C351" s="51"/>
      <c r="D351" s="51"/>
      <c r="E351" s="62"/>
      <c r="F351" s="62"/>
      <c r="G351" s="29">
        <f>SUM(G349)</f>
        <v>697228</v>
      </c>
      <c r="H351" s="62"/>
      <c r="I351" s="29">
        <f>SUM(I349)</f>
        <v>697228</v>
      </c>
      <c r="J351" s="62"/>
      <c r="K351" s="29">
        <f>SUM(K349)</f>
        <v>959808</v>
      </c>
      <c r="L351" s="62"/>
      <c r="M351" s="29">
        <f>SUM(M349)</f>
        <v>959808</v>
      </c>
    </row>
    <row r="352" spans="2:14" ht="12.95" customHeight="1" x14ac:dyDescent="0.3">
      <c r="B352" s="66" t="s">
        <v>175</v>
      </c>
      <c r="C352" s="67"/>
      <c r="D352" s="68"/>
      <c r="E352" s="69"/>
      <c r="F352" s="70"/>
      <c r="G352" s="71">
        <f>TRUNC(G351/G345)</f>
        <v>87153</v>
      </c>
      <c r="H352" s="70"/>
      <c r="I352" s="71">
        <f>TRUNC(I351/I345)</f>
        <v>116204</v>
      </c>
      <c r="J352" s="70"/>
      <c r="K352" s="71">
        <f>TRUNC(K351/K345)</f>
        <v>137115</v>
      </c>
      <c r="L352" s="70"/>
      <c r="M352" s="71">
        <f>TRUNC(M351/M345)</f>
        <v>159968</v>
      </c>
    </row>
    <row r="353" spans="2:13" ht="12.95" customHeight="1" x14ac:dyDescent="0.3">
      <c r="B353" s="89" t="s">
        <v>3</v>
      </c>
      <c r="C353" s="92" t="s">
        <v>7</v>
      </c>
      <c r="D353" s="92" t="s">
        <v>8</v>
      </c>
      <c r="E353" s="92" t="s">
        <v>4</v>
      </c>
      <c r="F353" s="95" t="s">
        <v>35</v>
      </c>
      <c r="G353" s="96"/>
      <c r="H353" s="95" t="s">
        <v>36</v>
      </c>
      <c r="I353" s="96"/>
    </row>
    <row r="354" spans="2:13" ht="12.95" customHeight="1" x14ac:dyDescent="0.3">
      <c r="B354" s="90"/>
      <c r="C354" s="93"/>
      <c r="D354" s="93"/>
      <c r="E354" s="93"/>
      <c r="F354" s="38" t="s">
        <v>174</v>
      </c>
      <c r="G354" s="39">
        <v>5</v>
      </c>
      <c r="H354" s="38" t="s">
        <v>174</v>
      </c>
      <c r="I354" s="39">
        <v>4</v>
      </c>
      <c r="J354" s="4"/>
    </row>
    <row r="355" spans="2:13" ht="12.95" customHeight="1" x14ac:dyDescent="0.3">
      <c r="B355" s="91"/>
      <c r="C355" s="94"/>
      <c r="D355" s="94"/>
      <c r="E355" s="94"/>
      <c r="F355" s="40" t="s">
        <v>21</v>
      </c>
      <c r="G355" s="41" t="s">
        <v>173</v>
      </c>
      <c r="H355" s="40" t="s">
        <v>21</v>
      </c>
      <c r="I355" s="41" t="s">
        <v>173</v>
      </c>
      <c r="J355" s="4"/>
    </row>
    <row r="356" spans="2:13" ht="12.95" customHeight="1" x14ac:dyDescent="0.3">
      <c r="B356" s="52" t="s">
        <v>29</v>
      </c>
      <c r="C356" s="53"/>
      <c r="D356" s="54" t="s">
        <v>9</v>
      </c>
      <c r="E356" s="55">
        <v>262580</v>
      </c>
      <c r="F356" s="56">
        <v>4</v>
      </c>
      <c r="G356" s="3">
        <f t="shared" ref="G356:G357" si="128">TRUNC($E356*F356,1)</f>
        <v>1050320</v>
      </c>
      <c r="H356" s="56">
        <v>4</v>
      </c>
      <c r="I356" s="3">
        <f t="shared" ref="I356:I357" si="129">TRUNC($E356*H356,1)</f>
        <v>1050320</v>
      </c>
      <c r="J356" s="4"/>
    </row>
    <row r="357" spans="2:13" ht="12.95" customHeight="1" x14ac:dyDescent="0.3">
      <c r="B357" s="52" t="s">
        <v>1</v>
      </c>
      <c r="C357" s="53"/>
      <c r="D357" s="54" t="s">
        <v>9</v>
      </c>
      <c r="E357" s="57">
        <v>172068</v>
      </c>
      <c r="F357" s="56">
        <v>1</v>
      </c>
      <c r="G357" s="3">
        <f t="shared" si="128"/>
        <v>172068</v>
      </c>
      <c r="H357" s="56">
        <v>1</v>
      </c>
      <c r="I357" s="3">
        <f t="shared" si="129"/>
        <v>172068</v>
      </c>
      <c r="J357" s="4"/>
    </row>
    <row r="358" spans="2:13" ht="12.95" customHeight="1" x14ac:dyDescent="0.3">
      <c r="B358" s="58" t="s">
        <v>11</v>
      </c>
      <c r="C358" s="51"/>
      <c r="D358" s="51"/>
      <c r="E358" s="22"/>
      <c r="F358" s="22"/>
      <c r="G358" s="16">
        <f>TRUNC(SUM(G356:G357))</f>
        <v>1222388</v>
      </c>
      <c r="H358" s="22"/>
      <c r="I358" s="16">
        <f>TRUNC(SUM(I356:I357))</f>
        <v>1222388</v>
      </c>
      <c r="J358" s="4"/>
    </row>
    <row r="359" spans="2:13" ht="12.95" customHeight="1" x14ac:dyDescent="0.3">
      <c r="B359" s="50"/>
      <c r="C359" s="51"/>
      <c r="D359" s="51"/>
      <c r="E359" s="22"/>
      <c r="F359" s="22"/>
      <c r="G359" s="24"/>
      <c r="H359" s="22"/>
      <c r="I359" s="24"/>
      <c r="J359" s="4"/>
    </row>
    <row r="360" spans="2:13" ht="12.95" customHeight="1" x14ac:dyDescent="0.3">
      <c r="B360" s="65" t="s">
        <v>13</v>
      </c>
      <c r="C360" s="51"/>
      <c r="D360" s="51"/>
      <c r="E360" s="62"/>
      <c r="F360" s="62"/>
      <c r="G360" s="29">
        <f>SUM(G358)</f>
        <v>1222388</v>
      </c>
      <c r="H360" s="62"/>
      <c r="I360" s="29">
        <f>SUM(I358)</f>
        <v>1222388</v>
      </c>
    </row>
    <row r="361" spans="2:13" ht="12.95" customHeight="1" x14ac:dyDescent="0.3">
      <c r="B361" s="66" t="s">
        <v>175</v>
      </c>
      <c r="C361" s="67"/>
      <c r="D361" s="68"/>
      <c r="E361" s="69"/>
      <c r="F361" s="70"/>
      <c r="G361" s="71">
        <f>TRUNC(G360/G354)</f>
        <v>244477</v>
      </c>
      <c r="H361" s="70"/>
      <c r="I361" s="71">
        <f>TRUNC(I360/I354)</f>
        <v>305597</v>
      </c>
    </row>
    <row r="363" spans="2:13" ht="12.95" customHeight="1" x14ac:dyDescent="0.3">
      <c r="B363" s="34" t="s">
        <v>191</v>
      </c>
      <c r="C363" s="35"/>
      <c r="D363" s="13"/>
      <c r="E363" s="36"/>
      <c r="K363" s="37" t="s">
        <v>169</v>
      </c>
    </row>
    <row r="364" spans="2:13" ht="12.95" customHeight="1" x14ac:dyDescent="0.3">
      <c r="B364" s="89" t="s">
        <v>3</v>
      </c>
      <c r="C364" s="92" t="s">
        <v>7</v>
      </c>
      <c r="D364" s="92" t="s">
        <v>8</v>
      </c>
      <c r="E364" s="92" t="s">
        <v>4</v>
      </c>
      <c r="F364" s="95" t="s">
        <v>188</v>
      </c>
      <c r="G364" s="96"/>
      <c r="H364" s="96"/>
      <c r="I364" s="96"/>
      <c r="J364" s="96"/>
      <c r="K364" s="96"/>
    </row>
    <row r="365" spans="2:13" ht="12.95" customHeight="1" x14ac:dyDescent="0.3">
      <c r="B365" s="90"/>
      <c r="C365" s="93"/>
      <c r="D365" s="93"/>
      <c r="E365" s="93"/>
      <c r="F365" s="95" t="s">
        <v>170</v>
      </c>
      <c r="G365" s="102"/>
      <c r="H365" s="95" t="s">
        <v>28</v>
      </c>
      <c r="I365" s="96"/>
      <c r="J365" s="95" t="s">
        <v>35</v>
      </c>
      <c r="K365" s="96"/>
    </row>
    <row r="366" spans="2:13" ht="12.95" customHeight="1" x14ac:dyDescent="0.3">
      <c r="B366" s="90"/>
      <c r="C366" s="93"/>
      <c r="D366" s="93"/>
      <c r="E366" s="93"/>
      <c r="F366" s="38" t="s">
        <v>190</v>
      </c>
      <c r="G366" s="73">
        <v>11</v>
      </c>
      <c r="H366" s="38" t="s">
        <v>190</v>
      </c>
      <c r="I366" s="73">
        <v>10</v>
      </c>
      <c r="J366" s="38" t="s">
        <v>190</v>
      </c>
      <c r="K366" s="73">
        <v>9</v>
      </c>
    </row>
    <row r="367" spans="2:13" ht="12.95" customHeight="1" x14ac:dyDescent="0.3">
      <c r="B367" s="91"/>
      <c r="C367" s="94"/>
      <c r="D367" s="94"/>
      <c r="E367" s="94"/>
      <c r="F367" s="40" t="s">
        <v>21</v>
      </c>
      <c r="G367" s="41" t="s">
        <v>173</v>
      </c>
      <c r="H367" s="40" t="s">
        <v>21</v>
      </c>
      <c r="I367" s="41" t="s">
        <v>173</v>
      </c>
      <c r="J367" s="40" t="s">
        <v>21</v>
      </c>
      <c r="K367" s="41" t="s">
        <v>173</v>
      </c>
    </row>
    <row r="368" spans="2:13" ht="12.95" customHeight="1" x14ac:dyDescent="0.3">
      <c r="B368" s="42" t="s">
        <v>53</v>
      </c>
      <c r="C368" s="43" t="s">
        <v>88</v>
      </c>
      <c r="D368" s="44" t="s">
        <v>15</v>
      </c>
      <c r="E368" s="45"/>
      <c r="F368" s="21">
        <v>1</v>
      </c>
      <c r="G368" s="5">
        <f>TRUNC(SUM(G371:G371)*0.06,1)</f>
        <v>16952.099999999999</v>
      </c>
      <c r="H368" s="21">
        <v>1</v>
      </c>
      <c r="I368" s="5">
        <f>TRUNC(SUM(I371:I371)*0.06,1)</f>
        <v>16952.099999999999</v>
      </c>
      <c r="J368" s="21">
        <v>1</v>
      </c>
      <c r="K368" s="5">
        <f>TRUNC(SUM(K371:K371)*0.06,1)</f>
        <v>16952.099999999999</v>
      </c>
      <c r="L368" s="13"/>
      <c r="M368" s="13"/>
    </row>
    <row r="369" spans="2:13" ht="12.95" customHeight="1" x14ac:dyDescent="0.3">
      <c r="B369" s="46" t="s">
        <v>10</v>
      </c>
      <c r="C369" s="47"/>
      <c r="D369" s="48"/>
      <c r="E369" s="49"/>
      <c r="F369" s="25"/>
      <c r="G369" s="12">
        <f>TRUNC(SUM(G368))</f>
        <v>16952</v>
      </c>
      <c r="H369" s="25"/>
      <c r="I369" s="12">
        <f>TRUNC(SUM(I368))</f>
        <v>16952</v>
      </c>
      <c r="J369" s="25"/>
      <c r="K369" s="12">
        <f>TRUNC(SUM(K368))</f>
        <v>16952</v>
      </c>
      <c r="L369" s="13"/>
    </row>
    <row r="370" spans="2:13" ht="12.95" customHeight="1" x14ac:dyDescent="0.3">
      <c r="B370" s="50"/>
      <c r="C370" s="51"/>
      <c r="D370" s="51"/>
      <c r="E370" s="22"/>
      <c r="F370" s="15"/>
      <c r="G370" s="24"/>
      <c r="H370" s="15"/>
      <c r="I370" s="24"/>
      <c r="J370" s="15"/>
      <c r="K370" s="24"/>
    </row>
    <row r="371" spans="2:13" ht="12.95" customHeight="1" x14ac:dyDescent="0.3">
      <c r="B371" s="52" t="s">
        <v>20</v>
      </c>
      <c r="C371" s="53"/>
      <c r="D371" s="54" t="s">
        <v>9</v>
      </c>
      <c r="E371" s="78">
        <v>282536</v>
      </c>
      <c r="F371" s="56">
        <v>1</v>
      </c>
      <c r="G371" s="3">
        <f t="shared" ref="G371" si="130">TRUNC($E371*F371,1)</f>
        <v>282536</v>
      </c>
      <c r="H371" s="56">
        <v>1</v>
      </c>
      <c r="I371" s="3">
        <f t="shared" ref="I371" si="131">TRUNC($E371*H371,1)</f>
        <v>282536</v>
      </c>
      <c r="J371" s="56">
        <v>1</v>
      </c>
      <c r="K371" s="3">
        <f t="shared" ref="K371" si="132">TRUNC($E371*J371,1)</f>
        <v>282536</v>
      </c>
    </row>
    <row r="372" spans="2:13" ht="12.95" customHeight="1" x14ac:dyDescent="0.3">
      <c r="B372" s="58" t="s">
        <v>11</v>
      </c>
      <c r="C372" s="51"/>
      <c r="D372" s="51"/>
      <c r="E372" s="22"/>
      <c r="F372" s="15"/>
      <c r="G372" s="16">
        <f>TRUNC(SUM(G371:G371))</f>
        <v>282536</v>
      </c>
      <c r="H372" s="15"/>
      <c r="I372" s="16">
        <f>TRUNC(SUM(I371:I371))</f>
        <v>282536</v>
      </c>
      <c r="J372" s="15"/>
      <c r="K372" s="16">
        <f>TRUNC(SUM(K371:K371))</f>
        <v>282536</v>
      </c>
    </row>
    <row r="373" spans="2:13" ht="12.95" customHeight="1" x14ac:dyDescent="0.3">
      <c r="B373" s="50"/>
      <c r="C373" s="51"/>
      <c r="D373" s="51"/>
      <c r="E373" s="22"/>
      <c r="F373" s="15"/>
      <c r="G373" s="24"/>
      <c r="H373" s="15"/>
      <c r="I373" s="24"/>
      <c r="J373" s="15"/>
      <c r="K373" s="24"/>
    </row>
    <row r="374" spans="2:13" ht="12.95" customHeight="1" x14ac:dyDescent="0.3">
      <c r="B374" s="65" t="s">
        <v>13</v>
      </c>
      <c r="C374" s="51"/>
      <c r="D374" s="51"/>
      <c r="E374" s="62"/>
      <c r="F374" s="62"/>
      <c r="G374" s="29">
        <f>SUM(G369+G372)</f>
        <v>299488</v>
      </c>
      <c r="H374" s="62"/>
      <c r="I374" s="29">
        <f>SUM(I369+I372)</f>
        <v>299488</v>
      </c>
      <c r="J374" s="62"/>
      <c r="K374" s="29">
        <f>SUM(K369+K372)</f>
        <v>299488</v>
      </c>
    </row>
    <row r="375" spans="2:13" ht="12.95" customHeight="1" x14ac:dyDescent="0.3">
      <c r="B375" s="66" t="s">
        <v>189</v>
      </c>
      <c r="C375" s="67"/>
      <c r="D375" s="68"/>
      <c r="E375" s="69"/>
      <c r="F375" s="70"/>
      <c r="G375" s="71">
        <f>TRUNC(G374/G366)</f>
        <v>27226</v>
      </c>
      <c r="H375" s="70"/>
      <c r="I375" s="71">
        <f>TRUNC(I374/I366)</f>
        <v>29948</v>
      </c>
      <c r="J375" s="70"/>
      <c r="K375" s="71">
        <f>TRUNC(K374/K366)</f>
        <v>33276</v>
      </c>
    </row>
    <row r="376" spans="2:13" ht="12.95" customHeight="1" x14ac:dyDescent="0.3">
      <c r="B376" s="89" t="s">
        <v>3</v>
      </c>
      <c r="C376" s="92" t="s">
        <v>7</v>
      </c>
      <c r="D376" s="92" t="s">
        <v>8</v>
      </c>
      <c r="E376" s="92" t="s">
        <v>4</v>
      </c>
      <c r="F376" s="95" t="s">
        <v>188</v>
      </c>
      <c r="G376" s="96"/>
      <c r="H376" s="96"/>
      <c r="I376" s="96"/>
      <c r="J376" s="96"/>
      <c r="K376" s="96"/>
    </row>
    <row r="377" spans="2:13" ht="12.95" customHeight="1" x14ac:dyDescent="0.3">
      <c r="B377" s="90"/>
      <c r="C377" s="93"/>
      <c r="D377" s="93"/>
      <c r="E377" s="93"/>
      <c r="F377" s="95" t="s">
        <v>36</v>
      </c>
      <c r="G377" s="96"/>
      <c r="H377" s="95" t="s">
        <v>37</v>
      </c>
      <c r="I377" s="96"/>
      <c r="J377" s="95" t="s">
        <v>39</v>
      </c>
      <c r="K377" s="96"/>
    </row>
    <row r="378" spans="2:13" ht="12.95" customHeight="1" x14ac:dyDescent="0.3">
      <c r="B378" s="90"/>
      <c r="C378" s="93"/>
      <c r="D378" s="93"/>
      <c r="E378" s="93"/>
      <c r="F378" s="38" t="s">
        <v>190</v>
      </c>
      <c r="G378" s="73">
        <v>7.5</v>
      </c>
      <c r="H378" s="38" t="s">
        <v>190</v>
      </c>
      <c r="I378" s="73">
        <v>6.5</v>
      </c>
      <c r="J378" s="38" t="s">
        <v>190</v>
      </c>
      <c r="K378" s="73">
        <v>5.5</v>
      </c>
    </row>
    <row r="379" spans="2:13" ht="12.95" customHeight="1" x14ac:dyDescent="0.3">
      <c r="B379" s="91"/>
      <c r="C379" s="94"/>
      <c r="D379" s="94"/>
      <c r="E379" s="94"/>
      <c r="F379" s="40" t="s">
        <v>21</v>
      </c>
      <c r="G379" s="41" t="s">
        <v>173</v>
      </c>
      <c r="H379" s="40" t="s">
        <v>21</v>
      </c>
      <c r="I379" s="41" t="s">
        <v>173</v>
      </c>
      <c r="J379" s="40" t="s">
        <v>21</v>
      </c>
      <c r="K379" s="41" t="s">
        <v>173</v>
      </c>
    </row>
    <row r="380" spans="2:13" ht="12.95" customHeight="1" x14ac:dyDescent="0.3">
      <c r="B380" s="42" t="s">
        <v>53</v>
      </c>
      <c r="C380" s="43" t="s">
        <v>88</v>
      </c>
      <c r="D380" s="44" t="s">
        <v>15</v>
      </c>
      <c r="E380" s="45"/>
      <c r="F380" s="21">
        <v>1</v>
      </c>
      <c r="G380" s="5">
        <f>TRUNC(SUM(G383:G383)*0.06,1)</f>
        <v>16952.099999999999</v>
      </c>
      <c r="H380" s="21">
        <v>1</v>
      </c>
      <c r="I380" s="5">
        <f>TRUNC(SUM(I383:I383)*0.06,1)</f>
        <v>16952.099999999999</v>
      </c>
      <c r="J380" s="21">
        <v>1</v>
      </c>
      <c r="K380" s="5">
        <f>TRUNC(SUM(K383:K383)*0.06,1)</f>
        <v>16952.099999999999</v>
      </c>
      <c r="L380" s="13"/>
      <c r="M380" s="13"/>
    </row>
    <row r="381" spans="2:13" ht="12.95" customHeight="1" x14ac:dyDescent="0.3">
      <c r="B381" s="46" t="s">
        <v>10</v>
      </c>
      <c r="C381" s="47"/>
      <c r="D381" s="48"/>
      <c r="E381" s="49"/>
      <c r="F381" s="25"/>
      <c r="G381" s="12">
        <f>TRUNC(SUM(G380))</f>
        <v>16952</v>
      </c>
      <c r="H381" s="25"/>
      <c r="I381" s="12">
        <f>TRUNC(SUM(I380))</f>
        <v>16952</v>
      </c>
      <c r="J381" s="25"/>
      <c r="K381" s="12">
        <f>TRUNC(SUM(K380))</f>
        <v>16952</v>
      </c>
      <c r="L381" s="13"/>
    </row>
    <row r="382" spans="2:13" ht="12.95" customHeight="1" x14ac:dyDescent="0.3">
      <c r="B382" s="50"/>
      <c r="C382" s="51"/>
      <c r="D382" s="51"/>
      <c r="E382" s="22"/>
      <c r="F382" s="15"/>
      <c r="G382" s="24"/>
      <c r="H382" s="15"/>
      <c r="I382" s="24"/>
      <c r="J382" s="15"/>
      <c r="K382" s="24"/>
    </row>
    <row r="383" spans="2:13" ht="12.95" customHeight="1" x14ac:dyDescent="0.3">
      <c r="B383" s="52" t="s">
        <v>20</v>
      </c>
      <c r="C383" s="53"/>
      <c r="D383" s="54" t="s">
        <v>9</v>
      </c>
      <c r="E383" s="78">
        <v>282536</v>
      </c>
      <c r="F383" s="56">
        <v>1</v>
      </c>
      <c r="G383" s="3">
        <f t="shared" ref="G383" si="133">TRUNC($E383*F383,1)</f>
        <v>282536</v>
      </c>
      <c r="H383" s="56">
        <v>1</v>
      </c>
      <c r="I383" s="3">
        <f t="shared" ref="I383" si="134">TRUNC($E383*H383,1)</f>
        <v>282536</v>
      </c>
      <c r="J383" s="56">
        <v>1</v>
      </c>
      <c r="K383" s="3">
        <f t="shared" ref="K383" si="135">TRUNC($E383*J383,1)</f>
        <v>282536</v>
      </c>
    </row>
    <row r="384" spans="2:13" ht="12.95" customHeight="1" x14ac:dyDescent="0.3">
      <c r="B384" s="58" t="s">
        <v>11</v>
      </c>
      <c r="C384" s="51"/>
      <c r="D384" s="51"/>
      <c r="E384" s="22"/>
      <c r="F384" s="15"/>
      <c r="G384" s="16">
        <f>TRUNC(SUM(G383:G383))</f>
        <v>282536</v>
      </c>
      <c r="H384" s="15"/>
      <c r="I384" s="16">
        <f>TRUNC(SUM(I383:I383))</f>
        <v>282536</v>
      </c>
      <c r="J384" s="15"/>
      <c r="K384" s="16">
        <f>TRUNC(SUM(K383:K383))</f>
        <v>282536</v>
      </c>
    </row>
    <row r="385" spans="2:13" ht="12.95" customHeight="1" x14ac:dyDescent="0.3">
      <c r="B385" s="50"/>
      <c r="C385" s="51"/>
      <c r="D385" s="51"/>
      <c r="E385" s="22"/>
      <c r="F385" s="15"/>
      <c r="G385" s="24"/>
      <c r="H385" s="15"/>
      <c r="I385" s="24"/>
      <c r="J385" s="15"/>
      <c r="K385" s="24"/>
    </row>
    <row r="386" spans="2:13" ht="12.95" customHeight="1" x14ac:dyDescent="0.3">
      <c r="B386" s="65" t="s">
        <v>13</v>
      </c>
      <c r="C386" s="51"/>
      <c r="D386" s="51"/>
      <c r="E386" s="62"/>
      <c r="F386" s="62"/>
      <c r="G386" s="29">
        <f>SUM(G381+G384)</f>
        <v>299488</v>
      </c>
      <c r="H386" s="62"/>
      <c r="I386" s="29">
        <f>SUM(I381+I384)</f>
        <v>299488</v>
      </c>
      <c r="J386" s="62"/>
      <c r="K386" s="29">
        <f>SUM(K381+K384)</f>
        <v>299488</v>
      </c>
    </row>
    <row r="387" spans="2:13" ht="12.95" customHeight="1" x14ac:dyDescent="0.3">
      <c r="B387" s="66" t="s">
        <v>189</v>
      </c>
      <c r="C387" s="67"/>
      <c r="D387" s="68"/>
      <c r="E387" s="69"/>
      <c r="F387" s="70"/>
      <c r="G387" s="71">
        <f>TRUNC(G386/G378)</f>
        <v>39931</v>
      </c>
      <c r="H387" s="70"/>
      <c r="I387" s="71">
        <f>TRUNC(I386/I378)</f>
        <v>46075</v>
      </c>
      <c r="J387" s="70"/>
      <c r="K387" s="71">
        <f>TRUNC(K386/K378)</f>
        <v>54452</v>
      </c>
    </row>
    <row r="388" spans="2:13" ht="12.95" customHeight="1" x14ac:dyDescent="0.3">
      <c r="B388" s="89" t="s">
        <v>3</v>
      </c>
      <c r="C388" s="92" t="s">
        <v>7</v>
      </c>
      <c r="D388" s="92" t="s">
        <v>8</v>
      </c>
      <c r="E388" s="92" t="s">
        <v>4</v>
      </c>
      <c r="F388" s="95" t="s">
        <v>188</v>
      </c>
      <c r="G388" s="96"/>
      <c r="H388" s="96"/>
      <c r="I388" s="96"/>
      <c r="J388" s="96"/>
      <c r="K388" s="96"/>
    </row>
    <row r="389" spans="2:13" ht="12.95" customHeight="1" x14ac:dyDescent="0.3">
      <c r="B389" s="90"/>
      <c r="C389" s="93"/>
      <c r="D389" s="93"/>
      <c r="E389" s="93"/>
      <c r="F389" s="95" t="s">
        <v>40</v>
      </c>
      <c r="G389" s="96"/>
      <c r="H389" s="95" t="s">
        <v>41</v>
      </c>
      <c r="I389" s="102"/>
      <c r="J389" s="95" t="s">
        <v>43</v>
      </c>
      <c r="K389" s="96"/>
    </row>
    <row r="390" spans="2:13" ht="12.95" customHeight="1" x14ac:dyDescent="0.3">
      <c r="B390" s="90"/>
      <c r="C390" s="93"/>
      <c r="D390" s="93"/>
      <c r="E390" s="93"/>
      <c r="F390" s="38" t="s">
        <v>190</v>
      </c>
      <c r="G390" s="73">
        <v>9.5</v>
      </c>
      <c r="H390" s="38" t="s">
        <v>190</v>
      </c>
      <c r="I390" s="73">
        <v>8</v>
      </c>
      <c r="J390" s="38" t="s">
        <v>190</v>
      </c>
      <c r="K390" s="73">
        <v>6.5</v>
      </c>
    </row>
    <row r="391" spans="2:13" ht="12.95" customHeight="1" x14ac:dyDescent="0.3">
      <c r="B391" s="91"/>
      <c r="C391" s="94"/>
      <c r="D391" s="94"/>
      <c r="E391" s="94"/>
      <c r="F391" s="40" t="s">
        <v>21</v>
      </c>
      <c r="G391" s="41" t="s">
        <v>173</v>
      </c>
      <c r="H391" s="40" t="s">
        <v>21</v>
      </c>
      <c r="I391" s="41" t="s">
        <v>173</v>
      </c>
      <c r="J391" s="40" t="s">
        <v>21</v>
      </c>
      <c r="K391" s="41" t="s">
        <v>173</v>
      </c>
    </row>
    <row r="392" spans="2:13" ht="12.95" customHeight="1" x14ac:dyDescent="0.3">
      <c r="B392" s="42" t="s">
        <v>53</v>
      </c>
      <c r="C392" s="43" t="s">
        <v>88</v>
      </c>
      <c r="D392" s="44" t="s">
        <v>15</v>
      </c>
      <c r="E392" s="45"/>
      <c r="F392" s="21">
        <v>1</v>
      </c>
      <c r="G392" s="5">
        <f>TRUNC(SUM(G395:G395)*0.06,1)</f>
        <v>33904.300000000003</v>
      </c>
      <c r="H392" s="21">
        <v>1</v>
      </c>
      <c r="I392" s="5">
        <f>TRUNC(SUM(I395:I395)*0.06,1)</f>
        <v>33904.300000000003</v>
      </c>
      <c r="J392" s="21">
        <v>1</v>
      </c>
      <c r="K392" s="5">
        <f>TRUNC(SUM(K395:K395)*0.06,1)</f>
        <v>33904.300000000003</v>
      </c>
      <c r="L392" s="13"/>
      <c r="M392" s="13"/>
    </row>
    <row r="393" spans="2:13" ht="12.95" customHeight="1" x14ac:dyDescent="0.3">
      <c r="B393" s="46" t="s">
        <v>10</v>
      </c>
      <c r="C393" s="47"/>
      <c r="D393" s="48"/>
      <c r="E393" s="49"/>
      <c r="F393" s="25"/>
      <c r="G393" s="12">
        <f>TRUNC(SUM(G392))</f>
        <v>33904</v>
      </c>
      <c r="H393" s="25"/>
      <c r="I393" s="12">
        <f>TRUNC(SUM(I392))</f>
        <v>33904</v>
      </c>
      <c r="J393" s="25"/>
      <c r="K393" s="12">
        <f>TRUNC(SUM(K392))</f>
        <v>33904</v>
      </c>
      <c r="L393" s="13"/>
    </row>
    <row r="394" spans="2:13" ht="12.95" customHeight="1" x14ac:dyDescent="0.3">
      <c r="B394" s="50"/>
      <c r="C394" s="51"/>
      <c r="D394" s="51"/>
      <c r="E394" s="22"/>
      <c r="F394" s="15"/>
      <c r="G394" s="24"/>
      <c r="H394" s="15"/>
      <c r="I394" s="24"/>
      <c r="J394" s="15"/>
      <c r="K394" s="24"/>
    </row>
    <row r="395" spans="2:13" ht="12.95" customHeight="1" x14ac:dyDescent="0.3">
      <c r="B395" s="52" t="s">
        <v>20</v>
      </c>
      <c r="C395" s="53"/>
      <c r="D395" s="54" t="s">
        <v>9</v>
      </c>
      <c r="E395" s="78">
        <v>282536</v>
      </c>
      <c r="F395" s="56">
        <v>2</v>
      </c>
      <c r="G395" s="3">
        <f t="shared" ref="G395" si="136">TRUNC($E395*F395,1)</f>
        <v>565072</v>
      </c>
      <c r="H395" s="56">
        <v>2</v>
      </c>
      <c r="I395" s="3">
        <f t="shared" ref="I395" si="137">TRUNC($E395*H395,1)</f>
        <v>565072</v>
      </c>
      <c r="J395" s="56">
        <v>2</v>
      </c>
      <c r="K395" s="3">
        <f t="shared" ref="K395" si="138">TRUNC($E395*J395,1)</f>
        <v>565072</v>
      </c>
    </row>
    <row r="396" spans="2:13" ht="12.95" customHeight="1" x14ac:dyDescent="0.3">
      <c r="B396" s="58" t="s">
        <v>11</v>
      </c>
      <c r="C396" s="51"/>
      <c r="D396" s="51"/>
      <c r="E396" s="22"/>
      <c r="F396" s="15"/>
      <c r="G396" s="16">
        <f>TRUNC(SUM(G395:G395))</f>
        <v>565072</v>
      </c>
      <c r="H396" s="15"/>
      <c r="I396" s="16">
        <f>TRUNC(SUM(I395:I395))</f>
        <v>565072</v>
      </c>
      <c r="J396" s="15"/>
      <c r="K396" s="16">
        <f>TRUNC(SUM(K395:K395))</f>
        <v>565072</v>
      </c>
    </row>
    <row r="397" spans="2:13" ht="12.95" customHeight="1" x14ac:dyDescent="0.3">
      <c r="B397" s="50"/>
      <c r="C397" s="51"/>
      <c r="D397" s="51"/>
      <c r="E397" s="22"/>
      <c r="F397" s="15"/>
      <c r="G397" s="24"/>
      <c r="H397" s="15"/>
      <c r="I397" s="24"/>
      <c r="J397" s="15"/>
      <c r="K397" s="24"/>
    </row>
    <row r="398" spans="2:13" ht="12.95" customHeight="1" x14ac:dyDescent="0.3">
      <c r="B398" s="65" t="s">
        <v>13</v>
      </c>
      <c r="C398" s="51"/>
      <c r="D398" s="51"/>
      <c r="E398" s="62"/>
      <c r="F398" s="62"/>
      <c r="G398" s="29">
        <f>SUM(G393+G396)</f>
        <v>598976</v>
      </c>
      <c r="H398" s="62"/>
      <c r="I398" s="29">
        <f>SUM(I393+I396)</f>
        <v>598976</v>
      </c>
      <c r="J398" s="62"/>
      <c r="K398" s="29">
        <f>SUM(K393+K396)</f>
        <v>598976</v>
      </c>
    </row>
    <row r="399" spans="2:13" ht="12.95" customHeight="1" x14ac:dyDescent="0.3">
      <c r="B399" s="66" t="s">
        <v>189</v>
      </c>
      <c r="C399" s="67"/>
      <c r="D399" s="68"/>
      <c r="E399" s="69"/>
      <c r="F399" s="70"/>
      <c r="G399" s="71">
        <f>TRUNC(G398/G390)</f>
        <v>63050</v>
      </c>
      <c r="H399" s="70"/>
      <c r="I399" s="71">
        <f>TRUNC(I398/I390)</f>
        <v>74872</v>
      </c>
      <c r="J399" s="70"/>
      <c r="K399" s="71">
        <f>TRUNC(K398/K390)</f>
        <v>92150</v>
      </c>
    </row>
    <row r="400" spans="2:13" ht="12.95" customHeight="1" x14ac:dyDescent="0.3">
      <c r="B400" s="89" t="s">
        <v>3</v>
      </c>
      <c r="C400" s="92" t="s">
        <v>7</v>
      </c>
      <c r="D400" s="92" t="s">
        <v>8</v>
      </c>
      <c r="E400" s="92" t="s">
        <v>4</v>
      </c>
      <c r="F400" s="95" t="s">
        <v>188</v>
      </c>
      <c r="G400" s="96"/>
      <c r="H400" s="96"/>
      <c r="I400" s="96"/>
    </row>
    <row r="401" spans="2:13" ht="12.95" customHeight="1" x14ac:dyDescent="0.3">
      <c r="B401" s="90"/>
      <c r="C401" s="93"/>
      <c r="D401" s="93"/>
      <c r="E401" s="93"/>
      <c r="F401" s="95" t="s">
        <v>44</v>
      </c>
      <c r="G401" s="96"/>
      <c r="H401" s="103" t="s">
        <v>46</v>
      </c>
      <c r="I401" s="104"/>
    </row>
    <row r="402" spans="2:13" ht="12.95" customHeight="1" x14ac:dyDescent="0.3">
      <c r="B402" s="90"/>
      <c r="C402" s="93"/>
      <c r="D402" s="93"/>
      <c r="E402" s="93"/>
      <c r="F402" s="38" t="s">
        <v>190</v>
      </c>
      <c r="G402" s="73">
        <v>5</v>
      </c>
      <c r="H402" s="38" t="s">
        <v>190</v>
      </c>
      <c r="I402" s="73">
        <v>3.5</v>
      </c>
    </row>
    <row r="403" spans="2:13" ht="12.95" customHeight="1" x14ac:dyDescent="0.3">
      <c r="B403" s="91"/>
      <c r="C403" s="94"/>
      <c r="D403" s="94"/>
      <c r="E403" s="94"/>
      <c r="F403" s="40" t="s">
        <v>21</v>
      </c>
      <c r="G403" s="41" t="s">
        <v>173</v>
      </c>
      <c r="H403" s="40" t="s">
        <v>21</v>
      </c>
      <c r="I403" s="41" t="s">
        <v>173</v>
      </c>
    </row>
    <row r="404" spans="2:13" ht="12.95" customHeight="1" x14ac:dyDescent="0.3">
      <c r="B404" s="42" t="s">
        <v>53</v>
      </c>
      <c r="C404" s="43" t="s">
        <v>88</v>
      </c>
      <c r="D404" s="44" t="s">
        <v>15</v>
      </c>
      <c r="E404" s="45"/>
      <c r="F404" s="21">
        <v>1</v>
      </c>
      <c r="G404" s="5">
        <f>TRUNC(SUM(G407:G407)*0.06,1)</f>
        <v>33904.300000000003</v>
      </c>
      <c r="H404" s="21">
        <v>1</v>
      </c>
      <c r="I404" s="5">
        <f>TRUNC(SUM(I407:I407)*0.06,1)</f>
        <v>33904.300000000003</v>
      </c>
      <c r="J404" s="13"/>
      <c r="K404" s="13"/>
    </row>
    <row r="405" spans="2:13" ht="12.95" customHeight="1" x14ac:dyDescent="0.3">
      <c r="B405" s="46" t="s">
        <v>10</v>
      </c>
      <c r="C405" s="47"/>
      <c r="D405" s="48"/>
      <c r="E405" s="49"/>
      <c r="F405" s="25"/>
      <c r="G405" s="12">
        <f>TRUNC(SUM(G404))</f>
        <v>33904</v>
      </c>
      <c r="H405" s="25"/>
      <c r="I405" s="12">
        <f>TRUNC(SUM(I404))</f>
        <v>33904</v>
      </c>
      <c r="J405" s="13"/>
    </row>
    <row r="406" spans="2:13" ht="12.95" customHeight="1" x14ac:dyDescent="0.3">
      <c r="B406" s="50"/>
      <c r="C406" s="51"/>
      <c r="D406" s="51"/>
      <c r="E406" s="22"/>
      <c r="F406" s="15"/>
      <c r="G406" s="24"/>
      <c r="H406" s="15"/>
      <c r="I406" s="24"/>
    </row>
    <row r="407" spans="2:13" ht="12.95" customHeight="1" x14ac:dyDescent="0.3">
      <c r="B407" s="52" t="s">
        <v>20</v>
      </c>
      <c r="C407" s="53"/>
      <c r="D407" s="54" t="s">
        <v>9</v>
      </c>
      <c r="E407" s="78">
        <v>282536</v>
      </c>
      <c r="F407" s="56">
        <v>2</v>
      </c>
      <c r="G407" s="3">
        <f t="shared" ref="G407" si="139">TRUNC($E407*F407,1)</f>
        <v>565072</v>
      </c>
      <c r="H407" s="56">
        <v>2</v>
      </c>
      <c r="I407" s="3">
        <f t="shared" ref="I407" si="140">TRUNC($E407*H407,1)</f>
        <v>565072</v>
      </c>
    </row>
    <row r="408" spans="2:13" ht="12.95" customHeight="1" x14ac:dyDescent="0.3">
      <c r="B408" s="58" t="s">
        <v>11</v>
      </c>
      <c r="C408" s="51"/>
      <c r="D408" s="51"/>
      <c r="E408" s="22"/>
      <c r="F408" s="15"/>
      <c r="G408" s="16">
        <f>TRUNC(SUM(G407:G407))</f>
        <v>565072</v>
      </c>
      <c r="H408" s="15"/>
      <c r="I408" s="16">
        <f>TRUNC(SUM(I407:I407))</f>
        <v>565072</v>
      </c>
    </row>
    <row r="409" spans="2:13" ht="12.95" customHeight="1" x14ac:dyDescent="0.3">
      <c r="B409" s="50"/>
      <c r="C409" s="51"/>
      <c r="D409" s="51"/>
      <c r="E409" s="22"/>
      <c r="F409" s="15"/>
      <c r="G409" s="24"/>
      <c r="H409" s="15"/>
      <c r="I409" s="24"/>
    </row>
    <row r="410" spans="2:13" ht="12.95" customHeight="1" x14ac:dyDescent="0.3">
      <c r="B410" s="65" t="s">
        <v>13</v>
      </c>
      <c r="C410" s="51"/>
      <c r="D410" s="51"/>
      <c r="E410" s="62"/>
      <c r="F410" s="62"/>
      <c r="G410" s="29">
        <f>SUM(G405+G408)</f>
        <v>598976</v>
      </c>
      <c r="H410" s="62"/>
      <c r="I410" s="29">
        <f>SUM(I405+I408)</f>
        <v>598976</v>
      </c>
    </row>
    <row r="411" spans="2:13" ht="12.95" customHeight="1" x14ac:dyDescent="0.3">
      <c r="B411" s="66" t="s">
        <v>189</v>
      </c>
      <c r="C411" s="67"/>
      <c r="D411" s="68"/>
      <c r="E411" s="69"/>
      <c r="F411" s="70"/>
      <c r="G411" s="71">
        <f>TRUNC(G410/G402)</f>
        <v>119795</v>
      </c>
      <c r="H411" s="70"/>
      <c r="I411" s="71">
        <f>TRUNC(I410/I402)</f>
        <v>171136</v>
      </c>
    </row>
    <row r="412" spans="2:13" ht="12.95" customHeight="1" x14ac:dyDescent="0.3">
      <c r="B412" s="89" t="s">
        <v>3</v>
      </c>
      <c r="C412" s="92" t="s">
        <v>7</v>
      </c>
      <c r="D412" s="92" t="s">
        <v>8</v>
      </c>
      <c r="E412" s="92" t="s">
        <v>4</v>
      </c>
      <c r="F412" s="95" t="s">
        <v>188</v>
      </c>
      <c r="G412" s="96"/>
      <c r="H412" s="96"/>
      <c r="I412" s="96"/>
      <c r="J412" s="96"/>
      <c r="K412" s="96"/>
      <c r="L412" s="96"/>
      <c r="M412" s="96"/>
    </row>
    <row r="413" spans="2:13" ht="12.95" customHeight="1" x14ac:dyDescent="0.3">
      <c r="B413" s="90"/>
      <c r="C413" s="93"/>
      <c r="D413" s="93"/>
      <c r="E413" s="93"/>
      <c r="F413" s="95" t="s">
        <v>48</v>
      </c>
      <c r="G413" s="96"/>
      <c r="H413" s="103" t="s">
        <v>49</v>
      </c>
      <c r="I413" s="104"/>
      <c r="J413" s="103" t="s">
        <v>50</v>
      </c>
      <c r="K413" s="104"/>
      <c r="L413" s="95" t="s">
        <v>51</v>
      </c>
      <c r="M413" s="96"/>
    </row>
    <row r="414" spans="2:13" ht="12.95" customHeight="1" x14ac:dyDescent="0.3">
      <c r="B414" s="90"/>
      <c r="C414" s="93"/>
      <c r="D414" s="93"/>
      <c r="E414" s="93"/>
      <c r="F414" s="38" t="s">
        <v>190</v>
      </c>
      <c r="G414" s="73">
        <v>2.5</v>
      </c>
      <c r="H414" s="38" t="s">
        <v>190</v>
      </c>
      <c r="I414" s="73">
        <v>2</v>
      </c>
      <c r="J414" s="38" t="s">
        <v>190</v>
      </c>
      <c r="K414" s="73">
        <v>1.5</v>
      </c>
      <c r="L414" s="38" t="s">
        <v>190</v>
      </c>
      <c r="M414" s="73">
        <v>1.5</v>
      </c>
    </row>
    <row r="415" spans="2:13" ht="12.95" customHeight="1" x14ac:dyDescent="0.3">
      <c r="B415" s="91"/>
      <c r="C415" s="94"/>
      <c r="D415" s="94"/>
      <c r="E415" s="94"/>
      <c r="F415" s="40" t="s">
        <v>21</v>
      </c>
      <c r="G415" s="41" t="s">
        <v>173</v>
      </c>
      <c r="H415" s="40" t="s">
        <v>21</v>
      </c>
      <c r="I415" s="41" t="s">
        <v>173</v>
      </c>
      <c r="J415" s="40" t="s">
        <v>21</v>
      </c>
      <c r="K415" s="41" t="s">
        <v>173</v>
      </c>
      <c r="L415" s="40" t="s">
        <v>21</v>
      </c>
      <c r="M415" s="41" t="s">
        <v>173</v>
      </c>
    </row>
    <row r="416" spans="2:13" ht="12.95" customHeight="1" x14ac:dyDescent="0.3">
      <c r="B416" s="42" t="s">
        <v>53</v>
      </c>
      <c r="C416" s="43" t="s">
        <v>88</v>
      </c>
      <c r="D416" s="44" t="s">
        <v>15</v>
      </c>
      <c r="E416" s="45"/>
      <c r="F416" s="21">
        <v>1</v>
      </c>
      <c r="G416" s="5">
        <f>TRUNC(SUM(G419:G419)*0.06,1)</f>
        <v>50856.4</v>
      </c>
      <c r="H416" s="21">
        <v>1</v>
      </c>
      <c r="I416" s="5">
        <f>TRUNC(SUM(I419:I419)*0.06,1)</f>
        <v>50856.4</v>
      </c>
      <c r="J416" s="21">
        <v>1</v>
      </c>
      <c r="K416" s="5">
        <f>TRUNC(SUM(K419:K419)*0.06,1)</f>
        <v>50856.4</v>
      </c>
      <c r="L416" s="21">
        <v>1</v>
      </c>
      <c r="M416" s="5">
        <f>TRUNC(SUM(M419:M419)*0.06,1)</f>
        <v>50856.4</v>
      </c>
    </row>
    <row r="417" spans="2:14" ht="12.95" customHeight="1" x14ac:dyDescent="0.3">
      <c r="B417" s="46" t="s">
        <v>10</v>
      </c>
      <c r="C417" s="47"/>
      <c r="D417" s="48"/>
      <c r="E417" s="49"/>
      <c r="F417" s="25"/>
      <c r="G417" s="12">
        <f>TRUNC(SUM(G416))</f>
        <v>50856</v>
      </c>
      <c r="H417" s="25"/>
      <c r="I417" s="12">
        <f>TRUNC(SUM(I416))</f>
        <v>50856</v>
      </c>
      <c r="J417" s="25"/>
      <c r="K417" s="12">
        <f>TRUNC(SUM(K416))</f>
        <v>50856</v>
      </c>
      <c r="L417" s="25"/>
      <c r="M417" s="12">
        <f>TRUNC(SUM(M416))</f>
        <v>50856</v>
      </c>
    </row>
    <row r="418" spans="2:14" ht="12.95" customHeight="1" x14ac:dyDescent="0.3">
      <c r="B418" s="50"/>
      <c r="C418" s="51"/>
      <c r="D418" s="51"/>
      <c r="E418" s="22"/>
      <c r="F418" s="15"/>
      <c r="G418" s="24"/>
      <c r="H418" s="15"/>
      <c r="I418" s="24"/>
      <c r="J418" s="15"/>
      <c r="K418" s="24"/>
      <c r="L418" s="15"/>
      <c r="M418" s="24"/>
    </row>
    <row r="419" spans="2:14" ht="12.95" customHeight="1" x14ac:dyDescent="0.3">
      <c r="B419" s="52" t="s">
        <v>20</v>
      </c>
      <c r="C419" s="53"/>
      <c r="D419" s="54" t="s">
        <v>9</v>
      </c>
      <c r="E419" s="78">
        <v>282536</v>
      </c>
      <c r="F419" s="56">
        <v>3</v>
      </c>
      <c r="G419" s="3">
        <f t="shared" ref="G419" si="141">TRUNC($E419*F419,1)</f>
        <v>847608</v>
      </c>
      <c r="H419" s="56">
        <v>3</v>
      </c>
      <c r="I419" s="3">
        <f t="shared" ref="I419" si="142">TRUNC($E419*H419,1)</f>
        <v>847608</v>
      </c>
      <c r="J419" s="56">
        <v>3</v>
      </c>
      <c r="K419" s="3">
        <f t="shared" ref="K419" si="143">TRUNC($E419*J419,1)</f>
        <v>847608</v>
      </c>
      <c r="L419" s="56">
        <v>3</v>
      </c>
      <c r="M419" s="3">
        <f t="shared" ref="M419" si="144">TRUNC($E419*L419,1)</f>
        <v>847608</v>
      </c>
    </row>
    <row r="420" spans="2:14" ht="12.95" customHeight="1" x14ac:dyDescent="0.3">
      <c r="B420" s="58" t="s">
        <v>11</v>
      </c>
      <c r="C420" s="51"/>
      <c r="D420" s="51"/>
      <c r="E420" s="22"/>
      <c r="F420" s="15"/>
      <c r="G420" s="16">
        <f>TRUNC(SUM(G419:G419))</f>
        <v>847608</v>
      </c>
      <c r="H420" s="15"/>
      <c r="I420" s="16">
        <f>TRUNC(SUM(I419:I419))</f>
        <v>847608</v>
      </c>
      <c r="J420" s="15"/>
      <c r="K420" s="16">
        <f>TRUNC(SUM(K419:K419))</f>
        <v>847608</v>
      </c>
      <c r="L420" s="15"/>
      <c r="M420" s="16">
        <f>TRUNC(SUM(M419:M419))</f>
        <v>847608</v>
      </c>
    </row>
    <row r="421" spans="2:14" ht="12.95" customHeight="1" x14ac:dyDescent="0.3">
      <c r="B421" s="50"/>
      <c r="C421" s="51"/>
      <c r="D421" s="51"/>
      <c r="E421" s="22"/>
      <c r="F421" s="15"/>
      <c r="G421" s="24"/>
      <c r="H421" s="15"/>
      <c r="I421" s="24"/>
      <c r="J421" s="15"/>
      <c r="K421" s="24"/>
      <c r="L421" s="15"/>
      <c r="M421" s="24"/>
    </row>
    <row r="422" spans="2:14" ht="12.95" customHeight="1" x14ac:dyDescent="0.3">
      <c r="B422" s="65" t="s">
        <v>13</v>
      </c>
      <c r="C422" s="51"/>
      <c r="D422" s="51"/>
      <c r="E422" s="62"/>
      <c r="F422" s="62"/>
      <c r="G422" s="29">
        <f>SUM(G417+G420)</f>
        <v>898464</v>
      </c>
      <c r="H422" s="62"/>
      <c r="I422" s="29">
        <f>SUM(I417+I420)</f>
        <v>898464</v>
      </c>
      <c r="J422" s="62"/>
      <c r="K422" s="29">
        <f>SUM(K417+K420)</f>
        <v>898464</v>
      </c>
      <c r="L422" s="62"/>
      <c r="M422" s="29">
        <f>SUM(M417+M420)</f>
        <v>898464</v>
      </c>
    </row>
    <row r="423" spans="2:14" ht="12.95" customHeight="1" x14ac:dyDescent="0.3">
      <c r="B423" s="66" t="s">
        <v>189</v>
      </c>
      <c r="C423" s="67"/>
      <c r="D423" s="68"/>
      <c r="E423" s="69"/>
      <c r="F423" s="70"/>
      <c r="G423" s="71">
        <f>TRUNC(G422/G414)</f>
        <v>359385</v>
      </c>
      <c r="H423" s="70"/>
      <c r="I423" s="71">
        <f>TRUNC(I422/I414)</f>
        <v>449232</v>
      </c>
      <c r="J423" s="70"/>
      <c r="K423" s="71">
        <f>TRUNC(K422/K414)</f>
        <v>598976</v>
      </c>
      <c r="L423" s="70"/>
      <c r="M423" s="71">
        <f>TRUNC(M422/M414)</f>
        <v>598976</v>
      </c>
    </row>
    <row r="424" spans="2:14" ht="12.95" customHeight="1" x14ac:dyDescent="0.3">
      <c r="B424" s="89" t="s">
        <v>3</v>
      </c>
      <c r="C424" s="92" t="s">
        <v>7</v>
      </c>
      <c r="D424" s="92" t="s">
        <v>8</v>
      </c>
      <c r="E424" s="92" t="s">
        <v>4</v>
      </c>
      <c r="F424" s="95" t="s">
        <v>188</v>
      </c>
      <c r="G424" s="96"/>
      <c r="H424" s="96"/>
      <c r="I424" s="96"/>
      <c r="J424" s="96"/>
      <c r="K424" s="96"/>
    </row>
    <row r="425" spans="2:14" ht="12.95" customHeight="1" x14ac:dyDescent="0.3">
      <c r="B425" s="90"/>
      <c r="C425" s="93"/>
      <c r="D425" s="93"/>
      <c r="E425" s="93"/>
      <c r="F425" s="95" t="s">
        <v>52</v>
      </c>
      <c r="G425" s="96"/>
      <c r="H425" s="95" t="s">
        <v>60</v>
      </c>
      <c r="I425" s="96"/>
      <c r="J425" s="95" t="s">
        <v>192</v>
      </c>
      <c r="K425" s="96"/>
    </row>
    <row r="426" spans="2:14" ht="12.95" customHeight="1" x14ac:dyDescent="0.3">
      <c r="B426" s="90"/>
      <c r="C426" s="93"/>
      <c r="D426" s="93"/>
      <c r="E426" s="93"/>
      <c r="F426" s="38" t="s">
        <v>190</v>
      </c>
      <c r="G426" s="73">
        <v>1</v>
      </c>
      <c r="H426" s="38" t="s">
        <v>190</v>
      </c>
      <c r="I426" s="73">
        <v>1</v>
      </c>
      <c r="J426" s="38" t="s">
        <v>190</v>
      </c>
      <c r="K426" s="73">
        <v>1</v>
      </c>
    </row>
    <row r="427" spans="2:14" ht="12.95" customHeight="1" x14ac:dyDescent="0.3">
      <c r="B427" s="91"/>
      <c r="C427" s="94"/>
      <c r="D427" s="94"/>
      <c r="E427" s="94"/>
      <c r="F427" s="40" t="s">
        <v>21</v>
      </c>
      <c r="G427" s="41" t="s">
        <v>173</v>
      </c>
      <c r="H427" s="40" t="s">
        <v>21</v>
      </c>
      <c r="I427" s="41" t="s">
        <v>173</v>
      </c>
      <c r="J427" s="40" t="s">
        <v>21</v>
      </c>
      <c r="K427" s="41" t="s">
        <v>173</v>
      </c>
    </row>
    <row r="428" spans="2:14" ht="12.95" customHeight="1" x14ac:dyDescent="0.3">
      <c r="B428" s="42" t="s">
        <v>53</v>
      </c>
      <c r="C428" s="43" t="s">
        <v>88</v>
      </c>
      <c r="D428" s="44" t="s">
        <v>15</v>
      </c>
      <c r="E428" s="45"/>
      <c r="F428" s="21">
        <v>1</v>
      </c>
      <c r="G428" s="5">
        <f>TRUNC(SUM(G431:G431)*0.06,1)</f>
        <v>50856.4</v>
      </c>
      <c r="H428" s="21">
        <v>1</v>
      </c>
      <c r="I428" s="5">
        <f>TRUNC(SUM(I431:I431)*0.06,1)</f>
        <v>50856.4</v>
      </c>
      <c r="J428" s="21">
        <v>1</v>
      </c>
      <c r="K428" s="5">
        <f>TRUNC(SUM(K431:K431)*0.06,1)</f>
        <v>50856.4</v>
      </c>
      <c r="L428" s="13"/>
      <c r="M428" s="13"/>
      <c r="N428" s="4"/>
    </row>
    <row r="429" spans="2:14" ht="12.95" customHeight="1" x14ac:dyDescent="0.3">
      <c r="B429" s="46" t="s">
        <v>10</v>
      </c>
      <c r="C429" s="47"/>
      <c r="D429" s="48"/>
      <c r="E429" s="49"/>
      <c r="F429" s="25"/>
      <c r="G429" s="12">
        <f>TRUNC(SUM(G428))</f>
        <v>50856</v>
      </c>
      <c r="H429" s="25"/>
      <c r="I429" s="12">
        <f>TRUNC(SUM(I428))</f>
        <v>50856</v>
      </c>
      <c r="J429" s="25"/>
      <c r="K429" s="12">
        <f>TRUNC(SUM(K428))</f>
        <v>50856</v>
      </c>
      <c r="L429" s="13"/>
      <c r="N429" s="4"/>
    </row>
    <row r="430" spans="2:14" ht="12.95" customHeight="1" x14ac:dyDescent="0.3">
      <c r="B430" s="50"/>
      <c r="C430" s="51"/>
      <c r="D430" s="51"/>
      <c r="E430" s="22"/>
      <c r="F430" s="15"/>
      <c r="G430" s="24"/>
      <c r="H430" s="15"/>
      <c r="I430" s="24"/>
      <c r="J430" s="15"/>
      <c r="K430" s="24"/>
    </row>
    <row r="431" spans="2:14" ht="12.95" customHeight="1" x14ac:dyDescent="0.3">
      <c r="B431" s="52" t="s">
        <v>20</v>
      </c>
      <c r="C431" s="53"/>
      <c r="D431" s="54" t="s">
        <v>9</v>
      </c>
      <c r="E431" s="78">
        <v>282536</v>
      </c>
      <c r="F431" s="56">
        <v>3</v>
      </c>
      <c r="G431" s="3">
        <f t="shared" ref="G431" si="145">TRUNC($E431*F431,1)</f>
        <v>847608</v>
      </c>
      <c r="H431" s="56">
        <v>3</v>
      </c>
      <c r="I431" s="3">
        <f t="shared" ref="I431" si="146">TRUNC($E431*H431,1)</f>
        <v>847608</v>
      </c>
      <c r="J431" s="56">
        <v>3</v>
      </c>
      <c r="K431" s="3">
        <f t="shared" ref="K431" si="147">TRUNC($E431*J431,1)</f>
        <v>847608</v>
      </c>
    </row>
    <row r="432" spans="2:14" ht="12.95" customHeight="1" x14ac:dyDescent="0.3">
      <c r="B432" s="58" t="s">
        <v>11</v>
      </c>
      <c r="C432" s="51"/>
      <c r="D432" s="51"/>
      <c r="E432" s="22"/>
      <c r="F432" s="15"/>
      <c r="G432" s="16">
        <f>TRUNC(SUM(G431:G431))</f>
        <v>847608</v>
      </c>
      <c r="H432" s="15"/>
      <c r="I432" s="16">
        <f>TRUNC(SUM(I431:I431))</f>
        <v>847608</v>
      </c>
      <c r="J432" s="15"/>
      <c r="K432" s="16">
        <f>TRUNC(SUM(K431:K431))</f>
        <v>847608</v>
      </c>
    </row>
    <row r="433" spans="2:13" ht="12.95" customHeight="1" x14ac:dyDescent="0.3">
      <c r="B433" s="50"/>
      <c r="C433" s="51"/>
      <c r="D433" s="51"/>
      <c r="E433" s="22"/>
      <c r="F433" s="15"/>
      <c r="G433" s="24"/>
      <c r="H433" s="15"/>
      <c r="I433" s="24"/>
      <c r="J433" s="15"/>
      <c r="K433" s="24"/>
    </row>
    <row r="434" spans="2:13" ht="12.95" customHeight="1" x14ac:dyDescent="0.3">
      <c r="B434" s="65" t="s">
        <v>13</v>
      </c>
      <c r="C434" s="51"/>
      <c r="D434" s="51"/>
      <c r="E434" s="62"/>
      <c r="F434" s="62"/>
      <c r="G434" s="29">
        <f>SUM(G429+G432)</f>
        <v>898464</v>
      </c>
      <c r="H434" s="62"/>
      <c r="I434" s="29">
        <f>SUM(I429+I432)</f>
        <v>898464</v>
      </c>
      <c r="J434" s="62"/>
      <c r="K434" s="29">
        <f>SUM(K429+K432)</f>
        <v>898464</v>
      </c>
    </row>
    <row r="435" spans="2:13" ht="12.95" customHeight="1" x14ac:dyDescent="0.3">
      <c r="B435" s="66" t="s">
        <v>189</v>
      </c>
      <c r="C435" s="67"/>
      <c r="D435" s="68"/>
      <c r="E435" s="69"/>
      <c r="F435" s="70"/>
      <c r="G435" s="71">
        <f>TRUNC(G434/G426)</f>
        <v>898464</v>
      </c>
      <c r="H435" s="70"/>
      <c r="I435" s="71">
        <f>TRUNC(I434/I426)</f>
        <v>898464</v>
      </c>
      <c r="J435" s="70"/>
      <c r="K435" s="71">
        <f>TRUNC(K434/K426)</f>
        <v>898464</v>
      </c>
    </row>
    <row r="436" spans="2:13" ht="12.95" customHeight="1" x14ac:dyDescent="0.3">
      <c r="B436" s="89" t="s">
        <v>3</v>
      </c>
      <c r="C436" s="92" t="s">
        <v>7</v>
      </c>
      <c r="D436" s="92" t="s">
        <v>8</v>
      </c>
      <c r="E436" s="92" t="s">
        <v>4</v>
      </c>
      <c r="F436" s="95" t="s">
        <v>188</v>
      </c>
      <c r="G436" s="96"/>
      <c r="H436" s="96"/>
      <c r="I436" s="96"/>
      <c r="J436" s="96"/>
      <c r="K436" s="96"/>
    </row>
    <row r="437" spans="2:13" ht="12.95" customHeight="1" x14ac:dyDescent="0.3">
      <c r="B437" s="90"/>
      <c r="C437" s="93"/>
      <c r="D437" s="93"/>
      <c r="E437" s="93"/>
      <c r="F437" s="95" t="s">
        <v>193</v>
      </c>
      <c r="G437" s="96"/>
      <c r="H437" s="95" t="s">
        <v>65</v>
      </c>
      <c r="I437" s="96"/>
      <c r="J437" s="95" t="s">
        <v>66</v>
      </c>
      <c r="K437" s="96"/>
    </row>
    <row r="438" spans="2:13" ht="12.95" customHeight="1" x14ac:dyDescent="0.3">
      <c r="B438" s="90"/>
      <c r="C438" s="93"/>
      <c r="D438" s="93"/>
      <c r="E438" s="93"/>
      <c r="F438" s="38" t="s">
        <v>190</v>
      </c>
      <c r="G438" s="73">
        <v>1</v>
      </c>
      <c r="H438" s="38" t="s">
        <v>190</v>
      </c>
      <c r="I438" s="73">
        <v>1</v>
      </c>
      <c r="J438" s="38" t="s">
        <v>190</v>
      </c>
      <c r="K438" s="73">
        <v>1</v>
      </c>
    </row>
    <row r="439" spans="2:13" ht="12.95" customHeight="1" x14ac:dyDescent="0.3">
      <c r="B439" s="91"/>
      <c r="C439" s="94"/>
      <c r="D439" s="94"/>
      <c r="E439" s="94"/>
      <c r="F439" s="40" t="s">
        <v>21</v>
      </c>
      <c r="G439" s="41" t="s">
        <v>173</v>
      </c>
      <c r="H439" s="40" t="s">
        <v>21</v>
      </c>
      <c r="I439" s="41" t="s">
        <v>173</v>
      </c>
      <c r="J439" s="40" t="s">
        <v>21</v>
      </c>
      <c r="K439" s="41" t="s">
        <v>173</v>
      </c>
    </row>
    <row r="440" spans="2:13" ht="12.95" customHeight="1" x14ac:dyDescent="0.3">
      <c r="B440" s="42" t="s">
        <v>53</v>
      </c>
      <c r="C440" s="43" t="s">
        <v>88</v>
      </c>
      <c r="D440" s="44" t="s">
        <v>15</v>
      </c>
      <c r="E440" s="45"/>
      <c r="F440" s="21">
        <v>1</v>
      </c>
      <c r="G440" s="5">
        <f>TRUNC(SUM(G443:G443)*0.06,1)</f>
        <v>67808.600000000006</v>
      </c>
      <c r="H440" s="21">
        <v>1</v>
      </c>
      <c r="I440" s="5">
        <f>TRUNC(SUM(I443:I443)*0.06,1)</f>
        <v>67808.600000000006</v>
      </c>
      <c r="J440" s="21">
        <v>1</v>
      </c>
      <c r="K440" s="5">
        <f>TRUNC(SUM(K443:K443)*0.06,1)</f>
        <v>67808.600000000006</v>
      </c>
      <c r="L440" s="13"/>
      <c r="M440" s="13"/>
    </row>
    <row r="441" spans="2:13" ht="12.95" customHeight="1" x14ac:dyDescent="0.3">
      <c r="B441" s="46" t="s">
        <v>10</v>
      </c>
      <c r="C441" s="47"/>
      <c r="D441" s="48"/>
      <c r="E441" s="49"/>
      <c r="F441" s="25"/>
      <c r="G441" s="12">
        <f>TRUNC(SUM(G440))</f>
        <v>67808</v>
      </c>
      <c r="H441" s="25"/>
      <c r="I441" s="12">
        <f>TRUNC(SUM(I440))</f>
        <v>67808</v>
      </c>
      <c r="J441" s="25"/>
      <c r="K441" s="12">
        <f>TRUNC(SUM(K440))</f>
        <v>67808</v>
      </c>
      <c r="L441" s="13"/>
    </row>
    <row r="442" spans="2:13" ht="12.95" customHeight="1" x14ac:dyDescent="0.3">
      <c r="B442" s="50"/>
      <c r="C442" s="51"/>
      <c r="D442" s="51"/>
      <c r="E442" s="22"/>
      <c r="F442" s="15"/>
      <c r="G442" s="24"/>
      <c r="H442" s="15"/>
      <c r="I442" s="24"/>
      <c r="J442" s="15"/>
      <c r="K442" s="24"/>
    </row>
    <row r="443" spans="2:13" ht="12.95" customHeight="1" x14ac:dyDescent="0.3">
      <c r="B443" s="52" t="s">
        <v>20</v>
      </c>
      <c r="C443" s="53"/>
      <c r="D443" s="54" t="s">
        <v>9</v>
      </c>
      <c r="E443" s="78">
        <v>282536</v>
      </c>
      <c r="F443" s="56">
        <v>4</v>
      </c>
      <c r="G443" s="3">
        <f t="shared" ref="G443" si="148">TRUNC($E443*F443,1)</f>
        <v>1130144</v>
      </c>
      <c r="H443" s="56">
        <v>4</v>
      </c>
      <c r="I443" s="3">
        <f t="shared" ref="I443" si="149">TRUNC($E443*H443,1)</f>
        <v>1130144</v>
      </c>
      <c r="J443" s="56">
        <v>4</v>
      </c>
      <c r="K443" s="3">
        <f t="shared" ref="K443" si="150">TRUNC($E443*J443,1)</f>
        <v>1130144</v>
      </c>
    </row>
    <row r="444" spans="2:13" ht="12.95" customHeight="1" x14ac:dyDescent="0.3">
      <c r="B444" s="58" t="s">
        <v>11</v>
      </c>
      <c r="C444" s="51"/>
      <c r="D444" s="51"/>
      <c r="E444" s="22"/>
      <c r="F444" s="15"/>
      <c r="G444" s="16">
        <f>TRUNC(SUM(G443:G443))</f>
        <v>1130144</v>
      </c>
      <c r="H444" s="15"/>
      <c r="I444" s="16">
        <f>TRUNC(SUM(I443:I443))</f>
        <v>1130144</v>
      </c>
      <c r="J444" s="15"/>
      <c r="K444" s="16">
        <f>TRUNC(SUM(K443:K443))</f>
        <v>1130144</v>
      </c>
    </row>
    <row r="445" spans="2:13" ht="12.95" customHeight="1" x14ac:dyDescent="0.3">
      <c r="B445" s="50"/>
      <c r="C445" s="51"/>
      <c r="D445" s="51"/>
      <c r="E445" s="22"/>
      <c r="F445" s="15"/>
      <c r="G445" s="24"/>
      <c r="H445" s="15"/>
      <c r="I445" s="24"/>
      <c r="J445" s="15"/>
      <c r="K445" s="24"/>
    </row>
    <row r="446" spans="2:13" ht="12.95" customHeight="1" x14ac:dyDescent="0.3">
      <c r="B446" s="65" t="s">
        <v>13</v>
      </c>
      <c r="C446" s="51"/>
      <c r="D446" s="51"/>
      <c r="E446" s="62"/>
      <c r="F446" s="62"/>
      <c r="G446" s="29">
        <f>SUM(G441+G444)</f>
        <v>1197952</v>
      </c>
      <c r="H446" s="62"/>
      <c r="I446" s="29">
        <f>SUM(I441+I444)</f>
        <v>1197952</v>
      </c>
      <c r="J446" s="62"/>
      <c r="K446" s="29">
        <f>SUM(K441+K444)</f>
        <v>1197952</v>
      </c>
    </row>
    <row r="447" spans="2:13" ht="12.95" customHeight="1" x14ac:dyDescent="0.3">
      <c r="B447" s="66" t="s">
        <v>189</v>
      </c>
      <c r="C447" s="67"/>
      <c r="D447" s="68"/>
      <c r="E447" s="69"/>
      <c r="F447" s="70"/>
      <c r="G447" s="71">
        <f>TRUNC(G446/G438)</f>
        <v>1197952</v>
      </c>
      <c r="H447" s="70"/>
      <c r="I447" s="71">
        <f>TRUNC(I446/I438)</f>
        <v>1197952</v>
      </c>
      <c r="J447" s="70"/>
      <c r="K447" s="71">
        <f>TRUNC(K446/K438)</f>
        <v>1197952</v>
      </c>
    </row>
    <row r="448" spans="2:13" ht="12.95" customHeight="1" x14ac:dyDescent="0.3">
      <c r="B448" s="89" t="s">
        <v>3</v>
      </c>
      <c r="C448" s="92" t="s">
        <v>7</v>
      </c>
      <c r="D448" s="92" t="s">
        <v>8</v>
      </c>
      <c r="E448" s="92" t="s">
        <v>4</v>
      </c>
      <c r="F448" s="95" t="s">
        <v>194</v>
      </c>
      <c r="G448" s="96"/>
      <c r="H448" s="96"/>
      <c r="I448" s="96"/>
      <c r="J448" s="96"/>
      <c r="K448" s="96"/>
    </row>
    <row r="449" spans="2:13" ht="12.95" customHeight="1" x14ac:dyDescent="0.3">
      <c r="B449" s="90"/>
      <c r="C449" s="93"/>
      <c r="D449" s="93"/>
      <c r="E449" s="93"/>
      <c r="F449" s="95" t="s">
        <v>170</v>
      </c>
      <c r="G449" s="102"/>
      <c r="H449" s="95" t="s">
        <v>28</v>
      </c>
      <c r="I449" s="96"/>
      <c r="J449" s="95" t="s">
        <v>35</v>
      </c>
      <c r="K449" s="96"/>
    </row>
    <row r="450" spans="2:13" ht="12.95" customHeight="1" x14ac:dyDescent="0.3">
      <c r="B450" s="90"/>
      <c r="C450" s="93"/>
      <c r="D450" s="93"/>
      <c r="E450" s="93"/>
      <c r="F450" s="38" t="s">
        <v>190</v>
      </c>
      <c r="G450" s="73">
        <v>10</v>
      </c>
      <c r="H450" s="38" t="s">
        <v>190</v>
      </c>
      <c r="I450" s="73">
        <v>9</v>
      </c>
      <c r="J450" s="38" t="s">
        <v>190</v>
      </c>
      <c r="K450" s="73">
        <v>8.5</v>
      </c>
    </row>
    <row r="451" spans="2:13" ht="12.95" customHeight="1" x14ac:dyDescent="0.3">
      <c r="B451" s="91"/>
      <c r="C451" s="94"/>
      <c r="D451" s="94"/>
      <c r="E451" s="94"/>
      <c r="F451" s="40" t="s">
        <v>21</v>
      </c>
      <c r="G451" s="41" t="s">
        <v>173</v>
      </c>
      <c r="H451" s="40" t="s">
        <v>21</v>
      </c>
      <c r="I451" s="41" t="s">
        <v>173</v>
      </c>
      <c r="J451" s="40" t="s">
        <v>21</v>
      </c>
      <c r="K451" s="41" t="s">
        <v>173</v>
      </c>
    </row>
    <row r="452" spans="2:13" ht="12.95" customHeight="1" x14ac:dyDescent="0.3">
      <c r="B452" s="42" t="s">
        <v>53</v>
      </c>
      <c r="C452" s="43" t="s">
        <v>88</v>
      </c>
      <c r="D452" s="44" t="s">
        <v>15</v>
      </c>
      <c r="E452" s="45"/>
      <c r="F452" s="21">
        <v>1</v>
      </c>
      <c r="G452" s="5">
        <f>TRUNC(SUM(G455:G455)*0.06,1)</f>
        <v>16952.099999999999</v>
      </c>
      <c r="H452" s="21">
        <v>1</v>
      </c>
      <c r="I452" s="5">
        <f>TRUNC(SUM(I455:I455)*0.06,1)</f>
        <v>16952.099999999999</v>
      </c>
      <c r="J452" s="21">
        <v>1</v>
      </c>
      <c r="K452" s="5">
        <f>TRUNC(SUM(K455:K455)*0.06,1)</f>
        <v>16952.099999999999</v>
      </c>
      <c r="L452" s="13"/>
      <c r="M452" s="13"/>
    </row>
    <row r="453" spans="2:13" ht="12.95" customHeight="1" x14ac:dyDescent="0.3">
      <c r="B453" s="46" t="s">
        <v>10</v>
      </c>
      <c r="C453" s="47"/>
      <c r="D453" s="48"/>
      <c r="E453" s="49"/>
      <c r="F453" s="25"/>
      <c r="G453" s="12">
        <f>TRUNC(SUM(G452))</f>
        <v>16952</v>
      </c>
      <c r="H453" s="25"/>
      <c r="I453" s="12">
        <f>TRUNC(SUM(I452))</f>
        <v>16952</v>
      </c>
      <c r="J453" s="25"/>
      <c r="K453" s="12">
        <f>TRUNC(SUM(K452))</f>
        <v>16952</v>
      </c>
      <c r="L453" s="13"/>
    </row>
    <row r="454" spans="2:13" ht="12.95" customHeight="1" x14ac:dyDescent="0.3">
      <c r="B454" s="50"/>
      <c r="C454" s="51"/>
      <c r="D454" s="51"/>
      <c r="E454" s="22"/>
      <c r="F454" s="15"/>
      <c r="G454" s="24"/>
      <c r="H454" s="15"/>
      <c r="I454" s="24"/>
      <c r="J454" s="15"/>
      <c r="K454" s="24"/>
    </row>
    <row r="455" spans="2:13" ht="12.95" customHeight="1" x14ac:dyDescent="0.3">
      <c r="B455" s="52" t="s">
        <v>20</v>
      </c>
      <c r="C455" s="53"/>
      <c r="D455" s="54" t="s">
        <v>9</v>
      </c>
      <c r="E455" s="78">
        <v>282536</v>
      </c>
      <c r="F455" s="56">
        <v>1</v>
      </c>
      <c r="G455" s="3">
        <f t="shared" ref="G455" si="151">TRUNC($E455*F455,1)</f>
        <v>282536</v>
      </c>
      <c r="H455" s="56">
        <v>1</v>
      </c>
      <c r="I455" s="3">
        <f t="shared" ref="I455" si="152">TRUNC($E455*H455,1)</f>
        <v>282536</v>
      </c>
      <c r="J455" s="56">
        <v>1</v>
      </c>
      <c r="K455" s="3">
        <f t="shared" ref="K455" si="153">TRUNC($E455*J455,1)</f>
        <v>282536</v>
      </c>
    </row>
    <row r="456" spans="2:13" ht="12.95" customHeight="1" x14ac:dyDescent="0.3">
      <c r="B456" s="58" t="s">
        <v>11</v>
      </c>
      <c r="C456" s="51"/>
      <c r="D456" s="51"/>
      <c r="E456" s="22"/>
      <c r="F456" s="15"/>
      <c r="G456" s="16">
        <f>TRUNC(SUM(G455:G455))</f>
        <v>282536</v>
      </c>
      <c r="H456" s="15"/>
      <c r="I456" s="16">
        <f>TRUNC(SUM(I455:I455))</f>
        <v>282536</v>
      </c>
      <c r="J456" s="15"/>
      <c r="K456" s="16">
        <f>TRUNC(SUM(K455:K455))</f>
        <v>282536</v>
      </c>
    </row>
    <row r="457" spans="2:13" ht="12.95" customHeight="1" x14ac:dyDescent="0.3">
      <c r="B457" s="50"/>
      <c r="C457" s="51"/>
      <c r="D457" s="51"/>
      <c r="E457" s="22"/>
      <c r="F457" s="15"/>
      <c r="G457" s="24"/>
      <c r="H457" s="15"/>
      <c r="I457" s="24"/>
      <c r="J457" s="15"/>
      <c r="K457" s="24"/>
    </row>
    <row r="458" spans="2:13" ht="12.95" customHeight="1" x14ac:dyDescent="0.3">
      <c r="B458" s="65" t="s">
        <v>13</v>
      </c>
      <c r="C458" s="51"/>
      <c r="D458" s="51"/>
      <c r="E458" s="62"/>
      <c r="F458" s="62"/>
      <c r="G458" s="29">
        <f>SUM(G453+G456)</f>
        <v>299488</v>
      </c>
      <c r="H458" s="62"/>
      <c r="I458" s="29">
        <f>SUM(I453+I456)</f>
        <v>299488</v>
      </c>
      <c r="J458" s="62"/>
      <c r="K458" s="29">
        <f>SUM(K453+K456)</f>
        <v>299488</v>
      </c>
    </row>
    <row r="459" spans="2:13" ht="12.95" customHeight="1" x14ac:dyDescent="0.3">
      <c r="B459" s="66" t="s">
        <v>189</v>
      </c>
      <c r="C459" s="67"/>
      <c r="D459" s="68"/>
      <c r="E459" s="69"/>
      <c r="F459" s="70"/>
      <c r="G459" s="71">
        <f>TRUNC(G458/G450)</f>
        <v>29948</v>
      </c>
      <c r="H459" s="70"/>
      <c r="I459" s="71">
        <f>TRUNC(I458/I450)</f>
        <v>33276</v>
      </c>
      <c r="J459" s="70"/>
      <c r="K459" s="71">
        <f>TRUNC(K458/K450)</f>
        <v>35233</v>
      </c>
    </row>
    <row r="460" spans="2:13" ht="12.95" customHeight="1" x14ac:dyDescent="0.3">
      <c r="B460" s="89" t="s">
        <v>3</v>
      </c>
      <c r="C460" s="92" t="s">
        <v>7</v>
      </c>
      <c r="D460" s="92" t="s">
        <v>8</v>
      </c>
      <c r="E460" s="92" t="s">
        <v>4</v>
      </c>
      <c r="F460" s="95" t="s">
        <v>194</v>
      </c>
      <c r="G460" s="96"/>
      <c r="H460" s="96"/>
      <c r="I460" s="96"/>
      <c r="J460" s="96"/>
      <c r="K460" s="96"/>
    </row>
    <row r="461" spans="2:13" ht="12.95" customHeight="1" x14ac:dyDescent="0.3">
      <c r="B461" s="90"/>
      <c r="C461" s="93"/>
      <c r="D461" s="93"/>
      <c r="E461" s="93"/>
      <c r="F461" s="95" t="s">
        <v>36</v>
      </c>
      <c r="G461" s="96"/>
      <c r="H461" s="95" t="s">
        <v>37</v>
      </c>
      <c r="I461" s="96"/>
      <c r="J461" s="95" t="s">
        <v>39</v>
      </c>
      <c r="K461" s="96"/>
    </row>
    <row r="462" spans="2:13" ht="12.95" customHeight="1" x14ac:dyDescent="0.3">
      <c r="B462" s="90"/>
      <c r="C462" s="93"/>
      <c r="D462" s="93"/>
      <c r="E462" s="93"/>
      <c r="F462" s="38" t="s">
        <v>190</v>
      </c>
      <c r="G462" s="73">
        <v>7</v>
      </c>
      <c r="H462" s="38" t="s">
        <v>190</v>
      </c>
      <c r="I462" s="73">
        <v>6</v>
      </c>
      <c r="J462" s="38" t="s">
        <v>190</v>
      </c>
      <c r="K462" s="73">
        <v>5</v>
      </c>
    </row>
    <row r="463" spans="2:13" ht="12.95" customHeight="1" x14ac:dyDescent="0.3">
      <c r="B463" s="91"/>
      <c r="C463" s="94"/>
      <c r="D463" s="94"/>
      <c r="E463" s="94"/>
      <c r="F463" s="40" t="s">
        <v>21</v>
      </c>
      <c r="G463" s="41" t="s">
        <v>173</v>
      </c>
      <c r="H463" s="40" t="s">
        <v>21</v>
      </c>
      <c r="I463" s="41" t="s">
        <v>173</v>
      </c>
      <c r="J463" s="40" t="s">
        <v>21</v>
      </c>
      <c r="K463" s="41" t="s">
        <v>173</v>
      </c>
    </row>
    <row r="464" spans="2:13" ht="12.95" customHeight="1" x14ac:dyDescent="0.3">
      <c r="B464" s="42" t="s">
        <v>53</v>
      </c>
      <c r="C464" s="43" t="s">
        <v>88</v>
      </c>
      <c r="D464" s="44" t="s">
        <v>15</v>
      </c>
      <c r="E464" s="45"/>
      <c r="F464" s="21">
        <v>1</v>
      </c>
      <c r="G464" s="5">
        <f>TRUNC(SUM(G467:G467)*0.06,1)</f>
        <v>16952.099999999999</v>
      </c>
      <c r="H464" s="21">
        <v>1</v>
      </c>
      <c r="I464" s="5">
        <f>TRUNC(SUM(I467:I467)*0.06,1)</f>
        <v>16952.099999999999</v>
      </c>
      <c r="J464" s="21">
        <v>1</v>
      </c>
      <c r="K464" s="5">
        <f>TRUNC(SUM(K467:K467)*0.06,1)</f>
        <v>16952.099999999999</v>
      </c>
      <c r="L464" s="13"/>
      <c r="M464" s="13"/>
    </row>
    <row r="465" spans="2:13" ht="12.95" customHeight="1" x14ac:dyDescent="0.3">
      <c r="B465" s="46" t="s">
        <v>10</v>
      </c>
      <c r="C465" s="47"/>
      <c r="D465" s="48"/>
      <c r="E465" s="49"/>
      <c r="F465" s="25"/>
      <c r="G465" s="12">
        <f>TRUNC(SUM(G464))</f>
        <v>16952</v>
      </c>
      <c r="H465" s="25"/>
      <c r="I465" s="12">
        <f>TRUNC(SUM(I464))</f>
        <v>16952</v>
      </c>
      <c r="J465" s="25"/>
      <c r="K465" s="12">
        <f>TRUNC(SUM(K464))</f>
        <v>16952</v>
      </c>
      <c r="L465" s="13"/>
    </row>
    <row r="466" spans="2:13" ht="12.95" customHeight="1" x14ac:dyDescent="0.3">
      <c r="B466" s="50"/>
      <c r="C466" s="51"/>
      <c r="D466" s="51"/>
      <c r="E466" s="22"/>
      <c r="F466" s="15"/>
      <c r="G466" s="24"/>
      <c r="H466" s="15"/>
      <c r="I466" s="24"/>
      <c r="J466" s="15"/>
      <c r="K466" s="24"/>
    </row>
    <row r="467" spans="2:13" ht="12.95" customHeight="1" x14ac:dyDescent="0.3">
      <c r="B467" s="52" t="s">
        <v>20</v>
      </c>
      <c r="C467" s="53"/>
      <c r="D467" s="54" t="s">
        <v>9</v>
      </c>
      <c r="E467" s="78">
        <v>282536</v>
      </c>
      <c r="F467" s="56">
        <v>1</v>
      </c>
      <c r="G467" s="3">
        <f t="shared" ref="G467" si="154">TRUNC($E467*F467,1)</f>
        <v>282536</v>
      </c>
      <c r="H467" s="56">
        <v>1</v>
      </c>
      <c r="I467" s="3">
        <f t="shared" ref="I467" si="155">TRUNC($E467*H467,1)</f>
        <v>282536</v>
      </c>
      <c r="J467" s="56">
        <v>1</v>
      </c>
      <c r="K467" s="3">
        <f t="shared" ref="K467" si="156">TRUNC($E467*J467,1)</f>
        <v>282536</v>
      </c>
    </row>
    <row r="468" spans="2:13" ht="12.95" customHeight="1" x14ac:dyDescent="0.3">
      <c r="B468" s="58" t="s">
        <v>11</v>
      </c>
      <c r="C468" s="51"/>
      <c r="D468" s="51"/>
      <c r="E468" s="22"/>
      <c r="F468" s="15"/>
      <c r="G468" s="16">
        <f>TRUNC(SUM(G467:G467))</f>
        <v>282536</v>
      </c>
      <c r="H468" s="15"/>
      <c r="I468" s="16">
        <f>TRUNC(SUM(I467:I467))</f>
        <v>282536</v>
      </c>
      <c r="J468" s="15"/>
      <c r="K468" s="16">
        <f>TRUNC(SUM(K467:K467))</f>
        <v>282536</v>
      </c>
    </row>
    <row r="469" spans="2:13" ht="12.95" customHeight="1" x14ac:dyDescent="0.3">
      <c r="B469" s="50"/>
      <c r="C469" s="51"/>
      <c r="D469" s="51"/>
      <c r="E469" s="22"/>
      <c r="F469" s="15"/>
      <c r="G469" s="24"/>
      <c r="H469" s="15"/>
      <c r="I469" s="24"/>
      <c r="J469" s="15"/>
      <c r="K469" s="24"/>
    </row>
    <row r="470" spans="2:13" ht="12.95" customHeight="1" x14ac:dyDescent="0.3">
      <c r="B470" s="65" t="s">
        <v>13</v>
      </c>
      <c r="C470" s="51"/>
      <c r="D470" s="51"/>
      <c r="E470" s="62"/>
      <c r="F470" s="62"/>
      <c r="G470" s="29">
        <f>SUM(G465+G468)</f>
        <v>299488</v>
      </c>
      <c r="H470" s="62"/>
      <c r="I470" s="29">
        <f>SUM(I465+I468)</f>
        <v>299488</v>
      </c>
      <c r="J470" s="62"/>
      <c r="K470" s="29">
        <f>SUM(K465+K468)</f>
        <v>299488</v>
      </c>
    </row>
    <row r="471" spans="2:13" ht="12.95" customHeight="1" x14ac:dyDescent="0.3">
      <c r="B471" s="66" t="s">
        <v>189</v>
      </c>
      <c r="C471" s="67"/>
      <c r="D471" s="68"/>
      <c r="E471" s="69"/>
      <c r="F471" s="70"/>
      <c r="G471" s="71">
        <f>TRUNC(G470/G462)</f>
        <v>42784</v>
      </c>
      <c r="H471" s="70"/>
      <c r="I471" s="71">
        <f>TRUNC(I470/I462)</f>
        <v>49914</v>
      </c>
      <c r="J471" s="70"/>
      <c r="K471" s="71">
        <f>TRUNC(K470/K462)</f>
        <v>59897</v>
      </c>
    </row>
    <row r="472" spans="2:13" ht="12.95" customHeight="1" x14ac:dyDescent="0.3">
      <c r="B472" s="89" t="s">
        <v>3</v>
      </c>
      <c r="C472" s="92" t="s">
        <v>7</v>
      </c>
      <c r="D472" s="92" t="s">
        <v>8</v>
      </c>
      <c r="E472" s="92" t="s">
        <v>4</v>
      </c>
      <c r="F472" s="95" t="s">
        <v>194</v>
      </c>
      <c r="G472" s="96"/>
      <c r="H472" s="96"/>
      <c r="I472" s="96"/>
      <c r="J472" s="96"/>
      <c r="K472" s="96"/>
    </row>
    <row r="473" spans="2:13" ht="12.95" customHeight="1" x14ac:dyDescent="0.3">
      <c r="B473" s="90"/>
      <c r="C473" s="93"/>
      <c r="D473" s="93"/>
      <c r="E473" s="93"/>
      <c r="F473" s="95" t="s">
        <v>40</v>
      </c>
      <c r="G473" s="96"/>
      <c r="H473" s="95" t="s">
        <v>41</v>
      </c>
      <c r="I473" s="102"/>
      <c r="J473" s="95" t="s">
        <v>43</v>
      </c>
      <c r="K473" s="96"/>
    </row>
    <row r="474" spans="2:13" ht="12.95" customHeight="1" x14ac:dyDescent="0.3">
      <c r="B474" s="90"/>
      <c r="C474" s="93"/>
      <c r="D474" s="93"/>
      <c r="E474" s="93"/>
      <c r="F474" s="38" t="s">
        <v>190</v>
      </c>
      <c r="G474" s="73">
        <v>8.5</v>
      </c>
      <c r="H474" s="38" t="s">
        <v>190</v>
      </c>
      <c r="I474" s="73">
        <v>7</v>
      </c>
      <c r="J474" s="38" t="s">
        <v>190</v>
      </c>
      <c r="K474" s="73">
        <v>6</v>
      </c>
    </row>
    <row r="475" spans="2:13" ht="12.95" customHeight="1" x14ac:dyDescent="0.3">
      <c r="B475" s="91"/>
      <c r="C475" s="94"/>
      <c r="D475" s="94"/>
      <c r="E475" s="94"/>
      <c r="F475" s="40" t="s">
        <v>21</v>
      </c>
      <c r="G475" s="41" t="s">
        <v>173</v>
      </c>
      <c r="H475" s="40" t="s">
        <v>21</v>
      </c>
      <c r="I475" s="41" t="s">
        <v>173</v>
      </c>
      <c r="J475" s="40" t="s">
        <v>21</v>
      </c>
      <c r="K475" s="41" t="s">
        <v>173</v>
      </c>
    </row>
    <row r="476" spans="2:13" ht="12.95" customHeight="1" x14ac:dyDescent="0.3">
      <c r="B476" s="42" t="s">
        <v>53</v>
      </c>
      <c r="C476" s="43" t="s">
        <v>88</v>
      </c>
      <c r="D476" s="44" t="s">
        <v>15</v>
      </c>
      <c r="E476" s="45"/>
      <c r="F476" s="21">
        <v>1</v>
      </c>
      <c r="G476" s="5">
        <f>TRUNC(SUM(G479:G479)*0.06,1)</f>
        <v>33904.300000000003</v>
      </c>
      <c r="H476" s="21">
        <v>1</v>
      </c>
      <c r="I476" s="5">
        <f>TRUNC(SUM(I479:I479)*0.06,1)</f>
        <v>33904.300000000003</v>
      </c>
      <c r="J476" s="21">
        <v>1</v>
      </c>
      <c r="K476" s="5">
        <f>TRUNC(SUM(K479:K479)*0.06,1)</f>
        <v>33904.300000000003</v>
      </c>
      <c r="L476" s="13"/>
      <c r="M476" s="13"/>
    </row>
    <row r="477" spans="2:13" ht="12.95" customHeight="1" x14ac:dyDescent="0.3">
      <c r="B477" s="46" t="s">
        <v>10</v>
      </c>
      <c r="C477" s="47"/>
      <c r="D477" s="48"/>
      <c r="E477" s="49"/>
      <c r="F477" s="25"/>
      <c r="G477" s="12">
        <f>TRUNC(SUM(G476))</f>
        <v>33904</v>
      </c>
      <c r="H477" s="25"/>
      <c r="I477" s="12">
        <f>TRUNC(SUM(I476))</f>
        <v>33904</v>
      </c>
      <c r="J477" s="25"/>
      <c r="K477" s="12">
        <f>TRUNC(SUM(K476))</f>
        <v>33904</v>
      </c>
      <c r="L477" s="13"/>
    </row>
    <row r="478" spans="2:13" ht="12.95" customHeight="1" x14ac:dyDescent="0.3">
      <c r="B478" s="50"/>
      <c r="C478" s="51"/>
      <c r="D478" s="51"/>
      <c r="E478" s="22"/>
      <c r="F478" s="15"/>
      <c r="G478" s="24"/>
      <c r="H478" s="15"/>
      <c r="I478" s="24"/>
      <c r="J478" s="15"/>
      <c r="K478" s="24"/>
    </row>
    <row r="479" spans="2:13" ht="12.95" customHeight="1" x14ac:dyDescent="0.3">
      <c r="B479" s="52" t="s">
        <v>20</v>
      </c>
      <c r="C479" s="53"/>
      <c r="D479" s="54" t="s">
        <v>9</v>
      </c>
      <c r="E479" s="78">
        <v>282536</v>
      </c>
      <c r="F479" s="56">
        <v>2</v>
      </c>
      <c r="G479" s="3">
        <f t="shared" ref="G479" si="157">TRUNC($E479*F479,1)</f>
        <v>565072</v>
      </c>
      <c r="H479" s="56">
        <v>2</v>
      </c>
      <c r="I479" s="3">
        <f t="shared" ref="I479" si="158">TRUNC($E479*H479,1)</f>
        <v>565072</v>
      </c>
      <c r="J479" s="56">
        <v>2</v>
      </c>
      <c r="K479" s="3">
        <f t="shared" ref="K479" si="159">TRUNC($E479*J479,1)</f>
        <v>565072</v>
      </c>
    </row>
    <row r="480" spans="2:13" ht="12.95" customHeight="1" x14ac:dyDescent="0.3">
      <c r="B480" s="58" t="s">
        <v>11</v>
      </c>
      <c r="C480" s="51"/>
      <c r="D480" s="51"/>
      <c r="E480" s="22"/>
      <c r="F480" s="15"/>
      <c r="G480" s="16">
        <f>TRUNC(SUM(G479:G479))</f>
        <v>565072</v>
      </c>
      <c r="H480" s="15"/>
      <c r="I480" s="16">
        <f>TRUNC(SUM(I479:I479))</f>
        <v>565072</v>
      </c>
      <c r="J480" s="15"/>
      <c r="K480" s="16">
        <f>TRUNC(SUM(K479:K479))</f>
        <v>565072</v>
      </c>
    </row>
    <row r="481" spans="2:13" ht="12.95" customHeight="1" x14ac:dyDescent="0.3">
      <c r="B481" s="50"/>
      <c r="C481" s="51"/>
      <c r="D481" s="51"/>
      <c r="E481" s="22"/>
      <c r="F481" s="15"/>
      <c r="G481" s="24"/>
      <c r="H481" s="15"/>
      <c r="I481" s="24"/>
      <c r="J481" s="15"/>
      <c r="K481" s="24"/>
    </row>
    <row r="482" spans="2:13" ht="12.95" customHeight="1" x14ac:dyDescent="0.3">
      <c r="B482" s="65" t="s">
        <v>13</v>
      </c>
      <c r="C482" s="51"/>
      <c r="D482" s="51"/>
      <c r="E482" s="62"/>
      <c r="F482" s="62"/>
      <c r="G482" s="29">
        <f>SUM(G477+G480)</f>
        <v>598976</v>
      </c>
      <c r="H482" s="62"/>
      <c r="I482" s="29">
        <f>SUM(I477+I480)</f>
        <v>598976</v>
      </c>
      <c r="J482" s="62"/>
      <c r="K482" s="29">
        <f>SUM(K477+K480)</f>
        <v>598976</v>
      </c>
    </row>
    <row r="483" spans="2:13" ht="12.95" customHeight="1" x14ac:dyDescent="0.3">
      <c r="B483" s="66" t="s">
        <v>189</v>
      </c>
      <c r="C483" s="67"/>
      <c r="D483" s="68"/>
      <c r="E483" s="69"/>
      <c r="F483" s="70"/>
      <c r="G483" s="71">
        <f>TRUNC(G482/G474)</f>
        <v>70467</v>
      </c>
      <c r="H483" s="70"/>
      <c r="I483" s="71">
        <f>TRUNC(I482/I474)</f>
        <v>85568</v>
      </c>
      <c r="J483" s="70"/>
      <c r="K483" s="71">
        <f>TRUNC(K482/K474)</f>
        <v>99829</v>
      </c>
    </row>
    <row r="484" spans="2:13" ht="12.95" customHeight="1" x14ac:dyDescent="0.3">
      <c r="B484" s="89" t="s">
        <v>3</v>
      </c>
      <c r="C484" s="92" t="s">
        <v>7</v>
      </c>
      <c r="D484" s="92" t="s">
        <v>8</v>
      </c>
      <c r="E484" s="92" t="s">
        <v>4</v>
      </c>
      <c r="F484" s="95" t="s">
        <v>194</v>
      </c>
      <c r="G484" s="96"/>
      <c r="H484" s="96"/>
      <c r="I484" s="96"/>
    </row>
    <row r="485" spans="2:13" ht="12.95" customHeight="1" x14ac:dyDescent="0.3">
      <c r="B485" s="90"/>
      <c r="C485" s="93"/>
      <c r="D485" s="93"/>
      <c r="E485" s="93"/>
      <c r="F485" s="95" t="s">
        <v>44</v>
      </c>
      <c r="G485" s="96"/>
      <c r="H485" s="103" t="s">
        <v>46</v>
      </c>
      <c r="I485" s="104"/>
    </row>
    <row r="486" spans="2:13" ht="12.95" customHeight="1" x14ac:dyDescent="0.3">
      <c r="B486" s="90"/>
      <c r="C486" s="93"/>
      <c r="D486" s="93"/>
      <c r="E486" s="93"/>
      <c r="F486" s="38" t="s">
        <v>190</v>
      </c>
      <c r="G486" s="73">
        <v>4.5</v>
      </c>
      <c r="H486" s="38" t="s">
        <v>190</v>
      </c>
      <c r="I486" s="73">
        <v>3</v>
      </c>
    </row>
    <row r="487" spans="2:13" ht="12.95" customHeight="1" x14ac:dyDescent="0.3">
      <c r="B487" s="91"/>
      <c r="C487" s="94"/>
      <c r="D487" s="94"/>
      <c r="E487" s="94"/>
      <c r="F487" s="40" t="s">
        <v>21</v>
      </c>
      <c r="G487" s="41" t="s">
        <v>173</v>
      </c>
      <c r="H487" s="40" t="s">
        <v>21</v>
      </c>
      <c r="I487" s="41" t="s">
        <v>173</v>
      </c>
    </row>
    <row r="488" spans="2:13" ht="12.95" customHeight="1" x14ac:dyDescent="0.3">
      <c r="B488" s="42" t="s">
        <v>53</v>
      </c>
      <c r="C488" s="43" t="s">
        <v>88</v>
      </c>
      <c r="D488" s="44" t="s">
        <v>15</v>
      </c>
      <c r="E488" s="45"/>
      <c r="F488" s="21">
        <v>1</v>
      </c>
      <c r="G488" s="5">
        <f>TRUNC(SUM(G491:G491)*0.06,1)</f>
        <v>33904.300000000003</v>
      </c>
      <c r="H488" s="21">
        <v>1</v>
      </c>
      <c r="I488" s="5">
        <f>TRUNC(SUM(I491:I491)*0.06,1)</f>
        <v>33904.300000000003</v>
      </c>
      <c r="J488" s="13"/>
      <c r="K488" s="13"/>
    </row>
    <row r="489" spans="2:13" ht="12.95" customHeight="1" x14ac:dyDescent="0.3">
      <c r="B489" s="46" t="s">
        <v>10</v>
      </c>
      <c r="C489" s="47"/>
      <c r="D489" s="48"/>
      <c r="E489" s="49"/>
      <c r="F489" s="25"/>
      <c r="G489" s="12">
        <f>TRUNC(SUM(G488))</f>
        <v>33904</v>
      </c>
      <c r="H489" s="25"/>
      <c r="I489" s="12">
        <f>TRUNC(SUM(I488))</f>
        <v>33904</v>
      </c>
      <c r="J489" s="13"/>
    </row>
    <row r="490" spans="2:13" ht="12.95" customHeight="1" x14ac:dyDescent="0.3">
      <c r="B490" s="50"/>
      <c r="C490" s="51"/>
      <c r="D490" s="51"/>
      <c r="E490" s="22"/>
      <c r="F490" s="15"/>
      <c r="G490" s="24"/>
      <c r="H490" s="15"/>
      <c r="I490" s="24"/>
    </row>
    <row r="491" spans="2:13" ht="12.95" customHeight="1" x14ac:dyDescent="0.3">
      <c r="B491" s="52" t="s">
        <v>20</v>
      </c>
      <c r="C491" s="53"/>
      <c r="D491" s="54" t="s">
        <v>9</v>
      </c>
      <c r="E491" s="78">
        <v>282536</v>
      </c>
      <c r="F491" s="56">
        <v>2</v>
      </c>
      <c r="G491" s="3">
        <f t="shared" ref="G491" si="160">TRUNC($E491*F491,1)</f>
        <v>565072</v>
      </c>
      <c r="H491" s="56">
        <v>2</v>
      </c>
      <c r="I491" s="3">
        <f t="shared" ref="I491" si="161">TRUNC($E491*H491,1)</f>
        <v>565072</v>
      </c>
    </row>
    <row r="492" spans="2:13" ht="12.95" customHeight="1" x14ac:dyDescent="0.3">
      <c r="B492" s="58" t="s">
        <v>11</v>
      </c>
      <c r="C492" s="51"/>
      <c r="D492" s="51"/>
      <c r="E492" s="22"/>
      <c r="F492" s="15"/>
      <c r="G492" s="16">
        <f>TRUNC(SUM(G491:G491))</f>
        <v>565072</v>
      </c>
      <c r="H492" s="15"/>
      <c r="I492" s="16">
        <f>TRUNC(SUM(I491:I491))</f>
        <v>565072</v>
      </c>
    </row>
    <row r="493" spans="2:13" ht="12.95" customHeight="1" x14ac:dyDescent="0.3">
      <c r="B493" s="50"/>
      <c r="C493" s="51"/>
      <c r="D493" s="51"/>
      <c r="E493" s="22"/>
      <c r="F493" s="15"/>
      <c r="G493" s="24"/>
      <c r="H493" s="15"/>
      <c r="I493" s="24"/>
    </row>
    <row r="494" spans="2:13" ht="12.95" customHeight="1" x14ac:dyDescent="0.3">
      <c r="B494" s="65" t="s">
        <v>13</v>
      </c>
      <c r="C494" s="51"/>
      <c r="D494" s="51"/>
      <c r="E494" s="62"/>
      <c r="F494" s="62"/>
      <c r="G494" s="29">
        <f>SUM(G489+G492)</f>
        <v>598976</v>
      </c>
      <c r="H494" s="62"/>
      <c r="I494" s="29">
        <f>SUM(I489+I492)</f>
        <v>598976</v>
      </c>
    </row>
    <row r="495" spans="2:13" ht="12.95" customHeight="1" x14ac:dyDescent="0.3">
      <c r="B495" s="66" t="s">
        <v>189</v>
      </c>
      <c r="C495" s="67"/>
      <c r="D495" s="68"/>
      <c r="E495" s="69"/>
      <c r="F495" s="70"/>
      <c r="G495" s="71">
        <f>TRUNC(G494/G486)</f>
        <v>133105</v>
      </c>
      <c r="H495" s="70"/>
      <c r="I495" s="71">
        <f>TRUNC(I494/I486)</f>
        <v>199658</v>
      </c>
    </row>
    <row r="496" spans="2:13" ht="12.95" customHeight="1" x14ac:dyDescent="0.3">
      <c r="B496" s="89" t="s">
        <v>3</v>
      </c>
      <c r="C496" s="92" t="s">
        <v>7</v>
      </c>
      <c r="D496" s="92" t="s">
        <v>8</v>
      </c>
      <c r="E496" s="92" t="s">
        <v>4</v>
      </c>
      <c r="F496" s="95" t="s">
        <v>195</v>
      </c>
      <c r="G496" s="96"/>
      <c r="H496" s="96"/>
      <c r="I496" s="96"/>
      <c r="J496" s="96"/>
      <c r="K496" s="96"/>
      <c r="L496" s="96"/>
      <c r="M496" s="96"/>
    </row>
    <row r="497" spans="2:13" ht="12.95" customHeight="1" x14ac:dyDescent="0.3">
      <c r="B497" s="90"/>
      <c r="C497" s="93"/>
      <c r="D497" s="93"/>
      <c r="E497" s="93"/>
      <c r="F497" s="95" t="s">
        <v>48</v>
      </c>
      <c r="G497" s="96"/>
      <c r="H497" s="103" t="s">
        <v>49</v>
      </c>
      <c r="I497" s="104"/>
      <c r="J497" s="103" t="s">
        <v>50</v>
      </c>
      <c r="K497" s="104"/>
      <c r="L497" s="95" t="s">
        <v>51</v>
      </c>
      <c r="M497" s="96"/>
    </row>
    <row r="498" spans="2:13" ht="12.95" customHeight="1" x14ac:dyDescent="0.3">
      <c r="B498" s="90"/>
      <c r="C498" s="93"/>
      <c r="D498" s="93"/>
      <c r="E498" s="93"/>
      <c r="F498" s="38" t="s">
        <v>190</v>
      </c>
      <c r="G498" s="73">
        <v>4</v>
      </c>
      <c r="H498" s="38" t="s">
        <v>190</v>
      </c>
      <c r="I498" s="73">
        <v>3</v>
      </c>
      <c r="J498" s="38" t="s">
        <v>190</v>
      </c>
      <c r="K498" s="73">
        <v>2.5</v>
      </c>
      <c r="L498" s="38" t="s">
        <v>190</v>
      </c>
      <c r="M498" s="73">
        <v>2</v>
      </c>
    </row>
    <row r="499" spans="2:13" ht="12.95" customHeight="1" x14ac:dyDescent="0.3">
      <c r="B499" s="91"/>
      <c r="C499" s="94"/>
      <c r="D499" s="94"/>
      <c r="E499" s="94"/>
      <c r="F499" s="40" t="s">
        <v>21</v>
      </c>
      <c r="G499" s="41" t="s">
        <v>173</v>
      </c>
      <c r="H499" s="40" t="s">
        <v>21</v>
      </c>
      <c r="I499" s="41" t="s">
        <v>173</v>
      </c>
      <c r="J499" s="40" t="s">
        <v>21</v>
      </c>
      <c r="K499" s="41" t="s">
        <v>173</v>
      </c>
      <c r="L499" s="40" t="s">
        <v>21</v>
      </c>
      <c r="M499" s="41" t="s">
        <v>173</v>
      </c>
    </row>
    <row r="500" spans="2:13" ht="12.95" customHeight="1" x14ac:dyDescent="0.3">
      <c r="B500" s="42" t="s">
        <v>53</v>
      </c>
      <c r="C500" s="43" t="s">
        <v>88</v>
      </c>
      <c r="D500" s="44" t="s">
        <v>15</v>
      </c>
      <c r="E500" s="45"/>
      <c r="F500" s="21">
        <v>1</v>
      </c>
      <c r="G500" s="5">
        <f>TRUNC(SUM(G503:G503)*0.06,1)</f>
        <v>50856.4</v>
      </c>
      <c r="H500" s="21">
        <v>1</v>
      </c>
      <c r="I500" s="5">
        <f>TRUNC(SUM(I503:I503)*0.06,1)</f>
        <v>50856.4</v>
      </c>
      <c r="J500" s="21">
        <v>1</v>
      </c>
      <c r="K500" s="5">
        <f>TRUNC(SUM(K503:K503)*0.06,1)</f>
        <v>50856.4</v>
      </c>
      <c r="L500" s="21">
        <v>1</v>
      </c>
      <c r="M500" s="5">
        <f>TRUNC(SUM(M503:M503)*0.06,1)</f>
        <v>50856.4</v>
      </c>
    </row>
    <row r="501" spans="2:13" ht="12.95" customHeight="1" x14ac:dyDescent="0.3">
      <c r="B501" s="46" t="s">
        <v>10</v>
      </c>
      <c r="C501" s="47"/>
      <c r="D501" s="48"/>
      <c r="E501" s="49"/>
      <c r="F501" s="25"/>
      <c r="G501" s="12">
        <f>TRUNC(SUM(G500))</f>
        <v>50856</v>
      </c>
      <c r="H501" s="25"/>
      <c r="I501" s="12">
        <f>TRUNC(SUM(I500))</f>
        <v>50856</v>
      </c>
      <c r="J501" s="25"/>
      <c r="K501" s="12">
        <f>TRUNC(SUM(K500))</f>
        <v>50856</v>
      </c>
      <c r="L501" s="25"/>
      <c r="M501" s="12">
        <f>TRUNC(SUM(M500))</f>
        <v>50856</v>
      </c>
    </row>
    <row r="502" spans="2:13" ht="12.95" customHeight="1" x14ac:dyDescent="0.3">
      <c r="B502" s="50"/>
      <c r="C502" s="51"/>
      <c r="D502" s="51"/>
      <c r="E502" s="22"/>
      <c r="F502" s="15"/>
      <c r="G502" s="24"/>
      <c r="H502" s="15"/>
      <c r="I502" s="24"/>
      <c r="J502" s="15"/>
      <c r="K502" s="24"/>
      <c r="L502" s="15"/>
      <c r="M502" s="24"/>
    </row>
    <row r="503" spans="2:13" ht="12.95" customHeight="1" x14ac:dyDescent="0.3">
      <c r="B503" s="52" t="s">
        <v>20</v>
      </c>
      <c r="C503" s="53"/>
      <c r="D503" s="54" t="s">
        <v>9</v>
      </c>
      <c r="E503" s="78">
        <v>282536</v>
      </c>
      <c r="F503" s="56">
        <v>3</v>
      </c>
      <c r="G503" s="3">
        <f t="shared" ref="G503" si="162">TRUNC($E503*F503,1)</f>
        <v>847608</v>
      </c>
      <c r="H503" s="56">
        <v>3</v>
      </c>
      <c r="I503" s="3">
        <f t="shared" ref="I503" si="163">TRUNC($E503*H503,1)</f>
        <v>847608</v>
      </c>
      <c r="J503" s="56">
        <v>3</v>
      </c>
      <c r="K503" s="3">
        <f t="shared" ref="K503" si="164">TRUNC($E503*J503,1)</f>
        <v>847608</v>
      </c>
      <c r="L503" s="56">
        <v>3</v>
      </c>
      <c r="M503" s="3">
        <f t="shared" ref="M503" si="165">TRUNC($E503*L503,1)</f>
        <v>847608</v>
      </c>
    </row>
    <row r="504" spans="2:13" ht="12.95" customHeight="1" x14ac:dyDescent="0.3">
      <c r="B504" s="58" t="s">
        <v>11</v>
      </c>
      <c r="C504" s="51"/>
      <c r="D504" s="51"/>
      <c r="E504" s="22"/>
      <c r="F504" s="15"/>
      <c r="G504" s="16">
        <f>TRUNC(SUM(G503:G503))</f>
        <v>847608</v>
      </c>
      <c r="H504" s="15"/>
      <c r="I504" s="16">
        <f>TRUNC(SUM(I503:I503))</f>
        <v>847608</v>
      </c>
      <c r="J504" s="15"/>
      <c r="K504" s="16">
        <f>TRUNC(SUM(K503:K503))</f>
        <v>847608</v>
      </c>
      <c r="L504" s="15"/>
      <c r="M504" s="16">
        <f>TRUNC(SUM(M503:M503))</f>
        <v>847608</v>
      </c>
    </row>
    <row r="505" spans="2:13" ht="12.95" customHeight="1" x14ac:dyDescent="0.3">
      <c r="B505" s="50"/>
      <c r="C505" s="51"/>
      <c r="D505" s="51"/>
      <c r="E505" s="22"/>
      <c r="F505" s="15"/>
      <c r="G505" s="24"/>
      <c r="H505" s="15"/>
      <c r="I505" s="24"/>
      <c r="J505" s="15"/>
      <c r="K505" s="24"/>
      <c r="L505" s="15"/>
      <c r="M505" s="24"/>
    </row>
    <row r="506" spans="2:13" ht="12.95" customHeight="1" x14ac:dyDescent="0.3">
      <c r="B506" s="65" t="s">
        <v>13</v>
      </c>
      <c r="C506" s="51"/>
      <c r="D506" s="51"/>
      <c r="E506" s="62"/>
      <c r="F506" s="62"/>
      <c r="G506" s="29">
        <f>SUM(G501+G504)</f>
        <v>898464</v>
      </c>
      <c r="H506" s="62"/>
      <c r="I506" s="29">
        <f>SUM(I501+I504)</f>
        <v>898464</v>
      </c>
      <c r="J506" s="62"/>
      <c r="K506" s="29">
        <f>SUM(K501+K504)</f>
        <v>898464</v>
      </c>
      <c r="L506" s="62"/>
      <c r="M506" s="29">
        <f>SUM(M501+M504)</f>
        <v>898464</v>
      </c>
    </row>
    <row r="507" spans="2:13" ht="12.95" customHeight="1" x14ac:dyDescent="0.3">
      <c r="B507" s="66" t="s">
        <v>189</v>
      </c>
      <c r="C507" s="67"/>
      <c r="D507" s="68"/>
      <c r="E507" s="69"/>
      <c r="F507" s="70"/>
      <c r="G507" s="71">
        <f>TRUNC(G506/G498)</f>
        <v>224616</v>
      </c>
      <c r="H507" s="70"/>
      <c r="I507" s="71">
        <f>TRUNC(I506/I498)</f>
        <v>299488</v>
      </c>
      <c r="J507" s="70"/>
      <c r="K507" s="71">
        <f>TRUNC(K506/K498)</f>
        <v>359385</v>
      </c>
      <c r="L507" s="70"/>
      <c r="M507" s="71">
        <f>TRUNC(M506/M498)</f>
        <v>449232</v>
      </c>
    </row>
    <row r="508" spans="2:13" ht="12.95" customHeight="1" x14ac:dyDescent="0.3">
      <c r="B508" s="89" t="s">
        <v>3</v>
      </c>
      <c r="C508" s="92" t="s">
        <v>7</v>
      </c>
      <c r="D508" s="92" t="s">
        <v>8</v>
      </c>
      <c r="E508" s="92" t="s">
        <v>4</v>
      </c>
      <c r="F508" s="95" t="s">
        <v>195</v>
      </c>
      <c r="G508" s="96"/>
      <c r="H508" s="96"/>
      <c r="I508" s="96"/>
      <c r="J508" s="96"/>
      <c r="K508" s="96"/>
    </row>
    <row r="509" spans="2:13" ht="12.95" customHeight="1" x14ac:dyDescent="0.3">
      <c r="B509" s="90"/>
      <c r="C509" s="93"/>
      <c r="D509" s="93"/>
      <c r="E509" s="93"/>
      <c r="F509" s="95" t="s">
        <v>52</v>
      </c>
      <c r="G509" s="96"/>
      <c r="H509" s="95" t="s">
        <v>60</v>
      </c>
      <c r="I509" s="96"/>
      <c r="J509" s="95" t="s">
        <v>192</v>
      </c>
      <c r="K509" s="96"/>
    </row>
    <row r="510" spans="2:13" ht="12.95" customHeight="1" x14ac:dyDescent="0.3">
      <c r="B510" s="90"/>
      <c r="C510" s="93"/>
      <c r="D510" s="93"/>
      <c r="E510" s="93"/>
      <c r="F510" s="38" t="s">
        <v>190</v>
      </c>
      <c r="G510" s="73">
        <v>2</v>
      </c>
      <c r="H510" s="38" t="s">
        <v>190</v>
      </c>
      <c r="I510" s="73">
        <v>1.5</v>
      </c>
      <c r="J510" s="38" t="s">
        <v>190</v>
      </c>
      <c r="K510" s="73">
        <v>1.5</v>
      </c>
    </row>
    <row r="511" spans="2:13" ht="12.95" customHeight="1" x14ac:dyDescent="0.3">
      <c r="B511" s="91"/>
      <c r="C511" s="94"/>
      <c r="D511" s="94"/>
      <c r="E511" s="94"/>
      <c r="F511" s="40" t="s">
        <v>21</v>
      </c>
      <c r="G511" s="41" t="s">
        <v>173</v>
      </c>
      <c r="H511" s="40" t="s">
        <v>21</v>
      </c>
      <c r="I511" s="41" t="s">
        <v>173</v>
      </c>
      <c r="J511" s="40" t="s">
        <v>21</v>
      </c>
      <c r="K511" s="41" t="s">
        <v>173</v>
      </c>
    </row>
    <row r="512" spans="2:13" ht="12.95" customHeight="1" x14ac:dyDescent="0.3">
      <c r="B512" s="42" t="s">
        <v>53</v>
      </c>
      <c r="C512" s="43" t="s">
        <v>88</v>
      </c>
      <c r="D512" s="44" t="s">
        <v>15</v>
      </c>
      <c r="E512" s="45"/>
      <c r="F512" s="21">
        <v>1</v>
      </c>
      <c r="G512" s="5">
        <f>TRUNC(SUM(G515:G515)*0.06,1)</f>
        <v>50856.4</v>
      </c>
      <c r="H512" s="21">
        <v>1</v>
      </c>
      <c r="I512" s="5">
        <f>TRUNC(SUM(I515:I515)*0.06,1)</f>
        <v>50856.4</v>
      </c>
      <c r="J512" s="21">
        <v>1</v>
      </c>
      <c r="K512" s="5">
        <f>TRUNC(SUM(K515:K515)*0.06,1)</f>
        <v>50856.4</v>
      </c>
      <c r="L512" s="13"/>
      <c r="M512" s="13"/>
    </row>
    <row r="513" spans="2:15" ht="12.95" customHeight="1" x14ac:dyDescent="0.3">
      <c r="B513" s="46" t="s">
        <v>10</v>
      </c>
      <c r="C513" s="47"/>
      <c r="D513" s="48"/>
      <c r="E513" s="49"/>
      <c r="F513" s="25"/>
      <c r="G513" s="12">
        <f>TRUNC(SUM(G512))</f>
        <v>50856</v>
      </c>
      <c r="H513" s="25"/>
      <c r="I513" s="12">
        <f>TRUNC(SUM(I512))</f>
        <v>50856</v>
      </c>
      <c r="J513" s="25"/>
      <c r="K513" s="12">
        <f>TRUNC(SUM(K512))</f>
        <v>50856</v>
      </c>
      <c r="L513" s="13"/>
    </row>
    <row r="514" spans="2:15" ht="12.95" customHeight="1" x14ac:dyDescent="0.3">
      <c r="B514" s="50"/>
      <c r="C514" s="51"/>
      <c r="D514" s="51"/>
      <c r="E514" s="22"/>
      <c r="F514" s="15"/>
      <c r="G514" s="24"/>
      <c r="H514" s="15"/>
      <c r="I514" s="24"/>
      <c r="J514" s="15"/>
      <c r="K514" s="24"/>
    </row>
    <row r="515" spans="2:15" ht="12.95" customHeight="1" x14ac:dyDescent="0.3">
      <c r="B515" s="52" t="s">
        <v>20</v>
      </c>
      <c r="C515" s="53"/>
      <c r="D515" s="54" t="s">
        <v>9</v>
      </c>
      <c r="E515" s="78">
        <v>282536</v>
      </c>
      <c r="F515" s="56">
        <v>3</v>
      </c>
      <c r="G515" s="3">
        <f t="shared" ref="G515" si="166">TRUNC($E515*F515,1)</f>
        <v>847608</v>
      </c>
      <c r="H515" s="56">
        <v>3</v>
      </c>
      <c r="I515" s="3">
        <f t="shared" ref="I515" si="167">TRUNC($E515*H515,1)</f>
        <v>847608</v>
      </c>
      <c r="J515" s="56">
        <v>3</v>
      </c>
      <c r="K515" s="3">
        <f t="shared" ref="K515" si="168">TRUNC($E515*J515,1)</f>
        <v>847608</v>
      </c>
    </row>
    <row r="516" spans="2:15" ht="12.95" customHeight="1" x14ac:dyDescent="0.3">
      <c r="B516" s="58" t="s">
        <v>11</v>
      </c>
      <c r="C516" s="51"/>
      <c r="D516" s="51"/>
      <c r="E516" s="22"/>
      <c r="F516" s="15"/>
      <c r="G516" s="16">
        <f>TRUNC(SUM(G515:G515))</f>
        <v>847608</v>
      </c>
      <c r="H516" s="15"/>
      <c r="I516" s="16">
        <f>TRUNC(SUM(I515:I515))</f>
        <v>847608</v>
      </c>
      <c r="J516" s="15"/>
      <c r="K516" s="16">
        <f>TRUNC(SUM(K515:K515))</f>
        <v>847608</v>
      </c>
    </row>
    <row r="517" spans="2:15" ht="12.95" customHeight="1" x14ac:dyDescent="0.3">
      <c r="B517" s="50"/>
      <c r="C517" s="51"/>
      <c r="D517" s="51"/>
      <c r="E517" s="22"/>
      <c r="F517" s="15"/>
      <c r="G517" s="24"/>
      <c r="H517" s="15"/>
      <c r="I517" s="24"/>
      <c r="J517" s="15"/>
      <c r="K517" s="24"/>
    </row>
    <row r="518" spans="2:15" ht="12.95" customHeight="1" x14ac:dyDescent="0.3">
      <c r="B518" s="65" t="s">
        <v>13</v>
      </c>
      <c r="C518" s="51"/>
      <c r="D518" s="51"/>
      <c r="E518" s="62"/>
      <c r="F518" s="62"/>
      <c r="G518" s="29">
        <f>SUM(G513+G516)</f>
        <v>898464</v>
      </c>
      <c r="H518" s="62"/>
      <c r="I518" s="29">
        <f>SUM(I513+I516)</f>
        <v>898464</v>
      </c>
      <c r="J518" s="62"/>
      <c r="K518" s="29">
        <f>SUM(K513+K516)</f>
        <v>898464</v>
      </c>
    </row>
    <row r="519" spans="2:15" ht="12.95" customHeight="1" x14ac:dyDescent="0.3">
      <c r="B519" s="66" t="s">
        <v>189</v>
      </c>
      <c r="C519" s="67"/>
      <c r="D519" s="68"/>
      <c r="E519" s="69"/>
      <c r="F519" s="70"/>
      <c r="G519" s="71">
        <f>TRUNC(G518/G510)</f>
        <v>449232</v>
      </c>
      <c r="H519" s="70"/>
      <c r="I519" s="71">
        <f>TRUNC(I518/I510)</f>
        <v>598976</v>
      </c>
      <c r="J519" s="70"/>
      <c r="K519" s="71">
        <f>TRUNC(K518/K510)</f>
        <v>598976</v>
      </c>
    </row>
    <row r="520" spans="2:15" ht="12.95" customHeight="1" x14ac:dyDescent="0.3">
      <c r="B520" s="89" t="s">
        <v>3</v>
      </c>
      <c r="C520" s="92" t="s">
        <v>7</v>
      </c>
      <c r="D520" s="92" t="s">
        <v>8</v>
      </c>
      <c r="E520" s="92" t="s">
        <v>4</v>
      </c>
      <c r="F520" s="95" t="s">
        <v>195</v>
      </c>
      <c r="G520" s="96"/>
      <c r="H520" s="96"/>
      <c r="I520" s="96"/>
      <c r="J520" s="96"/>
      <c r="K520" s="96"/>
    </row>
    <row r="521" spans="2:15" ht="12.95" customHeight="1" x14ac:dyDescent="0.3">
      <c r="B521" s="90"/>
      <c r="C521" s="93"/>
      <c r="D521" s="93"/>
      <c r="E521" s="93"/>
      <c r="F521" s="95" t="s">
        <v>193</v>
      </c>
      <c r="G521" s="96"/>
      <c r="H521" s="95" t="s">
        <v>65</v>
      </c>
      <c r="I521" s="96"/>
      <c r="J521" s="95" t="s">
        <v>66</v>
      </c>
      <c r="K521" s="96"/>
      <c r="O521" s="4"/>
    </row>
    <row r="522" spans="2:15" ht="12.95" customHeight="1" x14ac:dyDescent="0.3">
      <c r="B522" s="90"/>
      <c r="C522" s="93"/>
      <c r="D522" s="93"/>
      <c r="E522" s="93"/>
      <c r="F522" s="38" t="s">
        <v>190</v>
      </c>
      <c r="G522" s="73">
        <v>1.5</v>
      </c>
      <c r="H522" s="38" t="s">
        <v>190</v>
      </c>
      <c r="I522" s="73">
        <v>1.5</v>
      </c>
      <c r="J522" s="38" t="s">
        <v>190</v>
      </c>
      <c r="K522" s="73">
        <v>1</v>
      </c>
      <c r="N522" s="4"/>
      <c r="O522" s="4"/>
    </row>
    <row r="523" spans="2:15" ht="12.95" customHeight="1" x14ac:dyDescent="0.3">
      <c r="B523" s="91"/>
      <c r="C523" s="94"/>
      <c r="D523" s="94"/>
      <c r="E523" s="94"/>
      <c r="F523" s="40" t="s">
        <v>21</v>
      </c>
      <c r="G523" s="41" t="s">
        <v>173</v>
      </c>
      <c r="H523" s="40" t="s">
        <v>21</v>
      </c>
      <c r="I523" s="41" t="s">
        <v>173</v>
      </c>
      <c r="J523" s="40" t="s">
        <v>21</v>
      </c>
      <c r="K523" s="41" t="s">
        <v>173</v>
      </c>
      <c r="N523" s="4"/>
      <c r="O523" s="4"/>
    </row>
    <row r="524" spans="2:15" ht="12.95" customHeight="1" x14ac:dyDescent="0.3">
      <c r="B524" s="42" t="s">
        <v>53</v>
      </c>
      <c r="C524" s="43" t="s">
        <v>88</v>
      </c>
      <c r="D524" s="44" t="s">
        <v>15</v>
      </c>
      <c r="E524" s="45"/>
      <c r="F524" s="21">
        <v>1</v>
      </c>
      <c r="G524" s="5">
        <f>TRUNC(SUM(G527:G527)*0.06,1)</f>
        <v>67808.600000000006</v>
      </c>
      <c r="H524" s="21">
        <v>1</v>
      </c>
      <c r="I524" s="5">
        <f>TRUNC(SUM(I527:I527)*0.06,1)</f>
        <v>67808.600000000006</v>
      </c>
      <c r="J524" s="21">
        <v>1</v>
      </c>
      <c r="K524" s="5">
        <f>TRUNC(SUM(K527:K527)*0.06,1)</f>
        <v>67808.600000000006</v>
      </c>
      <c r="L524" s="13"/>
      <c r="M524" s="13"/>
      <c r="N524" s="4"/>
      <c r="O524" s="4"/>
    </row>
    <row r="525" spans="2:15" ht="12.95" customHeight="1" x14ac:dyDescent="0.3">
      <c r="B525" s="46" t="s">
        <v>10</v>
      </c>
      <c r="C525" s="47"/>
      <c r="D525" s="48"/>
      <c r="E525" s="49"/>
      <c r="F525" s="25"/>
      <c r="G525" s="12">
        <f>TRUNC(SUM(G524))</f>
        <v>67808</v>
      </c>
      <c r="H525" s="25"/>
      <c r="I525" s="12">
        <f>TRUNC(SUM(I524))</f>
        <v>67808</v>
      </c>
      <c r="J525" s="25"/>
      <c r="K525" s="12">
        <f>TRUNC(SUM(K524))</f>
        <v>67808</v>
      </c>
      <c r="L525" s="13"/>
      <c r="N525" s="4"/>
      <c r="O525" s="4"/>
    </row>
    <row r="526" spans="2:15" ht="12.95" customHeight="1" x14ac:dyDescent="0.3">
      <c r="B526" s="50"/>
      <c r="C526" s="51"/>
      <c r="D526" s="51"/>
      <c r="E526" s="22"/>
      <c r="F526" s="15"/>
      <c r="G526" s="24"/>
      <c r="H526" s="15"/>
      <c r="I526" s="24"/>
      <c r="J526" s="15"/>
      <c r="K526" s="24"/>
      <c r="N526" s="4"/>
      <c r="O526" s="4"/>
    </row>
    <row r="527" spans="2:15" ht="12.95" customHeight="1" x14ac:dyDescent="0.3">
      <c r="B527" s="52" t="s">
        <v>20</v>
      </c>
      <c r="C527" s="53"/>
      <c r="D527" s="54" t="s">
        <v>9</v>
      </c>
      <c r="E527" s="78">
        <v>282536</v>
      </c>
      <c r="F527" s="56">
        <v>4</v>
      </c>
      <c r="G527" s="3">
        <f t="shared" ref="G527" si="169">TRUNC($E527*F527,1)</f>
        <v>1130144</v>
      </c>
      <c r="H527" s="56">
        <v>4</v>
      </c>
      <c r="I527" s="3">
        <f t="shared" ref="I527" si="170">TRUNC($E527*H527,1)</f>
        <v>1130144</v>
      </c>
      <c r="J527" s="56">
        <v>4</v>
      </c>
      <c r="K527" s="3">
        <f t="shared" ref="K527" si="171">TRUNC($E527*J527,1)</f>
        <v>1130144</v>
      </c>
      <c r="N527" s="4"/>
      <c r="O527" s="4"/>
    </row>
    <row r="528" spans="2:15" ht="12.95" customHeight="1" x14ac:dyDescent="0.3">
      <c r="B528" s="58" t="s">
        <v>11</v>
      </c>
      <c r="C528" s="51"/>
      <c r="D528" s="51"/>
      <c r="E528" s="22"/>
      <c r="F528" s="15"/>
      <c r="G528" s="16">
        <f>TRUNC(SUM(G527:G527))</f>
        <v>1130144</v>
      </c>
      <c r="H528" s="15"/>
      <c r="I528" s="16">
        <f>TRUNC(SUM(I527:I527))</f>
        <v>1130144</v>
      </c>
      <c r="J528" s="15"/>
      <c r="K528" s="16">
        <f>TRUNC(SUM(K527:K527))</f>
        <v>1130144</v>
      </c>
    </row>
    <row r="529" spans="2:15" ht="12.95" customHeight="1" x14ac:dyDescent="0.3">
      <c r="B529" s="50"/>
      <c r="C529" s="51"/>
      <c r="D529" s="51"/>
      <c r="E529" s="22"/>
      <c r="F529" s="15"/>
      <c r="G529" s="24"/>
      <c r="H529" s="15"/>
      <c r="I529" s="24"/>
      <c r="J529" s="15"/>
      <c r="K529" s="24"/>
    </row>
    <row r="530" spans="2:15" ht="12.95" customHeight="1" x14ac:dyDescent="0.3">
      <c r="B530" s="65" t="s">
        <v>13</v>
      </c>
      <c r="C530" s="51"/>
      <c r="D530" s="51"/>
      <c r="E530" s="62"/>
      <c r="F530" s="62"/>
      <c r="G530" s="29">
        <f>SUM(G525+G528)</f>
        <v>1197952</v>
      </c>
      <c r="H530" s="62"/>
      <c r="I530" s="29">
        <f>SUM(I525+I528)</f>
        <v>1197952</v>
      </c>
      <c r="J530" s="62"/>
      <c r="K530" s="29">
        <f>SUM(K525+K528)</f>
        <v>1197952</v>
      </c>
    </row>
    <row r="531" spans="2:15" ht="12.95" customHeight="1" x14ac:dyDescent="0.3">
      <c r="B531" s="66" t="s">
        <v>189</v>
      </c>
      <c r="C531" s="67"/>
      <c r="D531" s="68"/>
      <c r="E531" s="69"/>
      <c r="F531" s="70"/>
      <c r="G531" s="71">
        <f>TRUNC(G530/G522)</f>
        <v>798634</v>
      </c>
      <c r="H531" s="70"/>
      <c r="I531" s="71">
        <f>TRUNC(I530/I522)</f>
        <v>798634</v>
      </c>
      <c r="J531" s="70"/>
      <c r="K531" s="71">
        <f>TRUNC(K530/K522)</f>
        <v>1197952</v>
      </c>
    </row>
    <row r="532" spans="2:15" ht="12.95" customHeight="1" x14ac:dyDescent="0.3">
      <c r="L532" s="4"/>
      <c r="M532" s="4"/>
    </row>
    <row r="533" spans="2:15" ht="12.95" customHeight="1" x14ac:dyDescent="0.3">
      <c r="B533" s="1" t="s">
        <v>67</v>
      </c>
      <c r="K533" s="79" t="s">
        <v>22</v>
      </c>
    </row>
    <row r="534" spans="2:15" ht="12.95" customHeight="1" x14ac:dyDescent="0.3">
      <c r="B534" s="89" t="s">
        <v>3</v>
      </c>
      <c r="C534" s="89" t="s">
        <v>7</v>
      </c>
      <c r="D534" s="92" t="s">
        <v>8</v>
      </c>
      <c r="E534" s="92" t="s">
        <v>4</v>
      </c>
      <c r="F534" s="95" t="s">
        <v>68</v>
      </c>
      <c r="G534" s="96"/>
      <c r="H534" s="96"/>
      <c r="I534" s="96"/>
      <c r="J534" s="96"/>
      <c r="K534" s="96"/>
    </row>
    <row r="535" spans="2:15" ht="12.95" customHeight="1" x14ac:dyDescent="0.3">
      <c r="B535" s="90"/>
      <c r="C535" s="90"/>
      <c r="D535" s="93"/>
      <c r="E535" s="93"/>
      <c r="F535" s="95" t="s">
        <v>48</v>
      </c>
      <c r="G535" s="102"/>
      <c r="H535" s="95" t="s">
        <v>49</v>
      </c>
      <c r="I535" s="96"/>
      <c r="J535" s="95" t="s">
        <v>50</v>
      </c>
      <c r="K535" s="96"/>
    </row>
    <row r="536" spans="2:15" ht="12.95" customHeight="1" x14ac:dyDescent="0.3">
      <c r="B536" s="91"/>
      <c r="C536" s="91"/>
      <c r="D536" s="94"/>
      <c r="E536" s="94"/>
      <c r="F536" s="74" t="s">
        <v>5</v>
      </c>
      <c r="G536" s="75" t="s">
        <v>6</v>
      </c>
      <c r="H536" s="74" t="s">
        <v>5</v>
      </c>
      <c r="I536" s="75" t="s">
        <v>6</v>
      </c>
      <c r="J536" s="74" t="s">
        <v>5</v>
      </c>
      <c r="K536" s="75" t="s">
        <v>6</v>
      </c>
    </row>
    <row r="537" spans="2:15" ht="12.95" customHeight="1" x14ac:dyDescent="0.3">
      <c r="B537" s="52" t="s">
        <v>0</v>
      </c>
      <c r="C537" s="53"/>
      <c r="D537" s="54" t="s">
        <v>9</v>
      </c>
      <c r="E537" s="18">
        <v>263017</v>
      </c>
      <c r="F537" s="28">
        <v>0.27</v>
      </c>
      <c r="G537" s="2">
        <f t="shared" ref="G537:G538" si="172">TRUNC($E537*F537,1)</f>
        <v>71014.5</v>
      </c>
      <c r="H537" s="28">
        <v>0.28000000000000003</v>
      </c>
      <c r="I537" s="3">
        <f t="shared" ref="I537:I538" si="173">TRUNC($E537*H537,1)</f>
        <v>73644.7</v>
      </c>
      <c r="J537" s="28">
        <v>0.3</v>
      </c>
      <c r="K537" s="3">
        <f t="shared" ref="K537:K538" si="174">TRUNC($E537*J537,1)</f>
        <v>78905.100000000006</v>
      </c>
    </row>
    <row r="538" spans="2:15" ht="12.95" customHeight="1" x14ac:dyDescent="0.3">
      <c r="B538" s="52" t="s">
        <v>1</v>
      </c>
      <c r="C538" s="53"/>
      <c r="D538" s="54" t="s">
        <v>9</v>
      </c>
      <c r="E538" s="57">
        <v>172068</v>
      </c>
      <c r="F538" s="28">
        <v>7.0000000000000007E-2</v>
      </c>
      <c r="G538" s="2">
        <f t="shared" si="172"/>
        <v>12044.7</v>
      </c>
      <c r="H538" s="28">
        <v>7.0000000000000007E-2</v>
      </c>
      <c r="I538" s="3">
        <f t="shared" si="173"/>
        <v>12044.7</v>
      </c>
      <c r="J538" s="28">
        <v>7.0000000000000007E-2</v>
      </c>
      <c r="K538" s="3">
        <f t="shared" si="174"/>
        <v>12044.7</v>
      </c>
      <c r="N538" s="4"/>
      <c r="O538" s="4"/>
    </row>
    <row r="539" spans="2:15" ht="12.95" customHeight="1" x14ac:dyDescent="0.3">
      <c r="B539" s="58" t="s">
        <v>11</v>
      </c>
      <c r="C539" s="80"/>
      <c r="D539" s="81"/>
      <c r="E539" s="82"/>
      <c r="F539" s="82"/>
      <c r="G539" s="10">
        <f>TRUNC(SUM(G537:G538))</f>
        <v>83059</v>
      </c>
      <c r="H539" s="82"/>
      <c r="I539" s="11">
        <f>TRUNC(SUM(I537:I538))</f>
        <v>85689</v>
      </c>
      <c r="J539" s="82"/>
      <c r="K539" s="11">
        <f>TRUNC(SUM(K537:K538))</f>
        <v>90949</v>
      </c>
      <c r="N539" s="4"/>
      <c r="O539" s="4"/>
    </row>
    <row r="540" spans="2:15" ht="12.95" customHeight="1" x14ac:dyDescent="0.3">
      <c r="B540" s="83"/>
      <c r="C540" s="53"/>
      <c r="D540" s="54"/>
      <c r="E540" s="84"/>
      <c r="F540" s="84"/>
      <c r="G540" s="6"/>
      <c r="H540" s="84"/>
      <c r="I540" s="7"/>
      <c r="J540" s="84"/>
      <c r="K540" s="7"/>
      <c r="N540" s="4"/>
    </row>
    <row r="541" spans="2:15" ht="12.95" customHeight="1" x14ac:dyDescent="0.3">
      <c r="B541" s="66" t="s">
        <v>13</v>
      </c>
      <c r="C541" s="85"/>
      <c r="D541" s="86"/>
      <c r="E541" s="87"/>
      <c r="F541" s="87"/>
      <c r="G541" s="8">
        <f>SUM(G539)</f>
        <v>83059</v>
      </c>
      <c r="H541" s="87"/>
      <c r="I541" s="8">
        <f>SUM(I539)</f>
        <v>85689</v>
      </c>
      <c r="J541" s="87"/>
      <c r="K541" s="8">
        <f>SUM(K539)</f>
        <v>90949</v>
      </c>
    </row>
    <row r="542" spans="2:15" ht="12.95" customHeight="1" x14ac:dyDescent="0.3">
      <c r="B542" s="89" t="s">
        <v>3</v>
      </c>
      <c r="C542" s="89" t="s">
        <v>7</v>
      </c>
      <c r="D542" s="92" t="s">
        <v>8</v>
      </c>
      <c r="E542" s="92" t="s">
        <v>4</v>
      </c>
      <c r="F542" s="95" t="s">
        <v>68</v>
      </c>
      <c r="G542" s="96"/>
      <c r="H542" s="96"/>
      <c r="I542" s="96"/>
      <c r="J542" s="96"/>
      <c r="K542" s="96"/>
    </row>
    <row r="543" spans="2:15" ht="12.95" customHeight="1" x14ac:dyDescent="0.3">
      <c r="B543" s="90"/>
      <c r="C543" s="90"/>
      <c r="D543" s="93"/>
      <c r="E543" s="93"/>
      <c r="F543" s="95" t="s">
        <v>51</v>
      </c>
      <c r="G543" s="96"/>
      <c r="H543" s="95" t="s">
        <v>52</v>
      </c>
      <c r="I543" s="96"/>
      <c r="J543" s="95" t="s">
        <v>60</v>
      </c>
      <c r="K543" s="96"/>
    </row>
    <row r="544" spans="2:15" ht="12.95" customHeight="1" x14ac:dyDescent="0.3">
      <c r="B544" s="91"/>
      <c r="C544" s="91"/>
      <c r="D544" s="94"/>
      <c r="E544" s="94"/>
      <c r="F544" s="74" t="s">
        <v>5</v>
      </c>
      <c r="G544" s="75" t="s">
        <v>6</v>
      </c>
      <c r="H544" s="74" t="s">
        <v>5</v>
      </c>
      <c r="I544" s="75" t="s">
        <v>6</v>
      </c>
      <c r="J544" s="74" t="s">
        <v>5</v>
      </c>
      <c r="K544" s="75" t="s">
        <v>6</v>
      </c>
    </row>
    <row r="545" spans="2:11" ht="12.95" customHeight="1" x14ac:dyDescent="0.3">
      <c r="B545" s="52" t="s">
        <v>0</v>
      </c>
      <c r="C545" s="53"/>
      <c r="D545" s="54" t="s">
        <v>9</v>
      </c>
      <c r="E545" s="18">
        <v>263017</v>
      </c>
      <c r="F545" s="28">
        <v>0.31</v>
      </c>
      <c r="G545" s="2">
        <f t="shared" ref="G545:G546" si="175">TRUNC($E545*F545,1)</f>
        <v>81535.199999999997</v>
      </c>
      <c r="H545" s="28">
        <v>0.32</v>
      </c>
      <c r="I545" s="3">
        <f t="shared" ref="I545:I546" si="176">TRUNC($E545*H545,1)</f>
        <v>84165.4</v>
      </c>
      <c r="J545" s="28">
        <v>0.33</v>
      </c>
      <c r="K545" s="3">
        <f t="shared" ref="K545:K546" si="177">TRUNC($E545*J545,1)</f>
        <v>86795.6</v>
      </c>
    </row>
    <row r="546" spans="2:11" ht="12.95" customHeight="1" x14ac:dyDescent="0.3">
      <c r="B546" s="52" t="s">
        <v>1</v>
      </c>
      <c r="C546" s="53"/>
      <c r="D546" s="54" t="s">
        <v>9</v>
      </c>
      <c r="E546" s="57">
        <v>172068</v>
      </c>
      <c r="F546" s="28">
        <v>0.08</v>
      </c>
      <c r="G546" s="2">
        <f t="shared" si="175"/>
        <v>13765.4</v>
      </c>
      <c r="H546" s="28">
        <v>0.08</v>
      </c>
      <c r="I546" s="3">
        <f t="shared" si="176"/>
        <v>13765.4</v>
      </c>
      <c r="J546" s="28">
        <v>0.08</v>
      </c>
      <c r="K546" s="3">
        <f t="shared" si="177"/>
        <v>13765.4</v>
      </c>
    </row>
    <row r="547" spans="2:11" ht="12.95" customHeight="1" x14ac:dyDescent="0.3">
      <c r="B547" s="58" t="s">
        <v>11</v>
      </c>
      <c r="C547" s="80"/>
      <c r="D547" s="81"/>
      <c r="E547" s="82"/>
      <c r="F547" s="82"/>
      <c r="G547" s="10">
        <f>TRUNC(SUM(G545:G546))</f>
        <v>95300</v>
      </c>
      <c r="H547" s="82"/>
      <c r="I547" s="11">
        <f>TRUNC(SUM(I545:I546))</f>
        <v>97930</v>
      </c>
      <c r="J547" s="82"/>
      <c r="K547" s="11">
        <f>TRUNC(SUM(K545:K546))</f>
        <v>100561</v>
      </c>
    </row>
    <row r="548" spans="2:11" ht="12.95" customHeight="1" x14ac:dyDescent="0.3">
      <c r="B548" s="83"/>
      <c r="C548" s="53"/>
      <c r="D548" s="54"/>
      <c r="E548" s="84"/>
      <c r="F548" s="84"/>
      <c r="G548" s="6"/>
      <c r="H548" s="84"/>
      <c r="I548" s="7"/>
      <c r="J548" s="84"/>
      <c r="K548" s="7"/>
    </row>
    <row r="549" spans="2:11" ht="12.95" customHeight="1" x14ac:dyDescent="0.3">
      <c r="B549" s="66" t="s">
        <v>13</v>
      </c>
      <c r="C549" s="85"/>
      <c r="D549" s="86"/>
      <c r="E549" s="87"/>
      <c r="F549" s="87"/>
      <c r="G549" s="8">
        <f>SUM(G547)</f>
        <v>95300</v>
      </c>
      <c r="H549" s="87"/>
      <c r="I549" s="8">
        <f>SUM(I547)</f>
        <v>97930</v>
      </c>
      <c r="J549" s="87"/>
      <c r="K549" s="8">
        <f>SUM(K547)</f>
        <v>100561</v>
      </c>
    </row>
    <row r="550" spans="2:11" ht="12.95" customHeight="1" x14ac:dyDescent="0.3">
      <c r="B550" s="89" t="s">
        <v>3</v>
      </c>
      <c r="C550" s="89" t="s">
        <v>7</v>
      </c>
      <c r="D550" s="92" t="s">
        <v>8</v>
      </c>
      <c r="E550" s="92" t="s">
        <v>4</v>
      </c>
      <c r="F550" s="95" t="s">
        <v>68</v>
      </c>
      <c r="G550" s="96"/>
      <c r="H550" s="96"/>
      <c r="I550" s="96"/>
      <c r="J550" s="96"/>
      <c r="K550" s="96"/>
    </row>
    <row r="551" spans="2:11" ht="12.95" customHeight="1" x14ac:dyDescent="0.3">
      <c r="B551" s="90"/>
      <c r="C551" s="90"/>
      <c r="D551" s="93"/>
      <c r="E551" s="93"/>
      <c r="F551" s="95" t="s">
        <v>61</v>
      </c>
      <c r="G551" s="96"/>
      <c r="H551" s="95" t="s">
        <v>62</v>
      </c>
      <c r="I551" s="96"/>
      <c r="J551" s="95" t="s">
        <v>63</v>
      </c>
      <c r="K551" s="96"/>
    </row>
    <row r="552" spans="2:11" ht="12.95" customHeight="1" x14ac:dyDescent="0.3">
      <c r="B552" s="91"/>
      <c r="C552" s="91"/>
      <c r="D552" s="94"/>
      <c r="E552" s="94"/>
      <c r="F552" s="74" t="s">
        <v>5</v>
      </c>
      <c r="G552" s="75" t="s">
        <v>6</v>
      </c>
      <c r="H552" s="74" t="s">
        <v>5</v>
      </c>
      <c r="I552" s="75" t="s">
        <v>6</v>
      </c>
      <c r="J552" s="74" t="s">
        <v>5</v>
      </c>
      <c r="K552" s="75" t="s">
        <v>6</v>
      </c>
    </row>
    <row r="553" spans="2:11" ht="12.95" customHeight="1" x14ac:dyDescent="0.3">
      <c r="B553" s="52" t="s">
        <v>0</v>
      </c>
      <c r="C553" s="53"/>
      <c r="D553" s="54" t="s">
        <v>9</v>
      </c>
      <c r="E553" s="18">
        <v>263017</v>
      </c>
      <c r="F553" s="28">
        <v>0.35</v>
      </c>
      <c r="G553" s="2">
        <f t="shared" ref="G553:G554" si="178">TRUNC($E553*F553,1)</f>
        <v>92055.9</v>
      </c>
      <c r="H553" s="28">
        <v>0.36</v>
      </c>
      <c r="I553" s="3">
        <f t="shared" ref="I553:I554" si="179">TRUNC($E553*H553,1)</f>
        <v>94686.1</v>
      </c>
      <c r="J553" s="28">
        <v>0.37</v>
      </c>
      <c r="K553" s="3">
        <f t="shared" ref="K553:K554" si="180">TRUNC($E553*J553,1)</f>
        <v>97316.2</v>
      </c>
    </row>
    <row r="554" spans="2:11" ht="12.95" customHeight="1" x14ac:dyDescent="0.3">
      <c r="B554" s="52" t="s">
        <v>1</v>
      </c>
      <c r="C554" s="53"/>
      <c r="D554" s="54" t="s">
        <v>9</v>
      </c>
      <c r="E554" s="57">
        <v>172068</v>
      </c>
      <c r="F554" s="28">
        <v>0.09</v>
      </c>
      <c r="G554" s="2">
        <f t="shared" si="178"/>
        <v>15486.1</v>
      </c>
      <c r="H554" s="28">
        <v>0.09</v>
      </c>
      <c r="I554" s="3">
        <f t="shared" si="179"/>
        <v>15486.1</v>
      </c>
      <c r="J554" s="28">
        <v>0.09</v>
      </c>
      <c r="K554" s="3">
        <f t="shared" si="180"/>
        <v>15486.1</v>
      </c>
    </row>
    <row r="555" spans="2:11" ht="12.95" customHeight="1" x14ac:dyDescent="0.3">
      <c r="B555" s="58" t="s">
        <v>11</v>
      </c>
      <c r="C555" s="80"/>
      <c r="D555" s="81"/>
      <c r="E555" s="82"/>
      <c r="F555" s="82"/>
      <c r="G555" s="10">
        <f>TRUNC(SUM(G553:G554))</f>
        <v>107542</v>
      </c>
      <c r="H555" s="82"/>
      <c r="I555" s="11">
        <f>TRUNC(SUM(I553:I554))</f>
        <v>110172</v>
      </c>
      <c r="J555" s="82"/>
      <c r="K555" s="11">
        <f>TRUNC(SUM(K553:K554))</f>
        <v>112802</v>
      </c>
    </row>
    <row r="556" spans="2:11" ht="12.95" customHeight="1" x14ac:dyDescent="0.3">
      <c r="B556" s="83"/>
      <c r="C556" s="53"/>
      <c r="D556" s="54"/>
      <c r="E556" s="84"/>
      <c r="F556" s="84"/>
      <c r="G556" s="6"/>
      <c r="H556" s="84"/>
      <c r="I556" s="7"/>
      <c r="J556" s="84"/>
      <c r="K556" s="7"/>
    </row>
    <row r="557" spans="2:11" ht="12.95" customHeight="1" x14ac:dyDescent="0.3">
      <c r="B557" s="66" t="s">
        <v>13</v>
      </c>
      <c r="C557" s="85"/>
      <c r="D557" s="86"/>
      <c r="E557" s="87"/>
      <c r="F557" s="87"/>
      <c r="G557" s="8">
        <f>SUM(G555)</f>
        <v>107542</v>
      </c>
      <c r="H557" s="87"/>
      <c r="I557" s="8">
        <f>SUM(I555)</f>
        <v>110172</v>
      </c>
      <c r="J557" s="87"/>
      <c r="K557" s="8">
        <f>SUM(K555)</f>
        <v>112802</v>
      </c>
    </row>
    <row r="558" spans="2:11" ht="12.95" customHeight="1" x14ac:dyDescent="0.3">
      <c r="B558" s="89" t="s">
        <v>3</v>
      </c>
      <c r="C558" s="89" t="s">
        <v>7</v>
      </c>
      <c r="D558" s="92" t="s">
        <v>8</v>
      </c>
      <c r="E558" s="92" t="s">
        <v>4</v>
      </c>
      <c r="F558" s="95" t="s">
        <v>68</v>
      </c>
      <c r="G558" s="96"/>
      <c r="H558" s="96"/>
      <c r="I558" s="96"/>
      <c r="J558" s="96"/>
      <c r="K558" s="96"/>
    </row>
    <row r="559" spans="2:11" ht="12.95" customHeight="1" x14ac:dyDescent="0.3">
      <c r="B559" s="90"/>
      <c r="C559" s="90"/>
      <c r="D559" s="93"/>
      <c r="E559" s="93"/>
      <c r="F559" s="95" t="s">
        <v>64</v>
      </c>
      <c r="G559" s="96"/>
      <c r="H559" s="95" t="s">
        <v>65</v>
      </c>
      <c r="I559" s="96"/>
      <c r="J559" s="95" t="s">
        <v>66</v>
      </c>
      <c r="K559" s="96"/>
    </row>
    <row r="560" spans="2:11" ht="12.95" customHeight="1" x14ac:dyDescent="0.3">
      <c r="B560" s="91"/>
      <c r="C560" s="91"/>
      <c r="D560" s="94"/>
      <c r="E560" s="94"/>
      <c r="F560" s="74" t="s">
        <v>5</v>
      </c>
      <c r="G560" s="75" t="s">
        <v>6</v>
      </c>
      <c r="H560" s="74" t="s">
        <v>5</v>
      </c>
      <c r="I560" s="75" t="s">
        <v>6</v>
      </c>
      <c r="J560" s="74" t="s">
        <v>5</v>
      </c>
      <c r="K560" s="75" t="s">
        <v>6</v>
      </c>
    </row>
    <row r="561" spans="2:13" ht="12.95" customHeight="1" x14ac:dyDescent="0.3">
      <c r="B561" s="52" t="s">
        <v>0</v>
      </c>
      <c r="C561" s="53"/>
      <c r="D561" s="54" t="s">
        <v>9</v>
      </c>
      <c r="E561" s="18">
        <v>263017</v>
      </c>
      <c r="F561" s="28">
        <v>0.39</v>
      </c>
      <c r="G561" s="2">
        <f t="shared" ref="G561:G562" si="181">TRUNC($E561*F561,1)</f>
        <v>102576.6</v>
      </c>
      <c r="H561" s="28">
        <v>0.4</v>
      </c>
      <c r="I561" s="3">
        <f t="shared" ref="I561:I562" si="182">TRUNC($E561*H561,1)</f>
        <v>105206.8</v>
      </c>
      <c r="J561" s="28">
        <v>0.41</v>
      </c>
      <c r="K561" s="3">
        <f t="shared" ref="K561:K562" si="183">TRUNC($E561*J561,1)</f>
        <v>107836.9</v>
      </c>
    </row>
    <row r="562" spans="2:13" ht="12.95" customHeight="1" x14ac:dyDescent="0.3">
      <c r="B562" s="52" t="s">
        <v>1</v>
      </c>
      <c r="C562" s="53"/>
      <c r="D562" s="54" t="s">
        <v>9</v>
      </c>
      <c r="E562" s="57">
        <v>172068</v>
      </c>
      <c r="F562" s="28">
        <v>0.09</v>
      </c>
      <c r="G562" s="2">
        <f t="shared" si="181"/>
        <v>15486.1</v>
      </c>
      <c r="H562" s="28">
        <v>0.1</v>
      </c>
      <c r="I562" s="3">
        <f t="shared" si="182"/>
        <v>17206.8</v>
      </c>
      <c r="J562" s="28">
        <v>0.1</v>
      </c>
      <c r="K562" s="3">
        <f t="shared" si="183"/>
        <v>17206.8</v>
      </c>
    </row>
    <row r="563" spans="2:13" ht="12.95" customHeight="1" x14ac:dyDescent="0.3">
      <c r="B563" s="58" t="s">
        <v>11</v>
      </c>
      <c r="C563" s="80"/>
      <c r="D563" s="81"/>
      <c r="E563" s="82"/>
      <c r="F563" s="82"/>
      <c r="G563" s="10">
        <f>TRUNC(SUM(G561:G562))</f>
        <v>118062</v>
      </c>
      <c r="H563" s="82"/>
      <c r="I563" s="11">
        <f>TRUNC(SUM(I561:I562))</f>
        <v>122413</v>
      </c>
      <c r="J563" s="82"/>
      <c r="K563" s="11">
        <f>TRUNC(SUM(K561:K562))</f>
        <v>125043</v>
      </c>
    </row>
    <row r="564" spans="2:13" ht="12.95" customHeight="1" x14ac:dyDescent="0.3">
      <c r="B564" s="83"/>
      <c r="C564" s="53"/>
      <c r="D564" s="54"/>
      <c r="E564" s="84"/>
      <c r="F564" s="84"/>
      <c r="G564" s="6"/>
      <c r="H564" s="84"/>
      <c r="I564" s="7"/>
      <c r="J564" s="84"/>
      <c r="K564" s="7"/>
    </row>
    <row r="565" spans="2:13" ht="12.95" customHeight="1" x14ac:dyDescent="0.3">
      <c r="B565" s="66" t="s">
        <v>13</v>
      </c>
      <c r="C565" s="85"/>
      <c r="D565" s="86"/>
      <c r="E565" s="87"/>
      <c r="F565" s="87"/>
      <c r="G565" s="8">
        <f>SUM(G563)</f>
        <v>118062</v>
      </c>
      <c r="H565" s="87"/>
      <c r="I565" s="8">
        <f>SUM(I563)</f>
        <v>122413</v>
      </c>
      <c r="J565" s="87"/>
      <c r="K565" s="8">
        <f>SUM(K563)</f>
        <v>125043</v>
      </c>
    </row>
    <row r="566" spans="2:13" ht="12.95" customHeight="1" x14ac:dyDescent="0.3">
      <c r="B566" s="89" t="s">
        <v>3</v>
      </c>
      <c r="C566" s="89" t="s">
        <v>7</v>
      </c>
      <c r="D566" s="92" t="s">
        <v>8</v>
      </c>
      <c r="E566" s="92" t="s">
        <v>4</v>
      </c>
      <c r="F566" s="95" t="s">
        <v>69</v>
      </c>
      <c r="G566" s="96"/>
      <c r="H566" s="96"/>
      <c r="I566" s="96"/>
      <c r="J566" s="96"/>
      <c r="K566" s="96"/>
      <c r="L566" s="96"/>
      <c r="M566" s="96"/>
    </row>
    <row r="567" spans="2:13" ht="12.95" customHeight="1" x14ac:dyDescent="0.3">
      <c r="B567" s="90"/>
      <c r="C567" s="90"/>
      <c r="D567" s="93"/>
      <c r="E567" s="93"/>
      <c r="F567" s="95" t="s">
        <v>37</v>
      </c>
      <c r="G567" s="96"/>
      <c r="H567" s="95" t="s">
        <v>39</v>
      </c>
      <c r="I567" s="96"/>
      <c r="J567" s="95" t="s">
        <v>40</v>
      </c>
      <c r="K567" s="96"/>
      <c r="L567" s="95" t="s">
        <v>41</v>
      </c>
      <c r="M567" s="96"/>
    </row>
    <row r="568" spans="2:13" ht="12.95" customHeight="1" x14ac:dyDescent="0.3">
      <c r="B568" s="91"/>
      <c r="C568" s="91"/>
      <c r="D568" s="94"/>
      <c r="E568" s="94"/>
      <c r="F568" s="74" t="s">
        <v>5</v>
      </c>
      <c r="G568" s="75" t="s">
        <v>6</v>
      </c>
      <c r="H568" s="74" t="s">
        <v>5</v>
      </c>
      <c r="I568" s="75" t="s">
        <v>6</v>
      </c>
      <c r="J568" s="74" t="s">
        <v>5</v>
      </c>
      <c r="K568" s="75" t="s">
        <v>6</v>
      </c>
      <c r="L568" s="74" t="s">
        <v>5</v>
      </c>
      <c r="M568" s="75" t="s">
        <v>6</v>
      </c>
    </row>
    <row r="569" spans="2:13" ht="12.95" customHeight="1" x14ac:dyDescent="0.3">
      <c r="B569" s="52" t="s">
        <v>0</v>
      </c>
      <c r="C569" s="53"/>
      <c r="D569" s="54" t="s">
        <v>9</v>
      </c>
      <c r="E569" s="18">
        <v>263017</v>
      </c>
      <c r="F569" s="28">
        <v>0.18</v>
      </c>
      <c r="G569" s="2">
        <f t="shared" ref="G569:G570" si="184">TRUNC($E569*F569,1)</f>
        <v>47343</v>
      </c>
      <c r="H569" s="28">
        <v>0.21</v>
      </c>
      <c r="I569" s="3">
        <f t="shared" ref="I569:I570" si="185">TRUNC($E569*H569,1)</f>
        <v>55233.5</v>
      </c>
      <c r="J569" s="28">
        <v>0.23</v>
      </c>
      <c r="K569" s="3">
        <f t="shared" ref="K569:K570" si="186">TRUNC($E569*J569,1)</f>
        <v>60493.9</v>
      </c>
      <c r="L569" s="28">
        <v>0.25</v>
      </c>
      <c r="M569" s="3">
        <f t="shared" ref="M569:M570" si="187">TRUNC($E569*L569,1)</f>
        <v>65754.2</v>
      </c>
    </row>
    <row r="570" spans="2:13" ht="12.95" customHeight="1" x14ac:dyDescent="0.3">
      <c r="B570" s="52" t="s">
        <v>1</v>
      </c>
      <c r="C570" s="53"/>
      <c r="D570" s="54" t="s">
        <v>9</v>
      </c>
      <c r="E570" s="57">
        <v>172068</v>
      </c>
      <c r="F570" s="28">
        <v>0.04</v>
      </c>
      <c r="G570" s="2">
        <f t="shared" si="184"/>
        <v>6882.7</v>
      </c>
      <c r="H570" s="28">
        <v>0.05</v>
      </c>
      <c r="I570" s="3">
        <f t="shared" si="185"/>
        <v>8603.4</v>
      </c>
      <c r="J570" s="28">
        <v>0.06</v>
      </c>
      <c r="K570" s="3">
        <f t="shared" si="186"/>
        <v>10324</v>
      </c>
      <c r="L570" s="28">
        <v>0.06</v>
      </c>
      <c r="M570" s="3">
        <f t="shared" si="187"/>
        <v>10324</v>
      </c>
    </row>
    <row r="571" spans="2:13" ht="12.95" customHeight="1" x14ac:dyDescent="0.3">
      <c r="B571" s="58" t="s">
        <v>11</v>
      </c>
      <c r="C571" s="80"/>
      <c r="D571" s="81"/>
      <c r="E571" s="82"/>
      <c r="F571" s="82"/>
      <c r="G571" s="10">
        <f>TRUNC(SUM(G569:G570))</f>
        <v>54225</v>
      </c>
      <c r="H571" s="82"/>
      <c r="I571" s="11">
        <f>TRUNC(SUM(I569:I570))</f>
        <v>63836</v>
      </c>
      <c r="J571" s="82"/>
      <c r="K571" s="11">
        <f>TRUNC(SUM(K569:K570))</f>
        <v>70817</v>
      </c>
      <c r="L571" s="82"/>
      <c r="M571" s="11">
        <f>TRUNC(SUM(M569:M570))</f>
        <v>76078</v>
      </c>
    </row>
    <row r="572" spans="2:13" ht="12.95" customHeight="1" x14ac:dyDescent="0.3">
      <c r="B572" s="83"/>
      <c r="C572" s="53"/>
      <c r="D572" s="54"/>
      <c r="E572" s="84"/>
      <c r="F572" s="84"/>
      <c r="G572" s="6"/>
      <c r="H572" s="84"/>
      <c r="I572" s="7"/>
      <c r="J572" s="84"/>
      <c r="K572" s="7"/>
      <c r="L572" s="84"/>
      <c r="M572" s="7"/>
    </row>
    <row r="573" spans="2:13" ht="12.95" customHeight="1" x14ac:dyDescent="0.3">
      <c r="B573" s="66" t="s">
        <v>13</v>
      </c>
      <c r="C573" s="85"/>
      <c r="D573" s="86"/>
      <c r="E573" s="87"/>
      <c r="F573" s="87"/>
      <c r="G573" s="8">
        <f>SUM(G571)</f>
        <v>54225</v>
      </c>
      <c r="H573" s="87"/>
      <c r="I573" s="8">
        <f>SUM(I571)</f>
        <v>63836</v>
      </c>
      <c r="J573" s="87"/>
      <c r="K573" s="8">
        <f>SUM(K571)</f>
        <v>70817</v>
      </c>
      <c r="L573" s="87"/>
      <c r="M573" s="8">
        <f>SUM(M571)</f>
        <v>76078</v>
      </c>
    </row>
    <row r="574" spans="2:13" ht="12.95" customHeight="1" x14ac:dyDescent="0.3">
      <c r="B574" s="89" t="s">
        <v>3</v>
      </c>
      <c r="C574" s="89" t="s">
        <v>7</v>
      </c>
      <c r="D574" s="92" t="s">
        <v>8</v>
      </c>
      <c r="E574" s="92" t="s">
        <v>4</v>
      </c>
      <c r="F574" s="95" t="s">
        <v>69</v>
      </c>
      <c r="G574" s="96"/>
      <c r="H574" s="96"/>
      <c r="I574" s="96"/>
      <c r="J574" s="96"/>
      <c r="K574" s="96"/>
    </row>
    <row r="575" spans="2:13" ht="12.95" customHeight="1" x14ac:dyDescent="0.3">
      <c r="B575" s="90"/>
      <c r="C575" s="90"/>
      <c r="D575" s="93"/>
      <c r="E575" s="93"/>
      <c r="F575" s="95" t="s">
        <v>43</v>
      </c>
      <c r="G575" s="96"/>
      <c r="H575" s="95" t="s">
        <v>44</v>
      </c>
      <c r="I575" s="96"/>
      <c r="J575" s="95" t="s">
        <v>46</v>
      </c>
      <c r="K575" s="96"/>
    </row>
    <row r="576" spans="2:13" ht="12.95" customHeight="1" x14ac:dyDescent="0.3">
      <c r="B576" s="91"/>
      <c r="C576" s="91"/>
      <c r="D576" s="94"/>
      <c r="E576" s="94"/>
      <c r="F576" s="74" t="s">
        <v>5</v>
      </c>
      <c r="G576" s="75" t="s">
        <v>6</v>
      </c>
      <c r="H576" s="74" t="s">
        <v>5</v>
      </c>
      <c r="I576" s="75" t="s">
        <v>6</v>
      </c>
      <c r="J576" s="74" t="s">
        <v>5</v>
      </c>
      <c r="K576" s="75" t="s">
        <v>6</v>
      </c>
    </row>
    <row r="577" spans="2:11" ht="12.95" customHeight="1" x14ac:dyDescent="0.3">
      <c r="B577" s="52" t="s">
        <v>0</v>
      </c>
      <c r="C577" s="53"/>
      <c r="D577" s="54" t="s">
        <v>9</v>
      </c>
      <c r="E577" s="18">
        <v>263017</v>
      </c>
      <c r="F577" s="28">
        <v>0.27</v>
      </c>
      <c r="G577" s="2">
        <f t="shared" ref="G577:G578" si="188">TRUNC($E577*F577,1)</f>
        <v>71014.5</v>
      </c>
      <c r="H577" s="28">
        <v>0.3</v>
      </c>
      <c r="I577" s="3">
        <f t="shared" ref="I577:I578" si="189">TRUNC($E577*H577,1)</f>
        <v>78905.100000000006</v>
      </c>
      <c r="J577" s="28">
        <v>0.32</v>
      </c>
      <c r="K577" s="3">
        <f t="shared" ref="K577:K578" si="190">TRUNC($E577*J577,1)</f>
        <v>84165.4</v>
      </c>
    </row>
    <row r="578" spans="2:11" ht="12.95" customHeight="1" x14ac:dyDescent="0.3">
      <c r="B578" s="52" t="s">
        <v>1</v>
      </c>
      <c r="C578" s="53"/>
      <c r="D578" s="54" t="s">
        <v>9</v>
      </c>
      <c r="E578" s="57">
        <v>172068</v>
      </c>
      <c r="F578" s="28">
        <v>7.0000000000000007E-2</v>
      </c>
      <c r="G578" s="2">
        <f t="shared" si="188"/>
        <v>12044.7</v>
      </c>
      <c r="H578" s="28">
        <v>7.0000000000000007E-2</v>
      </c>
      <c r="I578" s="3">
        <f t="shared" si="189"/>
        <v>12044.7</v>
      </c>
      <c r="J578" s="28">
        <v>0.08</v>
      </c>
      <c r="K578" s="3">
        <f t="shared" si="190"/>
        <v>13765.4</v>
      </c>
    </row>
    <row r="579" spans="2:11" ht="12.95" customHeight="1" x14ac:dyDescent="0.3">
      <c r="B579" s="58" t="s">
        <v>11</v>
      </c>
      <c r="C579" s="80"/>
      <c r="D579" s="81"/>
      <c r="E579" s="82"/>
      <c r="F579" s="82"/>
      <c r="G579" s="10">
        <f>TRUNC(SUM(G577:G578))</f>
        <v>83059</v>
      </c>
      <c r="H579" s="82"/>
      <c r="I579" s="11">
        <f>TRUNC(SUM(I577:I578))</f>
        <v>90949</v>
      </c>
      <c r="J579" s="82"/>
      <c r="K579" s="11">
        <f>TRUNC(SUM(K577:K578))</f>
        <v>97930</v>
      </c>
    </row>
    <row r="580" spans="2:11" ht="12.95" customHeight="1" x14ac:dyDescent="0.3">
      <c r="B580" s="83"/>
      <c r="C580" s="53"/>
      <c r="D580" s="54"/>
      <c r="E580" s="84"/>
      <c r="F580" s="84"/>
      <c r="G580" s="6"/>
      <c r="H580" s="84"/>
      <c r="I580" s="7"/>
      <c r="J580" s="84"/>
      <c r="K580" s="7"/>
    </row>
    <row r="581" spans="2:11" ht="12.95" customHeight="1" x14ac:dyDescent="0.3">
      <c r="B581" s="66" t="s">
        <v>13</v>
      </c>
      <c r="C581" s="85"/>
      <c r="D581" s="86"/>
      <c r="E581" s="87"/>
      <c r="F581" s="87"/>
      <c r="G581" s="8">
        <f>SUM(G579)</f>
        <v>83059</v>
      </c>
      <c r="H581" s="87"/>
      <c r="I581" s="8">
        <f>SUM(I579)</f>
        <v>90949</v>
      </c>
      <c r="J581" s="87"/>
      <c r="K581" s="8">
        <f>SUM(K579)</f>
        <v>97930</v>
      </c>
    </row>
    <row r="582" spans="2:11" ht="12.95" customHeight="1" x14ac:dyDescent="0.3">
      <c r="B582" s="89" t="s">
        <v>3</v>
      </c>
      <c r="C582" s="89" t="s">
        <v>7</v>
      </c>
      <c r="D582" s="92" t="s">
        <v>8</v>
      </c>
      <c r="E582" s="92" t="s">
        <v>4</v>
      </c>
      <c r="F582" s="95" t="s">
        <v>69</v>
      </c>
      <c r="G582" s="96"/>
      <c r="H582" s="96"/>
      <c r="I582" s="96"/>
      <c r="J582" s="96"/>
      <c r="K582" s="96"/>
    </row>
    <row r="583" spans="2:11" ht="12.95" customHeight="1" x14ac:dyDescent="0.3">
      <c r="B583" s="90"/>
      <c r="C583" s="90"/>
      <c r="D583" s="93"/>
      <c r="E583" s="93"/>
      <c r="F583" s="95" t="s">
        <v>48</v>
      </c>
      <c r="G583" s="102"/>
      <c r="H583" s="95" t="s">
        <v>49</v>
      </c>
      <c r="I583" s="96"/>
      <c r="J583" s="95" t="s">
        <v>50</v>
      </c>
      <c r="K583" s="96"/>
    </row>
    <row r="584" spans="2:11" ht="12.95" customHeight="1" x14ac:dyDescent="0.3">
      <c r="B584" s="91"/>
      <c r="C584" s="91"/>
      <c r="D584" s="94"/>
      <c r="E584" s="94"/>
      <c r="F584" s="74" t="s">
        <v>5</v>
      </c>
      <c r="G584" s="75" t="s">
        <v>6</v>
      </c>
      <c r="H584" s="74" t="s">
        <v>5</v>
      </c>
      <c r="I584" s="75" t="s">
        <v>6</v>
      </c>
      <c r="J584" s="74" t="s">
        <v>5</v>
      </c>
      <c r="K584" s="75" t="s">
        <v>6</v>
      </c>
    </row>
    <row r="585" spans="2:11" ht="12.95" customHeight="1" x14ac:dyDescent="0.3">
      <c r="B585" s="52" t="s">
        <v>0</v>
      </c>
      <c r="C585" s="53"/>
      <c r="D585" s="54" t="s">
        <v>9</v>
      </c>
      <c r="E585" s="18">
        <v>263017</v>
      </c>
      <c r="F585" s="28">
        <v>0.34</v>
      </c>
      <c r="G585" s="2">
        <f t="shared" ref="G585:G586" si="191">TRUNC($E585*F585,1)</f>
        <v>89425.7</v>
      </c>
      <c r="H585" s="28">
        <v>0.36</v>
      </c>
      <c r="I585" s="3">
        <f t="shared" ref="I585:I586" si="192">TRUNC($E585*H585,1)</f>
        <v>94686.1</v>
      </c>
      <c r="J585" s="28">
        <v>0.38</v>
      </c>
      <c r="K585" s="3">
        <f t="shared" ref="K585:K586" si="193">TRUNC($E585*J585,1)</f>
        <v>99946.4</v>
      </c>
    </row>
    <row r="586" spans="2:11" ht="12.95" customHeight="1" x14ac:dyDescent="0.3">
      <c r="B586" s="52" t="s">
        <v>1</v>
      </c>
      <c r="C586" s="53"/>
      <c r="D586" s="54" t="s">
        <v>9</v>
      </c>
      <c r="E586" s="57">
        <v>172068</v>
      </c>
      <c r="F586" s="28">
        <v>0.08</v>
      </c>
      <c r="G586" s="2">
        <f t="shared" si="191"/>
        <v>13765.4</v>
      </c>
      <c r="H586" s="28">
        <v>0.09</v>
      </c>
      <c r="I586" s="3">
        <f t="shared" si="192"/>
        <v>15486.1</v>
      </c>
      <c r="J586" s="28">
        <v>0.09</v>
      </c>
      <c r="K586" s="3">
        <f t="shared" si="193"/>
        <v>15486.1</v>
      </c>
    </row>
    <row r="587" spans="2:11" ht="12.95" customHeight="1" x14ac:dyDescent="0.3">
      <c r="B587" s="58" t="s">
        <v>11</v>
      </c>
      <c r="C587" s="80"/>
      <c r="D587" s="81"/>
      <c r="E587" s="82"/>
      <c r="F587" s="82"/>
      <c r="G587" s="10">
        <f>TRUNC(SUM(G585:G586))</f>
        <v>103191</v>
      </c>
      <c r="H587" s="82"/>
      <c r="I587" s="11">
        <f>TRUNC(SUM(I585:I586))</f>
        <v>110172</v>
      </c>
      <c r="J587" s="82"/>
      <c r="K587" s="11">
        <f>TRUNC(SUM(K585:K586))</f>
        <v>115432</v>
      </c>
    </row>
    <row r="588" spans="2:11" ht="12.95" customHeight="1" x14ac:dyDescent="0.3">
      <c r="B588" s="83"/>
      <c r="C588" s="53"/>
      <c r="D588" s="54"/>
      <c r="E588" s="84"/>
      <c r="F588" s="84"/>
      <c r="G588" s="6"/>
      <c r="H588" s="84"/>
      <c r="I588" s="7"/>
      <c r="J588" s="84"/>
      <c r="K588" s="7"/>
    </row>
    <row r="589" spans="2:11" ht="12.95" customHeight="1" x14ac:dyDescent="0.3">
      <c r="B589" s="66" t="s">
        <v>13</v>
      </c>
      <c r="C589" s="85"/>
      <c r="D589" s="86"/>
      <c r="E589" s="87"/>
      <c r="F589" s="87"/>
      <c r="G589" s="8">
        <f>SUM(G587)</f>
        <v>103191</v>
      </c>
      <c r="H589" s="87"/>
      <c r="I589" s="8">
        <f>SUM(I587)</f>
        <v>110172</v>
      </c>
      <c r="J589" s="87"/>
      <c r="K589" s="8">
        <f>SUM(K587)</f>
        <v>115432</v>
      </c>
    </row>
    <row r="590" spans="2:11" ht="12.95" customHeight="1" x14ac:dyDescent="0.3">
      <c r="B590" s="89" t="s">
        <v>3</v>
      </c>
      <c r="C590" s="89" t="s">
        <v>7</v>
      </c>
      <c r="D590" s="92" t="s">
        <v>8</v>
      </c>
      <c r="E590" s="92" t="s">
        <v>4</v>
      </c>
      <c r="F590" s="95" t="s">
        <v>69</v>
      </c>
      <c r="G590" s="96"/>
      <c r="H590" s="96"/>
      <c r="I590" s="96"/>
      <c r="J590" s="96"/>
      <c r="K590" s="96"/>
    </row>
    <row r="591" spans="2:11" ht="12.95" customHeight="1" x14ac:dyDescent="0.3">
      <c r="B591" s="90"/>
      <c r="C591" s="90"/>
      <c r="D591" s="93"/>
      <c r="E591" s="93"/>
      <c r="F591" s="95" t="s">
        <v>51</v>
      </c>
      <c r="G591" s="96"/>
      <c r="H591" s="95" t="s">
        <v>52</v>
      </c>
      <c r="I591" s="96"/>
      <c r="J591" s="95" t="s">
        <v>60</v>
      </c>
      <c r="K591" s="96"/>
    </row>
    <row r="592" spans="2:11" ht="12.95" customHeight="1" x14ac:dyDescent="0.3">
      <c r="B592" s="91"/>
      <c r="C592" s="91"/>
      <c r="D592" s="94"/>
      <c r="E592" s="94"/>
      <c r="F592" s="74" t="s">
        <v>5</v>
      </c>
      <c r="G592" s="75" t="s">
        <v>6</v>
      </c>
      <c r="H592" s="74" t="s">
        <v>5</v>
      </c>
      <c r="I592" s="75" t="s">
        <v>6</v>
      </c>
      <c r="J592" s="74" t="s">
        <v>5</v>
      </c>
      <c r="K592" s="75" t="s">
        <v>6</v>
      </c>
    </row>
    <row r="593" spans="2:11" ht="12.95" customHeight="1" x14ac:dyDescent="0.3">
      <c r="B593" s="52" t="s">
        <v>0</v>
      </c>
      <c r="C593" s="53"/>
      <c r="D593" s="54" t="s">
        <v>9</v>
      </c>
      <c r="E593" s="18">
        <v>263017</v>
      </c>
      <c r="F593" s="28">
        <v>0.4</v>
      </c>
      <c r="G593" s="2">
        <f t="shared" ref="G593:G594" si="194">TRUNC($E593*F593,1)</f>
        <v>105206.8</v>
      </c>
      <c r="H593" s="28">
        <v>0.41</v>
      </c>
      <c r="I593" s="3">
        <f t="shared" ref="I593:I594" si="195">TRUNC($E593*H593,1)</f>
        <v>107836.9</v>
      </c>
      <c r="J593" s="28">
        <v>0.43</v>
      </c>
      <c r="K593" s="3">
        <f t="shared" ref="K593:K594" si="196">TRUNC($E593*J593,1)</f>
        <v>113097.3</v>
      </c>
    </row>
    <row r="594" spans="2:11" ht="12.95" customHeight="1" x14ac:dyDescent="0.3">
      <c r="B594" s="52" t="s">
        <v>1</v>
      </c>
      <c r="C594" s="53"/>
      <c r="D594" s="54" t="s">
        <v>9</v>
      </c>
      <c r="E594" s="57">
        <v>172068</v>
      </c>
      <c r="F594" s="28">
        <v>0.1</v>
      </c>
      <c r="G594" s="2">
        <f t="shared" si="194"/>
        <v>17206.8</v>
      </c>
      <c r="H594" s="28">
        <v>0.1</v>
      </c>
      <c r="I594" s="3">
        <f t="shared" si="195"/>
        <v>17206.8</v>
      </c>
      <c r="J594" s="28">
        <v>0.11</v>
      </c>
      <c r="K594" s="3">
        <f t="shared" si="196"/>
        <v>18927.400000000001</v>
      </c>
    </row>
    <row r="595" spans="2:11" ht="12.95" customHeight="1" x14ac:dyDescent="0.3">
      <c r="B595" s="58" t="s">
        <v>11</v>
      </c>
      <c r="C595" s="80"/>
      <c r="D595" s="81"/>
      <c r="E595" s="82"/>
      <c r="F595" s="82"/>
      <c r="G595" s="10">
        <f>TRUNC(SUM(G593:G594))</f>
        <v>122413</v>
      </c>
      <c r="H595" s="82"/>
      <c r="I595" s="11">
        <f>TRUNC(SUM(I593:I594))</f>
        <v>125043</v>
      </c>
      <c r="J595" s="82"/>
      <c r="K595" s="11">
        <f>TRUNC(SUM(K593:K594))</f>
        <v>132024</v>
      </c>
    </row>
    <row r="596" spans="2:11" ht="12.95" customHeight="1" x14ac:dyDescent="0.3">
      <c r="B596" s="83"/>
      <c r="C596" s="53"/>
      <c r="D596" s="54"/>
      <c r="E596" s="84"/>
      <c r="F596" s="84"/>
      <c r="G596" s="6"/>
      <c r="H596" s="84"/>
      <c r="I596" s="7"/>
      <c r="J596" s="84"/>
      <c r="K596" s="7"/>
    </row>
    <row r="597" spans="2:11" ht="12.95" customHeight="1" x14ac:dyDescent="0.3">
      <c r="B597" s="66" t="s">
        <v>13</v>
      </c>
      <c r="C597" s="85"/>
      <c r="D597" s="86"/>
      <c r="E597" s="87"/>
      <c r="F597" s="87"/>
      <c r="G597" s="8">
        <f>SUM(G595)</f>
        <v>122413</v>
      </c>
      <c r="H597" s="87"/>
      <c r="I597" s="8">
        <f>SUM(I595)</f>
        <v>125043</v>
      </c>
      <c r="J597" s="87"/>
      <c r="K597" s="8">
        <f>SUM(K595)</f>
        <v>132024</v>
      </c>
    </row>
    <row r="598" spans="2:11" ht="12.95" customHeight="1" x14ac:dyDescent="0.3">
      <c r="B598" s="89" t="s">
        <v>3</v>
      </c>
      <c r="C598" s="89" t="s">
        <v>7</v>
      </c>
      <c r="D598" s="92" t="s">
        <v>8</v>
      </c>
      <c r="E598" s="92" t="s">
        <v>4</v>
      </c>
      <c r="F598" s="95" t="s">
        <v>69</v>
      </c>
      <c r="G598" s="96"/>
      <c r="H598" s="96"/>
      <c r="I598" s="96"/>
      <c r="J598" s="96"/>
      <c r="K598" s="96"/>
    </row>
    <row r="599" spans="2:11" ht="12.95" customHeight="1" x14ac:dyDescent="0.3">
      <c r="B599" s="90"/>
      <c r="C599" s="90"/>
      <c r="D599" s="93"/>
      <c r="E599" s="93"/>
      <c r="F599" s="95" t="s">
        <v>61</v>
      </c>
      <c r="G599" s="96"/>
      <c r="H599" s="95" t="s">
        <v>62</v>
      </c>
      <c r="I599" s="96"/>
      <c r="J599" s="95" t="s">
        <v>63</v>
      </c>
      <c r="K599" s="96"/>
    </row>
    <row r="600" spans="2:11" ht="12.95" customHeight="1" x14ac:dyDescent="0.3">
      <c r="B600" s="91"/>
      <c r="C600" s="91"/>
      <c r="D600" s="94"/>
      <c r="E600" s="94"/>
      <c r="F600" s="74" t="s">
        <v>5</v>
      </c>
      <c r="G600" s="75" t="s">
        <v>6</v>
      </c>
      <c r="H600" s="74" t="s">
        <v>5</v>
      </c>
      <c r="I600" s="75" t="s">
        <v>6</v>
      </c>
      <c r="J600" s="74" t="s">
        <v>5</v>
      </c>
      <c r="K600" s="75" t="s">
        <v>6</v>
      </c>
    </row>
    <row r="601" spans="2:11" ht="12.95" customHeight="1" x14ac:dyDescent="0.3">
      <c r="B601" s="52" t="s">
        <v>0</v>
      </c>
      <c r="C601" s="53"/>
      <c r="D601" s="54" t="s">
        <v>9</v>
      </c>
      <c r="E601" s="18">
        <v>263017</v>
      </c>
      <c r="F601" s="28">
        <v>0.45</v>
      </c>
      <c r="G601" s="2">
        <f t="shared" ref="G601:G602" si="197">TRUNC($E601*F601,1)</f>
        <v>118357.6</v>
      </c>
      <c r="H601" s="28">
        <v>0.46</v>
      </c>
      <c r="I601" s="3">
        <f t="shared" ref="I601:I602" si="198">TRUNC($E601*H601,1)</f>
        <v>120987.8</v>
      </c>
      <c r="J601" s="28">
        <v>0.48</v>
      </c>
      <c r="K601" s="3">
        <f t="shared" ref="K601:K602" si="199">TRUNC($E601*J601,1)</f>
        <v>126248.1</v>
      </c>
    </row>
    <row r="602" spans="2:11" ht="12.95" customHeight="1" x14ac:dyDescent="0.3">
      <c r="B602" s="52" t="s">
        <v>1</v>
      </c>
      <c r="C602" s="53"/>
      <c r="D602" s="54" t="s">
        <v>9</v>
      </c>
      <c r="E602" s="57">
        <v>172068</v>
      </c>
      <c r="F602" s="28">
        <v>0.11</v>
      </c>
      <c r="G602" s="2">
        <f t="shared" si="197"/>
        <v>18927.400000000001</v>
      </c>
      <c r="H602" s="28">
        <v>0.11</v>
      </c>
      <c r="I602" s="3">
        <f t="shared" si="198"/>
        <v>18927.400000000001</v>
      </c>
      <c r="J602" s="28">
        <v>0.12</v>
      </c>
      <c r="K602" s="3">
        <f t="shared" si="199"/>
        <v>20648.099999999999</v>
      </c>
    </row>
    <row r="603" spans="2:11" ht="12.95" customHeight="1" x14ac:dyDescent="0.3">
      <c r="B603" s="58" t="s">
        <v>11</v>
      </c>
      <c r="C603" s="80"/>
      <c r="D603" s="81"/>
      <c r="E603" s="82"/>
      <c r="F603" s="82"/>
      <c r="G603" s="10">
        <f>TRUNC(SUM(G601:G602))</f>
        <v>137285</v>
      </c>
      <c r="H603" s="82"/>
      <c r="I603" s="11">
        <f>TRUNC(SUM(I601:I602))</f>
        <v>139915</v>
      </c>
      <c r="J603" s="82"/>
      <c r="K603" s="11">
        <f>TRUNC(SUM(K601:K602))</f>
        <v>146896</v>
      </c>
    </row>
    <row r="604" spans="2:11" ht="12.95" customHeight="1" x14ac:dyDescent="0.3">
      <c r="B604" s="83"/>
      <c r="C604" s="53"/>
      <c r="D604" s="54"/>
      <c r="E604" s="84"/>
      <c r="F604" s="84"/>
      <c r="G604" s="6"/>
      <c r="H604" s="84"/>
      <c r="I604" s="7"/>
      <c r="J604" s="84"/>
      <c r="K604" s="7"/>
    </row>
    <row r="605" spans="2:11" ht="12.95" customHeight="1" x14ac:dyDescent="0.3">
      <c r="B605" s="66" t="s">
        <v>13</v>
      </c>
      <c r="C605" s="85"/>
      <c r="D605" s="86"/>
      <c r="E605" s="87"/>
      <c r="F605" s="87"/>
      <c r="G605" s="8">
        <f>SUM(G603)</f>
        <v>137285</v>
      </c>
      <c r="H605" s="87"/>
      <c r="I605" s="8">
        <f>SUM(I603)</f>
        <v>139915</v>
      </c>
      <c r="J605" s="87"/>
      <c r="K605" s="8">
        <f>SUM(K603)</f>
        <v>146896</v>
      </c>
    </row>
    <row r="606" spans="2:11" ht="12.95" customHeight="1" x14ac:dyDescent="0.3">
      <c r="B606" s="89" t="s">
        <v>3</v>
      </c>
      <c r="C606" s="89" t="s">
        <v>7</v>
      </c>
      <c r="D606" s="92" t="s">
        <v>8</v>
      </c>
      <c r="E606" s="92" t="s">
        <v>4</v>
      </c>
      <c r="F606" s="95" t="s">
        <v>69</v>
      </c>
      <c r="G606" s="96"/>
      <c r="H606" s="96"/>
      <c r="I606" s="96"/>
      <c r="J606" s="96"/>
      <c r="K606" s="96"/>
    </row>
    <row r="607" spans="2:11" ht="12.95" customHeight="1" x14ac:dyDescent="0.3">
      <c r="B607" s="90"/>
      <c r="C607" s="90"/>
      <c r="D607" s="93"/>
      <c r="E607" s="93"/>
      <c r="F607" s="95" t="s">
        <v>64</v>
      </c>
      <c r="G607" s="96"/>
      <c r="H607" s="95" t="s">
        <v>65</v>
      </c>
      <c r="I607" s="96"/>
      <c r="J607" s="95" t="s">
        <v>66</v>
      </c>
      <c r="K607" s="96"/>
    </row>
    <row r="608" spans="2:11" ht="12.95" customHeight="1" x14ac:dyDescent="0.3">
      <c r="B608" s="91"/>
      <c r="C608" s="91"/>
      <c r="D608" s="94"/>
      <c r="E608" s="94"/>
      <c r="F608" s="74" t="s">
        <v>5</v>
      </c>
      <c r="G608" s="75" t="s">
        <v>6</v>
      </c>
      <c r="H608" s="74" t="s">
        <v>5</v>
      </c>
      <c r="I608" s="75" t="s">
        <v>6</v>
      </c>
      <c r="J608" s="74" t="s">
        <v>5</v>
      </c>
      <c r="K608" s="75" t="s">
        <v>6</v>
      </c>
    </row>
    <row r="609" spans="2:13" ht="12.95" customHeight="1" x14ac:dyDescent="0.3">
      <c r="B609" s="52" t="s">
        <v>0</v>
      </c>
      <c r="C609" s="53"/>
      <c r="D609" s="54" t="s">
        <v>9</v>
      </c>
      <c r="E609" s="18">
        <v>263017</v>
      </c>
      <c r="F609" s="28">
        <v>0.49</v>
      </c>
      <c r="G609" s="2">
        <f t="shared" ref="G609:G610" si="200">TRUNC($E609*F609,1)</f>
        <v>128878.3</v>
      </c>
      <c r="H609" s="28">
        <v>0.51</v>
      </c>
      <c r="I609" s="3">
        <f t="shared" ref="I609:I610" si="201">TRUNC($E609*H609,1)</f>
        <v>134138.6</v>
      </c>
      <c r="J609" s="28">
        <v>0.53</v>
      </c>
      <c r="K609" s="3">
        <f t="shared" ref="K609:K610" si="202">TRUNC($E609*J609,1)</f>
        <v>139399</v>
      </c>
    </row>
    <row r="610" spans="2:13" ht="12.95" customHeight="1" x14ac:dyDescent="0.3">
      <c r="B610" s="52" t="s">
        <v>1</v>
      </c>
      <c r="C610" s="53"/>
      <c r="D610" s="54" t="s">
        <v>9</v>
      </c>
      <c r="E610" s="57">
        <v>172068</v>
      </c>
      <c r="F610" s="28">
        <v>0.12</v>
      </c>
      <c r="G610" s="2">
        <f t="shared" si="200"/>
        <v>20648.099999999999</v>
      </c>
      <c r="H610" s="28">
        <v>0.13</v>
      </c>
      <c r="I610" s="3">
        <f t="shared" si="201"/>
        <v>22368.799999999999</v>
      </c>
      <c r="J610" s="28">
        <v>0.13</v>
      </c>
      <c r="K610" s="3">
        <f t="shared" si="202"/>
        <v>22368.799999999999</v>
      </c>
    </row>
    <row r="611" spans="2:13" ht="12.95" customHeight="1" x14ac:dyDescent="0.3">
      <c r="B611" s="58" t="s">
        <v>11</v>
      </c>
      <c r="C611" s="80"/>
      <c r="D611" s="81"/>
      <c r="E611" s="82"/>
      <c r="F611" s="82"/>
      <c r="G611" s="10">
        <f>TRUNC(SUM(G609:G610))</f>
        <v>149526</v>
      </c>
      <c r="H611" s="82"/>
      <c r="I611" s="11">
        <f>TRUNC(SUM(I609:I610))</f>
        <v>156507</v>
      </c>
      <c r="J611" s="82"/>
      <c r="K611" s="11">
        <f>TRUNC(SUM(K609:K610))</f>
        <v>161767</v>
      </c>
    </row>
    <row r="612" spans="2:13" ht="12.95" customHeight="1" x14ac:dyDescent="0.3">
      <c r="B612" s="83"/>
      <c r="C612" s="53"/>
      <c r="D612" s="54"/>
      <c r="E612" s="84"/>
      <c r="F612" s="84"/>
      <c r="G612" s="6"/>
      <c r="H612" s="84"/>
      <c r="I612" s="7"/>
      <c r="J612" s="84"/>
      <c r="K612" s="7"/>
    </row>
    <row r="613" spans="2:13" ht="12.95" customHeight="1" x14ac:dyDescent="0.3">
      <c r="B613" s="66" t="s">
        <v>13</v>
      </c>
      <c r="C613" s="85"/>
      <c r="D613" s="86"/>
      <c r="E613" s="87"/>
      <c r="F613" s="87"/>
      <c r="G613" s="8">
        <f>SUM(G611)</f>
        <v>149526</v>
      </c>
      <c r="H613" s="87"/>
      <c r="I613" s="8">
        <f>SUM(I611)</f>
        <v>156507</v>
      </c>
      <c r="J613" s="87"/>
      <c r="K613" s="8">
        <f>SUM(K611)</f>
        <v>161767</v>
      </c>
    </row>
    <row r="615" spans="2:13" ht="12.95" customHeight="1" x14ac:dyDescent="0.3">
      <c r="B615" s="34" t="s">
        <v>70</v>
      </c>
      <c r="C615" s="35"/>
      <c r="D615" s="13"/>
      <c r="E615" s="36"/>
      <c r="K615" s="37" t="s">
        <v>22</v>
      </c>
      <c r="L615" s="13"/>
      <c r="M615" s="13"/>
    </row>
    <row r="616" spans="2:13" ht="12.95" customHeight="1" x14ac:dyDescent="0.3">
      <c r="B616" s="89" t="s">
        <v>3</v>
      </c>
      <c r="C616" s="89" t="s">
        <v>7</v>
      </c>
      <c r="D616" s="92" t="s">
        <v>8</v>
      </c>
      <c r="E616" s="92" t="s">
        <v>4</v>
      </c>
      <c r="F616" s="95" t="s">
        <v>71</v>
      </c>
      <c r="G616" s="96"/>
      <c r="H616" s="96"/>
      <c r="I616" s="96"/>
      <c r="J616" s="96"/>
      <c r="K616" s="96"/>
      <c r="L616" s="13"/>
      <c r="M616" s="13"/>
    </row>
    <row r="617" spans="2:13" ht="12.95" customHeight="1" x14ac:dyDescent="0.3">
      <c r="B617" s="90"/>
      <c r="C617" s="90"/>
      <c r="D617" s="93"/>
      <c r="E617" s="93"/>
      <c r="F617" s="95" t="s">
        <v>34</v>
      </c>
      <c r="G617" s="96"/>
      <c r="H617" s="95" t="s">
        <v>55</v>
      </c>
      <c r="I617" s="96"/>
      <c r="J617" s="95" t="s">
        <v>28</v>
      </c>
      <c r="K617" s="96"/>
      <c r="L617" s="13"/>
      <c r="M617" s="13"/>
    </row>
    <row r="618" spans="2:13" ht="12.95" customHeight="1" x14ac:dyDescent="0.3">
      <c r="B618" s="91"/>
      <c r="C618" s="91"/>
      <c r="D618" s="94"/>
      <c r="E618" s="94"/>
      <c r="F618" s="74" t="s">
        <v>5</v>
      </c>
      <c r="G618" s="75" t="s">
        <v>6</v>
      </c>
      <c r="H618" s="74" t="s">
        <v>5</v>
      </c>
      <c r="I618" s="75" t="s">
        <v>6</v>
      </c>
      <c r="J618" s="74" t="s">
        <v>5</v>
      </c>
      <c r="K618" s="75" t="s">
        <v>6</v>
      </c>
      <c r="L618" s="13"/>
      <c r="M618" s="13"/>
    </row>
    <row r="619" spans="2:13" ht="12.95" customHeight="1" x14ac:dyDescent="0.3">
      <c r="B619" s="42" t="s">
        <v>53</v>
      </c>
      <c r="C619" s="43" t="s">
        <v>56</v>
      </c>
      <c r="D619" s="44" t="s">
        <v>15</v>
      </c>
      <c r="E619" s="45"/>
      <c r="F619" s="21">
        <v>1</v>
      </c>
      <c r="G619" s="5">
        <f>TRUNC(SUM(G622:G622)*0.02,1)</f>
        <v>452</v>
      </c>
      <c r="H619" s="21">
        <v>1</v>
      </c>
      <c r="I619" s="5">
        <f>TRUNC(SUM(I622:I622)*0.02,1)</f>
        <v>508.5</v>
      </c>
      <c r="J619" s="21">
        <v>1</v>
      </c>
      <c r="K619" s="5">
        <f>TRUNC(SUM(K622:K622)*0.02,1)</f>
        <v>565</v>
      </c>
      <c r="L619" s="13"/>
      <c r="M619" s="13"/>
    </row>
    <row r="620" spans="2:13" ht="12.95" customHeight="1" x14ac:dyDescent="0.3">
      <c r="B620" s="46" t="s">
        <v>10</v>
      </c>
      <c r="C620" s="47"/>
      <c r="D620" s="48"/>
      <c r="E620" s="49"/>
      <c r="F620" s="25"/>
      <c r="G620" s="12">
        <f>TRUNC(SUM(G619))</f>
        <v>452</v>
      </c>
      <c r="H620" s="25"/>
      <c r="I620" s="12">
        <f>TRUNC(SUM(I619))</f>
        <v>508</v>
      </c>
      <c r="J620" s="25"/>
      <c r="K620" s="12">
        <f>TRUNC(SUM(K619))</f>
        <v>565</v>
      </c>
      <c r="L620" s="13"/>
    </row>
    <row r="621" spans="2:13" ht="12.95" customHeight="1" x14ac:dyDescent="0.3">
      <c r="B621" s="50"/>
      <c r="C621" s="51"/>
      <c r="D621" s="51"/>
      <c r="E621" s="22"/>
      <c r="F621" s="15"/>
      <c r="G621" s="24"/>
      <c r="H621" s="15"/>
      <c r="I621" s="24"/>
      <c r="J621" s="15"/>
      <c r="K621" s="24"/>
    </row>
    <row r="622" spans="2:13" ht="12.95" customHeight="1" x14ac:dyDescent="0.3">
      <c r="B622" s="52" t="s">
        <v>20</v>
      </c>
      <c r="C622" s="53"/>
      <c r="D622" s="54" t="s">
        <v>9</v>
      </c>
      <c r="E622" s="78">
        <v>282536</v>
      </c>
      <c r="F622" s="25">
        <v>0.08</v>
      </c>
      <c r="G622" s="3">
        <f t="shared" ref="G622" si="203">TRUNC($E622*F622,1)</f>
        <v>22602.799999999999</v>
      </c>
      <c r="H622" s="25">
        <v>0.09</v>
      </c>
      <c r="I622" s="3">
        <f t="shared" ref="I622" si="204">TRUNC($E622*H622,1)</f>
        <v>25428.2</v>
      </c>
      <c r="J622" s="25">
        <v>0.1</v>
      </c>
      <c r="K622" s="3">
        <f t="shared" ref="K622" si="205">TRUNC($E622*J622,1)</f>
        <v>28253.599999999999</v>
      </c>
    </row>
    <row r="623" spans="2:13" ht="12.95" customHeight="1" x14ac:dyDescent="0.3">
      <c r="B623" s="58" t="s">
        <v>11</v>
      </c>
      <c r="C623" s="51"/>
      <c r="D623" s="51"/>
      <c r="E623" s="22"/>
      <c r="F623" s="15"/>
      <c r="G623" s="16">
        <f>TRUNC(SUM(G622:G622))</f>
        <v>22602</v>
      </c>
      <c r="H623" s="15"/>
      <c r="I623" s="16">
        <f>TRUNC(SUM(I622:I622))</f>
        <v>25428</v>
      </c>
      <c r="J623" s="15"/>
      <c r="K623" s="16">
        <f>TRUNC(SUM(K622:K622))</f>
        <v>28253</v>
      </c>
    </row>
    <row r="624" spans="2:13" ht="12.95" customHeight="1" x14ac:dyDescent="0.3">
      <c r="B624" s="50"/>
      <c r="C624" s="51"/>
      <c r="D624" s="51"/>
      <c r="E624" s="22"/>
      <c r="F624" s="15"/>
      <c r="G624" s="24"/>
      <c r="H624" s="15"/>
      <c r="I624" s="24"/>
      <c r="J624" s="15"/>
      <c r="K624" s="24"/>
    </row>
    <row r="625" spans="2:13" ht="12.95" customHeight="1" x14ac:dyDescent="0.3">
      <c r="B625" s="66" t="s">
        <v>13</v>
      </c>
      <c r="C625" s="76"/>
      <c r="D625" s="76"/>
      <c r="E625" s="77"/>
      <c r="F625" s="77"/>
      <c r="G625" s="26">
        <f>SUM(G620+G623)</f>
        <v>23054</v>
      </c>
      <c r="H625" s="77"/>
      <c r="I625" s="26">
        <f>SUM(I620+I623)</f>
        <v>25936</v>
      </c>
      <c r="J625" s="77"/>
      <c r="K625" s="26">
        <f>SUM(K620+K623)</f>
        <v>28818</v>
      </c>
    </row>
    <row r="626" spans="2:13" ht="12.95" customHeight="1" x14ac:dyDescent="0.3">
      <c r="B626" s="89" t="s">
        <v>3</v>
      </c>
      <c r="C626" s="89" t="s">
        <v>7</v>
      </c>
      <c r="D626" s="92" t="s">
        <v>8</v>
      </c>
      <c r="E626" s="92" t="s">
        <v>4</v>
      </c>
      <c r="F626" s="95" t="s">
        <v>71</v>
      </c>
      <c r="G626" s="96"/>
      <c r="H626" s="96"/>
      <c r="I626" s="96"/>
      <c r="J626" s="96"/>
      <c r="K626" s="96"/>
      <c r="L626" s="96"/>
      <c r="M626" s="96"/>
    </row>
    <row r="627" spans="2:13" ht="12.95" customHeight="1" x14ac:dyDescent="0.3">
      <c r="B627" s="90"/>
      <c r="C627" s="90"/>
      <c r="D627" s="93"/>
      <c r="E627" s="93"/>
      <c r="F627" s="95" t="s">
        <v>35</v>
      </c>
      <c r="G627" s="96"/>
      <c r="H627" s="95" t="s">
        <v>36</v>
      </c>
      <c r="I627" s="96"/>
      <c r="J627" s="95" t="s">
        <v>37</v>
      </c>
      <c r="K627" s="96"/>
      <c r="L627" s="95" t="s">
        <v>39</v>
      </c>
      <c r="M627" s="96"/>
    </row>
    <row r="628" spans="2:13" ht="12.95" customHeight="1" x14ac:dyDescent="0.3">
      <c r="B628" s="91"/>
      <c r="C628" s="91"/>
      <c r="D628" s="94"/>
      <c r="E628" s="94"/>
      <c r="F628" s="74" t="s">
        <v>5</v>
      </c>
      <c r="G628" s="75" t="s">
        <v>6</v>
      </c>
      <c r="H628" s="74" t="s">
        <v>5</v>
      </c>
      <c r="I628" s="75" t="s">
        <v>6</v>
      </c>
      <c r="J628" s="74" t="s">
        <v>5</v>
      </c>
      <c r="K628" s="75" t="s">
        <v>6</v>
      </c>
      <c r="L628" s="74" t="s">
        <v>5</v>
      </c>
      <c r="M628" s="75" t="s">
        <v>6</v>
      </c>
    </row>
    <row r="629" spans="2:13" ht="12.95" customHeight="1" x14ac:dyDescent="0.3">
      <c r="B629" s="42" t="s">
        <v>53</v>
      </c>
      <c r="C629" s="43" t="s">
        <v>56</v>
      </c>
      <c r="D629" s="44" t="s">
        <v>15</v>
      </c>
      <c r="E629" s="45"/>
      <c r="F629" s="21">
        <v>1</v>
      </c>
      <c r="G629" s="5">
        <f>TRUNC(SUM(G632:G632)*0.02,1)</f>
        <v>734.5</v>
      </c>
      <c r="H629" s="21">
        <v>1</v>
      </c>
      <c r="I629" s="5">
        <f>TRUNC(SUM(I632:I632)*0.02,1)</f>
        <v>904.1</v>
      </c>
      <c r="J629" s="21">
        <v>1</v>
      </c>
      <c r="K629" s="5">
        <f>TRUNC(SUM(K632:K632)*0.02,1)</f>
        <v>1130.0999999999999</v>
      </c>
      <c r="L629" s="21">
        <v>1</v>
      </c>
      <c r="M629" s="5">
        <f>TRUNC(SUM(M632:M632)*0.02,1)</f>
        <v>1469.1</v>
      </c>
    </row>
    <row r="630" spans="2:13" ht="12.95" customHeight="1" x14ac:dyDescent="0.3">
      <c r="B630" s="46" t="s">
        <v>10</v>
      </c>
      <c r="C630" s="47"/>
      <c r="D630" s="48"/>
      <c r="E630" s="49"/>
      <c r="F630" s="25"/>
      <c r="G630" s="12">
        <f>TRUNC(SUM(G629))</f>
        <v>734</v>
      </c>
      <c r="H630" s="25"/>
      <c r="I630" s="12">
        <f>TRUNC(SUM(I629))</f>
        <v>904</v>
      </c>
      <c r="J630" s="25"/>
      <c r="K630" s="12">
        <f>TRUNC(SUM(K629))</f>
        <v>1130</v>
      </c>
      <c r="L630" s="25"/>
      <c r="M630" s="12">
        <f>TRUNC(SUM(M629))</f>
        <v>1469</v>
      </c>
    </row>
    <row r="631" spans="2:13" ht="12.95" customHeight="1" x14ac:dyDescent="0.3">
      <c r="B631" s="50"/>
      <c r="C631" s="51"/>
      <c r="D631" s="51"/>
      <c r="E631" s="22"/>
      <c r="F631" s="15"/>
      <c r="G631" s="24"/>
      <c r="H631" s="15"/>
      <c r="I631" s="24"/>
      <c r="J631" s="15"/>
      <c r="K631" s="24"/>
      <c r="L631" s="15"/>
      <c r="M631" s="24"/>
    </row>
    <row r="632" spans="2:13" ht="12.95" customHeight="1" x14ac:dyDescent="0.3">
      <c r="B632" s="52" t="s">
        <v>20</v>
      </c>
      <c r="C632" s="53"/>
      <c r="D632" s="54" t="s">
        <v>9</v>
      </c>
      <c r="E632" s="78">
        <v>282536</v>
      </c>
      <c r="F632" s="25">
        <v>0.13</v>
      </c>
      <c r="G632" s="3">
        <f t="shared" ref="G632" si="206">TRUNC($E632*F632,1)</f>
        <v>36729.599999999999</v>
      </c>
      <c r="H632" s="25">
        <v>0.16</v>
      </c>
      <c r="I632" s="3">
        <f t="shared" ref="I632" si="207">TRUNC($E632*H632,1)</f>
        <v>45205.7</v>
      </c>
      <c r="J632" s="25">
        <v>0.2</v>
      </c>
      <c r="K632" s="3">
        <f t="shared" ref="K632" si="208">TRUNC($E632*J632,1)</f>
        <v>56507.199999999997</v>
      </c>
      <c r="L632" s="25">
        <v>0.26</v>
      </c>
      <c r="M632" s="3">
        <f t="shared" ref="M632" si="209">TRUNC($E632*L632,1)</f>
        <v>73459.3</v>
      </c>
    </row>
    <row r="633" spans="2:13" ht="12.95" customHeight="1" x14ac:dyDescent="0.3">
      <c r="B633" s="58" t="s">
        <v>11</v>
      </c>
      <c r="C633" s="51"/>
      <c r="D633" s="51"/>
      <c r="E633" s="22"/>
      <c r="F633" s="15"/>
      <c r="G633" s="16">
        <f>TRUNC(SUM(G632:G632))</f>
        <v>36729</v>
      </c>
      <c r="H633" s="15"/>
      <c r="I633" s="16">
        <f>TRUNC(SUM(I632:I632))</f>
        <v>45205</v>
      </c>
      <c r="J633" s="15"/>
      <c r="K633" s="16">
        <f>TRUNC(SUM(K632:K632))</f>
        <v>56507</v>
      </c>
      <c r="L633" s="15"/>
      <c r="M633" s="16">
        <f>TRUNC(SUM(M632:M632))</f>
        <v>73459</v>
      </c>
    </row>
    <row r="634" spans="2:13" ht="12.95" customHeight="1" x14ac:dyDescent="0.3">
      <c r="B634" s="50"/>
      <c r="C634" s="51"/>
      <c r="D634" s="51"/>
      <c r="E634" s="22"/>
      <c r="F634" s="15"/>
      <c r="G634" s="24"/>
      <c r="H634" s="15"/>
      <c r="I634" s="24"/>
      <c r="J634" s="15"/>
      <c r="K634" s="24"/>
      <c r="L634" s="15"/>
      <c r="M634" s="24"/>
    </row>
    <row r="635" spans="2:13" ht="12.95" customHeight="1" x14ac:dyDescent="0.3">
      <c r="B635" s="66" t="s">
        <v>13</v>
      </c>
      <c r="C635" s="76"/>
      <c r="D635" s="76"/>
      <c r="E635" s="77"/>
      <c r="F635" s="77"/>
      <c r="G635" s="26">
        <f>SUM(G630+G633)</f>
        <v>37463</v>
      </c>
      <c r="H635" s="77"/>
      <c r="I635" s="26">
        <f>SUM(I630+I633)</f>
        <v>46109</v>
      </c>
      <c r="J635" s="77"/>
      <c r="K635" s="26">
        <f>SUM(K630+K633)</f>
        <v>57637</v>
      </c>
      <c r="L635" s="77"/>
      <c r="M635" s="26">
        <f>SUM(M630+M633)</f>
        <v>74928</v>
      </c>
    </row>
    <row r="636" spans="2:13" ht="12.95" customHeight="1" x14ac:dyDescent="0.3">
      <c r="B636" s="89" t="s">
        <v>3</v>
      </c>
      <c r="C636" s="89" t="s">
        <v>7</v>
      </c>
      <c r="D636" s="92" t="s">
        <v>8</v>
      </c>
      <c r="E636" s="92" t="s">
        <v>4</v>
      </c>
      <c r="F636" s="95" t="s">
        <v>71</v>
      </c>
      <c r="G636" s="96"/>
      <c r="H636" s="96"/>
      <c r="I636" s="96"/>
      <c r="J636" s="96"/>
      <c r="K636" s="96"/>
      <c r="L636" s="96"/>
      <c r="M636" s="96"/>
    </row>
    <row r="637" spans="2:13" ht="12.95" customHeight="1" x14ac:dyDescent="0.3">
      <c r="B637" s="90"/>
      <c r="C637" s="90"/>
      <c r="D637" s="93"/>
      <c r="E637" s="93"/>
      <c r="F637" s="95" t="s">
        <v>40</v>
      </c>
      <c r="G637" s="96"/>
      <c r="H637" s="95" t="s">
        <v>41</v>
      </c>
      <c r="I637" s="96"/>
      <c r="J637" s="95" t="s">
        <v>43</v>
      </c>
      <c r="K637" s="96"/>
      <c r="L637" s="95" t="s">
        <v>44</v>
      </c>
      <c r="M637" s="96"/>
    </row>
    <row r="638" spans="2:13" ht="12.95" customHeight="1" x14ac:dyDescent="0.3">
      <c r="B638" s="91"/>
      <c r="C638" s="91"/>
      <c r="D638" s="94"/>
      <c r="E638" s="94"/>
      <c r="F638" s="74" t="s">
        <v>5</v>
      </c>
      <c r="G638" s="75" t="s">
        <v>6</v>
      </c>
      <c r="H638" s="74" t="s">
        <v>5</v>
      </c>
      <c r="I638" s="75" t="s">
        <v>6</v>
      </c>
      <c r="J638" s="74" t="s">
        <v>5</v>
      </c>
      <c r="K638" s="75" t="s">
        <v>6</v>
      </c>
      <c r="L638" s="74" t="s">
        <v>5</v>
      </c>
      <c r="M638" s="75" t="s">
        <v>6</v>
      </c>
    </row>
    <row r="639" spans="2:13" ht="12.95" customHeight="1" x14ac:dyDescent="0.3">
      <c r="B639" s="42" t="s">
        <v>53</v>
      </c>
      <c r="C639" s="43" t="s">
        <v>56</v>
      </c>
      <c r="D639" s="44" t="s">
        <v>15</v>
      </c>
      <c r="E639" s="45"/>
      <c r="F639" s="21">
        <v>1</v>
      </c>
      <c r="G639" s="5">
        <f>TRUNC(SUM(G642:G642)*0.02,1)</f>
        <v>1751.7</v>
      </c>
      <c r="H639" s="21">
        <v>1</v>
      </c>
      <c r="I639" s="5">
        <f>TRUNC(SUM(I642:I642)*0.02,1)</f>
        <v>2034.2</v>
      </c>
      <c r="J639" s="21">
        <v>1</v>
      </c>
      <c r="K639" s="5">
        <f>TRUNC(SUM(K642:K642)*0.02,1)</f>
        <v>2316.6999999999998</v>
      </c>
      <c r="L639" s="21">
        <v>1</v>
      </c>
      <c r="M639" s="5">
        <f>TRUNC(SUM(M642:M642)*0.02,1)</f>
        <v>2599.3000000000002</v>
      </c>
    </row>
    <row r="640" spans="2:13" ht="12.95" customHeight="1" x14ac:dyDescent="0.3">
      <c r="B640" s="46" t="s">
        <v>10</v>
      </c>
      <c r="C640" s="47"/>
      <c r="D640" s="48"/>
      <c r="E640" s="49"/>
      <c r="F640" s="25"/>
      <c r="G640" s="12">
        <f>TRUNC(SUM(G639))</f>
        <v>1751</v>
      </c>
      <c r="H640" s="25"/>
      <c r="I640" s="12">
        <f>TRUNC(SUM(I639))</f>
        <v>2034</v>
      </c>
      <c r="J640" s="25"/>
      <c r="K640" s="12">
        <f>TRUNC(SUM(K639))</f>
        <v>2316</v>
      </c>
      <c r="L640" s="25"/>
      <c r="M640" s="12">
        <f>TRUNC(SUM(M639))</f>
        <v>2599</v>
      </c>
    </row>
    <row r="641" spans="2:15" ht="12.95" customHeight="1" x14ac:dyDescent="0.3">
      <c r="B641" s="50"/>
      <c r="C641" s="51"/>
      <c r="D641" s="51"/>
      <c r="E641" s="22"/>
      <c r="F641" s="15"/>
      <c r="G641" s="24"/>
      <c r="H641" s="15"/>
      <c r="I641" s="24"/>
      <c r="J641" s="15"/>
      <c r="K641" s="24"/>
      <c r="L641" s="15"/>
      <c r="M641" s="24"/>
    </row>
    <row r="642" spans="2:15" ht="12.95" customHeight="1" x14ac:dyDescent="0.3">
      <c r="B642" s="52" t="s">
        <v>20</v>
      </c>
      <c r="C642" s="53"/>
      <c r="D642" s="54" t="s">
        <v>9</v>
      </c>
      <c r="E642" s="78">
        <v>282536</v>
      </c>
      <c r="F642" s="25">
        <v>0.31</v>
      </c>
      <c r="G642" s="3">
        <f t="shared" ref="G642" si="210">TRUNC($E642*F642,1)</f>
        <v>87586.1</v>
      </c>
      <c r="H642" s="25">
        <v>0.36</v>
      </c>
      <c r="I642" s="3">
        <f t="shared" ref="I642" si="211">TRUNC($E642*H642,1)</f>
        <v>101712.9</v>
      </c>
      <c r="J642" s="25">
        <v>0.41</v>
      </c>
      <c r="K642" s="3">
        <f t="shared" ref="K642" si="212">TRUNC($E642*J642,1)</f>
        <v>115839.7</v>
      </c>
      <c r="L642" s="25">
        <v>0.46</v>
      </c>
      <c r="M642" s="3">
        <f t="shared" ref="M642" si="213">TRUNC($E642*L642,1)</f>
        <v>129966.5</v>
      </c>
    </row>
    <row r="643" spans="2:15" ht="12.95" customHeight="1" x14ac:dyDescent="0.3">
      <c r="B643" s="58" t="s">
        <v>11</v>
      </c>
      <c r="C643" s="51"/>
      <c r="D643" s="51"/>
      <c r="E643" s="22"/>
      <c r="F643" s="15"/>
      <c r="G643" s="16">
        <f>TRUNC(SUM(G642:G642))</f>
        <v>87586</v>
      </c>
      <c r="H643" s="15"/>
      <c r="I643" s="16">
        <f>TRUNC(SUM(I642:I642))</f>
        <v>101712</v>
      </c>
      <c r="J643" s="15"/>
      <c r="K643" s="16">
        <f>TRUNC(SUM(K642:K642))</f>
        <v>115839</v>
      </c>
      <c r="L643" s="15"/>
      <c r="M643" s="16">
        <f>TRUNC(SUM(M642:M642))</f>
        <v>129966</v>
      </c>
    </row>
    <row r="644" spans="2:15" ht="12.95" customHeight="1" x14ac:dyDescent="0.3">
      <c r="B644" s="50"/>
      <c r="C644" s="51"/>
      <c r="D644" s="51"/>
      <c r="E644" s="22"/>
      <c r="F644" s="15"/>
      <c r="G644" s="24"/>
      <c r="H644" s="15"/>
      <c r="I644" s="24"/>
      <c r="J644" s="15"/>
      <c r="K644" s="24"/>
      <c r="L644" s="15"/>
      <c r="M644" s="24"/>
    </row>
    <row r="645" spans="2:15" ht="12.95" customHeight="1" x14ac:dyDescent="0.3">
      <c r="B645" s="66" t="s">
        <v>13</v>
      </c>
      <c r="C645" s="76"/>
      <c r="D645" s="76"/>
      <c r="E645" s="77"/>
      <c r="F645" s="77"/>
      <c r="G645" s="26">
        <f>SUM(G640+G643)</f>
        <v>89337</v>
      </c>
      <c r="H645" s="77"/>
      <c r="I645" s="26">
        <f>SUM(I640+I643)</f>
        <v>103746</v>
      </c>
      <c r="J645" s="77"/>
      <c r="K645" s="26">
        <f>SUM(K640+K643)</f>
        <v>118155</v>
      </c>
      <c r="L645" s="77"/>
      <c r="M645" s="26">
        <f>SUM(M640+M643)</f>
        <v>132565</v>
      </c>
    </row>
    <row r="646" spans="2:15" ht="12.95" customHeight="1" x14ac:dyDescent="0.3">
      <c r="B646" s="89" t="s">
        <v>3</v>
      </c>
      <c r="C646" s="89" t="s">
        <v>7</v>
      </c>
      <c r="D646" s="92" t="s">
        <v>8</v>
      </c>
      <c r="E646" s="92" t="s">
        <v>4</v>
      </c>
      <c r="F646" s="95" t="s">
        <v>71</v>
      </c>
      <c r="G646" s="96"/>
      <c r="H646" s="96"/>
      <c r="I646" s="96"/>
      <c r="J646" s="96"/>
      <c r="K646" s="96"/>
      <c r="L646" s="96"/>
      <c r="M646" s="96"/>
    </row>
    <row r="647" spans="2:15" ht="12.95" customHeight="1" x14ac:dyDescent="0.3">
      <c r="B647" s="90"/>
      <c r="C647" s="90"/>
      <c r="D647" s="93"/>
      <c r="E647" s="93"/>
      <c r="F647" s="95" t="s">
        <v>46</v>
      </c>
      <c r="G647" s="96"/>
      <c r="H647" s="95" t="s">
        <v>48</v>
      </c>
      <c r="I647" s="96"/>
      <c r="J647" s="95" t="s">
        <v>49</v>
      </c>
      <c r="K647" s="96"/>
      <c r="L647" s="95" t="s">
        <v>50</v>
      </c>
      <c r="M647" s="96"/>
      <c r="N647" s="13"/>
      <c r="O647" s="13"/>
    </row>
    <row r="648" spans="2:15" ht="12.95" customHeight="1" x14ac:dyDescent="0.3">
      <c r="B648" s="91"/>
      <c r="C648" s="91"/>
      <c r="D648" s="94"/>
      <c r="E648" s="94"/>
      <c r="F648" s="74" t="s">
        <v>5</v>
      </c>
      <c r="G648" s="75" t="s">
        <v>6</v>
      </c>
      <c r="H648" s="74" t="s">
        <v>5</v>
      </c>
      <c r="I648" s="75" t="s">
        <v>6</v>
      </c>
      <c r="J648" s="74" t="s">
        <v>5</v>
      </c>
      <c r="K648" s="75" t="s">
        <v>6</v>
      </c>
      <c r="L648" s="74" t="s">
        <v>5</v>
      </c>
      <c r="M648" s="75" t="s">
        <v>6</v>
      </c>
      <c r="N648" s="13"/>
      <c r="O648" s="13"/>
    </row>
    <row r="649" spans="2:15" ht="12.95" customHeight="1" x14ac:dyDescent="0.3">
      <c r="B649" s="42" t="s">
        <v>53</v>
      </c>
      <c r="C649" s="43" t="s">
        <v>56</v>
      </c>
      <c r="D649" s="44" t="s">
        <v>15</v>
      </c>
      <c r="E649" s="45"/>
      <c r="F649" s="21">
        <v>1</v>
      </c>
      <c r="G649" s="5">
        <f>TRUNC(SUM(G652:G652)*0.02,1)</f>
        <v>3503.4</v>
      </c>
      <c r="H649" s="21">
        <v>1</v>
      </c>
      <c r="I649" s="5">
        <f>TRUNC(SUM(I652:I652)*0.02,1)</f>
        <v>4012</v>
      </c>
      <c r="J649" s="21">
        <v>1</v>
      </c>
      <c r="K649" s="5">
        <f>TRUNC(SUM(K652:K652)*0.02,1)</f>
        <v>4464</v>
      </c>
      <c r="L649" s="21">
        <v>1</v>
      </c>
      <c r="M649" s="5">
        <f>TRUNC(SUM(M652:M652)*0.02,1)</f>
        <v>5424.6</v>
      </c>
      <c r="N649" s="13"/>
      <c r="O649" s="13"/>
    </row>
    <row r="650" spans="2:15" ht="12.95" customHeight="1" x14ac:dyDescent="0.3">
      <c r="B650" s="46" t="s">
        <v>10</v>
      </c>
      <c r="C650" s="47"/>
      <c r="D650" s="48"/>
      <c r="E650" s="49"/>
      <c r="F650" s="25"/>
      <c r="G650" s="12">
        <f>TRUNC(SUM(G649))</f>
        <v>3503</v>
      </c>
      <c r="H650" s="25"/>
      <c r="I650" s="12">
        <f>TRUNC(SUM(I649))</f>
        <v>4012</v>
      </c>
      <c r="J650" s="25"/>
      <c r="K650" s="12">
        <f>TRUNC(SUM(K649))</f>
        <v>4464</v>
      </c>
      <c r="L650" s="25"/>
      <c r="M650" s="12">
        <f>TRUNC(SUM(M649))</f>
        <v>5424</v>
      </c>
      <c r="N650" s="13"/>
      <c r="O650" s="13"/>
    </row>
    <row r="651" spans="2:15" ht="12.95" customHeight="1" x14ac:dyDescent="0.3">
      <c r="B651" s="50"/>
      <c r="C651" s="51"/>
      <c r="D651" s="51"/>
      <c r="E651" s="22"/>
      <c r="F651" s="15"/>
      <c r="G651" s="24"/>
      <c r="H651" s="15"/>
      <c r="I651" s="24"/>
      <c r="J651" s="15"/>
      <c r="K651" s="24"/>
      <c r="L651" s="15"/>
      <c r="M651" s="24"/>
      <c r="N651" s="13"/>
      <c r="O651" s="13"/>
    </row>
    <row r="652" spans="2:15" ht="12.95" customHeight="1" x14ac:dyDescent="0.3">
      <c r="B652" s="52" t="s">
        <v>20</v>
      </c>
      <c r="C652" s="53"/>
      <c r="D652" s="54" t="s">
        <v>9</v>
      </c>
      <c r="E652" s="78">
        <v>282536</v>
      </c>
      <c r="F652" s="25">
        <v>0.62</v>
      </c>
      <c r="G652" s="3">
        <f t="shared" ref="G652" si="214">TRUNC($E652*F652,1)</f>
        <v>175172.3</v>
      </c>
      <c r="H652" s="25">
        <v>0.71</v>
      </c>
      <c r="I652" s="3">
        <f t="shared" ref="I652" si="215">TRUNC($E652*H652,1)</f>
        <v>200600.5</v>
      </c>
      <c r="J652" s="25">
        <v>0.79</v>
      </c>
      <c r="K652" s="3">
        <f t="shared" ref="K652" si="216">TRUNC($E652*J652,1)</f>
        <v>223203.4</v>
      </c>
      <c r="L652" s="25">
        <v>0.96</v>
      </c>
      <c r="M652" s="3">
        <f t="shared" ref="M652" si="217">TRUNC($E652*L652,1)</f>
        <v>271234.5</v>
      </c>
      <c r="N652" s="13"/>
      <c r="O652" s="13"/>
    </row>
    <row r="653" spans="2:15" ht="12.95" customHeight="1" x14ac:dyDescent="0.3">
      <c r="B653" s="58" t="s">
        <v>11</v>
      </c>
      <c r="C653" s="51"/>
      <c r="D653" s="51"/>
      <c r="E653" s="22"/>
      <c r="F653" s="15"/>
      <c r="G653" s="16">
        <f>TRUNC(SUM(G652:G652))</f>
        <v>175172</v>
      </c>
      <c r="H653" s="15"/>
      <c r="I653" s="16">
        <f>TRUNC(SUM(I652:I652))</f>
        <v>200600</v>
      </c>
      <c r="J653" s="15"/>
      <c r="K653" s="16">
        <f>TRUNC(SUM(K652:K652))</f>
        <v>223203</v>
      </c>
      <c r="L653" s="15"/>
      <c r="M653" s="16">
        <f>TRUNC(SUM(M652:M652))</f>
        <v>271234</v>
      </c>
      <c r="N653" s="13"/>
      <c r="O653" s="13"/>
    </row>
    <row r="654" spans="2:15" ht="12.95" customHeight="1" x14ac:dyDescent="0.3">
      <c r="B654" s="50"/>
      <c r="C654" s="51"/>
      <c r="D654" s="51"/>
      <c r="E654" s="22"/>
      <c r="F654" s="15"/>
      <c r="G654" s="24"/>
      <c r="H654" s="15"/>
      <c r="I654" s="24"/>
      <c r="J654" s="15"/>
      <c r="K654" s="24"/>
      <c r="L654" s="15"/>
      <c r="M654" s="24"/>
      <c r="N654" s="13"/>
      <c r="O654" s="13"/>
    </row>
    <row r="655" spans="2:15" ht="12.95" customHeight="1" x14ac:dyDescent="0.3">
      <c r="B655" s="66" t="s">
        <v>13</v>
      </c>
      <c r="C655" s="76"/>
      <c r="D655" s="76"/>
      <c r="E655" s="77"/>
      <c r="F655" s="77"/>
      <c r="G655" s="26">
        <f>SUM(G650+G653)</f>
        <v>178675</v>
      </c>
      <c r="H655" s="77"/>
      <c r="I655" s="26">
        <f>SUM(I650+I653)</f>
        <v>204612</v>
      </c>
      <c r="J655" s="77"/>
      <c r="K655" s="26">
        <f>SUM(K650+K653)</f>
        <v>227667</v>
      </c>
      <c r="L655" s="77"/>
      <c r="M655" s="26">
        <f>SUM(M650+M653)</f>
        <v>276658</v>
      </c>
      <c r="N655" s="13"/>
      <c r="O655" s="13"/>
    </row>
    <row r="656" spans="2:15" ht="12.95" customHeight="1" x14ac:dyDescent="0.3">
      <c r="B656" s="89" t="s">
        <v>3</v>
      </c>
      <c r="C656" s="89" t="s">
        <v>7</v>
      </c>
      <c r="D656" s="92" t="s">
        <v>8</v>
      </c>
      <c r="E656" s="92" t="s">
        <v>4</v>
      </c>
      <c r="F656" s="95" t="s">
        <v>71</v>
      </c>
      <c r="G656" s="96"/>
      <c r="H656" s="96"/>
      <c r="I656" s="96"/>
      <c r="J656" s="96"/>
      <c r="K656" s="96"/>
      <c r="N656" s="13"/>
      <c r="O656" s="13"/>
    </row>
    <row r="657" spans="2:15" ht="12.95" customHeight="1" x14ac:dyDescent="0.3">
      <c r="B657" s="90"/>
      <c r="C657" s="90"/>
      <c r="D657" s="93"/>
      <c r="E657" s="93"/>
      <c r="F657" s="95" t="s">
        <v>51</v>
      </c>
      <c r="G657" s="96"/>
      <c r="H657" s="95" t="s">
        <v>52</v>
      </c>
      <c r="I657" s="96"/>
      <c r="J657" s="95" t="s">
        <v>60</v>
      </c>
      <c r="K657" s="96"/>
      <c r="N657" s="13"/>
      <c r="O657" s="13"/>
    </row>
    <row r="658" spans="2:15" ht="12.95" customHeight="1" x14ac:dyDescent="0.3">
      <c r="B658" s="91"/>
      <c r="C658" s="91"/>
      <c r="D658" s="94"/>
      <c r="E658" s="94"/>
      <c r="F658" s="74" t="s">
        <v>5</v>
      </c>
      <c r="G658" s="75" t="s">
        <v>6</v>
      </c>
      <c r="H658" s="74" t="s">
        <v>5</v>
      </c>
      <c r="I658" s="75" t="s">
        <v>6</v>
      </c>
      <c r="J658" s="74" t="s">
        <v>5</v>
      </c>
      <c r="K658" s="75" t="s">
        <v>6</v>
      </c>
      <c r="N658" s="13"/>
      <c r="O658" s="13"/>
    </row>
    <row r="659" spans="2:15" ht="12.95" customHeight="1" x14ac:dyDescent="0.3">
      <c r="B659" s="42" t="s">
        <v>53</v>
      </c>
      <c r="C659" s="43" t="s">
        <v>56</v>
      </c>
      <c r="D659" s="44" t="s">
        <v>15</v>
      </c>
      <c r="E659" s="45"/>
      <c r="F659" s="21">
        <v>1</v>
      </c>
      <c r="G659" s="5">
        <f>TRUNC(SUM(G662:G662)*0.02,1)</f>
        <v>5876.7</v>
      </c>
      <c r="H659" s="21">
        <v>1</v>
      </c>
      <c r="I659" s="5">
        <f>TRUNC(SUM(I662:I662)*0.02,1)</f>
        <v>6780.8</v>
      </c>
      <c r="J659" s="21">
        <v>1</v>
      </c>
      <c r="K659" s="5">
        <f>TRUNC(SUM(K662:K662)*0.02,1)</f>
        <v>8306.5</v>
      </c>
      <c r="N659" s="13"/>
      <c r="O659" s="13"/>
    </row>
    <row r="660" spans="2:15" ht="12.95" customHeight="1" x14ac:dyDescent="0.3">
      <c r="B660" s="46" t="s">
        <v>10</v>
      </c>
      <c r="C660" s="47"/>
      <c r="D660" s="48"/>
      <c r="E660" s="49"/>
      <c r="F660" s="25"/>
      <c r="G660" s="12">
        <f>TRUNC(SUM(G659))</f>
        <v>5876</v>
      </c>
      <c r="H660" s="25"/>
      <c r="I660" s="12">
        <f>TRUNC(SUM(I659))</f>
        <v>6780</v>
      </c>
      <c r="J660" s="25"/>
      <c r="K660" s="12">
        <f>TRUNC(SUM(K659))</f>
        <v>8306</v>
      </c>
    </row>
    <row r="661" spans="2:15" ht="12.95" customHeight="1" x14ac:dyDescent="0.3">
      <c r="B661" s="50"/>
      <c r="C661" s="51"/>
      <c r="D661" s="51"/>
      <c r="E661" s="22"/>
      <c r="F661" s="15"/>
      <c r="G661" s="24"/>
      <c r="H661" s="15"/>
      <c r="I661" s="24"/>
      <c r="J661" s="15"/>
      <c r="K661" s="24"/>
    </row>
    <row r="662" spans="2:15" ht="12.95" customHeight="1" x14ac:dyDescent="0.3">
      <c r="B662" s="52" t="s">
        <v>20</v>
      </c>
      <c r="C662" s="53"/>
      <c r="D662" s="54" t="s">
        <v>9</v>
      </c>
      <c r="E662" s="78">
        <v>282536</v>
      </c>
      <c r="F662" s="25">
        <v>1.04</v>
      </c>
      <c r="G662" s="3">
        <f t="shared" ref="G662" si="218">TRUNC($E662*F662,1)</f>
        <v>293837.40000000002</v>
      </c>
      <c r="H662" s="25">
        <v>1.2</v>
      </c>
      <c r="I662" s="3">
        <f t="shared" ref="I662" si="219">TRUNC($E662*H662,1)</f>
        <v>339043.2</v>
      </c>
      <c r="J662" s="25">
        <v>1.47</v>
      </c>
      <c r="K662" s="3">
        <f t="shared" ref="K662" si="220">TRUNC($E662*J662,1)</f>
        <v>415327.9</v>
      </c>
    </row>
    <row r="663" spans="2:15" ht="12.95" customHeight="1" x14ac:dyDescent="0.3">
      <c r="B663" s="58" t="s">
        <v>11</v>
      </c>
      <c r="C663" s="51"/>
      <c r="D663" s="51"/>
      <c r="E663" s="22"/>
      <c r="F663" s="15"/>
      <c r="G663" s="16">
        <f>TRUNC(SUM(G662:G662))</f>
        <v>293837</v>
      </c>
      <c r="H663" s="15"/>
      <c r="I663" s="16">
        <f>TRUNC(SUM(I662:I662))</f>
        <v>339043</v>
      </c>
      <c r="J663" s="15"/>
      <c r="K663" s="16">
        <f>TRUNC(SUM(K662:K662))</f>
        <v>415327</v>
      </c>
    </row>
    <row r="664" spans="2:15" ht="12.95" customHeight="1" x14ac:dyDescent="0.3">
      <c r="B664" s="50"/>
      <c r="C664" s="51"/>
      <c r="D664" s="51"/>
      <c r="E664" s="22"/>
      <c r="F664" s="15"/>
      <c r="G664" s="24"/>
      <c r="H664" s="15"/>
      <c r="I664" s="24"/>
      <c r="J664" s="15"/>
      <c r="K664" s="24"/>
    </row>
    <row r="665" spans="2:15" ht="12.95" customHeight="1" x14ac:dyDescent="0.3">
      <c r="B665" s="66" t="s">
        <v>13</v>
      </c>
      <c r="C665" s="76"/>
      <c r="D665" s="76"/>
      <c r="E665" s="77"/>
      <c r="F665" s="77"/>
      <c r="G665" s="26">
        <f>SUM(G660+G663)</f>
        <v>299713</v>
      </c>
      <c r="H665" s="77"/>
      <c r="I665" s="26">
        <f>SUM(I660+I663)</f>
        <v>345823</v>
      </c>
      <c r="J665" s="77"/>
      <c r="K665" s="26">
        <f>SUM(K660+K663)</f>
        <v>423633</v>
      </c>
    </row>
    <row r="666" spans="2:15" ht="12.95" customHeight="1" x14ac:dyDescent="0.3">
      <c r="B666" s="89" t="s">
        <v>3</v>
      </c>
      <c r="C666" s="89" t="s">
        <v>7</v>
      </c>
      <c r="D666" s="92" t="s">
        <v>8</v>
      </c>
      <c r="E666" s="92" t="s">
        <v>4</v>
      </c>
      <c r="F666" s="95" t="s">
        <v>71</v>
      </c>
      <c r="G666" s="96"/>
      <c r="H666" s="96"/>
      <c r="I666" s="96"/>
      <c r="J666" s="96"/>
      <c r="K666" s="96"/>
    </row>
    <row r="667" spans="2:15" ht="12.95" customHeight="1" x14ac:dyDescent="0.3">
      <c r="B667" s="90"/>
      <c r="C667" s="90"/>
      <c r="D667" s="93"/>
      <c r="E667" s="93"/>
      <c r="F667" s="95" t="s">
        <v>61</v>
      </c>
      <c r="G667" s="96"/>
      <c r="H667" s="95" t="s">
        <v>62</v>
      </c>
      <c r="I667" s="96"/>
      <c r="J667" s="95" t="s">
        <v>63</v>
      </c>
      <c r="K667" s="96"/>
    </row>
    <row r="668" spans="2:15" ht="12.95" customHeight="1" x14ac:dyDescent="0.3">
      <c r="B668" s="91"/>
      <c r="C668" s="91"/>
      <c r="D668" s="94"/>
      <c r="E668" s="94"/>
      <c r="F668" s="74" t="s">
        <v>5</v>
      </c>
      <c r="G668" s="75" t="s">
        <v>6</v>
      </c>
      <c r="H668" s="74" t="s">
        <v>5</v>
      </c>
      <c r="I668" s="75" t="s">
        <v>6</v>
      </c>
      <c r="J668" s="74" t="s">
        <v>5</v>
      </c>
      <c r="K668" s="75" t="s">
        <v>6</v>
      </c>
    </row>
    <row r="669" spans="2:15" ht="12.95" customHeight="1" x14ac:dyDescent="0.3">
      <c r="B669" s="42" t="s">
        <v>53</v>
      </c>
      <c r="C669" s="43" t="s">
        <v>56</v>
      </c>
      <c r="D669" s="44" t="s">
        <v>15</v>
      </c>
      <c r="E669" s="45"/>
      <c r="F669" s="21">
        <v>1</v>
      </c>
      <c r="G669" s="5">
        <f>TRUNC(SUM(G672:G672)*0.02,1)</f>
        <v>10623.3</v>
      </c>
      <c r="H669" s="21">
        <v>1</v>
      </c>
      <c r="I669" s="5">
        <f>TRUNC(SUM(I672:I672)*0.02,1)</f>
        <v>12092.5</v>
      </c>
      <c r="J669" s="21">
        <v>1</v>
      </c>
      <c r="K669" s="5">
        <f>TRUNC(SUM(K672:K672)*0.02,1)</f>
        <v>12770.6</v>
      </c>
    </row>
    <row r="670" spans="2:15" ht="12.95" customHeight="1" x14ac:dyDescent="0.3">
      <c r="B670" s="46" t="s">
        <v>10</v>
      </c>
      <c r="C670" s="47"/>
      <c r="D670" s="48"/>
      <c r="E670" s="49"/>
      <c r="F670" s="25"/>
      <c r="G670" s="12">
        <f>TRUNC(SUM(G669))</f>
        <v>10623</v>
      </c>
      <c r="H670" s="25"/>
      <c r="I670" s="12">
        <f>TRUNC(SUM(I669))</f>
        <v>12092</v>
      </c>
      <c r="J670" s="25"/>
      <c r="K670" s="12">
        <f>TRUNC(SUM(K669))</f>
        <v>12770</v>
      </c>
    </row>
    <row r="671" spans="2:15" ht="12.95" customHeight="1" x14ac:dyDescent="0.3">
      <c r="B671" s="50"/>
      <c r="C671" s="51"/>
      <c r="D671" s="51"/>
      <c r="E671" s="22"/>
      <c r="F671" s="15"/>
      <c r="G671" s="24"/>
      <c r="H671" s="15"/>
      <c r="I671" s="24"/>
      <c r="J671" s="15"/>
      <c r="K671" s="24"/>
    </row>
    <row r="672" spans="2:15" ht="12.95" customHeight="1" x14ac:dyDescent="0.3">
      <c r="B672" s="52" t="s">
        <v>20</v>
      </c>
      <c r="C672" s="53"/>
      <c r="D672" s="54" t="s">
        <v>9</v>
      </c>
      <c r="E672" s="78">
        <v>282536</v>
      </c>
      <c r="F672" s="25">
        <v>1.88</v>
      </c>
      <c r="G672" s="3">
        <f t="shared" ref="G672" si="221">TRUNC($E672*F672,1)</f>
        <v>531167.6</v>
      </c>
      <c r="H672" s="25">
        <v>2.14</v>
      </c>
      <c r="I672" s="3">
        <f t="shared" ref="I672" si="222">TRUNC($E672*H672,1)</f>
        <v>604627</v>
      </c>
      <c r="J672" s="25">
        <v>2.2599999999999998</v>
      </c>
      <c r="K672" s="3">
        <f t="shared" ref="K672" si="223">TRUNC($E672*J672,1)</f>
        <v>638531.30000000005</v>
      </c>
    </row>
    <row r="673" spans="2:13" ht="12.95" customHeight="1" x14ac:dyDescent="0.3">
      <c r="B673" s="58" t="s">
        <v>11</v>
      </c>
      <c r="C673" s="51"/>
      <c r="D673" s="51"/>
      <c r="E673" s="22"/>
      <c r="F673" s="15"/>
      <c r="G673" s="16">
        <f>TRUNC(SUM(G672:G672))</f>
        <v>531167</v>
      </c>
      <c r="H673" s="15"/>
      <c r="I673" s="16">
        <f>TRUNC(SUM(I672:I672))</f>
        <v>604627</v>
      </c>
      <c r="J673" s="15"/>
      <c r="K673" s="16">
        <f>TRUNC(SUM(K672:K672))</f>
        <v>638531</v>
      </c>
    </row>
    <row r="674" spans="2:13" ht="12.95" customHeight="1" x14ac:dyDescent="0.3">
      <c r="B674" s="50"/>
      <c r="C674" s="51"/>
      <c r="D674" s="51"/>
      <c r="E674" s="22"/>
      <c r="F674" s="15"/>
      <c r="G674" s="24"/>
      <c r="H674" s="15"/>
      <c r="I674" s="24"/>
      <c r="J674" s="15"/>
      <c r="K674" s="24"/>
    </row>
    <row r="675" spans="2:13" ht="12.95" customHeight="1" x14ac:dyDescent="0.3">
      <c r="B675" s="66" t="s">
        <v>13</v>
      </c>
      <c r="C675" s="76"/>
      <c r="D675" s="76"/>
      <c r="E675" s="77"/>
      <c r="F675" s="77"/>
      <c r="G675" s="26">
        <f>SUM(G670+G673)</f>
        <v>541790</v>
      </c>
      <c r="H675" s="77"/>
      <c r="I675" s="26">
        <f>SUM(I670+I673)</f>
        <v>616719</v>
      </c>
      <c r="J675" s="77"/>
      <c r="K675" s="26">
        <f>SUM(K670+K673)</f>
        <v>651301</v>
      </c>
    </row>
    <row r="676" spans="2:13" ht="12.95" customHeight="1" x14ac:dyDescent="0.3">
      <c r="B676" s="89" t="s">
        <v>3</v>
      </c>
      <c r="C676" s="89" t="s">
        <v>7</v>
      </c>
      <c r="D676" s="92" t="s">
        <v>8</v>
      </c>
      <c r="E676" s="92" t="s">
        <v>4</v>
      </c>
      <c r="F676" s="95" t="s">
        <v>71</v>
      </c>
      <c r="G676" s="96"/>
      <c r="H676" s="96"/>
      <c r="I676" s="96"/>
      <c r="J676" s="96"/>
      <c r="K676" s="96"/>
    </row>
    <row r="677" spans="2:13" ht="12.95" customHeight="1" x14ac:dyDescent="0.3">
      <c r="B677" s="90"/>
      <c r="C677" s="90"/>
      <c r="D677" s="93"/>
      <c r="E677" s="93"/>
      <c r="F677" s="95" t="s">
        <v>64</v>
      </c>
      <c r="G677" s="96"/>
      <c r="H677" s="95" t="s">
        <v>65</v>
      </c>
      <c r="I677" s="96"/>
      <c r="J677" s="95" t="s">
        <v>66</v>
      </c>
      <c r="K677" s="96"/>
    </row>
    <row r="678" spans="2:13" ht="12.95" customHeight="1" x14ac:dyDescent="0.3">
      <c r="B678" s="91"/>
      <c r="C678" s="91"/>
      <c r="D678" s="94"/>
      <c r="E678" s="94"/>
      <c r="F678" s="74" t="s">
        <v>5</v>
      </c>
      <c r="G678" s="75" t="s">
        <v>6</v>
      </c>
      <c r="H678" s="74" t="s">
        <v>5</v>
      </c>
      <c r="I678" s="75" t="s">
        <v>6</v>
      </c>
      <c r="J678" s="74" t="s">
        <v>5</v>
      </c>
      <c r="K678" s="75" t="s">
        <v>6</v>
      </c>
    </row>
    <row r="679" spans="2:13" ht="12.95" customHeight="1" x14ac:dyDescent="0.3">
      <c r="B679" s="42" t="s">
        <v>53</v>
      </c>
      <c r="C679" s="43" t="s">
        <v>56</v>
      </c>
      <c r="D679" s="44" t="s">
        <v>15</v>
      </c>
      <c r="E679" s="45"/>
      <c r="F679" s="21">
        <v>1</v>
      </c>
      <c r="G679" s="5">
        <f>TRUNC(SUM(G682:G682)*0.02,1)</f>
        <v>14409.3</v>
      </c>
      <c r="H679" s="21">
        <v>1</v>
      </c>
      <c r="I679" s="5">
        <f>TRUNC(SUM(I682:I682)*0.02,1)</f>
        <v>15709</v>
      </c>
      <c r="J679" s="21">
        <v>1</v>
      </c>
      <c r="K679" s="5">
        <f>TRUNC(SUM(K682:K682)*0.02,1)</f>
        <v>17291.2</v>
      </c>
    </row>
    <row r="680" spans="2:13" ht="12.95" customHeight="1" x14ac:dyDescent="0.3">
      <c r="B680" s="46" t="s">
        <v>10</v>
      </c>
      <c r="C680" s="47"/>
      <c r="D680" s="48"/>
      <c r="E680" s="49"/>
      <c r="F680" s="25"/>
      <c r="G680" s="12">
        <f>TRUNC(SUM(G679))</f>
        <v>14409</v>
      </c>
      <c r="H680" s="25"/>
      <c r="I680" s="12">
        <f>TRUNC(SUM(I679))</f>
        <v>15709</v>
      </c>
      <c r="J680" s="25"/>
      <c r="K680" s="12">
        <f>TRUNC(SUM(K679))</f>
        <v>17291</v>
      </c>
    </row>
    <row r="681" spans="2:13" ht="12.95" customHeight="1" x14ac:dyDescent="0.3">
      <c r="B681" s="50"/>
      <c r="C681" s="51"/>
      <c r="D681" s="51"/>
      <c r="E681" s="22"/>
      <c r="F681" s="15"/>
      <c r="G681" s="24"/>
      <c r="H681" s="15"/>
      <c r="I681" s="24"/>
      <c r="J681" s="15"/>
      <c r="K681" s="24"/>
    </row>
    <row r="682" spans="2:13" ht="12.95" customHeight="1" x14ac:dyDescent="0.3">
      <c r="B682" s="52" t="s">
        <v>20</v>
      </c>
      <c r="C682" s="53"/>
      <c r="D682" s="54" t="s">
        <v>9</v>
      </c>
      <c r="E682" s="78">
        <v>282536</v>
      </c>
      <c r="F682" s="25">
        <v>2.5499999999999998</v>
      </c>
      <c r="G682" s="3">
        <f t="shared" ref="G682" si="224">TRUNC($E682*F682,1)</f>
        <v>720466.8</v>
      </c>
      <c r="H682" s="25">
        <v>2.78</v>
      </c>
      <c r="I682" s="3">
        <f t="shared" ref="I682" si="225">TRUNC($E682*H682,1)</f>
        <v>785450</v>
      </c>
      <c r="J682" s="25">
        <v>3.06</v>
      </c>
      <c r="K682" s="3">
        <f t="shared" ref="K682" si="226">TRUNC($E682*J682,1)</f>
        <v>864560.1</v>
      </c>
    </row>
    <row r="683" spans="2:13" ht="12.95" customHeight="1" x14ac:dyDescent="0.3">
      <c r="B683" s="58" t="s">
        <v>11</v>
      </c>
      <c r="C683" s="51"/>
      <c r="D683" s="51"/>
      <c r="E683" s="22"/>
      <c r="F683" s="15"/>
      <c r="G683" s="16">
        <f>TRUNC(SUM(G682:G682))</f>
        <v>720466</v>
      </c>
      <c r="H683" s="15"/>
      <c r="I683" s="16">
        <f>TRUNC(SUM(I682:I682))</f>
        <v>785450</v>
      </c>
      <c r="J683" s="15"/>
      <c r="K683" s="16">
        <f>TRUNC(SUM(K682:K682))</f>
        <v>864560</v>
      </c>
    </row>
    <row r="684" spans="2:13" ht="12.95" customHeight="1" x14ac:dyDescent="0.3">
      <c r="B684" s="50"/>
      <c r="C684" s="51"/>
      <c r="D684" s="51"/>
      <c r="E684" s="22"/>
      <c r="F684" s="15"/>
      <c r="G684" s="24"/>
      <c r="H684" s="15"/>
      <c r="I684" s="24"/>
      <c r="J684" s="15"/>
      <c r="K684" s="24"/>
    </row>
    <row r="685" spans="2:13" ht="12.95" customHeight="1" x14ac:dyDescent="0.3">
      <c r="B685" s="66" t="s">
        <v>13</v>
      </c>
      <c r="C685" s="76"/>
      <c r="D685" s="76"/>
      <c r="E685" s="77"/>
      <c r="F685" s="77"/>
      <c r="G685" s="26">
        <f>SUM(G680+G683)</f>
        <v>734875</v>
      </c>
      <c r="H685" s="77"/>
      <c r="I685" s="26">
        <f>SUM(I680+I683)</f>
        <v>801159</v>
      </c>
      <c r="J685" s="77"/>
      <c r="K685" s="26">
        <f>SUM(K680+K683)</f>
        <v>881851</v>
      </c>
    </row>
    <row r="686" spans="2:13" ht="12.95" customHeight="1" x14ac:dyDescent="0.3">
      <c r="B686" s="89" t="s">
        <v>3</v>
      </c>
      <c r="C686" s="89" t="s">
        <v>7</v>
      </c>
      <c r="D686" s="92" t="s">
        <v>8</v>
      </c>
      <c r="E686" s="92" t="s">
        <v>4</v>
      </c>
      <c r="F686" s="95" t="s">
        <v>72</v>
      </c>
      <c r="G686" s="96"/>
      <c r="H686" s="96"/>
      <c r="I686" s="96"/>
      <c r="J686" s="96"/>
      <c r="K686" s="96"/>
      <c r="L686" s="96"/>
      <c r="M686" s="96"/>
    </row>
    <row r="687" spans="2:13" ht="12.95" customHeight="1" x14ac:dyDescent="0.3">
      <c r="B687" s="90"/>
      <c r="C687" s="90"/>
      <c r="D687" s="93"/>
      <c r="E687" s="93"/>
      <c r="F687" s="95" t="s">
        <v>46</v>
      </c>
      <c r="G687" s="96"/>
      <c r="H687" s="95" t="s">
        <v>48</v>
      </c>
      <c r="I687" s="96"/>
      <c r="J687" s="95" t="s">
        <v>49</v>
      </c>
      <c r="K687" s="96"/>
      <c r="L687" s="95" t="s">
        <v>50</v>
      </c>
      <c r="M687" s="96"/>
    </row>
    <row r="688" spans="2:13" ht="12.95" customHeight="1" x14ac:dyDescent="0.3">
      <c r="B688" s="91"/>
      <c r="C688" s="91"/>
      <c r="D688" s="94"/>
      <c r="E688" s="94"/>
      <c r="F688" s="74" t="s">
        <v>5</v>
      </c>
      <c r="G688" s="75" t="s">
        <v>6</v>
      </c>
      <c r="H688" s="74" t="s">
        <v>5</v>
      </c>
      <c r="I688" s="75" t="s">
        <v>6</v>
      </c>
      <c r="J688" s="74" t="s">
        <v>5</v>
      </c>
      <c r="K688" s="75" t="s">
        <v>6</v>
      </c>
      <c r="L688" s="74" t="s">
        <v>5</v>
      </c>
      <c r="M688" s="75" t="s">
        <v>6</v>
      </c>
    </row>
    <row r="689" spans="2:13" ht="12.95" customHeight="1" x14ac:dyDescent="0.3">
      <c r="B689" s="42" t="s">
        <v>53</v>
      </c>
      <c r="C689" s="43" t="s">
        <v>56</v>
      </c>
      <c r="D689" s="44" t="s">
        <v>15</v>
      </c>
      <c r="E689" s="45"/>
      <c r="F689" s="21">
        <v>1</v>
      </c>
      <c r="G689" s="5">
        <f>TRUNC(SUM(G692:G692)*0.02,1)</f>
        <v>3051.3</v>
      </c>
      <c r="H689" s="21">
        <v>1</v>
      </c>
      <c r="I689" s="5">
        <f>TRUNC(SUM(I692:I692)*0.02,1)</f>
        <v>3672.9</v>
      </c>
      <c r="J689" s="21">
        <v>1</v>
      </c>
      <c r="K689" s="5">
        <f>TRUNC(SUM(K692:K692)*0.02,1)</f>
        <v>3955.5</v>
      </c>
      <c r="L689" s="21">
        <v>1</v>
      </c>
      <c r="M689" s="5">
        <f>TRUNC(SUM(M692:M692)*0.02,1)</f>
        <v>4803.1000000000004</v>
      </c>
    </row>
    <row r="690" spans="2:13" ht="12.95" customHeight="1" x14ac:dyDescent="0.3">
      <c r="B690" s="46" t="s">
        <v>10</v>
      </c>
      <c r="C690" s="47"/>
      <c r="D690" s="48"/>
      <c r="E690" s="49"/>
      <c r="F690" s="25"/>
      <c r="G690" s="12">
        <f>TRUNC(SUM(G689))</f>
        <v>3051</v>
      </c>
      <c r="H690" s="25"/>
      <c r="I690" s="12">
        <f>TRUNC(SUM(I689))</f>
        <v>3672</v>
      </c>
      <c r="J690" s="25"/>
      <c r="K690" s="12">
        <f>TRUNC(SUM(K689))</f>
        <v>3955</v>
      </c>
      <c r="L690" s="25"/>
      <c r="M690" s="12">
        <f>TRUNC(SUM(M689))</f>
        <v>4803</v>
      </c>
    </row>
    <row r="691" spans="2:13" ht="12.95" customHeight="1" x14ac:dyDescent="0.3">
      <c r="B691" s="50"/>
      <c r="C691" s="51"/>
      <c r="D691" s="51"/>
      <c r="E691" s="22"/>
      <c r="F691" s="15"/>
      <c r="G691" s="24"/>
      <c r="H691" s="15"/>
      <c r="I691" s="24"/>
      <c r="J691" s="15"/>
      <c r="K691" s="24"/>
      <c r="L691" s="15"/>
      <c r="M691" s="24"/>
    </row>
    <row r="692" spans="2:13" ht="12.95" customHeight="1" x14ac:dyDescent="0.3">
      <c r="B692" s="52" t="s">
        <v>20</v>
      </c>
      <c r="C692" s="53"/>
      <c r="D692" s="54" t="s">
        <v>9</v>
      </c>
      <c r="E692" s="78">
        <v>282536</v>
      </c>
      <c r="F692" s="25">
        <v>0.54</v>
      </c>
      <c r="G692" s="3">
        <f t="shared" ref="G692" si="227">TRUNC($E692*F692,1)</f>
        <v>152569.4</v>
      </c>
      <c r="H692" s="25">
        <v>0.65</v>
      </c>
      <c r="I692" s="3">
        <f t="shared" ref="I692" si="228">TRUNC($E692*H692,1)</f>
        <v>183648.4</v>
      </c>
      <c r="J692" s="25">
        <v>0.7</v>
      </c>
      <c r="K692" s="3">
        <f t="shared" ref="K692" si="229">TRUNC($E692*J692,1)</f>
        <v>197775.2</v>
      </c>
      <c r="L692" s="25">
        <v>0.85</v>
      </c>
      <c r="M692" s="3">
        <f t="shared" ref="M692" si="230">TRUNC($E692*L692,1)</f>
        <v>240155.6</v>
      </c>
    </row>
    <row r="693" spans="2:13" ht="12.95" customHeight="1" x14ac:dyDescent="0.3">
      <c r="B693" s="58" t="s">
        <v>11</v>
      </c>
      <c r="C693" s="51"/>
      <c r="D693" s="51"/>
      <c r="E693" s="22"/>
      <c r="F693" s="15"/>
      <c r="G693" s="16">
        <f>TRUNC(SUM(G692:G692))</f>
        <v>152569</v>
      </c>
      <c r="H693" s="15"/>
      <c r="I693" s="16">
        <f>TRUNC(SUM(I692:I692))</f>
        <v>183648</v>
      </c>
      <c r="J693" s="15"/>
      <c r="K693" s="16">
        <f>TRUNC(SUM(K692:K692))</f>
        <v>197775</v>
      </c>
      <c r="L693" s="15"/>
      <c r="M693" s="16">
        <f>TRUNC(SUM(M692:M692))</f>
        <v>240155</v>
      </c>
    </row>
    <row r="694" spans="2:13" ht="12.95" customHeight="1" x14ac:dyDescent="0.3">
      <c r="B694" s="50"/>
      <c r="C694" s="51"/>
      <c r="D694" s="51"/>
      <c r="E694" s="22"/>
      <c r="F694" s="15"/>
      <c r="G694" s="24"/>
      <c r="H694" s="15"/>
      <c r="I694" s="24"/>
      <c r="J694" s="15"/>
      <c r="K694" s="24"/>
      <c r="L694" s="15"/>
      <c r="M694" s="24"/>
    </row>
    <row r="695" spans="2:13" ht="12.95" customHeight="1" x14ac:dyDescent="0.3">
      <c r="B695" s="66" t="s">
        <v>13</v>
      </c>
      <c r="C695" s="76"/>
      <c r="D695" s="76"/>
      <c r="E695" s="77"/>
      <c r="F695" s="77"/>
      <c r="G695" s="26">
        <f>SUM(G690+G693)</f>
        <v>155620</v>
      </c>
      <c r="H695" s="77"/>
      <c r="I695" s="26">
        <f>SUM(I690+I693)</f>
        <v>187320</v>
      </c>
      <c r="J695" s="77"/>
      <c r="K695" s="26">
        <f>SUM(K690+K693)</f>
        <v>201730</v>
      </c>
      <c r="L695" s="77"/>
      <c r="M695" s="26">
        <f>SUM(M690+M693)</f>
        <v>244958</v>
      </c>
    </row>
    <row r="696" spans="2:13" ht="12.95" customHeight="1" x14ac:dyDescent="0.3">
      <c r="B696" s="89" t="s">
        <v>3</v>
      </c>
      <c r="C696" s="89" t="s">
        <v>7</v>
      </c>
      <c r="D696" s="92" t="s">
        <v>8</v>
      </c>
      <c r="E696" s="92" t="s">
        <v>4</v>
      </c>
      <c r="F696" s="95" t="s">
        <v>72</v>
      </c>
      <c r="G696" s="96"/>
      <c r="H696" s="96"/>
      <c r="I696" s="96"/>
      <c r="J696" s="96"/>
      <c r="K696" s="96"/>
    </row>
    <row r="697" spans="2:13" ht="12.95" customHeight="1" x14ac:dyDescent="0.3">
      <c r="B697" s="90"/>
      <c r="C697" s="90"/>
      <c r="D697" s="93"/>
      <c r="E697" s="93"/>
      <c r="F697" s="95" t="s">
        <v>51</v>
      </c>
      <c r="G697" s="96"/>
      <c r="H697" s="95" t="s">
        <v>52</v>
      </c>
      <c r="I697" s="96"/>
      <c r="J697" s="95" t="s">
        <v>60</v>
      </c>
      <c r="K697" s="96"/>
    </row>
    <row r="698" spans="2:13" ht="12.95" customHeight="1" x14ac:dyDescent="0.3">
      <c r="B698" s="91"/>
      <c r="C698" s="91"/>
      <c r="D698" s="94"/>
      <c r="E698" s="94"/>
      <c r="F698" s="74" t="s">
        <v>5</v>
      </c>
      <c r="G698" s="75" t="s">
        <v>6</v>
      </c>
      <c r="H698" s="74" t="s">
        <v>5</v>
      </c>
      <c r="I698" s="75" t="s">
        <v>6</v>
      </c>
      <c r="J698" s="74" t="s">
        <v>5</v>
      </c>
      <c r="K698" s="75" t="s">
        <v>6</v>
      </c>
    </row>
    <row r="699" spans="2:13" ht="12.95" customHeight="1" x14ac:dyDescent="0.3">
      <c r="B699" s="42" t="s">
        <v>53</v>
      </c>
      <c r="C699" s="43" t="s">
        <v>56</v>
      </c>
      <c r="D699" s="44" t="s">
        <v>15</v>
      </c>
      <c r="E699" s="45"/>
      <c r="F699" s="21">
        <v>1</v>
      </c>
      <c r="G699" s="5">
        <f>TRUNC(SUM(G702:G702)*0.02,1)</f>
        <v>4916.1000000000004</v>
      </c>
      <c r="H699" s="21">
        <v>1</v>
      </c>
      <c r="I699" s="5">
        <f>TRUNC(SUM(I702:I702)*0.02,1)</f>
        <v>5594.2</v>
      </c>
      <c r="J699" s="21">
        <v>1</v>
      </c>
      <c r="K699" s="5">
        <f>TRUNC(SUM(K702:K702)*0.02,1)</f>
        <v>6950.3</v>
      </c>
    </row>
    <row r="700" spans="2:13" ht="12.95" customHeight="1" x14ac:dyDescent="0.3">
      <c r="B700" s="46" t="s">
        <v>10</v>
      </c>
      <c r="C700" s="47"/>
      <c r="D700" s="48"/>
      <c r="E700" s="49"/>
      <c r="F700" s="25"/>
      <c r="G700" s="12">
        <f>TRUNC(SUM(G699))</f>
        <v>4916</v>
      </c>
      <c r="H700" s="25"/>
      <c r="I700" s="12">
        <f>TRUNC(SUM(I699))</f>
        <v>5594</v>
      </c>
      <c r="J700" s="25"/>
      <c r="K700" s="12">
        <f>TRUNC(SUM(K699))</f>
        <v>6950</v>
      </c>
    </row>
    <row r="701" spans="2:13" ht="12.95" customHeight="1" x14ac:dyDescent="0.3">
      <c r="B701" s="50"/>
      <c r="C701" s="51"/>
      <c r="D701" s="51"/>
      <c r="E701" s="22"/>
      <c r="F701" s="15"/>
      <c r="G701" s="24"/>
      <c r="H701" s="15"/>
      <c r="I701" s="24"/>
      <c r="J701" s="15"/>
      <c r="K701" s="24"/>
    </row>
    <row r="702" spans="2:13" ht="12.95" customHeight="1" x14ac:dyDescent="0.3">
      <c r="B702" s="52" t="s">
        <v>20</v>
      </c>
      <c r="C702" s="53"/>
      <c r="D702" s="54" t="s">
        <v>9</v>
      </c>
      <c r="E702" s="78">
        <v>282536</v>
      </c>
      <c r="F702" s="25">
        <v>0.87</v>
      </c>
      <c r="G702" s="3">
        <f t="shared" ref="G702" si="231">TRUNC($E702*F702,1)</f>
        <v>245806.3</v>
      </c>
      <c r="H702" s="25">
        <v>0.99</v>
      </c>
      <c r="I702" s="3">
        <f t="shared" ref="I702" si="232">TRUNC($E702*H702,1)</f>
        <v>279710.59999999998</v>
      </c>
      <c r="J702" s="25">
        <v>1.23</v>
      </c>
      <c r="K702" s="3">
        <f t="shared" ref="K702" si="233">TRUNC($E702*J702,1)</f>
        <v>347519.2</v>
      </c>
    </row>
    <row r="703" spans="2:13" ht="12.95" customHeight="1" x14ac:dyDescent="0.3">
      <c r="B703" s="58" t="s">
        <v>11</v>
      </c>
      <c r="C703" s="51"/>
      <c r="D703" s="51"/>
      <c r="E703" s="22"/>
      <c r="F703" s="15"/>
      <c r="G703" s="16">
        <f>TRUNC(SUM(G702:G702))</f>
        <v>245806</v>
      </c>
      <c r="H703" s="15"/>
      <c r="I703" s="16">
        <f>TRUNC(SUM(I702:I702))</f>
        <v>279710</v>
      </c>
      <c r="J703" s="15"/>
      <c r="K703" s="16">
        <f>TRUNC(SUM(K702:K702))</f>
        <v>347519</v>
      </c>
    </row>
    <row r="704" spans="2:13" ht="12.95" customHeight="1" x14ac:dyDescent="0.3">
      <c r="B704" s="50"/>
      <c r="C704" s="51"/>
      <c r="D704" s="51"/>
      <c r="E704" s="22"/>
      <c r="F704" s="15"/>
      <c r="G704" s="24"/>
      <c r="H704" s="15"/>
      <c r="I704" s="24"/>
      <c r="J704" s="15"/>
      <c r="K704" s="24"/>
    </row>
    <row r="705" spans="2:11" ht="12.95" customHeight="1" x14ac:dyDescent="0.3">
      <c r="B705" s="66" t="s">
        <v>13</v>
      </c>
      <c r="C705" s="76"/>
      <c r="D705" s="76"/>
      <c r="E705" s="77"/>
      <c r="F705" s="77"/>
      <c r="G705" s="26">
        <f>SUM(G700+G703)</f>
        <v>250722</v>
      </c>
      <c r="H705" s="77"/>
      <c r="I705" s="26">
        <f>SUM(I700+I703)</f>
        <v>285304</v>
      </c>
      <c r="J705" s="77"/>
      <c r="K705" s="26">
        <f>SUM(K700+K703)</f>
        <v>354469</v>
      </c>
    </row>
    <row r="706" spans="2:11" ht="12.95" customHeight="1" x14ac:dyDescent="0.3">
      <c r="B706" s="89" t="s">
        <v>3</v>
      </c>
      <c r="C706" s="89" t="s">
        <v>7</v>
      </c>
      <c r="D706" s="92" t="s">
        <v>8</v>
      </c>
      <c r="E706" s="92" t="s">
        <v>4</v>
      </c>
      <c r="F706" s="95" t="s">
        <v>72</v>
      </c>
      <c r="G706" s="96"/>
      <c r="H706" s="96"/>
      <c r="I706" s="96"/>
      <c r="J706" s="96"/>
      <c r="K706" s="96"/>
    </row>
    <row r="707" spans="2:11" ht="12.95" customHeight="1" x14ac:dyDescent="0.3">
      <c r="B707" s="90"/>
      <c r="C707" s="90"/>
      <c r="D707" s="93"/>
      <c r="E707" s="93"/>
      <c r="F707" s="95" t="s">
        <v>61</v>
      </c>
      <c r="G707" s="96"/>
      <c r="H707" s="95" t="s">
        <v>62</v>
      </c>
      <c r="I707" s="96"/>
      <c r="J707" s="95" t="s">
        <v>63</v>
      </c>
      <c r="K707" s="96"/>
    </row>
    <row r="708" spans="2:11" ht="12.95" customHeight="1" x14ac:dyDescent="0.3">
      <c r="B708" s="91"/>
      <c r="C708" s="91"/>
      <c r="D708" s="94"/>
      <c r="E708" s="94"/>
      <c r="F708" s="74" t="s">
        <v>5</v>
      </c>
      <c r="G708" s="75" t="s">
        <v>6</v>
      </c>
      <c r="H708" s="74" t="s">
        <v>5</v>
      </c>
      <c r="I708" s="75" t="s">
        <v>6</v>
      </c>
      <c r="J708" s="74" t="s">
        <v>5</v>
      </c>
      <c r="K708" s="75" t="s">
        <v>6</v>
      </c>
    </row>
    <row r="709" spans="2:11" ht="12.95" customHeight="1" x14ac:dyDescent="0.3">
      <c r="B709" s="42" t="s">
        <v>53</v>
      </c>
      <c r="C709" s="43" t="s">
        <v>56</v>
      </c>
      <c r="D709" s="44" t="s">
        <v>15</v>
      </c>
      <c r="E709" s="45"/>
      <c r="F709" s="21">
        <v>1</v>
      </c>
      <c r="G709" s="5">
        <f>TRUNC(SUM(G712:G712)*0.02,1)</f>
        <v>8363</v>
      </c>
      <c r="H709" s="21">
        <v>1</v>
      </c>
      <c r="I709" s="5">
        <f>TRUNC(SUM(I712:I712)*0.02,1)</f>
        <v>9662.7000000000007</v>
      </c>
      <c r="J709" s="21">
        <v>1</v>
      </c>
      <c r="K709" s="5">
        <f>TRUNC(SUM(K712:K712)*0.02,1)</f>
        <v>10397.299999999999</v>
      </c>
    </row>
    <row r="710" spans="2:11" ht="12.95" customHeight="1" x14ac:dyDescent="0.3">
      <c r="B710" s="46" t="s">
        <v>10</v>
      </c>
      <c r="C710" s="47"/>
      <c r="D710" s="48"/>
      <c r="E710" s="49"/>
      <c r="F710" s="25"/>
      <c r="G710" s="12">
        <f>TRUNC(SUM(G709))</f>
        <v>8363</v>
      </c>
      <c r="H710" s="25"/>
      <c r="I710" s="12">
        <f>TRUNC(SUM(I709))</f>
        <v>9662</v>
      </c>
      <c r="J710" s="25"/>
      <c r="K710" s="12">
        <f>TRUNC(SUM(K709))</f>
        <v>10397</v>
      </c>
    </row>
    <row r="711" spans="2:11" ht="12.95" customHeight="1" x14ac:dyDescent="0.3">
      <c r="B711" s="50"/>
      <c r="C711" s="51"/>
      <c r="D711" s="51"/>
      <c r="E711" s="22"/>
      <c r="F711" s="15"/>
      <c r="G711" s="24"/>
      <c r="H711" s="15"/>
      <c r="I711" s="24"/>
      <c r="J711" s="15"/>
      <c r="K711" s="24"/>
    </row>
    <row r="712" spans="2:11" ht="12.95" customHeight="1" x14ac:dyDescent="0.3">
      <c r="B712" s="52" t="s">
        <v>20</v>
      </c>
      <c r="C712" s="53"/>
      <c r="D712" s="54" t="s">
        <v>9</v>
      </c>
      <c r="E712" s="78">
        <v>282536</v>
      </c>
      <c r="F712" s="25">
        <v>1.48</v>
      </c>
      <c r="G712" s="3">
        <f t="shared" ref="G712" si="234">TRUNC($E712*F712,1)</f>
        <v>418153.2</v>
      </c>
      <c r="H712" s="25">
        <v>1.71</v>
      </c>
      <c r="I712" s="3">
        <f t="shared" ref="I712" si="235">TRUNC($E712*H712,1)</f>
        <v>483136.5</v>
      </c>
      <c r="J712" s="25">
        <v>1.84</v>
      </c>
      <c r="K712" s="3">
        <f t="shared" ref="K712" si="236">TRUNC($E712*J712,1)</f>
        <v>519866.2</v>
      </c>
    </row>
    <row r="713" spans="2:11" ht="12.95" customHeight="1" x14ac:dyDescent="0.3">
      <c r="B713" s="58" t="s">
        <v>11</v>
      </c>
      <c r="C713" s="51"/>
      <c r="D713" s="51"/>
      <c r="E713" s="22"/>
      <c r="F713" s="15"/>
      <c r="G713" s="16">
        <f>TRUNC(SUM(G712:G712))</f>
        <v>418153</v>
      </c>
      <c r="H713" s="15"/>
      <c r="I713" s="16">
        <f>TRUNC(SUM(I712:I712))</f>
        <v>483136</v>
      </c>
      <c r="J713" s="15"/>
      <c r="K713" s="16">
        <f>TRUNC(SUM(K712:K712))</f>
        <v>519866</v>
      </c>
    </row>
    <row r="714" spans="2:11" ht="12.95" customHeight="1" x14ac:dyDescent="0.3">
      <c r="B714" s="50"/>
      <c r="C714" s="51"/>
      <c r="D714" s="51"/>
      <c r="E714" s="22"/>
      <c r="F714" s="15"/>
      <c r="G714" s="24"/>
      <c r="H714" s="15"/>
      <c r="I714" s="24"/>
      <c r="J714" s="15"/>
      <c r="K714" s="24"/>
    </row>
    <row r="715" spans="2:11" ht="12.95" customHeight="1" x14ac:dyDescent="0.3">
      <c r="B715" s="66" t="s">
        <v>13</v>
      </c>
      <c r="C715" s="76"/>
      <c r="D715" s="76"/>
      <c r="E715" s="77"/>
      <c r="F715" s="77"/>
      <c r="G715" s="26">
        <f>SUM(G710+G713)</f>
        <v>426516</v>
      </c>
      <c r="H715" s="77"/>
      <c r="I715" s="26">
        <f>SUM(I710+I713)</f>
        <v>492798</v>
      </c>
      <c r="J715" s="77"/>
      <c r="K715" s="26">
        <f>SUM(K710+K713)</f>
        <v>530263</v>
      </c>
    </row>
    <row r="716" spans="2:11" ht="12.95" customHeight="1" x14ac:dyDescent="0.3">
      <c r="B716" s="89" t="s">
        <v>3</v>
      </c>
      <c r="C716" s="89" t="s">
        <v>7</v>
      </c>
      <c r="D716" s="92" t="s">
        <v>8</v>
      </c>
      <c r="E716" s="92" t="s">
        <v>4</v>
      </c>
      <c r="F716" s="95" t="s">
        <v>72</v>
      </c>
      <c r="G716" s="96"/>
      <c r="H716" s="96"/>
      <c r="I716" s="96"/>
      <c r="J716" s="96"/>
      <c r="K716" s="96"/>
    </row>
    <row r="717" spans="2:11" ht="12.95" customHeight="1" x14ac:dyDescent="0.3">
      <c r="B717" s="90"/>
      <c r="C717" s="90"/>
      <c r="D717" s="93"/>
      <c r="E717" s="93"/>
      <c r="F717" s="95" t="s">
        <v>64</v>
      </c>
      <c r="G717" s="96"/>
      <c r="H717" s="95" t="s">
        <v>65</v>
      </c>
      <c r="I717" s="96"/>
      <c r="J717" s="95" t="s">
        <v>66</v>
      </c>
      <c r="K717" s="96"/>
    </row>
    <row r="718" spans="2:11" ht="12.95" customHeight="1" x14ac:dyDescent="0.3">
      <c r="B718" s="91"/>
      <c r="C718" s="91"/>
      <c r="D718" s="94"/>
      <c r="E718" s="94"/>
      <c r="F718" s="74" t="s">
        <v>5</v>
      </c>
      <c r="G718" s="75" t="s">
        <v>6</v>
      </c>
      <c r="H718" s="74" t="s">
        <v>5</v>
      </c>
      <c r="I718" s="75" t="s">
        <v>6</v>
      </c>
      <c r="J718" s="74" t="s">
        <v>5</v>
      </c>
      <c r="K718" s="75" t="s">
        <v>6</v>
      </c>
    </row>
    <row r="719" spans="2:11" ht="12.95" customHeight="1" x14ac:dyDescent="0.3">
      <c r="B719" s="42" t="s">
        <v>53</v>
      </c>
      <c r="C719" s="43" t="s">
        <v>56</v>
      </c>
      <c r="D719" s="44" t="s">
        <v>15</v>
      </c>
      <c r="E719" s="45"/>
      <c r="F719" s="21">
        <v>1</v>
      </c>
      <c r="G719" s="5">
        <f>TRUNC(SUM(G722:G722)*0.02,1)</f>
        <v>13109.6</v>
      </c>
      <c r="H719" s="21">
        <v>1</v>
      </c>
      <c r="I719" s="5">
        <f>TRUNC(SUM(I722:I722)*0.02,1)</f>
        <v>13561.7</v>
      </c>
      <c r="J719" s="21">
        <v>1</v>
      </c>
      <c r="K719" s="5">
        <f>TRUNC(SUM(K722:K722)*0.02,1)</f>
        <v>15030.9</v>
      </c>
    </row>
    <row r="720" spans="2:11" ht="12.95" customHeight="1" x14ac:dyDescent="0.3">
      <c r="B720" s="46" t="s">
        <v>10</v>
      </c>
      <c r="C720" s="47"/>
      <c r="D720" s="48"/>
      <c r="E720" s="49"/>
      <c r="F720" s="25"/>
      <c r="G720" s="12">
        <f>TRUNC(SUM(G719))</f>
        <v>13109</v>
      </c>
      <c r="H720" s="25"/>
      <c r="I720" s="12">
        <f>TRUNC(SUM(I719))</f>
        <v>13561</v>
      </c>
      <c r="J720" s="25"/>
      <c r="K720" s="12">
        <f>TRUNC(SUM(K719))</f>
        <v>15030</v>
      </c>
    </row>
    <row r="721" spans="2:11" ht="12.95" customHeight="1" x14ac:dyDescent="0.3">
      <c r="B721" s="50"/>
      <c r="C721" s="51"/>
      <c r="D721" s="51"/>
      <c r="E721" s="22"/>
      <c r="F721" s="15"/>
      <c r="G721" s="24"/>
      <c r="H721" s="15"/>
      <c r="I721" s="24"/>
      <c r="J721" s="15"/>
      <c r="K721" s="24"/>
    </row>
    <row r="722" spans="2:11" ht="12.95" customHeight="1" x14ac:dyDescent="0.3">
      <c r="B722" s="52" t="s">
        <v>20</v>
      </c>
      <c r="C722" s="53"/>
      <c r="D722" s="54" t="s">
        <v>9</v>
      </c>
      <c r="E722" s="78">
        <v>282536</v>
      </c>
      <c r="F722" s="25">
        <v>2.3199999999999998</v>
      </c>
      <c r="G722" s="3">
        <f t="shared" ref="G722" si="237">TRUNC($E722*F722,1)</f>
        <v>655483.5</v>
      </c>
      <c r="H722" s="25">
        <v>2.4</v>
      </c>
      <c r="I722" s="3">
        <f t="shared" ref="I722" si="238">TRUNC($E722*H722,1)</f>
        <v>678086.4</v>
      </c>
      <c r="J722" s="25">
        <v>2.66</v>
      </c>
      <c r="K722" s="3">
        <f t="shared" ref="K722" si="239">TRUNC($E722*J722,1)</f>
        <v>751545.7</v>
      </c>
    </row>
    <row r="723" spans="2:11" ht="12.95" customHeight="1" x14ac:dyDescent="0.3">
      <c r="B723" s="58" t="s">
        <v>11</v>
      </c>
      <c r="C723" s="51"/>
      <c r="D723" s="51"/>
      <c r="E723" s="22"/>
      <c r="F723" s="15"/>
      <c r="G723" s="16">
        <f>TRUNC(SUM(G722:G722))</f>
        <v>655483</v>
      </c>
      <c r="H723" s="15"/>
      <c r="I723" s="16">
        <f>TRUNC(SUM(I722:I722))</f>
        <v>678086</v>
      </c>
      <c r="J723" s="15"/>
      <c r="K723" s="16">
        <f>TRUNC(SUM(K722:K722))</f>
        <v>751545</v>
      </c>
    </row>
    <row r="724" spans="2:11" ht="12.95" customHeight="1" x14ac:dyDescent="0.3">
      <c r="B724" s="50"/>
      <c r="C724" s="51"/>
      <c r="D724" s="51"/>
      <c r="E724" s="22"/>
      <c r="F724" s="15"/>
      <c r="G724" s="24"/>
      <c r="H724" s="15"/>
      <c r="I724" s="24"/>
      <c r="J724" s="15"/>
      <c r="K724" s="24"/>
    </row>
    <row r="725" spans="2:11" ht="12.95" customHeight="1" x14ac:dyDescent="0.3">
      <c r="B725" s="66" t="s">
        <v>13</v>
      </c>
      <c r="C725" s="76"/>
      <c r="D725" s="76"/>
      <c r="E725" s="77"/>
      <c r="F725" s="77"/>
      <c r="G725" s="26">
        <f>SUM(G720+G723)</f>
        <v>668592</v>
      </c>
      <c r="H725" s="77"/>
      <c r="I725" s="26">
        <f>SUM(I720+I723)</f>
        <v>691647</v>
      </c>
      <c r="J725" s="77"/>
      <c r="K725" s="26">
        <f>SUM(K720+K723)</f>
        <v>766575</v>
      </c>
    </row>
    <row r="727" spans="2:11" ht="12.95" customHeight="1" x14ac:dyDescent="0.3">
      <c r="B727" s="32" t="s">
        <v>73</v>
      </c>
    </row>
    <row r="728" spans="2:11" ht="12.95" customHeight="1" x14ac:dyDescent="0.3">
      <c r="B728" s="1" t="s">
        <v>74</v>
      </c>
      <c r="I728" s="37" t="s">
        <v>169</v>
      </c>
    </row>
    <row r="729" spans="2:11" ht="12.95" customHeight="1" x14ac:dyDescent="0.3">
      <c r="B729" s="89" t="s">
        <v>3</v>
      </c>
      <c r="C729" s="92" t="s">
        <v>7</v>
      </c>
      <c r="D729" s="92" t="s">
        <v>8</v>
      </c>
      <c r="E729" s="92" t="s">
        <v>4</v>
      </c>
      <c r="F729" s="105" t="s">
        <v>27</v>
      </c>
      <c r="G729" s="95"/>
      <c r="H729" s="105" t="s">
        <v>28</v>
      </c>
      <c r="I729" s="95"/>
    </row>
    <row r="730" spans="2:11" ht="12.95" customHeight="1" x14ac:dyDescent="0.3">
      <c r="B730" s="90"/>
      <c r="C730" s="93"/>
      <c r="D730" s="93"/>
      <c r="E730" s="93"/>
      <c r="F730" s="38" t="s">
        <v>190</v>
      </c>
      <c r="G730" s="39">
        <v>22</v>
      </c>
      <c r="H730" s="38" t="s">
        <v>190</v>
      </c>
      <c r="I730" s="39">
        <v>13</v>
      </c>
      <c r="J730" s="4"/>
    </row>
    <row r="731" spans="2:11" ht="12.95" customHeight="1" x14ac:dyDescent="0.3">
      <c r="B731" s="91"/>
      <c r="C731" s="94"/>
      <c r="D731" s="94"/>
      <c r="E731" s="94"/>
      <c r="F731" s="40" t="s">
        <v>21</v>
      </c>
      <c r="G731" s="41" t="s">
        <v>173</v>
      </c>
      <c r="H731" s="40" t="s">
        <v>21</v>
      </c>
      <c r="I731" s="41" t="s">
        <v>173</v>
      </c>
      <c r="J731" s="4"/>
    </row>
    <row r="732" spans="2:11" ht="12.95" customHeight="1" x14ac:dyDescent="0.3">
      <c r="B732" s="52" t="s">
        <v>29</v>
      </c>
      <c r="C732" s="53"/>
      <c r="D732" s="54" t="s">
        <v>9</v>
      </c>
      <c r="E732" s="55">
        <v>262580</v>
      </c>
      <c r="F732" s="56">
        <v>2</v>
      </c>
      <c r="G732" s="3">
        <f t="shared" ref="G732:G733" si="240">TRUNC($E732*F732,1)</f>
        <v>525160</v>
      </c>
      <c r="H732" s="56">
        <v>2</v>
      </c>
      <c r="I732" s="3">
        <f t="shared" ref="I732:I733" si="241">TRUNC($E732*H732,1)</f>
        <v>525160</v>
      </c>
      <c r="J732" s="4"/>
    </row>
    <row r="733" spans="2:11" ht="12.95" customHeight="1" x14ac:dyDescent="0.3">
      <c r="B733" s="52" t="s">
        <v>1</v>
      </c>
      <c r="C733" s="53"/>
      <c r="D733" s="54" t="s">
        <v>9</v>
      </c>
      <c r="E733" s="57">
        <v>172068</v>
      </c>
      <c r="F733" s="56">
        <v>1</v>
      </c>
      <c r="G733" s="3">
        <f t="shared" si="240"/>
        <v>172068</v>
      </c>
      <c r="H733" s="56">
        <v>1</v>
      </c>
      <c r="I733" s="3">
        <f t="shared" si="241"/>
        <v>172068</v>
      </c>
      <c r="J733" s="4"/>
    </row>
    <row r="734" spans="2:11" ht="12.95" customHeight="1" x14ac:dyDescent="0.3">
      <c r="B734" s="58" t="s">
        <v>11</v>
      </c>
      <c r="C734" s="51"/>
      <c r="D734" s="51"/>
      <c r="E734" s="22"/>
      <c r="F734" s="22"/>
      <c r="G734" s="16">
        <f>TRUNC(SUM(G732:G733))</f>
        <v>697228</v>
      </c>
      <c r="H734" s="22"/>
      <c r="I734" s="16">
        <f>TRUNC(SUM(I732:I733))</f>
        <v>697228</v>
      </c>
      <c r="J734" s="4"/>
    </row>
    <row r="735" spans="2:11" ht="12.95" customHeight="1" x14ac:dyDescent="0.3">
      <c r="B735" s="50"/>
      <c r="C735" s="51"/>
      <c r="D735" s="51"/>
      <c r="E735" s="22"/>
      <c r="F735" s="22"/>
      <c r="G735" s="24"/>
      <c r="H735" s="22"/>
      <c r="I735" s="24"/>
      <c r="J735" s="4"/>
    </row>
    <row r="736" spans="2:11" ht="12.95" customHeight="1" x14ac:dyDescent="0.3">
      <c r="B736" s="65" t="s">
        <v>13</v>
      </c>
      <c r="C736" s="51"/>
      <c r="D736" s="51"/>
      <c r="E736" s="62"/>
      <c r="F736" s="62"/>
      <c r="G736" s="29">
        <f>SUM(G734)</f>
        <v>697228</v>
      </c>
      <c r="H736" s="62"/>
      <c r="I736" s="29">
        <f>SUM(I734)</f>
        <v>697228</v>
      </c>
    </row>
    <row r="737" spans="2:11" ht="12.95" customHeight="1" x14ac:dyDescent="0.3">
      <c r="B737" s="66" t="s">
        <v>189</v>
      </c>
      <c r="C737" s="67"/>
      <c r="D737" s="68"/>
      <c r="E737" s="69"/>
      <c r="F737" s="70"/>
      <c r="G737" s="71">
        <f>TRUNC(G736/G730)</f>
        <v>31692</v>
      </c>
      <c r="H737" s="70"/>
      <c r="I737" s="71">
        <f>TRUNC(I736/I730)</f>
        <v>53632</v>
      </c>
    </row>
    <row r="739" spans="2:11" ht="12.95" customHeight="1" x14ac:dyDescent="0.3">
      <c r="B739" s="1" t="s">
        <v>77</v>
      </c>
      <c r="K739" s="37" t="s">
        <v>169</v>
      </c>
    </row>
    <row r="740" spans="2:11" ht="12.95" customHeight="1" x14ac:dyDescent="0.3">
      <c r="B740" s="89" t="s">
        <v>3</v>
      </c>
      <c r="C740" s="92" t="s">
        <v>7</v>
      </c>
      <c r="D740" s="92" t="s">
        <v>8</v>
      </c>
      <c r="E740" s="92" t="s">
        <v>4</v>
      </c>
      <c r="F740" s="105" t="s">
        <v>27</v>
      </c>
      <c r="G740" s="95"/>
      <c r="H740" s="105" t="s">
        <v>28</v>
      </c>
      <c r="I740" s="95"/>
      <c r="J740" s="105" t="s">
        <v>35</v>
      </c>
      <c r="K740" s="95"/>
    </row>
    <row r="741" spans="2:11" ht="12.95" customHeight="1" x14ac:dyDescent="0.3">
      <c r="B741" s="90"/>
      <c r="C741" s="93"/>
      <c r="D741" s="93"/>
      <c r="E741" s="93"/>
      <c r="F741" s="38" t="s">
        <v>190</v>
      </c>
      <c r="G741" s="39">
        <v>25</v>
      </c>
      <c r="H741" s="38" t="s">
        <v>190</v>
      </c>
      <c r="I741" s="39">
        <v>19</v>
      </c>
      <c r="J741" s="38" t="s">
        <v>190</v>
      </c>
      <c r="K741" s="39">
        <v>15</v>
      </c>
    </row>
    <row r="742" spans="2:11" ht="12.95" customHeight="1" x14ac:dyDescent="0.3">
      <c r="B742" s="91"/>
      <c r="C742" s="94"/>
      <c r="D742" s="94"/>
      <c r="E742" s="94"/>
      <c r="F742" s="40" t="s">
        <v>21</v>
      </c>
      <c r="G742" s="41" t="s">
        <v>173</v>
      </c>
      <c r="H742" s="40" t="s">
        <v>21</v>
      </c>
      <c r="I742" s="41" t="s">
        <v>173</v>
      </c>
      <c r="J742" s="40" t="s">
        <v>21</v>
      </c>
      <c r="K742" s="41" t="s">
        <v>173</v>
      </c>
    </row>
    <row r="743" spans="2:11" ht="12.95" customHeight="1" x14ac:dyDescent="0.3">
      <c r="B743" s="52" t="s">
        <v>29</v>
      </c>
      <c r="C743" s="53"/>
      <c r="D743" s="54" t="s">
        <v>9</v>
      </c>
      <c r="E743" s="55">
        <v>262580</v>
      </c>
      <c r="F743" s="56">
        <v>2</v>
      </c>
      <c r="G743" s="3">
        <f t="shared" ref="G743:G744" si="242">TRUNC($E743*F743,1)</f>
        <v>525160</v>
      </c>
      <c r="H743" s="56">
        <v>2</v>
      </c>
      <c r="I743" s="3">
        <f t="shared" ref="I743:I744" si="243">TRUNC($E743*H743,1)</f>
        <v>525160</v>
      </c>
      <c r="J743" s="56">
        <v>2</v>
      </c>
      <c r="K743" s="3">
        <f t="shared" ref="K743:K744" si="244">TRUNC($E743*J743,1)</f>
        <v>525160</v>
      </c>
    </row>
    <row r="744" spans="2:11" ht="12.95" customHeight="1" x14ac:dyDescent="0.3">
      <c r="B744" s="52" t="s">
        <v>1</v>
      </c>
      <c r="C744" s="53"/>
      <c r="D744" s="54" t="s">
        <v>9</v>
      </c>
      <c r="E744" s="57">
        <v>172068</v>
      </c>
      <c r="F744" s="56">
        <v>1</v>
      </c>
      <c r="G744" s="3">
        <f t="shared" si="242"/>
        <v>172068</v>
      </c>
      <c r="H744" s="56">
        <v>1</v>
      </c>
      <c r="I744" s="3">
        <f t="shared" si="243"/>
        <v>172068</v>
      </c>
      <c r="J744" s="56">
        <v>1</v>
      </c>
      <c r="K744" s="3">
        <f t="shared" si="244"/>
        <v>172068</v>
      </c>
    </row>
    <row r="745" spans="2:11" ht="12.95" customHeight="1" x14ac:dyDescent="0.3">
      <c r="B745" s="58" t="s">
        <v>11</v>
      </c>
      <c r="C745" s="51"/>
      <c r="D745" s="51"/>
      <c r="E745" s="22"/>
      <c r="F745" s="22"/>
      <c r="G745" s="16">
        <f>TRUNC(SUM(G743:G744))</f>
        <v>697228</v>
      </c>
      <c r="H745" s="22"/>
      <c r="I745" s="16">
        <f>TRUNC(SUM(I743:I744))</f>
        <v>697228</v>
      </c>
      <c r="J745" s="22"/>
      <c r="K745" s="16">
        <f>TRUNC(SUM(K743:K744))</f>
        <v>697228</v>
      </c>
    </row>
    <row r="746" spans="2:11" ht="12.95" customHeight="1" x14ac:dyDescent="0.3">
      <c r="B746" s="50"/>
      <c r="C746" s="51"/>
      <c r="D746" s="51"/>
      <c r="E746" s="22"/>
      <c r="F746" s="22"/>
      <c r="G746" s="24"/>
      <c r="H746" s="22"/>
      <c r="I746" s="24"/>
      <c r="J746" s="22"/>
      <c r="K746" s="24"/>
    </row>
    <row r="747" spans="2:11" ht="12.95" customHeight="1" x14ac:dyDescent="0.3">
      <c r="B747" s="65" t="s">
        <v>13</v>
      </c>
      <c r="C747" s="51"/>
      <c r="D747" s="51"/>
      <c r="E747" s="62"/>
      <c r="F747" s="62"/>
      <c r="G747" s="29">
        <f>SUM(G745)</f>
        <v>697228</v>
      </c>
      <c r="H747" s="62"/>
      <c r="I747" s="29">
        <f>SUM(I745)</f>
        <v>697228</v>
      </c>
      <c r="J747" s="62"/>
      <c r="K747" s="29">
        <f>SUM(K745)</f>
        <v>697228</v>
      </c>
    </row>
    <row r="748" spans="2:11" ht="12.95" customHeight="1" x14ac:dyDescent="0.3">
      <c r="B748" s="66" t="s">
        <v>189</v>
      </c>
      <c r="C748" s="67"/>
      <c r="D748" s="68"/>
      <c r="E748" s="69"/>
      <c r="F748" s="70"/>
      <c r="G748" s="71">
        <f>TRUNC(G747/G741)</f>
        <v>27889</v>
      </c>
      <c r="H748" s="70"/>
      <c r="I748" s="71">
        <f>TRUNC(I747/I741)</f>
        <v>36696</v>
      </c>
      <c r="J748" s="70"/>
      <c r="K748" s="71">
        <f>TRUNC(K747/K741)</f>
        <v>46481</v>
      </c>
    </row>
    <row r="749" spans="2:11" ht="12.95" customHeight="1" x14ac:dyDescent="0.3">
      <c r="B749" s="89" t="s">
        <v>3</v>
      </c>
      <c r="C749" s="92" t="s">
        <v>7</v>
      </c>
      <c r="D749" s="92" t="s">
        <v>8</v>
      </c>
      <c r="E749" s="92" t="s">
        <v>4</v>
      </c>
      <c r="F749" s="105" t="s">
        <v>36</v>
      </c>
      <c r="G749" s="95"/>
      <c r="H749" s="105" t="s">
        <v>37</v>
      </c>
      <c r="I749" s="95"/>
    </row>
    <row r="750" spans="2:11" ht="12.95" customHeight="1" x14ac:dyDescent="0.3">
      <c r="B750" s="90"/>
      <c r="C750" s="93"/>
      <c r="D750" s="93"/>
      <c r="E750" s="93"/>
      <c r="F750" s="38" t="s">
        <v>190</v>
      </c>
      <c r="G750" s="39">
        <v>10</v>
      </c>
      <c r="H750" s="38" t="s">
        <v>190</v>
      </c>
      <c r="I750" s="39">
        <v>9</v>
      </c>
      <c r="J750" s="4"/>
    </row>
    <row r="751" spans="2:11" ht="12.95" customHeight="1" x14ac:dyDescent="0.3">
      <c r="B751" s="91"/>
      <c r="C751" s="94"/>
      <c r="D751" s="94"/>
      <c r="E751" s="94"/>
      <c r="F751" s="40" t="s">
        <v>21</v>
      </c>
      <c r="G751" s="41" t="s">
        <v>173</v>
      </c>
      <c r="H751" s="40" t="s">
        <v>21</v>
      </c>
      <c r="I751" s="41" t="s">
        <v>173</v>
      </c>
      <c r="J751" s="4"/>
    </row>
    <row r="752" spans="2:11" ht="12.95" customHeight="1" x14ac:dyDescent="0.3">
      <c r="B752" s="52" t="s">
        <v>29</v>
      </c>
      <c r="C752" s="53"/>
      <c r="D752" s="54" t="s">
        <v>9</v>
      </c>
      <c r="E752" s="55">
        <v>262580</v>
      </c>
      <c r="F752" s="56">
        <v>2</v>
      </c>
      <c r="G752" s="3">
        <f t="shared" ref="G752:G753" si="245">TRUNC($E752*F752,1)</f>
        <v>525160</v>
      </c>
      <c r="H752" s="56">
        <v>2</v>
      </c>
      <c r="I752" s="3">
        <f t="shared" ref="I752:I753" si="246">TRUNC($E752*H752,1)</f>
        <v>525160</v>
      </c>
      <c r="J752" s="4"/>
    </row>
    <row r="753" spans="2:11" ht="12.95" customHeight="1" x14ac:dyDescent="0.3">
      <c r="B753" s="52" t="s">
        <v>1</v>
      </c>
      <c r="C753" s="53"/>
      <c r="D753" s="54" t="s">
        <v>9</v>
      </c>
      <c r="E753" s="57">
        <v>172068</v>
      </c>
      <c r="F753" s="56">
        <v>1</v>
      </c>
      <c r="G753" s="3">
        <f t="shared" si="245"/>
        <v>172068</v>
      </c>
      <c r="H753" s="56">
        <v>1</v>
      </c>
      <c r="I753" s="3">
        <f t="shared" si="246"/>
        <v>172068</v>
      </c>
      <c r="J753" s="4"/>
    </row>
    <row r="754" spans="2:11" ht="12.95" customHeight="1" x14ac:dyDescent="0.3">
      <c r="B754" s="58" t="s">
        <v>11</v>
      </c>
      <c r="C754" s="51"/>
      <c r="D754" s="51"/>
      <c r="E754" s="22"/>
      <c r="F754" s="22"/>
      <c r="G754" s="16">
        <f>TRUNC(SUM(G752:G753))</f>
        <v>697228</v>
      </c>
      <c r="H754" s="22"/>
      <c r="I754" s="16">
        <f>TRUNC(SUM(I752:I753))</f>
        <v>697228</v>
      </c>
      <c r="J754" s="4"/>
    </row>
    <row r="755" spans="2:11" ht="12.95" customHeight="1" x14ac:dyDescent="0.3">
      <c r="B755" s="50"/>
      <c r="C755" s="51"/>
      <c r="D755" s="51"/>
      <c r="E755" s="22"/>
      <c r="F755" s="22"/>
      <c r="G755" s="24"/>
      <c r="H755" s="22"/>
      <c r="I755" s="24"/>
      <c r="J755" s="4"/>
    </row>
    <row r="756" spans="2:11" ht="12.95" customHeight="1" x14ac:dyDescent="0.3">
      <c r="B756" s="65" t="s">
        <v>13</v>
      </c>
      <c r="C756" s="51"/>
      <c r="D756" s="51"/>
      <c r="E756" s="62"/>
      <c r="F756" s="62"/>
      <c r="G756" s="29">
        <f>SUM(G754)</f>
        <v>697228</v>
      </c>
      <c r="H756" s="62"/>
      <c r="I756" s="29">
        <f>SUM(I754)</f>
        <v>697228</v>
      </c>
    </row>
    <row r="757" spans="2:11" ht="12.95" customHeight="1" x14ac:dyDescent="0.3">
      <c r="B757" s="66" t="s">
        <v>189</v>
      </c>
      <c r="C757" s="67"/>
      <c r="D757" s="68"/>
      <c r="E757" s="69"/>
      <c r="F757" s="70"/>
      <c r="G757" s="71">
        <f>TRUNC(G756/G750)</f>
        <v>69722</v>
      </c>
      <c r="H757" s="70"/>
      <c r="I757" s="71">
        <f>TRUNC(I756/I750)</f>
        <v>77469</v>
      </c>
    </row>
    <row r="759" spans="2:11" ht="12.95" customHeight="1" x14ac:dyDescent="0.3">
      <c r="B759" s="32" t="s">
        <v>78</v>
      </c>
    </row>
    <row r="760" spans="2:11" ht="12.95" customHeight="1" x14ac:dyDescent="0.3">
      <c r="B760" s="1" t="s">
        <v>161</v>
      </c>
      <c r="K760" s="37" t="s">
        <v>169</v>
      </c>
    </row>
    <row r="761" spans="2:11" ht="12.95" customHeight="1" x14ac:dyDescent="0.3">
      <c r="B761" s="89" t="s">
        <v>3</v>
      </c>
      <c r="C761" s="92" t="s">
        <v>7</v>
      </c>
      <c r="D761" s="92" t="s">
        <v>8</v>
      </c>
      <c r="E761" s="92" t="s">
        <v>4</v>
      </c>
      <c r="F761" s="105" t="s">
        <v>79</v>
      </c>
      <c r="G761" s="95"/>
      <c r="H761" s="105" t="s">
        <v>80</v>
      </c>
      <c r="I761" s="95"/>
      <c r="J761" s="105" t="s">
        <v>75</v>
      </c>
      <c r="K761" s="95"/>
    </row>
    <row r="762" spans="2:11" ht="12.95" customHeight="1" x14ac:dyDescent="0.3">
      <c r="B762" s="90"/>
      <c r="C762" s="93"/>
      <c r="D762" s="93"/>
      <c r="E762" s="93"/>
      <c r="F762" s="38" t="s">
        <v>190</v>
      </c>
      <c r="G762" s="39">
        <v>22</v>
      </c>
      <c r="H762" s="38" t="s">
        <v>190</v>
      </c>
      <c r="I762" s="39">
        <v>21</v>
      </c>
      <c r="J762" s="38" t="s">
        <v>190</v>
      </c>
      <c r="K762" s="39">
        <v>17</v>
      </c>
    </row>
    <row r="763" spans="2:11" ht="12.95" customHeight="1" x14ac:dyDescent="0.3">
      <c r="B763" s="91"/>
      <c r="C763" s="94"/>
      <c r="D763" s="94"/>
      <c r="E763" s="94"/>
      <c r="F763" s="40" t="s">
        <v>21</v>
      </c>
      <c r="G763" s="41" t="s">
        <v>173</v>
      </c>
      <c r="H763" s="40" t="s">
        <v>21</v>
      </c>
      <c r="I763" s="41" t="s">
        <v>173</v>
      </c>
      <c r="J763" s="40" t="s">
        <v>21</v>
      </c>
      <c r="K763" s="41" t="s">
        <v>173</v>
      </c>
    </row>
    <row r="764" spans="2:11" ht="12.95" customHeight="1" x14ac:dyDescent="0.3">
      <c r="B764" s="52" t="s">
        <v>29</v>
      </c>
      <c r="C764" s="53"/>
      <c r="D764" s="54" t="s">
        <v>9</v>
      </c>
      <c r="E764" s="55">
        <v>262580</v>
      </c>
      <c r="F764" s="56">
        <v>2</v>
      </c>
      <c r="G764" s="3">
        <f t="shared" ref="G764:G765" si="247">TRUNC($E764*F764,1)</f>
        <v>525160</v>
      </c>
      <c r="H764" s="56">
        <v>2</v>
      </c>
      <c r="I764" s="3">
        <f t="shared" ref="I764:I765" si="248">TRUNC($E764*H764,1)</f>
        <v>525160</v>
      </c>
      <c r="J764" s="56">
        <v>2</v>
      </c>
      <c r="K764" s="3">
        <f t="shared" ref="K764:K765" si="249">TRUNC($E764*J764,1)</f>
        <v>525160</v>
      </c>
    </row>
    <row r="765" spans="2:11" ht="12.95" customHeight="1" x14ac:dyDescent="0.3">
      <c r="B765" s="52" t="s">
        <v>1</v>
      </c>
      <c r="C765" s="53"/>
      <c r="D765" s="54" t="s">
        <v>9</v>
      </c>
      <c r="E765" s="57">
        <v>172068</v>
      </c>
      <c r="F765" s="56">
        <v>1</v>
      </c>
      <c r="G765" s="3">
        <f t="shared" si="247"/>
        <v>172068</v>
      </c>
      <c r="H765" s="56">
        <v>1</v>
      </c>
      <c r="I765" s="3">
        <f t="shared" si="248"/>
        <v>172068</v>
      </c>
      <c r="J765" s="56">
        <v>1</v>
      </c>
      <c r="K765" s="3">
        <f t="shared" si="249"/>
        <v>172068</v>
      </c>
    </row>
    <row r="766" spans="2:11" ht="12.95" customHeight="1" x14ac:dyDescent="0.3">
      <c r="B766" s="58" t="s">
        <v>11</v>
      </c>
      <c r="C766" s="51"/>
      <c r="D766" s="51"/>
      <c r="E766" s="22"/>
      <c r="F766" s="22"/>
      <c r="G766" s="16">
        <f>TRUNC(SUM(G764:G765))</f>
        <v>697228</v>
      </c>
      <c r="H766" s="22"/>
      <c r="I766" s="16">
        <f>TRUNC(SUM(I764:I765))</f>
        <v>697228</v>
      </c>
      <c r="J766" s="22"/>
      <c r="K766" s="16">
        <f>TRUNC(SUM(K764:K765))</f>
        <v>697228</v>
      </c>
    </row>
    <row r="767" spans="2:11" ht="12.95" customHeight="1" x14ac:dyDescent="0.3">
      <c r="B767" s="50"/>
      <c r="C767" s="51"/>
      <c r="D767" s="51"/>
      <c r="E767" s="22"/>
      <c r="F767" s="22"/>
      <c r="G767" s="24"/>
      <c r="H767" s="22"/>
      <c r="I767" s="24"/>
      <c r="J767" s="22"/>
      <c r="K767" s="24"/>
    </row>
    <row r="768" spans="2:11" ht="12.95" customHeight="1" x14ac:dyDescent="0.3">
      <c r="B768" s="65" t="s">
        <v>13</v>
      </c>
      <c r="C768" s="51"/>
      <c r="D768" s="51"/>
      <c r="E768" s="62"/>
      <c r="F768" s="62"/>
      <c r="G768" s="29">
        <f>SUM(G766)</f>
        <v>697228</v>
      </c>
      <c r="H768" s="62"/>
      <c r="I768" s="29">
        <f>SUM(I766)</f>
        <v>697228</v>
      </c>
      <c r="J768" s="62"/>
      <c r="K768" s="29">
        <f>SUM(K766)</f>
        <v>697228</v>
      </c>
    </row>
    <row r="769" spans="2:11" ht="12.95" customHeight="1" x14ac:dyDescent="0.3">
      <c r="B769" s="66" t="s">
        <v>189</v>
      </c>
      <c r="C769" s="67"/>
      <c r="D769" s="68"/>
      <c r="E769" s="69"/>
      <c r="F769" s="70"/>
      <c r="G769" s="71">
        <f>TRUNC(G768/G762)</f>
        <v>31692</v>
      </c>
      <c r="H769" s="70"/>
      <c r="I769" s="71">
        <f>TRUNC(I768/I762)</f>
        <v>33201</v>
      </c>
      <c r="J769" s="70"/>
      <c r="K769" s="71">
        <f>TRUNC(K768/K762)</f>
        <v>41013</v>
      </c>
    </row>
    <row r="771" spans="2:11" ht="12.95" customHeight="1" x14ac:dyDescent="0.3">
      <c r="B771" s="1" t="s">
        <v>81</v>
      </c>
      <c r="K771" s="37" t="s">
        <v>169</v>
      </c>
    </row>
    <row r="772" spans="2:11" ht="12.95" customHeight="1" x14ac:dyDescent="0.3">
      <c r="B772" s="89" t="s">
        <v>3</v>
      </c>
      <c r="C772" s="92" t="s">
        <v>7</v>
      </c>
      <c r="D772" s="92" t="s">
        <v>8</v>
      </c>
      <c r="E772" s="92" t="s">
        <v>4</v>
      </c>
      <c r="F772" s="105" t="s">
        <v>27</v>
      </c>
      <c r="G772" s="95"/>
      <c r="H772" s="105" t="s">
        <v>28</v>
      </c>
      <c r="I772" s="95"/>
      <c r="J772" s="105" t="s">
        <v>35</v>
      </c>
      <c r="K772" s="95"/>
    </row>
    <row r="773" spans="2:11" ht="12.95" customHeight="1" x14ac:dyDescent="0.3">
      <c r="B773" s="90"/>
      <c r="C773" s="93"/>
      <c r="D773" s="93"/>
      <c r="E773" s="93"/>
      <c r="F773" s="38" t="s">
        <v>190</v>
      </c>
      <c r="G773" s="39">
        <v>22</v>
      </c>
      <c r="H773" s="38" t="s">
        <v>190</v>
      </c>
      <c r="I773" s="39">
        <v>16</v>
      </c>
      <c r="J773" s="38" t="s">
        <v>190</v>
      </c>
      <c r="K773" s="39">
        <v>13</v>
      </c>
    </row>
    <row r="774" spans="2:11" ht="12.95" customHeight="1" x14ac:dyDescent="0.3">
      <c r="B774" s="91"/>
      <c r="C774" s="94"/>
      <c r="D774" s="94"/>
      <c r="E774" s="94"/>
      <c r="F774" s="40" t="s">
        <v>21</v>
      </c>
      <c r="G774" s="41" t="s">
        <v>173</v>
      </c>
      <c r="H774" s="40" t="s">
        <v>21</v>
      </c>
      <c r="I774" s="41" t="s">
        <v>173</v>
      </c>
      <c r="J774" s="40" t="s">
        <v>21</v>
      </c>
      <c r="K774" s="41" t="s">
        <v>173</v>
      </c>
    </row>
    <row r="775" spans="2:11" ht="12.95" customHeight="1" x14ac:dyDescent="0.3">
      <c r="B775" s="42" t="s">
        <v>53</v>
      </c>
      <c r="C775" s="43" t="s">
        <v>82</v>
      </c>
      <c r="D775" s="44" t="s">
        <v>15</v>
      </c>
      <c r="E775" s="45"/>
      <c r="F775" s="21">
        <v>1</v>
      </c>
      <c r="G775" s="5">
        <f>TRUNC(SUM(G778:G779)*0.03,1)</f>
        <v>20916.8</v>
      </c>
      <c r="H775" s="21">
        <v>1</v>
      </c>
      <c r="I775" s="5">
        <f>TRUNC(SUM(I778:I779)*0.03,1)</f>
        <v>20916.8</v>
      </c>
      <c r="J775" s="21">
        <v>1</v>
      </c>
      <c r="K775" s="5">
        <f>TRUNC(SUM(K778:K779)*0.03,1)</f>
        <v>20916.8</v>
      </c>
    </row>
    <row r="776" spans="2:11" ht="12.95" customHeight="1" x14ac:dyDescent="0.3">
      <c r="B776" s="46" t="s">
        <v>10</v>
      </c>
      <c r="C776" s="47"/>
      <c r="D776" s="48"/>
      <c r="E776" s="49"/>
      <c r="F776" s="25"/>
      <c r="G776" s="12">
        <f>TRUNC(SUM(G775))</f>
        <v>20916</v>
      </c>
      <c r="H776" s="25"/>
      <c r="I776" s="12">
        <f>TRUNC(SUM(I775))</f>
        <v>20916</v>
      </c>
      <c r="J776" s="25"/>
      <c r="K776" s="12">
        <f>TRUNC(SUM(K775))</f>
        <v>20916</v>
      </c>
    </row>
    <row r="777" spans="2:11" ht="12.95" customHeight="1" x14ac:dyDescent="0.3">
      <c r="B777" s="50"/>
      <c r="C777" s="51"/>
      <c r="D777" s="51"/>
      <c r="E777" s="22"/>
      <c r="F777" s="15"/>
      <c r="G777" s="24"/>
      <c r="H777" s="15"/>
      <c r="I777" s="24"/>
      <c r="J777" s="15"/>
      <c r="K777" s="24"/>
    </row>
    <row r="778" spans="2:11" ht="12.95" customHeight="1" x14ac:dyDescent="0.3">
      <c r="B778" s="52" t="s">
        <v>29</v>
      </c>
      <c r="C778" s="53"/>
      <c r="D778" s="54" t="s">
        <v>9</v>
      </c>
      <c r="E778" s="55">
        <v>262580</v>
      </c>
      <c r="F778" s="56">
        <v>2</v>
      </c>
      <c r="G778" s="3">
        <f t="shared" ref="G778:G779" si="250">TRUNC($E778*F778,1)</f>
        <v>525160</v>
      </c>
      <c r="H778" s="56">
        <v>2</v>
      </c>
      <c r="I778" s="3">
        <f t="shared" ref="I778:I779" si="251">TRUNC($E778*H778,1)</f>
        <v>525160</v>
      </c>
      <c r="J778" s="56">
        <v>2</v>
      </c>
      <c r="K778" s="3">
        <f t="shared" ref="K778:K779" si="252">TRUNC($E778*J778,1)</f>
        <v>525160</v>
      </c>
    </row>
    <row r="779" spans="2:11" ht="12.95" customHeight="1" x14ac:dyDescent="0.3">
      <c r="B779" s="52" t="s">
        <v>1</v>
      </c>
      <c r="C779" s="53"/>
      <c r="D779" s="54" t="s">
        <v>9</v>
      </c>
      <c r="E779" s="57">
        <v>172068</v>
      </c>
      <c r="F779" s="56">
        <v>1</v>
      </c>
      <c r="G779" s="3">
        <f t="shared" si="250"/>
        <v>172068</v>
      </c>
      <c r="H779" s="56">
        <v>1</v>
      </c>
      <c r="I779" s="3">
        <f t="shared" si="251"/>
        <v>172068</v>
      </c>
      <c r="J779" s="56">
        <v>1</v>
      </c>
      <c r="K779" s="3">
        <f t="shared" si="252"/>
        <v>172068</v>
      </c>
    </row>
    <row r="780" spans="2:11" ht="12.95" customHeight="1" x14ac:dyDescent="0.3">
      <c r="B780" s="58" t="s">
        <v>11</v>
      </c>
      <c r="C780" s="51"/>
      <c r="D780" s="51"/>
      <c r="E780" s="22"/>
      <c r="F780" s="22"/>
      <c r="G780" s="16">
        <f>TRUNC(SUM(G778:G779))</f>
        <v>697228</v>
      </c>
      <c r="H780" s="22"/>
      <c r="I780" s="16">
        <f>TRUNC(SUM(I778:I779))</f>
        <v>697228</v>
      </c>
      <c r="J780" s="22"/>
      <c r="K780" s="16">
        <f>TRUNC(SUM(K778:K779))</f>
        <v>697228</v>
      </c>
    </row>
    <row r="781" spans="2:11" ht="12.95" customHeight="1" x14ac:dyDescent="0.3">
      <c r="B781" s="50"/>
      <c r="C781" s="51"/>
      <c r="D781" s="51"/>
      <c r="E781" s="22"/>
      <c r="F781" s="22"/>
      <c r="G781" s="24"/>
      <c r="H781" s="22"/>
      <c r="I781" s="24"/>
      <c r="J781" s="22"/>
      <c r="K781" s="24"/>
    </row>
    <row r="782" spans="2:11" ht="12.95" customHeight="1" x14ac:dyDescent="0.3">
      <c r="B782" s="65" t="s">
        <v>13</v>
      </c>
      <c r="C782" s="51"/>
      <c r="D782" s="51"/>
      <c r="E782" s="62"/>
      <c r="F782" s="62"/>
      <c r="G782" s="29">
        <f>SUM(G776+G780)</f>
        <v>718144</v>
      </c>
      <c r="H782" s="62"/>
      <c r="I782" s="29">
        <f>SUM(I776+I780)</f>
        <v>718144</v>
      </c>
      <c r="J782" s="62"/>
      <c r="K782" s="29">
        <f>SUM(K776+K780)</f>
        <v>718144</v>
      </c>
    </row>
    <row r="783" spans="2:11" ht="12.95" customHeight="1" x14ac:dyDescent="0.3">
      <c r="B783" s="66" t="s">
        <v>189</v>
      </c>
      <c r="C783" s="67"/>
      <c r="D783" s="68"/>
      <c r="E783" s="69"/>
      <c r="F783" s="70"/>
      <c r="G783" s="71">
        <f>TRUNC(G782/G773)</f>
        <v>32642</v>
      </c>
      <c r="H783" s="70"/>
      <c r="I783" s="71">
        <f>TRUNC(I782/I773)</f>
        <v>44884</v>
      </c>
      <c r="J783" s="70"/>
      <c r="K783" s="71">
        <f>TRUNC(K782/K773)</f>
        <v>55241</v>
      </c>
    </row>
    <row r="784" spans="2:11" ht="12.95" customHeight="1" x14ac:dyDescent="0.3">
      <c r="B784" s="89" t="s">
        <v>3</v>
      </c>
      <c r="C784" s="92" t="s">
        <v>7</v>
      </c>
      <c r="D784" s="92" t="s">
        <v>8</v>
      </c>
      <c r="E784" s="92" t="s">
        <v>4</v>
      </c>
      <c r="F784" s="105" t="s">
        <v>36</v>
      </c>
      <c r="G784" s="95"/>
      <c r="H784" s="105" t="s">
        <v>37</v>
      </c>
      <c r="I784" s="95"/>
      <c r="J784" s="105" t="s">
        <v>39</v>
      </c>
      <c r="K784" s="95"/>
    </row>
    <row r="785" spans="2:11" ht="12.95" customHeight="1" x14ac:dyDescent="0.3">
      <c r="B785" s="90"/>
      <c r="C785" s="93"/>
      <c r="D785" s="93"/>
      <c r="E785" s="93"/>
      <c r="F785" s="38" t="s">
        <v>190</v>
      </c>
      <c r="G785" s="39">
        <v>11</v>
      </c>
      <c r="H785" s="38" t="s">
        <v>190</v>
      </c>
      <c r="I785" s="39">
        <v>10</v>
      </c>
      <c r="J785" s="38" t="s">
        <v>190</v>
      </c>
      <c r="K785" s="73">
        <v>8.5</v>
      </c>
    </row>
    <row r="786" spans="2:11" ht="12.95" customHeight="1" x14ac:dyDescent="0.3">
      <c r="B786" s="91"/>
      <c r="C786" s="94"/>
      <c r="D786" s="94"/>
      <c r="E786" s="94"/>
      <c r="F786" s="40" t="s">
        <v>21</v>
      </c>
      <c r="G786" s="41" t="s">
        <v>173</v>
      </c>
      <c r="H786" s="40" t="s">
        <v>21</v>
      </c>
      <c r="I786" s="41" t="s">
        <v>173</v>
      </c>
      <c r="J786" s="40" t="s">
        <v>21</v>
      </c>
      <c r="K786" s="41" t="s">
        <v>173</v>
      </c>
    </row>
    <row r="787" spans="2:11" ht="12.95" customHeight="1" x14ac:dyDescent="0.3">
      <c r="B787" s="42" t="s">
        <v>53</v>
      </c>
      <c r="C787" s="43" t="s">
        <v>82</v>
      </c>
      <c r="D787" s="44" t="s">
        <v>15</v>
      </c>
      <c r="E787" s="45"/>
      <c r="F787" s="21">
        <v>1</v>
      </c>
      <c r="G787" s="5">
        <f>TRUNC(SUM(G790:G791)*0.03,1)</f>
        <v>20916.8</v>
      </c>
      <c r="H787" s="21">
        <v>1</v>
      </c>
      <c r="I787" s="5">
        <f>TRUNC(SUM(I790:I791)*0.03,1)</f>
        <v>20916.8</v>
      </c>
      <c r="J787" s="21">
        <v>1</v>
      </c>
      <c r="K787" s="5">
        <f>TRUNC(SUM(K790:K791)*0.03,1)</f>
        <v>20916.8</v>
      </c>
    </row>
    <row r="788" spans="2:11" ht="12.95" customHeight="1" x14ac:dyDescent="0.3">
      <c r="B788" s="46" t="s">
        <v>10</v>
      </c>
      <c r="C788" s="47"/>
      <c r="D788" s="48"/>
      <c r="E788" s="49"/>
      <c r="F788" s="25"/>
      <c r="G788" s="12">
        <f>TRUNC(SUM(G787))</f>
        <v>20916</v>
      </c>
      <c r="H788" s="25"/>
      <c r="I788" s="12">
        <f>TRUNC(SUM(I787))</f>
        <v>20916</v>
      </c>
      <c r="J788" s="25"/>
      <c r="K788" s="12">
        <f>TRUNC(SUM(K787))</f>
        <v>20916</v>
      </c>
    </row>
    <row r="789" spans="2:11" ht="12.95" customHeight="1" x14ac:dyDescent="0.3">
      <c r="B789" s="50"/>
      <c r="C789" s="51"/>
      <c r="D789" s="51"/>
      <c r="E789" s="22"/>
      <c r="F789" s="15"/>
      <c r="G789" s="24"/>
      <c r="H789" s="15"/>
      <c r="I789" s="24"/>
      <c r="J789" s="15"/>
      <c r="K789" s="24"/>
    </row>
    <row r="790" spans="2:11" ht="12.95" customHeight="1" x14ac:dyDescent="0.3">
      <c r="B790" s="52" t="s">
        <v>29</v>
      </c>
      <c r="C790" s="53"/>
      <c r="D790" s="54" t="s">
        <v>9</v>
      </c>
      <c r="E790" s="55">
        <v>262580</v>
      </c>
      <c r="F790" s="56">
        <v>2</v>
      </c>
      <c r="G790" s="3">
        <f t="shared" ref="G790:G791" si="253">TRUNC($E790*F790,1)</f>
        <v>525160</v>
      </c>
      <c r="H790" s="56">
        <v>2</v>
      </c>
      <c r="I790" s="3">
        <f t="shared" ref="I790:I791" si="254">TRUNC($E790*H790,1)</f>
        <v>525160</v>
      </c>
      <c r="J790" s="56">
        <v>2</v>
      </c>
      <c r="K790" s="3">
        <f t="shared" ref="K790:K791" si="255">TRUNC($E790*J790,1)</f>
        <v>525160</v>
      </c>
    </row>
    <row r="791" spans="2:11" ht="12.95" customHeight="1" x14ac:dyDescent="0.3">
      <c r="B791" s="52" t="s">
        <v>1</v>
      </c>
      <c r="C791" s="53"/>
      <c r="D791" s="54" t="s">
        <v>9</v>
      </c>
      <c r="E791" s="57">
        <v>172068</v>
      </c>
      <c r="F791" s="56">
        <v>1</v>
      </c>
      <c r="G791" s="3">
        <f t="shared" si="253"/>
        <v>172068</v>
      </c>
      <c r="H791" s="56">
        <v>1</v>
      </c>
      <c r="I791" s="3">
        <f t="shared" si="254"/>
        <v>172068</v>
      </c>
      <c r="J791" s="56">
        <v>1</v>
      </c>
      <c r="K791" s="3">
        <f t="shared" si="255"/>
        <v>172068</v>
      </c>
    </row>
    <row r="792" spans="2:11" ht="12.95" customHeight="1" x14ac:dyDescent="0.3">
      <c r="B792" s="58" t="s">
        <v>11</v>
      </c>
      <c r="C792" s="51"/>
      <c r="D792" s="51"/>
      <c r="E792" s="22"/>
      <c r="F792" s="22"/>
      <c r="G792" s="16">
        <f>TRUNC(SUM(G790:G791))</f>
        <v>697228</v>
      </c>
      <c r="H792" s="22"/>
      <c r="I792" s="16">
        <f>TRUNC(SUM(I790:I791))</f>
        <v>697228</v>
      </c>
      <c r="J792" s="22"/>
      <c r="K792" s="16">
        <f>TRUNC(SUM(K790:K791))</f>
        <v>697228</v>
      </c>
    </row>
    <row r="793" spans="2:11" ht="12.95" customHeight="1" x14ac:dyDescent="0.3">
      <c r="B793" s="50"/>
      <c r="C793" s="51"/>
      <c r="D793" s="51"/>
      <c r="E793" s="22"/>
      <c r="F793" s="22"/>
      <c r="G793" s="24"/>
      <c r="H793" s="22"/>
      <c r="I793" s="24"/>
      <c r="J793" s="22"/>
      <c r="K793" s="24"/>
    </row>
    <row r="794" spans="2:11" ht="12.95" customHeight="1" x14ac:dyDescent="0.3">
      <c r="B794" s="65" t="s">
        <v>13</v>
      </c>
      <c r="C794" s="51"/>
      <c r="D794" s="51"/>
      <c r="E794" s="62"/>
      <c r="F794" s="62"/>
      <c r="G794" s="29">
        <f>SUM(G788+G792)</f>
        <v>718144</v>
      </c>
      <c r="H794" s="62"/>
      <c r="I794" s="29">
        <f>SUM(I788+I792)</f>
        <v>718144</v>
      </c>
      <c r="J794" s="62"/>
      <c r="K794" s="29">
        <f>SUM(K788+K792)</f>
        <v>718144</v>
      </c>
    </row>
    <row r="795" spans="2:11" ht="12.95" customHeight="1" x14ac:dyDescent="0.3">
      <c r="B795" s="66" t="s">
        <v>189</v>
      </c>
      <c r="C795" s="67"/>
      <c r="D795" s="68"/>
      <c r="E795" s="69"/>
      <c r="F795" s="70"/>
      <c r="G795" s="71">
        <f>TRUNC(G794/G785)</f>
        <v>65285</v>
      </c>
      <c r="H795" s="70"/>
      <c r="I795" s="71">
        <f>TRUNC(I794/I785)</f>
        <v>71814</v>
      </c>
      <c r="J795" s="70"/>
      <c r="K795" s="71">
        <f>TRUNC(K794/K785)</f>
        <v>84487</v>
      </c>
    </row>
    <row r="796" spans="2:11" ht="12.95" customHeight="1" x14ac:dyDescent="0.3">
      <c r="B796" s="89" t="s">
        <v>3</v>
      </c>
      <c r="C796" s="92" t="s">
        <v>7</v>
      </c>
      <c r="D796" s="92" t="s">
        <v>8</v>
      </c>
      <c r="E796" s="92" t="s">
        <v>4</v>
      </c>
      <c r="F796" s="105" t="s">
        <v>40</v>
      </c>
      <c r="G796" s="95"/>
      <c r="H796" s="105" t="s">
        <v>41</v>
      </c>
      <c r="I796" s="95"/>
      <c r="J796" s="105" t="s">
        <v>43</v>
      </c>
      <c r="K796" s="95"/>
    </row>
    <row r="797" spans="2:11" ht="12.95" customHeight="1" x14ac:dyDescent="0.3">
      <c r="B797" s="90"/>
      <c r="C797" s="93"/>
      <c r="D797" s="93"/>
      <c r="E797" s="93"/>
      <c r="F797" s="38" t="s">
        <v>190</v>
      </c>
      <c r="G797" s="73">
        <v>7.5</v>
      </c>
      <c r="H797" s="38" t="s">
        <v>190</v>
      </c>
      <c r="I797" s="73">
        <v>7</v>
      </c>
      <c r="J797" s="38" t="s">
        <v>190</v>
      </c>
      <c r="K797" s="73">
        <v>7</v>
      </c>
    </row>
    <row r="798" spans="2:11" ht="12.95" customHeight="1" x14ac:dyDescent="0.3">
      <c r="B798" s="91"/>
      <c r="C798" s="94"/>
      <c r="D798" s="94"/>
      <c r="E798" s="94"/>
      <c r="F798" s="40" t="s">
        <v>21</v>
      </c>
      <c r="G798" s="41" t="s">
        <v>173</v>
      </c>
      <c r="H798" s="40" t="s">
        <v>21</v>
      </c>
      <c r="I798" s="41" t="s">
        <v>173</v>
      </c>
      <c r="J798" s="40" t="s">
        <v>21</v>
      </c>
      <c r="K798" s="41" t="s">
        <v>173</v>
      </c>
    </row>
    <row r="799" spans="2:11" ht="12.95" customHeight="1" x14ac:dyDescent="0.3">
      <c r="B799" s="42" t="s">
        <v>53</v>
      </c>
      <c r="C799" s="43" t="s">
        <v>82</v>
      </c>
      <c r="D799" s="44" t="s">
        <v>15</v>
      </c>
      <c r="E799" s="45"/>
      <c r="F799" s="21">
        <v>1</v>
      </c>
      <c r="G799" s="5">
        <f>TRUNC(SUM(G802:G803)*0.03,1)</f>
        <v>20916.8</v>
      </c>
      <c r="H799" s="21">
        <v>1</v>
      </c>
      <c r="I799" s="5">
        <f>TRUNC(SUM(I802:I803)*0.03,1)</f>
        <v>20916.8</v>
      </c>
      <c r="J799" s="21">
        <v>1</v>
      </c>
      <c r="K799" s="5">
        <f>TRUNC(SUM(K802:K803)*0.03,1)</f>
        <v>20916.8</v>
      </c>
    </row>
    <row r="800" spans="2:11" ht="12.95" customHeight="1" x14ac:dyDescent="0.3">
      <c r="B800" s="46" t="s">
        <v>10</v>
      </c>
      <c r="C800" s="47"/>
      <c r="D800" s="48"/>
      <c r="E800" s="49"/>
      <c r="F800" s="25"/>
      <c r="G800" s="12">
        <f>TRUNC(SUM(G799))</f>
        <v>20916</v>
      </c>
      <c r="H800" s="25"/>
      <c r="I800" s="12">
        <f>TRUNC(SUM(I799))</f>
        <v>20916</v>
      </c>
      <c r="J800" s="25"/>
      <c r="K800" s="12">
        <f>TRUNC(SUM(K799))</f>
        <v>20916</v>
      </c>
    </row>
    <row r="801" spans="2:11" ht="12.95" customHeight="1" x14ac:dyDescent="0.3">
      <c r="B801" s="50"/>
      <c r="C801" s="51"/>
      <c r="D801" s="51"/>
      <c r="E801" s="22"/>
      <c r="F801" s="15"/>
      <c r="G801" s="24"/>
      <c r="H801" s="15"/>
      <c r="I801" s="24"/>
      <c r="J801" s="15"/>
      <c r="K801" s="24"/>
    </row>
    <row r="802" spans="2:11" ht="12.95" customHeight="1" x14ac:dyDescent="0.3">
      <c r="B802" s="52" t="s">
        <v>29</v>
      </c>
      <c r="C802" s="53"/>
      <c r="D802" s="54" t="s">
        <v>9</v>
      </c>
      <c r="E802" s="55">
        <v>262580</v>
      </c>
      <c r="F802" s="56">
        <v>2</v>
      </c>
      <c r="G802" s="3">
        <f t="shared" ref="G802:G803" si="256">TRUNC($E802*F802,1)</f>
        <v>525160</v>
      </c>
      <c r="H802" s="56">
        <v>2</v>
      </c>
      <c r="I802" s="3">
        <f t="shared" ref="I802:I803" si="257">TRUNC($E802*H802,1)</f>
        <v>525160</v>
      </c>
      <c r="J802" s="56">
        <v>2</v>
      </c>
      <c r="K802" s="3">
        <f t="shared" ref="K802:K803" si="258">TRUNC($E802*J802,1)</f>
        <v>525160</v>
      </c>
    </row>
    <row r="803" spans="2:11" ht="12.95" customHeight="1" x14ac:dyDescent="0.3">
      <c r="B803" s="52" t="s">
        <v>1</v>
      </c>
      <c r="C803" s="53"/>
      <c r="D803" s="54" t="s">
        <v>9</v>
      </c>
      <c r="E803" s="57">
        <v>172068</v>
      </c>
      <c r="F803" s="56">
        <v>1</v>
      </c>
      <c r="G803" s="3">
        <f t="shared" si="256"/>
        <v>172068</v>
      </c>
      <c r="H803" s="56">
        <v>1</v>
      </c>
      <c r="I803" s="3">
        <f t="shared" si="257"/>
        <v>172068</v>
      </c>
      <c r="J803" s="56">
        <v>1</v>
      </c>
      <c r="K803" s="3">
        <f t="shared" si="258"/>
        <v>172068</v>
      </c>
    </row>
    <row r="804" spans="2:11" ht="12.95" customHeight="1" x14ac:dyDescent="0.3">
      <c r="B804" s="58" t="s">
        <v>11</v>
      </c>
      <c r="C804" s="51"/>
      <c r="D804" s="51"/>
      <c r="E804" s="22"/>
      <c r="F804" s="22"/>
      <c r="G804" s="16">
        <f>TRUNC(SUM(G802:G803))</f>
        <v>697228</v>
      </c>
      <c r="H804" s="22"/>
      <c r="I804" s="16">
        <f>TRUNC(SUM(I802:I803))</f>
        <v>697228</v>
      </c>
      <c r="J804" s="22"/>
      <c r="K804" s="16">
        <f>TRUNC(SUM(K802:K803))</f>
        <v>697228</v>
      </c>
    </row>
    <row r="805" spans="2:11" ht="12.95" customHeight="1" x14ac:dyDescent="0.3">
      <c r="B805" s="50"/>
      <c r="C805" s="51"/>
      <c r="D805" s="51"/>
      <c r="E805" s="22"/>
      <c r="F805" s="22"/>
      <c r="G805" s="24"/>
      <c r="H805" s="22"/>
      <c r="I805" s="24"/>
      <c r="J805" s="22"/>
      <c r="K805" s="24"/>
    </row>
    <row r="806" spans="2:11" ht="12.95" customHeight="1" x14ac:dyDescent="0.3">
      <c r="B806" s="65" t="s">
        <v>13</v>
      </c>
      <c r="C806" s="51"/>
      <c r="D806" s="51"/>
      <c r="E806" s="62"/>
      <c r="F806" s="62"/>
      <c r="G806" s="29">
        <f>SUM(G800+G804)</f>
        <v>718144</v>
      </c>
      <c r="H806" s="62"/>
      <c r="I806" s="29">
        <f>SUM(I800+I804)</f>
        <v>718144</v>
      </c>
      <c r="J806" s="62"/>
      <c r="K806" s="29">
        <f>SUM(K800+K804)</f>
        <v>718144</v>
      </c>
    </row>
    <row r="807" spans="2:11" ht="12.95" customHeight="1" x14ac:dyDescent="0.3">
      <c r="B807" s="66" t="s">
        <v>189</v>
      </c>
      <c r="C807" s="67"/>
      <c r="D807" s="68"/>
      <c r="E807" s="69"/>
      <c r="F807" s="70"/>
      <c r="G807" s="71">
        <f>TRUNC(G806/G797)</f>
        <v>95752</v>
      </c>
      <c r="H807" s="70"/>
      <c r="I807" s="71">
        <f>TRUNC(I806/I797)</f>
        <v>102592</v>
      </c>
      <c r="J807" s="70"/>
      <c r="K807" s="71">
        <f>TRUNC(K806/K797)</f>
        <v>102592</v>
      </c>
    </row>
    <row r="809" spans="2:11" ht="12.95" customHeight="1" x14ac:dyDescent="0.3">
      <c r="B809" s="1" t="s">
        <v>162</v>
      </c>
      <c r="K809" s="37" t="s">
        <v>169</v>
      </c>
    </row>
    <row r="810" spans="2:11" ht="12.95" customHeight="1" x14ac:dyDescent="0.3">
      <c r="B810" s="89" t="s">
        <v>3</v>
      </c>
      <c r="C810" s="92" t="s">
        <v>7</v>
      </c>
      <c r="D810" s="92" t="s">
        <v>8</v>
      </c>
      <c r="E810" s="92" t="s">
        <v>4</v>
      </c>
      <c r="F810" s="105" t="s">
        <v>75</v>
      </c>
      <c r="G810" s="95"/>
      <c r="H810" s="105" t="s">
        <v>85</v>
      </c>
      <c r="I810" s="95"/>
      <c r="J810" s="105" t="s">
        <v>76</v>
      </c>
      <c r="K810" s="95"/>
    </row>
    <row r="811" spans="2:11" ht="12.95" customHeight="1" x14ac:dyDescent="0.3">
      <c r="B811" s="90"/>
      <c r="C811" s="93"/>
      <c r="D811" s="93"/>
      <c r="E811" s="93"/>
      <c r="F811" s="38" t="s">
        <v>190</v>
      </c>
      <c r="G811" s="39">
        <v>23</v>
      </c>
      <c r="H811" s="38" t="s">
        <v>190</v>
      </c>
      <c r="I811" s="39">
        <v>15</v>
      </c>
      <c r="J811" s="38" t="s">
        <v>190</v>
      </c>
      <c r="K811" s="39">
        <v>12</v>
      </c>
    </row>
    <row r="812" spans="2:11" ht="12.95" customHeight="1" x14ac:dyDescent="0.3">
      <c r="B812" s="91"/>
      <c r="C812" s="94"/>
      <c r="D812" s="94"/>
      <c r="E812" s="94"/>
      <c r="F812" s="40" t="s">
        <v>21</v>
      </c>
      <c r="G812" s="41" t="s">
        <v>173</v>
      </c>
      <c r="H812" s="40" t="s">
        <v>21</v>
      </c>
      <c r="I812" s="41" t="s">
        <v>173</v>
      </c>
      <c r="J812" s="40" t="s">
        <v>21</v>
      </c>
      <c r="K812" s="41" t="s">
        <v>173</v>
      </c>
    </row>
    <row r="813" spans="2:11" ht="12.95" customHeight="1" x14ac:dyDescent="0.3">
      <c r="B813" s="42" t="s">
        <v>53</v>
      </c>
      <c r="C813" s="43" t="s">
        <v>83</v>
      </c>
      <c r="D813" s="44" t="s">
        <v>15</v>
      </c>
      <c r="E813" s="45"/>
      <c r="F813" s="21">
        <v>1</v>
      </c>
      <c r="G813" s="5">
        <f>TRUNC(SUM(G816:G817)*0.07,1)</f>
        <v>48805.9</v>
      </c>
      <c r="H813" s="21">
        <v>1</v>
      </c>
      <c r="I813" s="5">
        <f>TRUNC(SUM(I816:I817)*0.07,1)</f>
        <v>48805.9</v>
      </c>
      <c r="J813" s="21">
        <v>1</v>
      </c>
      <c r="K813" s="5">
        <f>TRUNC(SUM(K816:K817)*0.07,1)</f>
        <v>48805.9</v>
      </c>
    </row>
    <row r="814" spans="2:11" ht="12.95" customHeight="1" x14ac:dyDescent="0.3">
      <c r="B814" s="46" t="s">
        <v>10</v>
      </c>
      <c r="C814" s="47"/>
      <c r="D814" s="48"/>
      <c r="E814" s="49"/>
      <c r="F814" s="25"/>
      <c r="G814" s="12">
        <f>TRUNC(SUM(G813))</f>
        <v>48805</v>
      </c>
      <c r="H814" s="25"/>
      <c r="I814" s="12">
        <f>TRUNC(SUM(I813))</f>
        <v>48805</v>
      </c>
      <c r="J814" s="25"/>
      <c r="K814" s="12">
        <f>TRUNC(SUM(K813))</f>
        <v>48805</v>
      </c>
    </row>
    <row r="815" spans="2:11" ht="12.95" customHeight="1" x14ac:dyDescent="0.3">
      <c r="B815" s="50"/>
      <c r="C815" s="51"/>
      <c r="D815" s="51"/>
      <c r="E815" s="22"/>
      <c r="F815" s="15"/>
      <c r="G815" s="24"/>
      <c r="H815" s="15"/>
      <c r="I815" s="24"/>
      <c r="J815" s="15"/>
      <c r="K815" s="24"/>
    </row>
    <row r="816" spans="2:11" ht="12.95" customHeight="1" x14ac:dyDescent="0.3">
      <c r="B816" s="52" t="s">
        <v>29</v>
      </c>
      <c r="C816" s="53"/>
      <c r="D816" s="54" t="s">
        <v>9</v>
      </c>
      <c r="E816" s="55">
        <v>262580</v>
      </c>
      <c r="F816" s="56">
        <v>2</v>
      </c>
      <c r="G816" s="3">
        <f t="shared" ref="G816:G817" si="259">TRUNC($E816*F816,1)</f>
        <v>525160</v>
      </c>
      <c r="H816" s="56">
        <v>2</v>
      </c>
      <c r="I816" s="3">
        <f t="shared" ref="I816:I817" si="260">TRUNC($E816*H816,1)</f>
        <v>525160</v>
      </c>
      <c r="J816" s="56">
        <v>2</v>
      </c>
      <c r="K816" s="3">
        <f t="shared" ref="K816:K817" si="261">TRUNC($E816*J816,1)</f>
        <v>525160</v>
      </c>
    </row>
    <row r="817" spans="2:11" ht="12.95" customHeight="1" x14ac:dyDescent="0.3">
      <c r="B817" s="52" t="s">
        <v>1</v>
      </c>
      <c r="C817" s="53"/>
      <c r="D817" s="54" t="s">
        <v>9</v>
      </c>
      <c r="E817" s="57">
        <v>172068</v>
      </c>
      <c r="F817" s="56">
        <v>1</v>
      </c>
      <c r="G817" s="3">
        <f t="shared" si="259"/>
        <v>172068</v>
      </c>
      <c r="H817" s="56">
        <v>1</v>
      </c>
      <c r="I817" s="3">
        <f t="shared" si="260"/>
        <v>172068</v>
      </c>
      <c r="J817" s="56">
        <v>1</v>
      </c>
      <c r="K817" s="3">
        <f t="shared" si="261"/>
        <v>172068</v>
      </c>
    </row>
    <row r="818" spans="2:11" ht="12.95" customHeight="1" x14ac:dyDescent="0.3">
      <c r="B818" s="58" t="s">
        <v>11</v>
      </c>
      <c r="C818" s="51"/>
      <c r="D818" s="51"/>
      <c r="E818" s="22"/>
      <c r="F818" s="22"/>
      <c r="G818" s="16">
        <f>TRUNC(SUM(G816:G817))</f>
        <v>697228</v>
      </c>
      <c r="H818" s="22"/>
      <c r="I818" s="16">
        <f>TRUNC(SUM(I816:I817))</f>
        <v>697228</v>
      </c>
      <c r="J818" s="22"/>
      <c r="K818" s="16">
        <f>TRUNC(SUM(K816:K817))</f>
        <v>697228</v>
      </c>
    </row>
    <row r="819" spans="2:11" ht="12.95" customHeight="1" x14ac:dyDescent="0.3">
      <c r="B819" s="50"/>
      <c r="C819" s="51"/>
      <c r="D819" s="51"/>
      <c r="E819" s="22"/>
      <c r="F819" s="22"/>
      <c r="G819" s="24"/>
      <c r="H819" s="22"/>
      <c r="I819" s="24"/>
      <c r="J819" s="22"/>
      <c r="K819" s="24"/>
    </row>
    <row r="820" spans="2:11" ht="12.95" customHeight="1" x14ac:dyDescent="0.3">
      <c r="B820" s="65" t="s">
        <v>13</v>
      </c>
      <c r="C820" s="51"/>
      <c r="D820" s="51"/>
      <c r="E820" s="62"/>
      <c r="F820" s="62"/>
      <c r="G820" s="29">
        <f>SUM(G814+G818)</f>
        <v>746033</v>
      </c>
      <c r="H820" s="62"/>
      <c r="I820" s="29">
        <f>SUM(I814+I818)</f>
        <v>746033</v>
      </c>
      <c r="J820" s="62"/>
      <c r="K820" s="29">
        <f>SUM(K814+K818)</f>
        <v>746033</v>
      </c>
    </row>
    <row r="821" spans="2:11" ht="12.95" customHeight="1" x14ac:dyDescent="0.3">
      <c r="B821" s="66" t="s">
        <v>189</v>
      </c>
      <c r="C821" s="67"/>
      <c r="D821" s="68"/>
      <c r="E821" s="69"/>
      <c r="F821" s="70"/>
      <c r="G821" s="71">
        <f>TRUNC(G820/G811)</f>
        <v>32436</v>
      </c>
      <c r="H821" s="70"/>
      <c r="I821" s="71">
        <f>TRUNC(I820/I811)</f>
        <v>49735</v>
      </c>
      <c r="J821" s="70"/>
      <c r="K821" s="71">
        <f>TRUNC(K820/K811)</f>
        <v>62169</v>
      </c>
    </row>
    <row r="823" spans="2:11" ht="12.95" customHeight="1" x14ac:dyDescent="0.3">
      <c r="B823" s="1" t="s">
        <v>163</v>
      </c>
      <c r="K823" s="37" t="s">
        <v>169</v>
      </c>
    </row>
    <row r="824" spans="2:11" ht="12.95" customHeight="1" x14ac:dyDescent="0.3">
      <c r="B824" s="89" t="s">
        <v>3</v>
      </c>
      <c r="C824" s="92" t="s">
        <v>7</v>
      </c>
      <c r="D824" s="92" t="s">
        <v>8</v>
      </c>
      <c r="E824" s="92" t="s">
        <v>4</v>
      </c>
      <c r="F824" s="105" t="s">
        <v>75</v>
      </c>
      <c r="G824" s="95"/>
      <c r="H824" s="105" t="s">
        <v>85</v>
      </c>
      <c r="I824" s="95"/>
      <c r="J824" s="105" t="s">
        <v>76</v>
      </c>
      <c r="K824" s="95"/>
    </row>
    <row r="825" spans="2:11" ht="12.95" customHeight="1" x14ac:dyDescent="0.3">
      <c r="B825" s="90"/>
      <c r="C825" s="93"/>
      <c r="D825" s="93"/>
      <c r="E825" s="93"/>
      <c r="F825" s="38" t="s">
        <v>190</v>
      </c>
      <c r="G825" s="39">
        <v>20</v>
      </c>
      <c r="H825" s="38" t="s">
        <v>190</v>
      </c>
      <c r="I825" s="39">
        <v>13</v>
      </c>
      <c r="J825" s="38" t="s">
        <v>190</v>
      </c>
      <c r="K825" s="39">
        <v>10</v>
      </c>
    </row>
    <row r="826" spans="2:11" ht="12.95" customHeight="1" x14ac:dyDescent="0.3">
      <c r="B826" s="91"/>
      <c r="C826" s="94"/>
      <c r="D826" s="94"/>
      <c r="E826" s="94"/>
      <c r="F826" s="40" t="s">
        <v>21</v>
      </c>
      <c r="G826" s="41" t="s">
        <v>173</v>
      </c>
      <c r="H826" s="40" t="s">
        <v>21</v>
      </c>
      <c r="I826" s="41" t="s">
        <v>173</v>
      </c>
      <c r="J826" s="40" t="s">
        <v>21</v>
      </c>
      <c r="K826" s="41" t="s">
        <v>173</v>
      </c>
    </row>
    <row r="827" spans="2:11" ht="12.95" customHeight="1" x14ac:dyDescent="0.3">
      <c r="B827" s="42" t="s">
        <v>53</v>
      </c>
      <c r="C827" s="43" t="s">
        <v>196</v>
      </c>
      <c r="D827" s="44" t="s">
        <v>15</v>
      </c>
      <c r="E827" s="45"/>
      <c r="F827" s="21">
        <v>1</v>
      </c>
      <c r="G827" s="5">
        <f>TRUNC(SUM(G830:G831)*0.12,1)</f>
        <v>83667.3</v>
      </c>
      <c r="H827" s="21">
        <v>1</v>
      </c>
      <c r="I827" s="5">
        <f>TRUNC(SUM(I830:I831)*0.12,1)</f>
        <v>83667.3</v>
      </c>
      <c r="J827" s="21">
        <v>1</v>
      </c>
      <c r="K827" s="5">
        <f>TRUNC(SUM(K830:K831)*0.12,1)</f>
        <v>83667.3</v>
      </c>
    </row>
    <row r="828" spans="2:11" ht="12.95" customHeight="1" x14ac:dyDescent="0.3">
      <c r="B828" s="46" t="s">
        <v>10</v>
      </c>
      <c r="C828" s="47"/>
      <c r="D828" s="48"/>
      <c r="E828" s="49"/>
      <c r="F828" s="25"/>
      <c r="G828" s="12">
        <f>TRUNC(SUM(G827))</f>
        <v>83667</v>
      </c>
      <c r="H828" s="25"/>
      <c r="I828" s="12">
        <f>TRUNC(SUM(I827))</f>
        <v>83667</v>
      </c>
      <c r="J828" s="25"/>
      <c r="K828" s="12">
        <f>TRUNC(SUM(K827))</f>
        <v>83667</v>
      </c>
    </row>
    <row r="829" spans="2:11" ht="12.95" customHeight="1" x14ac:dyDescent="0.3">
      <c r="B829" s="50"/>
      <c r="C829" s="51"/>
      <c r="D829" s="51"/>
      <c r="E829" s="22"/>
      <c r="F829" s="15"/>
      <c r="G829" s="24"/>
      <c r="H829" s="15"/>
      <c r="I829" s="24"/>
      <c r="J829" s="15"/>
      <c r="K829" s="24"/>
    </row>
    <row r="830" spans="2:11" ht="12.95" customHeight="1" x14ac:dyDescent="0.3">
      <c r="B830" s="52" t="s">
        <v>29</v>
      </c>
      <c r="C830" s="53"/>
      <c r="D830" s="54" t="s">
        <v>9</v>
      </c>
      <c r="E830" s="55">
        <v>262580</v>
      </c>
      <c r="F830" s="56">
        <v>2</v>
      </c>
      <c r="G830" s="3">
        <f t="shared" ref="G830:G831" si="262">TRUNC($E830*F830,1)</f>
        <v>525160</v>
      </c>
      <c r="H830" s="56">
        <v>2</v>
      </c>
      <c r="I830" s="3">
        <f t="shared" ref="I830:I831" si="263">TRUNC($E830*H830,1)</f>
        <v>525160</v>
      </c>
      <c r="J830" s="56">
        <v>2</v>
      </c>
      <c r="K830" s="3">
        <f t="shared" ref="K830:K831" si="264">TRUNC($E830*J830,1)</f>
        <v>525160</v>
      </c>
    </row>
    <row r="831" spans="2:11" ht="12.95" customHeight="1" x14ac:dyDescent="0.3">
      <c r="B831" s="52" t="s">
        <v>1</v>
      </c>
      <c r="C831" s="53"/>
      <c r="D831" s="54" t="s">
        <v>9</v>
      </c>
      <c r="E831" s="57">
        <v>172068</v>
      </c>
      <c r="F831" s="56">
        <v>1</v>
      </c>
      <c r="G831" s="3">
        <f t="shared" si="262"/>
        <v>172068</v>
      </c>
      <c r="H831" s="56">
        <v>1</v>
      </c>
      <c r="I831" s="3">
        <f t="shared" si="263"/>
        <v>172068</v>
      </c>
      <c r="J831" s="56">
        <v>1</v>
      </c>
      <c r="K831" s="3">
        <f t="shared" si="264"/>
        <v>172068</v>
      </c>
    </row>
    <row r="832" spans="2:11" ht="12.95" customHeight="1" x14ac:dyDescent="0.3">
      <c r="B832" s="58" t="s">
        <v>11</v>
      </c>
      <c r="C832" s="51"/>
      <c r="D832" s="51"/>
      <c r="E832" s="22"/>
      <c r="F832" s="22"/>
      <c r="G832" s="16">
        <f>TRUNC(SUM(G830:G831))</f>
        <v>697228</v>
      </c>
      <c r="H832" s="22"/>
      <c r="I832" s="16">
        <f>TRUNC(SUM(I830:I831))</f>
        <v>697228</v>
      </c>
      <c r="J832" s="22"/>
      <c r="K832" s="16">
        <f>TRUNC(SUM(K830:K831))</f>
        <v>697228</v>
      </c>
    </row>
    <row r="833" spans="2:11" ht="12.95" customHeight="1" x14ac:dyDescent="0.3">
      <c r="B833" s="50"/>
      <c r="C833" s="51"/>
      <c r="D833" s="51"/>
      <c r="E833" s="22"/>
      <c r="F833" s="22"/>
      <c r="G833" s="24"/>
      <c r="H833" s="22"/>
      <c r="I833" s="24"/>
      <c r="J833" s="22"/>
      <c r="K833" s="24"/>
    </row>
    <row r="834" spans="2:11" ht="12.95" customHeight="1" x14ac:dyDescent="0.3">
      <c r="B834" s="65" t="s">
        <v>13</v>
      </c>
      <c r="C834" s="51"/>
      <c r="D834" s="51"/>
      <c r="E834" s="62"/>
      <c r="F834" s="62"/>
      <c r="G834" s="29">
        <f>SUM(G828+G832)</f>
        <v>780895</v>
      </c>
      <c r="H834" s="62"/>
      <c r="I834" s="29">
        <f>SUM(I828+I832)</f>
        <v>780895</v>
      </c>
      <c r="J834" s="62"/>
      <c r="K834" s="29">
        <f>SUM(K828+K832)</f>
        <v>780895</v>
      </c>
    </row>
    <row r="835" spans="2:11" ht="12.95" customHeight="1" x14ac:dyDescent="0.3">
      <c r="B835" s="66" t="s">
        <v>189</v>
      </c>
      <c r="C835" s="67"/>
      <c r="D835" s="68"/>
      <c r="E835" s="69"/>
      <c r="F835" s="70"/>
      <c r="G835" s="71">
        <f>TRUNC(G834/G825)</f>
        <v>39044</v>
      </c>
      <c r="H835" s="70"/>
      <c r="I835" s="71">
        <f>TRUNC(I834/I825)</f>
        <v>60068</v>
      </c>
      <c r="J835" s="70"/>
      <c r="K835" s="71">
        <f>TRUNC(K834/K825)</f>
        <v>78089</v>
      </c>
    </row>
    <row r="836" spans="2:11" ht="12.95" customHeight="1" x14ac:dyDescent="0.3">
      <c r="B836" s="89" t="s">
        <v>3</v>
      </c>
      <c r="C836" s="92" t="s">
        <v>7</v>
      </c>
      <c r="D836" s="92" t="s">
        <v>8</v>
      </c>
      <c r="E836" s="92" t="s">
        <v>4</v>
      </c>
      <c r="F836" s="105" t="s">
        <v>27</v>
      </c>
      <c r="G836" s="95"/>
      <c r="H836" s="105" t="s">
        <v>55</v>
      </c>
      <c r="I836" s="95"/>
      <c r="J836" s="105" t="s">
        <v>28</v>
      </c>
      <c r="K836" s="95"/>
    </row>
    <row r="837" spans="2:11" ht="12.95" customHeight="1" x14ac:dyDescent="0.3">
      <c r="B837" s="90"/>
      <c r="C837" s="93"/>
      <c r="D837" s="93"/>
      <c r="E837" s="93"/>
      <c r="F837" s="38" t="s">
        <v>190</v>
      </c>
      <c r="G837" s="39">
        <v>9</v>
      </c>
      <c r="H837" s="38" t="s">
        <v>190</v>
      </c>
      <c r="I837" s="73">
        <v>7.5</v>
      </c>
      <c r="J837" s="38" t="s">
        <v>190</v>
      </c>
      <c r="K837" s="73">
        <v>7</v>
      </c>
    </row>
    <row r="838" spans="2:11" ht="12.95" customHeight="1" x14ac:dyDescent="0.3">
      <c r="B838" s="91"/>
      <c r="C838" s="94"/>
      <c r="D838" s="94"/>
      <c r="E838" s="94"/>
      <c r="F838" s="40" t="s">
        <v>21</v>
      </c>
      <c r="G838" s="41" t="s">
        <v>173</v>
      </c>
      <c r="H838" s="40" t="s">
        <v>21</v>
      </c>
      <c r="I838" s="41" t="s">
        <v>173</v>
      </c>
      <c r="J838" s="40" t="s">
        <v>21</v>
      </c>
      <c r="K838" s="41" t="s">
        <v>173</v>
      </c>
    </row>
    <row r="839" spans="2:11" ht="12.95" customHeight="1" x14ac:dyDescent="0.3">
      <c r="B839" s="42" t="s">
        <v>53</v>
      </c>
      <c r="C839" s="43" t="s">
        <v>197</v>
      </c>
      <c r="D839" s="44" t="s">
        <v>15</v>
      </c>
      <c r="E839" s="45"/>
      <c r="F839" s="21">
        <v>1</v>
      </c>
      <c r="G839" s="5">
        <f>TRUNC(SUM(G842:G843)*0.14,1)</f>
        <v>97611.9</v>
      </c>
      <c r="H839" s="21">
        <v>1</v>
      </c>
      <c r="I839" s="5">
        <f>TRUNC(SUM(I842:I843)*0.14,1)</f>
        <v>97611.9</v>
      </c>
      <c r="J839" s="21">
        <v>1</v>
      </c>
      <c r="K839" s="5">
        <f>TRUNC(SUM(K842:K843)*0.14,1)</f>
        <v>97611.9</v>
      </c>
    </row>
    <row r="840" spans="2:11" ht="12.95" customHeight="1" x14ac:dyDescent="0.3">
      <c r="B840" s="46" t="s">
        <v>10</v>
      </c>
      <c r="C840" s="47"/>
      <c r="D840" s="48"/>
      <c r="E840" s="49"/>
      <c r="F840" s="25"/>
      <c r="G840" s="12">
        <f>TRUNC(SUM(G839))</f>
        <v>97611</v>
      </c>
      <c r="H840" s="25"/>
      <c r="I840" s="12">
        <f>TRUNC(SUM(I839))</f>
        <v>97611</v>
      </c>
      <c r="J840" s="25"/>
      <c r="K840" s="12">
        <f>TRUNC(SUM(K839))</f>
        <v>97611</v>
      </c>
    </row>
    <row r="841" spans="2:11" ht="12.95" customHeight="1" x14ac:dyDescent="0.3">
      <c r="B841" s="50"/>
      <c r="C841" s="51"/>
      <c r="D841" s="51"/>
      <c r="E841" s="22"/>
      <c r="F841" s="15"/>
      <c r="G841" s="24"/>
      <c r="H841" s="15"/>
      <c r="I841" s="24"/>
      <c r="J841" s="15"/>
      <c r="K841" s="24"/>
    </row>
    <row r="842" spans="2:11" ht="12.95" customHeight="1" x14ac:dyDescent="0.3">
      <c r="B842" s="52" t="s">
        <v>29</v>
      </c>
      <c r="C842" s="53"/>
      <c r="D842" s="54" t="s">
        <v>9</v>
      </c>
      <c r="E842" s="55">
        <v>262580</v>
      </c>
      <c r="F842" s="56">
        <v>2</v>
      </c>
      <c r="G842" s="3">
        <f t="shared" ref="G842:G843" si="265">TRUNC($E842*F842,1)</f>
        <v>525160</v>
      </c>
      <c r="H842" s="56">
        <v>2</v>
      </c>
      <c r="I842" s="3">
        <f t="shared" ref="I842:I843" si="266">TRUNC($E842*H842,1)</f>
        <v>525160</v>
      </c>
      <c r="J842" s="56">
        <v>2</v>
      </c>
      <c r="K842" s="3">
        <f t="shared" ref="K842:K843" si="267">TRUNC($E842*J842,1)</f>
        <v>525160</v>
      </c>
    </row>
    <row r="843" spans="2:11" ht="12.95" customHeight="1" x14ac:dyDescent="0.3">
      <c r="B843" s="52" t="s">
        <v>1</v>
      </c>
      <c r="C843" s="53"/>
      <c r="D843" s="54" t="s">
        <v>9</v>
      </c>
      <c r="E843" s="57">
        <v>172068</v>
      </c>
      <c r="F843" s="56">
        <v>1</v>
      </c>
      <c r="G843" s="3">
        <f t="shared" si="265"/>
        <v>172068</v>
      </c>
      <c r="H843" s="56">
        <v>1</v>
      </c>
      <c r="I843" s="3">
        <f t="shared" si="266"/>
        <v>172068</v>
      </c>
      <c r="J843" s="56">
        <v>1</v>
      </c>
      <c r="K843" s="3">
        <f t="shared" si="267"/>
        <v>172068</v>
      </c>
    </row>
    <row r="844" spans="2:11" ht="12.95" customHeight="1" x14ac:dyDescent="0.3">
      <c r="B844" s="58" t="s">
        <v>11</v>
      </c>
      <c r="C844" s="51"/>
      <c r="D844" s="51"/>
      <c r="E844" s="22"/>
      <c r="F844" s="22"/>
      <c r="G844" s="16">
        <f>TRUNC(SUM(G842:G843))</f>
        <v>697228</v>
      </c>
      <c r="H844" s="22"/>
      <c r="I844" s="16">
        <f>TRUNC(SUM(I842:I843))</f>
        <v>697228</v>
      </c>
      <c r="J844" s="22"/>
      <c r="K844" s="16">
        <f>TRUNC(SUM(K842:K843))</f>
        <v>697228</v>
      </c>
    </row>
    <row r="845" spans="2:11" ht="12.95" customHeight="1" x14ac:dyDescent="0.3">
      <c r="B845" s="50"/>
      <c r="C845" s="51"/>
      <c r="D845" s="51"/>
      <c r="E845" s="22"/>
      <c r="F845" s="22"/>
      <c r="G845" s="24"/>
      <c r="H845" s="22"/>
      <c r="I845" s="24"/>
      <c r="J845" s="22"/>
      <c r="K845" s="24"/>
    </row>
    <row r="846" spans="2:11" ht="12.95" customHeight="1" x14ac:dyDescent="0.3">
      <c r="B846" s="65" t="s">
        <v>13</v>
      </c>
      <c r="C846" s="51"/>
      <c r="D846" s="51"/>
      <c r="E846" s="62"/>
      <c r="F846" s="62"/>
      <c r="G846" s="29">
        <f>SUM(G840+G844)</f>
        <v>794839</v>
      </c>
      <c r="H846" s="62"/>
      <c r="I846" s="29">
        <f>SUM(I840+I844)</f>
        <v>794839</v>
      </c>
      <c r="J846" s="62"/>
      <c r="K846" s="29">
        <f>SUM(K840+K844)</f>
        <v>794839</v>
      </c>
    </row>
    <row r="847" spans="2:11" ht="12.95" customHeight="1" x14ac:dyDescent="0.3">
      <c r="B847" s="66" t="s">
        <v>189</v>
      </c>
      <c r="C847" s="67"/>
      <c r="D847" s="68"/>
      <c r="E847" s="69"/>
      <c r="F847" s="70"/>
      <c r="G847" s="71">
        <f>TRUNC(G846/G837)</f>
        <v>88315</v>
      </c>
      <c r="H847" s="70"/>
      <c r="I847" s="71">
        <f>TRUNC(I846/I837)</f>
        <v>105978</v>
      </c>
      <c r="J847" s="70"/>
      <c r="K847" s="71">
        <f>TRUNC(K846/K837)</f>
        <v>113548</v>
      </c>
    </row>
    <row r="848" spans="2:11" ht="12.95" customHeight="1" x14ac:dyDescent="0.3">
      <c r="B848" s="89" t="s">
        <v>3</v>
      </c>
      <c r="C848" s="92" t="s">
        <v>7</v>
      </c>
      <c r="D848" s="92" t="s">
        <v>8</v>
      </c>
      <c r="E848" s="92" t="s">
        <v>4</v>
      </c>
      <c r="F848" s="105" t="s">
        <v>35</v>
      </c>
      <c r="G848" s="95"/>
      <c r="H848" s="105" t="s">
        <v>36</v>
      </c>
      <c r="I848" s="95"/>
      <c r="J848" s="105" t="s">
        <v>37</v>
      </c>
      <c r="K848" s="95"/>
    </row>
    <row r="849" spans="2:13" ht="12.95" customHeight="1" x14ac:dyDescent="0.3">
      <c r="B849" s="90"/>
      <c r="C849" s="93"/>
      <c r="D849" s="93"/>
      <c r="E849" s="93"/>
      <c r="F849" s="38" t="s">
        <v>190</v>
      </c>
      <c r="G849" s="73">
        <v>5.5</v>
      </c>
      <c r="H849" s="38" t="s">
        <v>190</v>
      </c>
      <c r="I849" s="73">
        <v>5</v>
      </c>
      <c r="J849" s="38" t="s">
        <v>190</v>
      </c>
      <c r="K849" s="73">
        <v>4.5</v>
      </c>
    </row>
    <row r="850" spans="2:13" ht="12.95" customHeight="1" x14ac:dyDescent="0.3">
      <c r="B850" s="91"/>
      <c r="C850" s="94"/>
      <c r="D850" s="94"/>
      <c r="E850" s="94"/>
      <c r="F850" s="40" t="s">
        <v>21</v>
      </c>
      <c r="G850" s="41" t="s">
        <v>173</v>
      </c>
      <c r="H850" s="40" t="s">
        <v>21</v>
      </c>
      <c r="I850" s="41" t="s">
        <v>173</v>
      </c>
      <c r="J850" s="40" t="s">
        <v>21</v>
      </c>
      <c r="K850" s="41" t="s">
        <v>173</v>
      </c>
    </row>
    <row r="851" spans="2:13" ht="12.95" customHeight="1" x14ac:dyDescent="0.3">
      <c r="B851" s="42" t="s">
        <v>53</v>
      </c>
      <c r="C851" s="43" t="s">
        <v>84</v>
      </c>
      <c r="D851" s="44" t="s">
        <v>15</v>
      </c>
      <c r="E851" s="45"/>
      <c r="F851" s="21">
        <v>1</v>
      </c>
      <c r="G851" s="5">
        <f>TRUNC(SUM(G854:G855)*0.15,1)</f>
        <v>104584.2</v>
      </c>
      <c r="H851" s="21">
        <v>1</v>
      </c>
      <c r="I851" s="5">
        <f>TRUNC(SUM(I854:I855)*0.15,1)</f>
        <v>104584.2</v>
      </c>
      <c r="J851" s="21">
        <v>1</v>
      </c>
      <c r="K851" s="5">
        <f>TRUNC(SUM(K854:K855)*0.15,1)</f>
        <v>104584.2</v>
      </c>
    </row>
    <row r="852" spans="2:13" ht="12.95" customHeight="1" x14ac:dyDescent="0.3">
      <c r="B852" s="46" t="s">
        <v>10</v>
      </c>
      <c r="C852" s="47"/>
      <c r="D852" s="48"/>
      <c r="E852" s="49"/>
      <c r="F852" s="25"/>
      <c r="G852" s="12">
        <f>TRUNC(SUM(G851))</f>
        <v>104584</v>
      </c>
      <c r="H852" s="25"/>
      <c r="I852" s="12">
        <f>TRUNC(SUM(I851))</f>
        <v>104584</v>
      </c>
      <c r="J852" s="25"/>
      <c r="K852" s="12">
        <f>TRUNC(SUM(K851))</f>
        <v>104584</v>
      </c>
    </row>
    <row r="853" spans="2:13" ht="12.95" customHeight="1" x14ac:dyDescent="0.3">
      <c r="B853" s="50"/>
      <c r="C853" s="51"/>
      <c r="D853" s="51"/>
      <c r="E853" s="22"/>
      <c r="F853" s="15"/>
      <c r="G853" s="24"/>
      <c r="H853" s="15"/>
      <c r="I853" s="24"/>
      <c r="J853" s="15"/>
      <c r="K853" s="24"/>
    </row>
    <row r="854" spans="2:13" ht="12.95" customHeight="1" x14ac:dyDescent="0.3">
      <c r="B854" s="52" t="s">
        <v>29</v>
      </c>
      <c r="C854" s="53"/>
      <c r="D854" s="54" t="s">
        <v>9</v>
      </c>
      <c r="E854" s="55">
        <v>262580</v>
      </c>
      <c r="F854" s="56">
        <v>2</v>
      </c>
      <c r="G854" s="3">
        <f t="shared" ref="G854:G855" si="268">TRUNC($E854*F854,1)</f>
        <v>525160</v>
      </c>
      <c r="H854" s="56">
        <v>2</v>
      </c>
      <c r="I854" s="3">
        <f t="shared" ref="I854:I855" si="269">TRUNC($E854*H854,1)</f>
        <v>525160</v>
      </c>
      <c r="J854" s="56">
        <v>2</v>
      </c>
      <c r="K854" s="3">
        <f t="shared" ref="K854:K855" si="270">TRUNC($E854*J854,1)</f>
        <v>525160</v>
      </c>
    </row>
    <row r="855" spans="2:13" ht="12.95" customHeight="1" x14ac:dyDescent="0.3">
      <c r="B855" s="52" t="s">
        <v>1</v>
      </c>
      <c r="C855" s="53"/>
      <c r="D855" s="54" t="s">
        <v>9</v>
      </c>
      <c r="E855" s="57">
        <v>172068</v>
      </c>
      <c r="F855" s="56">
        <v>1</v>
      </c>
      <c r="G855" s="3">
        <f t="shared" si="268"/>
        <v>172068</v>
      </c>
      <c r="H855" s="56">
        <v>1</v>
      </c>
      <c r="I855" s="3">
        <f t="shared" si="269"/>
        <v>172068</v>
      </c>
      <c r="J855" s="56">
        <v>1</v>
      </c>
      <c r="K855" s="3">
        <f t="shared" si="270"/>
        <v>172068</v>
      </c>
    </row>
    <row r="856" spans="2:13" ht="12.95" customHeight="1" x14ac:dyDescent="0.3">
      <c r="B856" s="58" t="s">
        <v>11</v>
      </c>
      <c r="C856" s="51"/>
      <c r="D856" s="51"/>
      <c r="E856" s="22"/>
      <c r="F856" s="22"/>
      <c r="G856" s="16">
        <f>TRUNC(SUM(G854:G855))</f>
        <v>697228</v>
      </c>
      <c r="H856" s="22"/>
      <c r="I856" s="16">
        <f>TRUNC(SUM(I854:I855))</f>
        <v>697228</v>
      </c>
      <c r="J856" s="22"/>
      <c r="K856" s="16">
        <f>TRUNC(SUM(K854:K855))</f>
        <v>697228</v>
      </c>
    </row>
    <row r="857" spans="2:13" ht="12.95" customHeight="1" x14ac:dyDescent="0.3">
      <c r="B857" s="50"/>
      <c r="C857" s="51"/>
      <c r="D857" s="51"/>
      <c r="E857" s="22"/>
      <c r="F857" s="22"/>
      <c r="G857" s="24"/>
      <c r="H857" s="22"/>
      <c r="I857" s="24"/>
      <c r="J857" s="22"/>
      <c r="K857" s="24"/>
    </row>
    <row r="858" spans="2:13" ht="12.95" customHeight="1" x14ac:dyDescent="0.3">
      <c r="B858" s="65" t="s">
        <v>13</v>
      </c>
      <c r="C858" s="51"/>
      <c r="D858" s="51"/>
      <c r="E858" s="62"/>
      <c r="F858" s="62"/>
      <c r="G858" s="29">
        <f>SUM(G852+G856)</f>
        <v>801812</v>
      </c>
      <c r="H858" s="62"/>
      <c r="I858" s="29">
        <f>SUM(I852+I856)</f>
        <v>801812</v>
      </c>
      <c r="J858" s="62"/>
      <c r="K858" s="29">
        <f>SUM(K852+K856)</f>
        <v>801812</v>
      </c>
    </row>
    <row r="859" spans="2:13" ht="12.95" customHeight="1" x14ac:dyDescent="0.3">
      <c r="B859" s="66" t="s">
        <v>189</v>
      </c>
      <c r="C859" s="67"/>
      <c r="D859" s="68"/>
      <c r="E859" s="69"/>
      <c r="F859" s="70"/>
      <c r="G859" s="71">
        <f>TRUNC(G858/G849)</f>
        <v>145784</v>
      </c>
      <c r="H859" s="70"/>
      <c r="I859" s="71">
        <f>TRUNC(I858/I849)</f>
        <v>160362</v>
      </c>
      <c r="J859" s="70"/>
      <c r="K859" s="71">
        <f>TRUNC(K858/K849)</f>
        <v>178180</v>
      </c>
    </row>
    <row r="860" spans="2:13" ht="12.95" customHeight="1" x14ac:dyDescent="0.3">
      <c r="B860" s="89" t="s">
        <v>3</v>
      </c>
      <c r="C860" s="92" t="s">
        <v>7</v>
      </c>
      <c r="D860" s="92" t="s">
        <v>8</v>
      </c>
      <c r="E860" s="92" t="s">
        <v>4</v>
      </c>
      <c r="F860" s="105" t="s">
        <v>39</v>
      </c>
      <c r="G860" s="95"/>
      <c r="H860" s="105" t="s">
        <v>40</v>
      </c>
      <c r="I860" s="95"/>
      <c r="J860" s="105" t="s">
        <v>41</v>
      </c>
      <c r="K860" s="95"/>
      <c r="L860" s="105" t="s">
        <v>198</v>
      </c>
      <c r="M860" s="95"/>
    </row>
    <row r="861" spans="2:13" ht="12.95" customHeight="1" x14ac:dyDescent="0.3">
      <c r="B861" s="90"/>
      <c r="C861" s="93"/>
      <c r="D861" s="93"/>
      <c r="E861" s="93"/>
      <c r="F861" s="38" t="s">
        <v>190</v>
      </c>
      <c r="G861" s="73">
        <v>6</v>
      </c>
      <c r="H861" s="38" t="s">
        <v>190</v>
      </c>
      <c r="I861" s="73">
        <v>5.5</v>
      </c>
      <c r="J861" s="38" t="s">
        <v>190</v>
      </c>
      <c r="K861" s="73">
        <v>5</v>
      </c>
      <c r="L861" s="38" t="s">
        <v>190</v>
      </c>
      <c r="M861" s="73">
        <v>4.5</v>
      </c>
    </row>
    <row r="862" spans="2:13" ht="12.95" customHeight="1" x14ac:dyDescent="0.3">
      <c r="B862" s="91"/>
      <c r="C862" s="94"/>
      <c r="D862" s="94"/>
      <c r="E862" s="94"/>
      <c r="F862" s="40" t="s">
        <v>21</v>
      </c>
      <c r="G862" s="41" t="s">
        <v>173</v>
      </c>
      <c r="H862" s="40" t="s">
        <v>21</v>
      </c>
      <c r="I862" s="41" t="s">
        <v>173</v>
      </c>
      <c r="J862" s="40" t="s">
        <v>21</v>
      </c>
      <c r="K862" s="41" t="s">
        <v>173</v>
      </c>
      <c r="L862" s="40" t="s">
        <v>21</v>
      </c>
      <c r="M862" s="41" t="s">
        <v>173</v>
      </c>
    </row>
    <row r="863" spans="2:13" ht="12.95" customHeight="1" x14ac:dyDescent="0.3">
      <c r="B863" s="42" t="s">
        <v>53</v>
      </c>
      <c r="C863" s="43" t="s">
        <v>84</v>
      </c>
      <c r="D863" s="44" t="s">
        <v>15</v>
      </c>
      <c r="E863" s="45"/>
      <c r="F863" s="21">
        <v>1</v>
      </c>
      <c r="G863" s="5">
        <f>TRUNC(SUM(G866:G867)*0.15,1)</f>
        <v>143971.20000000001</v>
      </c>
      <c r="H863" s="21">
        <v>1</v>
      </c>
      <c r="I863" s="5">
        <f>TRUNC(SUM(I866:I867)*0.15,1)</f>
        <v>143971.20000000001</v>
      </c>
      <c r="J863" s="21">
        <v>1</v>
      </c>
      <c r="K863" s="5">
        <f>TRUNC(SUM(K866:K867)*0.15,1)</f>
        <v>143971.20000000001</v>
      </c>
      <c r="L863" s="21">
        <v>1</v>
      </c>
      <c r="M863" s="5">
        <f>TRUNC(SUM(M866:M867)*0.15,1)</f>
        <v>143971.20000000001</v>
      </c>
    </row>
    <row r="864" spans="2:13" ht="12.95" customHeight="1" x14ac:dyDescent="0.3">
      <c r="B864" s="46" t="s">
        <v>10</v>
      </c>
      <c r="C864" s="47"/>
      <c r="D864" s="48"/>
      <c r="E864" s="49"/>
      <c r="F864" s="25"/>
      <c r="G864" s="12">
        <f>TRUNC(SUM(G863))</f>
        <v>143971</v>
      </c>
      <c r="H864" s="25"/>
      <c r="I864" s="12">
        <f>TRUNC(SUM(I863))</f>
        <v>143971</v>
      </c>
      <c r="J864" s="25"/>
      <c r="K864" s="12">
        <f>TRUNC(SUM(K863))</f>
        <v>143971</v>
      </c>
      <c r="L864" s="25"/>
      <c r="M864" s="12">
        <f>TRUNC(SUM(M863))</f>
        <v>143971</v>
      </c>
    </row>
    <row r="865" spans="2:13" ht="12.95" customHeight="1" x14ac:dyDescent="0.3">
      <c r="B865" s="50"/>
      <c r="C865" s="51"/>
      <c r="D865" s="51"/>
      <c r="E865" s="22"/>
      <c r="F865" s="15"/>
      <c r="G865" s="24"/>
      <c r="H865" s="15"/>
      <c r="I865" s="24"/>
      <c r="J865" s="15"/>
      <c r="K865" s="24"/>
      <c r="L865" s="15"/>
      <c r="M865" s="24"/>
    </row>
    <row r="866" spans="2:13" ht="12.95" customHeight="1" x14ac:dyDescent="0.3">
      <c r="B866" s="52" t="s">
        <v>29</v>
      </c>
      <c r="C866" s="53"/>
      <c r="D866" s="54" t="s">
        <v>9</v>
      </c>
      <c r="E866" s="55">
        <v>262580</v>
      </c>
      <c r="F866" s="56">
        <v>3</v>
      </c>
      <c r="G866" s="3">
        <f t="shared" ref="G866:G867" si="271">TRUNC($E866*F866,1)</f>
        <v>787740</v>
      </c>
      <c r="H866" s="56">
        <v>3</v>
      </c>
      <c r="I866" s="3">
        <f t="shared" ref="I866:I867" si="272">TRUNC($E866*H866,1)</f>
        <v>787740</v>
      </c>
      <c r="J866" s="56">
        <v>3</v>
      </c>
      <c r="K866" s="3">
        <f t="shared" ref="K866:K867" si="273">TRUNC($E866*J866,1)</f>
        <v>787740</v>
      </c>
      <c r="L866" s="56">
        <v>3</v>
      </c>
      <c r="M866" s="3">
        <f t="shared" ref="M866:M867" si="274">TRUNC($E866*L866,1)</f>
        <v>787740</v>
      </c>
    </row>
    <row r="867" spans="2:13" ht="12.95" customHeight="1" x14ac:dyDescent="0.3">
      <c r="B867" s="52" t="s">
        <v>1</v>
      </c>
      <c r="C867" s="53"/>
      <c r="D867" s="54" t="s">
        <v>9</v>
      </c>
      <c r="E867" s="57">
        <v>172068</v>
      </c>
      <c r="F867" s="56">
        <v>1</v>
      </c>
      <c r="G867" s="3">
        <f t="shared" si="271"/>
        <v>172068</v>
      </c>
      <c r="H867" s="56">
        <v>1</v>
      </c>
      <c r="I867" s="3">
        <f t="shared" si="272"/>
        <v>172068</v>
      </c>
      <c r="J867" s="56">
        <v>1</v>
      </c>
      <c r="K867" s="3">
        <f t="shared" si="273"/>
        <v>172068</v>
      </c>
      <c r="L867" s="56">
        <v>1</v>
      </c>
      <c r="M867" s="3">
        <f t="shared" si="274"/>
        <v>172068</v>
      </c>
    </row>
    <row r="868" spans="2:13" ht="12.95" customHeight="1" x14ac:dyDescent="0.3">
      <c r="B868" s="58" t="s">
        <v>11</v>
      </c>
      <c r="C868" s="51"/>
      <c r="D868" s="51"/>
      <c r="E868" s="22"/>
      <c r="F868" s="22"/>
      <c r="G868" s="16">
        <f>TRUNC(SUM(G866:G867))</f>
        <v>959808</v>
      </c>
      <c r="H868" s="22"/>
      <c r="I868" s="16">
        <f>TRUNC(SUM(I866:I867))</f>
        <v>959808</v>
      </c>
      <c r="J868" s="22"/>
      <c r="K868" s="16">
        <f>TRUNC(SUM(K866:K867))</f>
        <v>959808</v>
      </c>
      <c r="L868" s="22"/>
      <c r="M868" s="16">
        <f>TRUNC(SUM(M866:M867))</f>
        <v>959808</v>
      </c>
    </row>
    <row r="869" spans="2:13" ht="12.95" customHeight="1" x14ac:dyDescent="0.3">
      <c r="B869" s="50"/>
      <c r="C869" s="51"/>
      <c r="D869" s="51"/>
      <c r="E869" s="22"/>
      <c r="F869" s="22"/>
      <c r="G869" s="24"/>
      <c r="H869" s="22"/>
      <c r="I869" s="24"/>
      <c r="J869" s="22"/>
      <c r="K869" s="24"/>
      <c r="L869" s="22"/>
      <c r="M869" s="24"/>
    </row>
    <row r="870" spans="2:13" ht="12.95" customHeight="1" x14ac:dyDescent="0.3">
      <c r="B870" s="65" t="s">
        <v>13</v>
      </c>
      <c r="C870" s="51"/>
      <c r="D870" s="51"/>
      <c r="E870" s="62"/>
      <c r="F870" s="62"/>
      <c r="G870" s="29">
        <f>SUM(G864+G868)</f>
        <v>1103779</v>
      </c>
      <c r="H870" s="62"/>
      <c r="I870" s="29">
        <f>SUM(I864+I868)</f>
        <v>1103779</v>
      </c>
      <c r="J870" s="62"/>
      <c r="K870" s="29">
        <f>SUM(K864+K868)</f>
        <v>1103779</v>
      </c>
      <c r="L870" s="62"/>
      <c r="M870" s="29">
        <f>SUM(M864+M868)</f>
        <v>1103779</v>
      </c>
    </row>
    <row r="871" spans="2:13" ht="12.95" customHeight="1" x14ac:dyDescent="0.3">
      <c r="B871" s="66" t="s">
        <v>189</v>
      </c>
      <c r="C871" s="67"/>
      <c r="D871" s="68"/>
      <c r="E871" s="69"/>
      <c r="F871" s="70"/>
      <c r="G871" s="71">
        <f>TRUNC(G870/G861)</f>
        <v>183963</v>
      </c>
      <c r="H871" s="70"/>
      <c r="I871" s="71">
        <f>TRUNC(I870/I861)</f>
        <v>200687</v>
      </c>
      <c r="J871" s="70"/>
      <c r="K871" s="71">
        <f>TRUNC(K870/K861)</f>
        <v>220755</v>
      </c>
      <c r="L871" s="70"/>
      <c r="M871" s="71">
        <f>TRUNC(M870/M861)</f>
        <v>245284</v>
      </c>
    </row>
    <row r="872" spans="2:13" ht="12.95" customHeight="1" x14ac:dyDescent="0.3">
      <c r="B872" s="89" t="s">
        <v>3</v>
      </c>
      <c r="C872" s="92" t="s">
        <v>7</v>
      </c>
      <c r="D872" s="92" t="s">
        <v>8</v>
      </c>
      <c r="E872" s="92" t="s">
        <v>4</v>
      </c>
      <c r="F872" s="105" t="s">
        <v>44</v>
      </c>
      <c r="G872" s="95"/>
    </row>
    <row r="873" spans="2:13" ht="12.95" customHeight="1" x14ac:dyDescent="0.3">
      <c r="B873" s="90"/>
      <c r="C873" s="93"/>
      <c r="D873" s="93"/>
      <c r="E873" s="93"/>
      <c r="F873" s="38" t="s">
        <v>190</v>
      </c>
      <c r="G873" s="73">
        <v>7</v>
      </c>
    </row>
    <row r="874" spans="2:13" ht="12.95" customHeight="1" x14ac:dyDescent="0.3">
      <c r="B874" s="91"/>
      <c r="C874" s="94"/>
      <c r="D874" s="94"/>
      <c r="E874" s="94"/>
      <c r="F874" s="40" t="s">
        <v>21</v>
      </c>
      <c r="G874" s="41" t="s">
        <v>173</v>
      </c>
    </row>
    <row r="875" spans="2:13" ht="12.95" customHeight="1" x14ac:dyDescent="0.3">
      <c r="B875" s="59" t="s">
        <v>2</v>
      </c>
      <c r="C875" s="59" t="s">
        <v>14</v>
      </c>
      <c r="D875" s="61" t="s">
        <v>17</v>
      </c>
      <c r="E875" s="78">
        <v>9213</v>
      </c>
      <c r="F875" s="56">
        <v>8</v>
      </c>
      <c r="G875" s="3">
        <f t="shared" ref="G875" si="275">TRUNC($E875*F875,1)</f>
        <v>73704</v>
      </c>
    </row>
    <row r="876" spans="2:13" ht="12.95" customHeight="1" x14ac:dyDescent="0.3">
      <c r="B876" s="59" t="s">
        <v>184</v>
      </c>
      <c r="C876" s="60" t="s">
        <v>172</v>
      </c>
      <c r="D876" s="51"/>
      <c r="E876" s="22"/>
      <c r="F876" s="23"/>
      <c r="G876" s="24"/>
    </row>
    <row r="877" spans="2:13" ht="12.95" customHeight="1" x14ac:dyDescent="0.3">
      <c r="B877" s="42" t="s">
        <v>53</v>
      </c>
      <c r="C877" s="43" t="s">
        <v>84</v>
      </c>
      <c r="D877" s="44" t="s">
        <v>15</v>
      </c>
      <c r="E877" s="45"/>
      <c r="F877" s="21">
        <v>1</v>
      </c>
      <c r="G877" s="5">
        <f>TRUNC(SUM(G880:G881)*0.15,1)</f>
        <v>143971.20000000001</v>
      </c>
    </row>
    <row r="878" spans="2:13" ht="12.95" customHeight="1" x14ac:dyDescent="0.3">
      <c r="B878" s="46" t="s">
        <v>10</v>
      </c>
      <c r="C878" s="47"/>
      <c r="D878" s="48"/>
      <c r="E878" s="49"/>
      <c r="F878" s="25"/>
      <c r="G878" s="12">
        <f>TRUNC(SUM(G875:G877))</f>
        <v>217675</v>
      </c>
    </row>
    <row r="879" spans="2:13" ht="12.95" customHeight="1" x14ac:dyDescent="0.3">
      <c r="B879" s="50"/>
      <c r="C879" s="51"/>
      <c r="D879" s="51"/>
      <c r="E879" s="22"/>
      <c r="F879" s="15"/>
      <c r="G879" s="24"/>
    </row>
    <row r="880" spans="2:13" ht="12.95" customHeight="1" x14ac:dyDescent="0.3">
      <c r="B880" s="52" t="s">
        <v>29</v>
      </c>
      <c r="C880" s="53"/>
      <c r="D880" s="54" t="s">
        <v>9</v>
      </c>
      <c r="E880" s="55">
        <v>262580</v>
      </c>
      <c r="F880" s="56">
        <v>3</v>
      </c>
      <c r="G880" s="3">
        <f t="shared" ref="G880:G882" si="276">TRUNC($E880*F880,1)</f>
        <v>787740</v>
      </c>
    </row>
    <row r="881" spans="2:9" ht="12.95" customHeight="1" x14ac:dyDescent="0.3">
      <c r="B881" s="52" t="s">
        <v>1</v>
      </c>
      <c r="C881" s="53"/>
      <c r="D881" s="54" t="s">
        <v>9</v>
      </c>
      <c r="E881" s="57">
        <v>172068</v>
      </c>
      <c r="F881" s="56">
        <v>1</v>
      </c>
      <c r="G881" s="3">
        <f t="shared" si="276"/>
        <v>172068</v>
      </c>
    </row>
    <row r="882" spans="2:9" ht="12.95" customHeight="1" x14ac:dyDescent="0.3">
      <c r="B882" s="59" t="s">
        <v>2</v>
      </c>
      <c r="C882" s="59" t="s">
        <v>14</v>
      </c>
      <c r="D882" s="61" t="s">
        <v>17</v>
      </c>
      <c r="E882" s="78">
        <v>49698</v>
      </c>
      <c r="F882" s="56">
        <v>8</v>
      </c>
      <c r="G882" s="3">
        <f t="shared" si="276"/>
        <v>397584</v>
      </c>
    </row>
    <row r="883" spans="2:9" ht="12.95" customHeight="1" x14ac:dyDescent="0.3">
      <c r="B883" s="59" t="s">
        <v>184</v>
      </c>
      <c r="C883" s="60" t="s">
        <v>172</v>
      </c>
      <c r="D883" s="51"/>
      <c r="E883" s="22"/>
      <c r="F883" s="23"/>
      <c r="G883" s="24"/>
    </row>
    <row r="884" spans="2:9" ht="12.95" customHeight="1" x14ac:dyDescent="0.3">
      <c r="B884" s="58" t="s">
        <v>11</v>
      </c>
      <c r="C884" s="51"/>
      <c r="D884" s="51"/>
      <c r="E884" s="22"/>
      <c r="F884" s="22"/>
      <c r="G884" s="16">
        <f>TRUNC(SUM(G880:G882))</f>
        <v>1357392</v>
      </c>
    </row>
    <row r="885" spans="2:9" ht="12.95" customHeight="1" x14ac:dyDescent="0.3">
      <c r="B885" s="50"/>
      <c r="C885" s="51"/>
      <c r="D885" s="51"/>
      <c r="E885" s="22"/>
      <c r="F885" s="22"/>
      <c r="G885" s="24"/>
    </row>
    <row r="886" spans="2:9" ht="12.95" customHeight="1" x14ac:dyDescent="0.3">
      <c r="B886" s="59" t="s">
        <v>2</v>
      </c>
      <c r="C886" s="59" t="s">
        <v>14</v>
      </c>
      <c r="D886" s="61" t="s">
        <v>17</v>
      </c>
      <c r="E886" s="78">
        <v>11117</v>
      </c>
      <c r="F886" s="56">
        <v>8</v>
      </c>
      <c r="G886" s="3">
        <f t="shared" ref="G886" si="277">TRUNC($E886*F886,1)</f>
        <v>88936</v>
      </c>
    </row>
    <row r="887" spans="2:9" ht="12.95" customHeight="1" x14ac:dyDescent="0.3">
      <c r="B887" s="59" t="s">
        <v>184</v>
      </c>
      <c r="C887" s="60" t="s">
        <v>172</v>
      </c>
      <c r="D887" s="51"/>
      <c r="E887" s="22"/>
      <c r="F887" s="23"/>
      <c r="G887" s="24"/>
    </row>
    <row r="888" spans="2:9" ht="12.95" customHeight="1" x14ac:dyDescent="0.3">
      <c r="B888" s="46" t="s">
        <v>12</v>
      </c>
      <c r="C888" s="51"/>
      <c r="D888" s="51"/>
      <c r="E888" s="62"/>
      <c r="F888" s="15"/>
      <c r="G888" s="16">
        <f>TRUNC(SUM(G886:G886))</f>
        <v>88936</v>
      </c>
    </row>
    <row r="889" spans="2:9" ht="12.95" customHeight="1" x14ac:dyDescent="0.3">
      <c r="B889" s="63"/>
      <c r="C889" s="59"/>
      <c r="D889" s="59"/>
      <c r="E889" s="64"/>
      <c r="F889" s="25"/>
      <c r="G889" s="27"/>
    </row>
    <row r="890" spans="2:9" ht="12.95" customHeight="1" x14ac:dyDescent="0.3">
      <c r="B890" s="65" t="s">
        <v>13</v>
      </c>
      <c r="C890" s="51"/>
      <c r="D890" s="51"/>
      <c r="E890" s="62"/>
      <c r="F890" s="62"/>
      <c r="G890" s="29">
        <f>SUM(G878+G884+G888)</f>
        <v>1664003</v>
      </c>
    </row>
    <row r="891" spans="2:9" ht="12.95" customHeight="1" x14ac:dyDescent="0.3">
      <c r="B891" s="66" t="s">
        <v>189</v>
      </c>
      <c r="C891" s="67"/>
      <c r="D891" s="68"/>
      <c r="E891" s="69"/>
      <c r="F891" s="70"/>
      <c r="G891" s="71">
        <f>TRUNC(G890/G873)</f>
        <v>237714</v>
      </c>
    </row>
    <row r="892" spans="2:9" ht="12.95" customHeight="1" x14ac:dyDescent="0.3">
      <c r="B892" s="89" t="s">
        <v>3</v>
      </c>
      <c r="C892" s="92" t="s">
        <v>7</v>
      </c>
      <c r="D892" s="92" t="s">
        <v>8</v>
      </c>
      <c r="E892" s="92" t="s">
        <v>4</v>
      </c>
      <c r="F892" s="105" t="s">
        <v>46</v>
      </c>
      <c r="G892" s="95"/>
      <c r="H892" s="105" t="s">
        <v>48</v>
      </c>
      <c r="I892" s="95"/>
    </row>
    <row r="893" spans="2:9" ht="12.95" customHeight="1" x14ac:dyDescent="0.3">
      <c r="B893" s="90"/>
      <c r="C893" s="93"/>
      <c r="D893" s="93"/>
      <c r="E893" s="93"/>
      <c r="F893" s="38" t="s">
        <v>190</v>
      </c>
      <c r="G893" s="73">
        <v>5.5</v>
      </c>
      <c r="H893" s="38" t="s">
        <v>190</v>
      </c>
      <c r="I893" s="73">
        <v>4</v>
      </c>
    </row>
    <row r="894" spans="2:9" ht="12.95" customHeight="1" x14ac:dyDescent="0.3">
      <c r="B894" s="91"/>
      <c r="C894" s="94"/>
      <c r="D894" s="94"/>
      <c r="E894" s="94"/>
      <c r="F894" s="40" t="s">
        <v>21</v>
      </c>
      <c r="G894" s="41" t="s">
        <v>173</v>
      </c>
      <c r="H894" s="40" t="s">
        <v>21</v>
      </c>
      <c r="I894" s="41" t="s">
        <v>173</v>
      </c>
    </row>
    <row r="895" spans="2:9" ht="12.95" customHeight="1" x14ac:dyDescent="0.3">
      <c r="B895" s="59" t="s">
        <v>2</v>
      </c>
      <c r="C895" s="59" t="s">
        <v>14</v>
      </c>
      <c r="D895" s="61" t="s">
        <v>17</v>
      </c>
      <c r="E895" s="78">
        <v>9213</v>
      </c>
      <c r="F895" s="56">
        <v>8</v>
      </c>
      <c r="G895" s="3">
        <f t="shared" ref="G895" si="278">TRUNC($E895*F895,1)</f>
        <v>73704</v>
      </c>
      <c r="H895" s="56">
        <v>8</v>
      </c>
      <c r="I895" s="3">
        <f t="shared" ref="I895" si="279">TRUNC($E895*H895,1)</f>
        <v>73704</v>
      </c>
    </row>
    <row r="896" spans="2:9" ht="12.95" customHeight="1" x14ac:dyDescent="0.3">
      <c r="B896" s="59" t="s">
        <v>184</v>
      </c>
      <c r="C896" s="60" t="s">
        <v>172</v>
      </c>
      <c r="D896" s="51"/>
      <c r="E896" s="22"/>
      <c r="F896" s="23"/>
      <c r="G896" s="24"/>
      <c r="H896" s="23"/>
      <c r="I896" s="24"/>
    </row>
    <row r="897" spans="2:9" ht="12.95" customHeight="1" x14ac:dyDescent="0.3">
      <c r="B897" s="42" t="s">
        <v>53</v>
      </c>
      <c r="C897" s="43" t="s">
        <v>199</v>
      </c>
      <c r="D897" s="44" t="s">
        <v>15</v>
      </c>
      <c r="E897" s="45"/>
      <c r="F897" s="21">
        <v>1</v>
      </c>
      <c r="G897" s="5">
        <f>TRUNC(SUM(G900:G901)*0.18,1)</f>
        <v>172765.4</v>
      </c>
      <c r="H897" s="21">
        <v>1</v>
      </c>
      <c r="I897" s="5">
        <f>TRUNC(SUM(I900:I901)*0.18,1)</f>
        <v>172765.4</v>
      </c>
    </row>
    <row r="898" spans="2:9" ht="12.95" customHeight="1" x14ac:dyDescent="0.3">
      <c r="B898" s="46" t="s">
        <v>10</v>
      </c>
      <c r="C898" s="47"/>
      <c r="D898" s="48"/>
      <c r="E898" s="49"/>
      <c r="F898" s="25"/>
      <c r="G898" s="12">
        <f>TRUNC(SUM(G895:G897))</f>
        <v>246469</v>
      </c>
      <c r="H898" s="25"/>
      <c r="I898" s="12">
        <f>TRUNC(SUM(I895:I897))</f>
        <v>246469</v>
      </c>
    </row>
    <row r="899" spans="2:9" ht="12.95" customHeight="1" x14ac:dyDescent="0.3">
      <c r="B899" s="50"/>
      <c r="C899" s="51"/>
      <c r="D899" s="51"/>
      <c r="E899" s="22"/>
      <c r="F899" s="15"/>
      <c r="G899" s="24"/>
      <c r="H899" s="15"/>
      <c r="I899" s="24"/>
    </row>
    <row r="900" spans="2:9" ht="12.95" customHeight="1" x14ac:dyDescent="0.3">
      <c r="B900" s="52" t="s">
        <v>29</v>
      </c>
      <c r="C900" s="53"/>
      <c r="D900" s="54" t="s">
        <v>9</v>
      </c>
      <c r="E900" s="55">
        <v>262580</v>
      </c>
      <c r="F900" s="56">
        <v>3</v>
      </c>
      <c r="G900" s="3">
        <f t="shared" ref="G900:G902" si="280">TRUNC($E900*F900,1)</f>
        <v>787740</v>
      </c>
      <c r="H900" s="56">
        <v>3</v>
      </c>
      <c r="I900" s="3">
        <f t="shared" ref="I900:I902" si="281">TRUNC($E900*H900,1)</f>
        <v>787740</v>
      </c>
    </row>
    <row r="901" spans="2:9" ht="12.95" customHeight="1" x14ac:dyDescent="0.3">
      <c r="B901" s="52" t="s">
        <v>1</v>
      </c>
      <c r="C901" s="53"/>
      <c r="D901" s="54" t="s">
        <v>9</v>
      </c>
      <c r="E901" s="57">
        <v>172068</v>
      </c>
      <c r="F901" s="56">
        <v>1</v>
      </c>
      <c r="G901" s="3">
        <f t="shared" si="280"/>
        <v>172068</v>
      </c>
      <c r="H901" s="56">
        <v>1</v>
      </c>
      <c r="I901" s="3">
        <f t="shared" si="281"/>
        <v>172068</v>
      </c>
    </row>
    <row r="902" spans="2:9" ht="12.95" customHeight="1" x14ac:dyDescent="0.3">
      <c r="B902" s="59" t="s">
        <v>2</v>
      </c>
      <c r="C902" s="59" t="s">
        <v>14</v>
      </c>
      <c r="D902" s="61" t="s">
        <v>17</v>
      </c>
      <c r="E902" s="78">
        <v>49698</v>
      </c>
      <c r="F902" s="56">
        <v>8</v>
      </c>
      <c r="G902" s="3">
        <f t="shared" si="280"/>
        <v>397584</v>
      </c>
      <c r="H902" s="56">
        <v>8</v>
      </c>
      <c r="I902" s="3">
        <f t="shared" si="281"/>
        <v>397584</v>
      </c>
    </row>
    <row r="903" spans="2:9" ht="12.95" customHeight="1" x14ac:dyDescent="0.3">
      <c r="B903" s="59" t="s">
        <v>184</v>
      </c>
      <c r="C903" s="60" t="s">
        <v>172</v>
      </c>
      <c r="D903" s="51"/>
      <c r="E903" s="22"/>
      <c r="F903" s="23"/>
      <c r="G903" s="24"/>
      <c r="H903" s="23"/>
      <c r="I903" s="24"/>
    </row>
    <row r="904" spans="2:9" ht="12.95" customHeight="1" x14ac:dyDescent="0.3">
      <c r="B904" s="58" t="s">
        <v>11</v>
      </c>
      <c r="C904" s="51"/>
      <c r="D904" s="51"/>
      <c r="E904" s="22"/>
      <c r="F904" s="22"/>
      <c r="G904" s="16">
        <f>TRUNC(SUM(G900:G902))</f>
        <v>1357392</v>
      </c>
      <c r="H904" s="22"/>
      <c r="I904" s="16">
        <f>TRUNC(SUM(I900:I902))</f>
        <v>1357392</v>
      </c>
    </row>
    <row r="905" spans="2:9" ht="12.95" customHeight="1" x14ac:dyDescent="0.3">
      <c r="B905" s="50"/>
      <c r="C905" s="51"/>
      <c r="D905" s="51"/>
      <c r="E905" s="22"/>
      <c r="F905" s="22"/>
      <c r="G905" s="24"/>
      <c r="H905" s="22"/>
      <c r="I905" s="24"/>
    </row>
    <row r="906" spans="2:9" ht="12.95" customHeight="1" x14ac:dyDescent="0.3">
      <c r="B906" s="59" t="s">
        <v>2</v>
      </c>
      <c r="C906" s="59" t="s">
        <v>14</v>
      </c>
      <c r="D906" s="61" t="s">
        <v>17</v>
      </c>
      <c r="E906" s="78">
        <v>11117</v>
      </c>
      <c r="F906" s="56">
        <v>8</v>
      </c>
      <c r="G906" s="3">
        <f t="shared" ref="G906" si="282">TRUNC($E906*F906,1)</f>
        <v>88936</v>
      </c>
      <c r="H906" s="56">
        <v>8</v>
      </c>
      <c r="I906" s="3">
        <f t="shared" ref="I906" si="283">TRUNC($E906*H906,1)</f>
        <v>88936</v>
      </c>
    </row>
    <row r="907" spans="2:9" ht="12.95" customHeight="1" x14ac:dyDescent="0.3">
      <c r="B907" s="59" t="s">
        <v>184</v>
      </c>
      <c r="C907" s="60" t="s">
        <v>172</v>
      </c>
      <c r="D907" s="51"/>
      <c r="E907" s="22"/>
      <c r="F907" s="23"/>
      <c r="G907" s="24"/>
      <c r="H907" s="23"/>
      <c r="I907" s="24"/>
    </row>
    <row r="908" spans="2:9" ht="12.95" customHeight="1" x14ac:dyDescent="0.3">
      <c r="B908" s="46" t="s">
        <v>12</v>
      </c>
      <c r="C908" s="51"/>
      <c r="D908" s="51"/>
      <c r="E908" s="62"/>
      <c r="F908" s="15"/>
      <c r="G908" s="16">
        <f>TRUNC(SUM(G906:G906))</f>
        <v>88936</v>
      </c>
      <c r="H908" s="15"/>
      <c r="I908" s="16">
        <f>TRUNC(SUM(I906:I906))</f>
        <v>88936</v>
      </c>
    </row>
    <row r="909" spans="2:9" ht="12.95" customHeight="1" x14ac:dyDescent="0.3">
      <c r="B909" s="63"/>
      <c r="C909" s="59"/>
      <c r="D909" s="59"/>
      <c r="E909" s="64"/>
      <c r="F909" s="25"/>
      <c r="G909" s="27"/>
      <c r="H909" s="25"/>
      <c r="I909" s="27"/>
    </row>
    <row r="910" spans="2:9" ht="12.95" customHeight="1" x14ac:dyDescent="0.3">
      <c r="B910" s="65" t="s">
        <v>13</v>
      </c>
      <c r="C910" s="51"/>
      <c r="D910" s="51"/>
      <c r="E910" s="62"/>
      <c r="F910" s="62"/>
      <c r="G910" s="29">
        <f>SUM(G898+G904+G908)</f>
        <v>1692797</v>
      </c>
      <c r="H910" s="62"/>
      <c r="I910" s="29">
        <f>SUM(I898+I904+I908)</f>
        <v>1692797</v>
      </c>
    </row>
    <row r="911" spans="2:9" ht="12.95" customHeight="1" x14ac:dyDescent="0.3">
      <c r="B911" s="66" t="s">
        <v>189</v>
      </c>
      <c r="C911" s="67"/>
      <c r="D911" s="68"/>
      <c r="E911" s="69"/>
      <c r="F911" s="70"/>
      <c r="G911" s="71">
        <f>TRUNC(G910/G893)</f>
        <v>307781</v>
      </c>
      <c r="H911" s="70"/>
      <c r="I911" s="71">
        <f>TRUNC(I910/I893)</f>
        <v>423199</v>
      </c>
    </row>
    <row r="913" spans="2:11" ht="12.95" customHeight="1" x14ac:dyDescent="0.3">
      <c r="B913" s="1" t="s">
        <v>164</v>
      </c>
      <c r="K913" s="37" t="s">
        <v>22</v>
      </c>
    </row>
    <row r="914" spans="2:11" ht="12.95" customHeight="1" x14ac:dyDescent="0.3">
      <c r="B914" s="106" t="s">
        <v>3</v>
      </c>
      <c r="C914" s="107" t="s">
        <v>7</v>
      </c>
      <c r="D914" s="108" t="s">
        <v>8</v>
      </c>
      <c r="E914" s="109" t="s">
        <v>4</v>
      </c>
      <c r="F914" s="105" t="s">
        <v>86</v>
      </c>
      <c r="G914" s="95"/>
      <c r="H914" s="105" t="s">
        <v>27</v>
      </c>
      <c r="I914" s="95"/>
      <c r="J914" s="105" t="s">
        <v>28</v>
      </c>
      <c r="K914" s="95"/>
    </row>
    <row r="915" spans="2:11" ht="12.95" customHeight="1" x14ac:dyDescent="0.3">
      <c r="B915" s="106"/>
      <c r="C915" s="107"/>
      <c r="D915" s="108"/>
      <c r="E915" s="109"/>
      <c r="F915" s="74" t="s">
        <v>5</v>
      </c>
      <c r="G915" s="75" t="s">
        <v>6</v>
      </c>
      <c r="H915" s="74" t="s">
        <v>5</v>
      </c>
      <c r="I915" s="75" t="s">
        <v>6</v>
      </c>
      <c r="J915" s="74" t="s">
        <v>5</v>
      </c>
      <c r="K915" s="75" t="s">
        <v>6</v>
      </c>
    </row>
    <row r="916" spans="2:11" ht="12.95" customHeight="1" x14ac:dyDescent="0.3">
      <c r="B916" s="42" t="s">
        <v>53</v>
      </c>
      <c r="C916" s="43" t="s">
        <v>18</v>
      </c>
      <c r="D916" s="44" t="s">
        <v>15</v>
      </c>
      <c r="E916" s="45"/>
      <c r="F916" s="21">
        <v>1</v>
      </c>
      <c r="G916" s="5">
        <f>TRUNC(SUM(G919:G920)*0.05,1)</f>
        <v>1743</v>
      </c>
      <c r="H916" s="21">
        <v>1</v>
      </c>
      <c r="I916" s="5">
        <f>TRUNC(SUM(I919:I920)*0.05,1)</f>
        <v>1960.3</v>
      </c>
      <c r="J916" s="21">
        <v>1</v>
      </c>
      <c r="K916" s="5">
        <f>TRUNC(SUM(K919:K920)*0.05,1)</f>
        <v>2222.9</v>
      </c>
    </row>
    <row r="917" spans="2:11" ht="12.95" customHeight="1" x14ac:dyDescent="0.3">
      <c r="B917" s="46" t="s">
        <v>10</v>
      </c>
      <c r="C917" s="47"/>
      <c r="D917" s="48"/>
      <c r="E917" s="49"/>
      <c r="F917" s="25"/>
      <c r="G917" s="12">
        <f>TRUNC(SUM(G916))</f>
        <v>1743</v>
      </c>
      <c r="H917" s="25"/>
      <c r="I917" s="12">
        <f>TRUNC(SUM(I916))</f>
        <v>1960</v>
      </c>
      <c r="J917" s="25"/>
      <c r="K917" s="12">
        <f>TRUNC(SUM(K916))</f>
        <v>2222</v>
      </c>
    </row>
    <row r="918" spans="2:11" ht="12.95" customHeight="1" x14ac:dyDescent="0.3">
      <c r="B918" s="50"/>
      <c r="C918" s="51"/>
      <c r="D918" s="51"/>
      <c r="E918" s="22"/>
      <c r="F918" s="15"/>
      <c r="G918" s="24"/>
      <c r="H918" s="15"/>
      <c r="I918" s="24"/>
      <c r="J918" s="15"/>
      <c r="K918" s="24"/>
    </row>
    <row r="919" spans="2:11" ht="12.95" customHeight="1" x14ac:dyDescent="0.3">
      <c r="B919" s="52" t="s">
        <v>29</v>
      </c>
      <c r="C919" s="53"/>
      <c r="D919" s="54" t="s">
        <v>9</v>
      </c>
      <c r="E919" s="55">
        <v>262580</v>
      </c>
      <c r="F919" s="28">
        <v>0.1</v>
      </c>
      <c r="G919" s="2">
        <f t="shared" ref="G919:G920" si="284">TRUNC($E919*F919,1)</f>
        <v>26258</v>
      </c>
      <c r="H919" s="28">
        <v>0.11</v>
      </c>
      <c r="I919" s="3">
        <f t="shared" ref="I919:I920" si="285">TRUNC($E919*H919,1)</f>
        <v>28883.8</v>
      </c>
      <c r="J919" s="28">
        <v>0.13</v>
      </c>
      <c r="K919" s="3">
        <f t="shared" ref="K919:K920" si="286">TRUNC($E919*J919,1)</f>
        <v>34135.4</v>
      </c>
    </row>
    <row r="920" spans="2:11" ht="12.95" customHeight="1" x14ac:dyDescent="0.3">
      <c r="B920" s="52" t="s">
        <v>1</v>
      </c>
      <c r="C920" s="53"/>
      <c r="D920" s="54" t="s">
        <v>9</v>
      </c>
      <c r="E920" s="57">
        <v>172068</v>
      </c>
      <c r="F920" s="28">
        <v>0.05</v>
      </c>
      <c r="G920" s="2">
        <f t="shared" si="284"/>
        <v>8603.4</v>
      </c>
      <c r="H920" s="28">
        <v>0.06</v>
      </c>
      <c r="I920" s="3">
        <f t="shared" si="285"/>
        <v>10324</v>
      </c>
      <c r="J920" s="28">
        <v>0.06</v>
      </c>
      <c r="K920" s="3">
        <f t="shared" si="286"/>
        <v>10324</v>
      </c>
    </row>
    <row r="921" spans="2:11" ht="12.95" customHeight="1" x14ac:dyDescent="0.3">
      <c r="B921" s="58" t="s">
        <v>11</v>
      </c>
      <c r="C921" s="80"/>
      <c r="D921" s="81"/>
      <c r="E921" s="82"/>
      <c r="F921" s="82"/>
      <c r="G921" s="10">
        <f>TRUNC(SUM(G919:G920))</f>
        <v>34861</v>
      </c>
      <c r="H921" s="82"/>
      <c r="I921" s="11">
        <f>TRUNC(SUM(I919:I920))</f>
        <v>39207</v>
      </c>
      <c r="J921" s="82"/>
      <c r="K921" s="11">
        <f>TRUNC(SUM(K919:K920))</f>
        <v>44459</v>
      </c>
    </row>
    <row r="922" spans="2:11" ht="12.95" customHeight="1" x14ac:dyDescent="0.3">
      <c r="B922" s="83"/>
      <c r="C922" s="53"/>
      <c r="D922" s="54"/>
      <c r="E922" s="84"/>
      <c r="F922" s="84"/>
      <c r="G922" s="6"/>
      <c r="H922" s="84"/>
      <c r="I922" s="7"/>
      <c r="J922" s="84"/>
      <c r="K922" s="7"/>
    </row>
    <row r="923" spans="2:11" ht="12.95" customHeight="1" x14ac:dyDescent="0.3">
      <c r="B923" s="66" t="s">
        <v>13</v>
      </c>
      <c r="C923" s="85"/>
      <c r="D923" s="86"/>
      <c r="E923" s="87"/>
      <c r="F923" s="87"/>
      <c r="G923" s="26">
        <f>SUM(G917+G921)</f>
        <v>36604</v>
      </c>
      <c r="H923" s="87"/>
      <c r="I923" s="26">
        <f>SUM(I917+I921)</f>
        <v>41167</v>
      </c>
      <c r="J923" s="87"/>
      <c r="K923" s="26">
        <f>SUM(K917+K921)</f>
        <v>46681</v>
      </c>
    </row>
    <row r="924" spans="2:11" ht="12.95" customHeight="1" x14ac:dyDescent="0.3">
      <c r="B924" s="106" t="s">
        <v>3</v>
      </c>
      <c r="C924" s="107" t="s">
        <v>7</v>
      </c>
      <c r="D924" s="108" t="s">
        <v>8</v>
      </c>
      <c r="E924" s="109" t="s">
        <v>4</v>
      </c>
      <c r="F924" s="105" t="s">
        <v>35</v>
      </c>
      <c r="G924" s="95"/>
      <c r="H924" s="105" t="s">
        <v>36</v>
      </c>
      <c r="I924" s="95"/>
      <c r="J924" s="105" t="s">
        <v>37</v>
      </c>
      <c r="K924" s="95"/>
    </row>
    <row r="925" spans="2:11" ht="12.95" customHeight="1" x14ac:dyDescent="0.3">
      <c r="B925" s="106"/>
      <c r="C925" s="107"/>
      <c r="D925" s="108"/>
      <c r="E925" s="109"/>
      <c r="F925" s="74" t="s">
        <v>5</v>
      </c>
      <c r="G925" s="75" t="s">
        <v>6</v>
      </c>
      <c r="H925" s="74" t="s">
        <v>5</v>
      </c>
      <c r="I925" s="75" t="s">
        <v>6</v>
      </c>
      <c r="J925" s="74" t="s">
        <v>5</v>
      </c>
      <c r="K925" s="75" t="s">
        <v>6</v>
      </c>
    </row>
    <row r="926" spans="2:11" ht="12.95" customHeight="1" x14ac:dyDescent="0.3">
      <c r="B926" s="42" t="s">
        <v>53</v>
      </c>
      <c r="C926" s="43" t="s">
        <v>18</v>
      </c>
      <c r="D926" s="44" t="s">
        <v>15</v>
      </c>
      <c r="E926" s="45"/>
      <c r="F926" s="21">
        <v>1</v>
      </c>
      <c r="G926" s="5">
        <f>TRUNC(SUM(G929:G930)*0.05,1)</f>
        <v>2571.5</v>
      </c>
      <c r="H926" s="21">
        <v>1</v>
      </c>
      <c r="I926" s="5">
        <f>TRUNC(SUM(I929:I930)*0.05,1)</f>
        <v>3137.5</v>
      </c>
      <c r="J926" s="21">
        <v>1</v>
      </c>
      <c r="K926" s="5">
        <f>TRUNC(SUM(K929:K930)*0.05,1)</f>
        <v>3486.1</v>
      </c>
    </row>
    <row r="927" spans="2:11" ht="12.95" customHeight="1" x14ac:dyDescent="0.3">
      <c r="B927" s="46" t="s">
        <v>10</v>
      </c>
      <c r="C927" s="47"/>
      <c r="D927" s="48"/>
      <c r="E927" s="49"/>
      <c r="F927" s="25"/>
      <c r="G927" s="12">
        <f>TRUNC(SUM(G926))</f>
        <v>2571</v>
      </c>
      <c r="H927" s="25"/>
      <c r="I927" s="12">
        <f>TRUNC(SUM(I926))</f>
        <v>3137</v>
      </c>
      <c r="J927" s="25"/>
      <c r="K927" s="12">
        <f>TRUNC(SUM(K926))</f>
        <v>3486</v>
      </c>
    </row>
    <row r="928" spans="2:11" ht="12.95" customHeight="1" x14ac:dyDescent="0.3">
      <c r="B928" s="50"/>
      <c r="C928" s="51"/>
      <c r="D928" s="51"/>
      <c r="E928" s="22"/>
      <c r="F928" s="15"/>
      <c r="G928" s="24"/>
      <c r="H928" s="15"/>
      <c r="I928" s="24"/>
      <c r="J928" s="15"/>
      <c r="K928" s="24"/>
    </row>
    <row r="929" spans="2:11" ht="12.95" customHeight="1" x14ac:dyDescent="0.3">
      <c r="B929" s="52" t="s">
        <v>29</v>
      </c>
      <c r="C929" s="53"/>
      <c r="D929" s="54" t="s">
        <v>9</v>
      </c>
      <c r="E929" s="55">
        <v>262580</v>
      </c>
      <c r="F929" s="28">
        <v>0.15</v>
      </c>
      <c r="G929" s="2">
        <f t="shared" ref="G929:G930" si="287">TRUNC($E929*F929,1)</f>
        <v>39387</v>
      </c>
      <c r="H929" s="28">
        <v>0.18</v>
      </c>
      <c r="I929" s="3">
        <f t="shared" ref="I929:I930" si="288">TRUNC($E929*H929,1)</f>
        <v>47264.4</v>
      </c>
      <c r="J929" s="28">
        <v>0.2</v>
      </c>
      <c r="K929" s="3">
        <f t="shared" ref="K929:K930" si="289">TRUNC($E929*J929,1)</f>
        <v>52516</v>
      </c>
    </row>
    <row r="930" spans="2:11" ht="12.95" customHeight="1" x14ac:dyDescent="0.3">
      <c r="B930" s="52" t="s">
        <v>1</v>
      </c>
      <c r="C930" s="53"/>
      <c r="D930" s="54" t="s">
        <v>9</v>
      </c>
      <c r="E930" s="57">
        <v>172068</v>
      </c>
      <c r="F930" s="28">
        <v>7.0000000000000007E-2</v>
      </c>
      <c r="G930" s="2">
        <f t="shared" si="287"/>
        <v>12044.7</v>
      </c>
      <c r="H930" s="28">
        <v>0.09</v>
      </c>
      <c r="I930" s="3">
        <f t="shared" si="288"/>
        <v>15486.1</v>
      </c>
      <c r="J930" s="28">
        <v>0.1</v>
      </c>
      <c r="K930" s="3">
        <f t="shared" si="289"/>
        <v>17206.8</v>
      </c>
    </row>
    <row r="931" spans="2:11" ht="12.95" customHeight="1" x14ac:dyDescent="0.3">
      <c r="B931" s="58" t="s">
        <v>11</v>
      </c>
      <c r="C931" s="80"/>
      <c r="D931" s="81"/>
      <c r="E931" s="82"/>
      <c r="F931" s="82"/>
      <c r="G931" s="10">
        <f>TRUNC(SUM(G929:G930))</f>
        <v>51431</v>
      </c>
      <c r="H931" s="82"/>
      <c r="I931" s="11">
        <f>TRUNC(SUM(I929:I930))</f>
        <v>62750</v>
      </c>
      <c r="J931" s="82"/>
      <c r="K931" s="11">
        <f>TRUNC(SUM(K929:K930))</f>
        <v>69722</v>
      </c>
    </row>
    <row r="932" spans="2:11" ht="12.95" customHeight="1" x14ac:dyDescent="0.3">
      <c r="B932" s="83"/>
      <c r="C932" s="53"/>
      <c r="D932" s="54"/>
      <c r="E932" s="84"/>
      <c r="F932" s="84"/>
      <c r="G932" s="6"/>
      <c r="H932" s="84"/>
      <c r="I932" s="7"/>
      <c r="J932" s="84"/>
      <c r="K932" s="7"/>
    </row>
    <row r="933" spans="2:11" ht="12.95" customHeight="1" x14ac:dyDescent="0.3">
      <c r="B933" s="66" t="s">
        <v>13</v>
      </c>
      <c r="C933" s="85"/>
      <c r="D933" s="86"/>
      <c r="E933" s="87"/>
      <c r="F933" s="87"/>
      <c r="G933" s="26">
        <f>SUM(G927+G931)</f>
        <v>54002</v>
      </c>
      <c r="H933" s="87"/>
      <c r="I933" s="26">
        <f>SUM(I927+I931)</f>
        <v>65887</v>
      </c>
      <c r="J933" s="87"/>
      <c r="K933" s="26">
        <f>SUM(K927+K931)</f>
        <v>73208</v>
      </c>
    </row>
    <row r="935" spans="2:11" ht="12.95" customHeight="1" x14ac:dyDescent="0.3">
      <c r="B935" s="32" t="s">
        <v>166</v>
      </c>
    </row>
    <row r="936" spans="2:11" ht="12.95" customHeight="1" x14ac:dyDescent="0.3">
      <c r="B936" s="1" t="s">
        <v>165</v>
      </c>
      <c r="K936" s="37" t="s">
        <v>169</v>
      </c>
    </row>
    <row r="937" spans="2:11" ht="12.95" customHeight="1" x14ac:dyDescent="0.3">
      <c r="B937" s="89" t="s">
        <v>3</v>
      </c>
      <c r="C937" s="92" t="s">
        <v>7</v>
      </c>
      <c r="D937" s="92" t="s">
        <v>8</v>
      </c>
      <c r="E937" s="92" t="s">
        <v>4</v>
      </c>
      <c r="F937" s="95" t="s">
        <v>36</v>
      </c>
      <c r="G937" s="96"/>
      <c r="H937" s="95" t="s">
        <v>37</v>
      </c>
      <c r="I937" s="96"/>
      <c r="J937" s="95" t="s">
        <v>39</v>
      </c>
      <c r="K937" s="96"/>
    </row>
    <row r="938" spans="2:11" ht="12.95" customHeight="1" x14ac:dyDescent="0.3">
      <c r="B938" s="90"/>
      <c r="C938" s="93"/>
      <c r="D938" s="93"/>
      <c r="E938" s="93"/>
      <c r="F938" s="38" t="s">
        <v>174</v>
      </c>
      <c r="G938" s="39">
        <v>20</v>
      </c>
      <c r="H938" s="38" t="s">
        <v>174</v>
      </c>
      <c r="I938" s="39">
        <v>15</v>
      </c>
      <c r="J938" s="38" t="s">
        <v>174</v>
      </c>
      <c r="K938" s="39">
        <v>13</v>
      </c>
    </row>
    <row r="939" spans="2:11" ht="12.95" customHeight="1" x14ac:dyDescent="0.3">
      <c r="B939" s="91"/>
      <c r="C939" s="94"/>
      <c r="D939" s="94"/>
      <c r="E939" s="94"/>
      <c r="F939" s="40" t="s">
        <v>21</v>
      </c>
      <c r="G939" s="41" t="s">
        <v>173</v>
      </c>
      <c r="H939" s="40" t="s">
        <v>21</v>
      </c>
      <c r="I939" s="41" t="s">
        <v>173</v>
      </c>
      <c r="J939" s="40" t="s">
        <v>21</v>
      </c>
      <c r="K939" s="41" t="s">
        <v>173</v>
      </c>
    </row>
    <row r="940" spans="2:11" ht="12.95" customHeight="1" x14ac:dyDescent="0.3">
      <c r="B940" s="59" t="s">
        <v>183</v>
      </c>
      <c r="C940" s="59" t="s">
        <v>33</v>
      </c>
      <c r="D940" s="61" t="s">
        <v>17</v>
      </c>
      <c r="E940" s="17">
        <v>7951</v>
      </c>
      <c r="F940" s="56">
        <v>8</v>
      </c>
      <c r="G940" s="3">
        <f t="shared" ref="G940" si="290">TRUNC($E940*F940,1)</f>
        <v>63608</v>
      </c>
      <c r="H940" s="56">
        <v>8</v>
      </c>
      <c r="I940" s="3">
        <f t="shared" ref="I940" si="291">TRUNC($E940*H940,1)</f>
        <v>63608</v>
      </c>
      <c r="J940" s="56">
        <v>8</v>
      </c>
      <c r="K940" s="3">
        <f t="shared" ref="K940" si="292">TRUNC($E940*J940,1)</f>
        <v>63608</v>
      </c>
    </row>
    <row r="941" spans="2:11" ht="12.95" customHeight="1" x14ac:dyDescent="0.3">
      <c r="B941" s="59" t="s">
        <v>184</v>
      </c>
      <c r="C941" s="60" t="s">
        <v>172</v>
      </c>
      <c r="D941" s="51"/>
      <c r="E941" s="22"/>
      <c r="F941" s="23"/>
      <c r="G941" s="24"/>
      <c r="H941" s="23"/>
      <c r="I941" s="24"/>
      <c r="J941" s="23"/>
      <c r="K941" s="24"/>
    </row>
    <row r="942" spans="2:11" ht="12.95" customHeight="1" x14ac:dyDescent="0.3">
      <c r="B942" s="42" t="s">
        <v>53</v>
      </c>
      <c r="C942" s="43" t="s">
        <v>56</v>
      </c>
      <c r="D942" s="44" t="s">
        <v>15</v>
      </c>
      <c r="E942" s="45"/>
      <c r="F942" s="21">
        <v>1</v>
      </c>
      <c r="G942" s="5">
        <f>TRUNC(SUM(G945:G946)*0.02,1)</f>
        <v>13944.5</v>
      </c>
      <c r="H942" s="21">
        <v>1</v>
      </c>
      <c r="I942" s="5">
        <f>TRUNC(SUM(I945:I946)*0.02,1)</f>
        <v>13944.5</v>
      </c>
      <c r="J942" s="21">
        <v>1</v>
      </c>
      <c r="K942" s="5">
        <f>TRUNC(SUM(K945:K946)*0.02,1)</f>
        <v>13944.5</v>
      </c>
    </row>
    <row r="943" spans="2:11" ht="12.95" customHeight="1" x14ac:dyDescent="0.3">
      <c r="B943" s="46" t="s">
        <v>10</v>
      </c>
      <c r="C943" s="51"/>
      <c r="D943" s="51"/>
      <c r="E943" s="22"/>
      <c r="F943" s="23"/>
      <c r="G943" s="16">
        <f>TRUNC(SUM(G940:G942))</f>
        <v>77552</v>
      </c>
      <c r="H943" s="23"/>
      <c r="I943" s="16">
        <f>TRUNC(SUM(I940:I942))</f>
        <v>77552</v>
      </c>
      <c r="J943" s="23"/>
      <c r="K943" s="16">
        <f>TRUNC(SUM(K940:K942))</f>
        <v>77552</v>
      </c>
    </row>
    <row r="944" spans="2:11" ht="12.95" customHeight="1" x14ac:dyDescent="0.3">
      <c r="B944" s="50"/>
      <c r="C944" s="51"/>
      <c r="D944" s="51"/>
      <c r="E944" s="22"/>
      <c r="F944" s="23"/>
      <c r="G944" s="24"/>
      <c r="H944" s="23"/>
      <c r="I944" s="24"/>
      <c r="J944" s="23"/>
      <c r="K944" s="24"/>
    </row>
    <row r="945" spans="2:11" ht="12.95" customHeight="1" x14ac:dyDescent="0.3">
      <c r="B945" s="52" t="s">
        <v>29</v>
      </c>
      <c r="C945" s="53"/>
      <c r="D945" s="54" t="s">
        <v>9</v>
      </c>
      <c r="E945" s="55">
        <v>262580</v>
      </c>
      <c r="F945" s="56">
        <v>2</v>
      </c>
      <c r="G945" s="3">
        <f t="shared" ref="G945:G947" si="293">TRUNC($E945*F945,1)</f>
        <v>525160</v>
      </c>
      <c r="H945" s="56">
        <v>2</v>
      </c>
      <c r="I945" s="3">
        <f t="shared" ref="I945:I947" si="294">TRUNC($E945*H945,1)</f>
        <v>525160</v>
      </c>
      <c r="J945" s="56">
        <v>2</v>
      </c>
      <c r="K945" s="3">
        <f t="shared" ref="K945:K947" si="295">TRUNC($E945*J945,1)</f>
        <v>525160</v>
      </c>
    </row>
    <row r="946" spans="2:11" ht="12.95" customHeight="1" x14ac:dyDescent="0.3">
      <c r="B946" s="52" t="s">
        <v>1</v>
      </c>
      <c r="C946" s="53"/>
      <c r="D946" s="54" t="s">
        <v>9</v>
      </c>
      <c r="E946" s="57">
        <v>172068</v>
      </c>
      <c r="F946" s="56">
        <v>1</v>
      </c>
      <c r="G946" s="3">
        <f t="shared" si="293"/>
        <v>172068</v>
      </c>
      <c r="H946" s="56">
        <v>1</v>
      </c>
      <c r="I946" s="3">
        <f t="shared" si="294"/>
        <v>172068</v>
      </c>
      <c r="J946" s="56">
        <v>1</v>
      </c>
      <c r="K946" s="3">
        <f t="shared" si="295"/>
        <v>172068</v>
      </c>
    </row>
    <row r="947" spans="2:11" ht="12.95" customHeight="1" x14ac:dyDescent="0.3">
      <c r="B947" s="59" t="s">
        <v>183</v>
      </c>
      <c r="C947" s="59" t="s">
        <v>33</v>
      </c>
      <c r="D947" s="61" t="s">
        <v>17</v>
      </c>
      <c r="E947" s="17">
        <v>58925</v>
      </c>
      <c r="F947" s="56">
        <v>8</v>
      </c>
      <c r="G947" s="3">
        <f t="shared" si="293"/>
        <v>471400</v>
      </c>
      <c r="H947" s="56">
        <v>8</v>
      </c>
      <c r="I947" s="3">
        <f t="shared" si="294"/>
        <v>471400</v>
      </c>
      <c r="J947" s="56">
        <v>8</v>
      </c>
      <c r="K947" s="3">
        <f t="shared" si="295"/>
        <v>471400</v>
      </c>
    </row>
    <row r="948" spans="2:11" ht="12.95" customHeight="1" x14ac:dyDescent="0.3">
      <c r="B948" s="59" t="s">
        <v>184</v>
      </c>
      <c r="C948" s="60" t="s">
        <v>172</v>
      </c>
      <c r="D948" s="51"/>
      <c r="E948" s="22"/>
      <c r="F948" s="23"/>
      <c r="G948" s="24"/>
      <c r="H948" s="23"/>
      <c r="I948" s="24"/>
      <c r="J948" s="23"/>
      <c r="K948" s="24"/>
    </row>
    <row r="949" spans="2:11" ht="12.95" customHeight="1" x14ac:dyDescent="0.3">
      <c r="B949" s="58" t="s">
        <v>11</v>
      </c>
      <c r="C949" s="51"/>
      <c r="D949" s="51"/>
      <c r="E949" s="22"/>
      <c r="F949" s="22"/>
      <c r="G949" s="16">
        <f>TRUNC(SUM(G945:G947))</f>
        <v>1168628</v>
      </c>
      <c r="H949" s="22"/>
      <c r="I949" s="16">
        <f>TRUNC(SUM(I945:I947))</f>
        <v>1168628</v>
      </c>
      <c r="J949" s="22"/>
      <c r="K949" s="16">
        <f>TRUNC(SUM(K945:K947))</f>
        <v>1168628</v>
      </c>
    </row>
    <row r="950" spans="2:11" ht="12.95" customHeight="1" x14ac:dyDescent="0.3">
      <c r="B950" s="50"/>
      <c r="C950" s="51"/>
      <c r="D950" s="51"/>
      <c r="E950" s="22"/>
      <c r="F950" s="22"/>
      <c r="G950" s="24"/>
      <c r="H950" s="22"/>
      <c r="I950" s="24"/>
      <c r="J950" s="22"/>
      <c r="K950" s="24"/>
    </row>
    <row r="951" spans="2:11" ht="12.95" customHeight="1" x14ac:dyDescent="0.3">
      <c r="B951" s="59" t="s">
        <v>183</v>
      </c>
      <c r="C951" s="59" t="s">
        <v>33</v>
      </c>
      <c r="D951" s="61" t="s">
        <v>17</v>
      </c>
      <c r="E951" s="17">
        <v>31344</v>
      </c>
      <c r="F951" s="56">
        <v>8</v>
      </c>
      <c r="G951" s="3">
        <f t="shared" ref="G951" si="296">TRUNC($E951*F951,1)</f>
        <v>250752</v>
      </c>
      <c r="H951" s="56">
        <v>8</v>
      </c>
      <c r="I951" s="3">
        <f t="shared" ref="I951" si="297">TRUNC($E951*H951,1)</f>
        <v>250752</v>
      </c>
      <c r="J951" s="56">
        <v>8</v>
      </c>
      <c r="K951" s="3">
        <f t="shared" ref="K951" si="298">TRUNC($E951*J951,1)</f>
        <v>250752</v>
      </c>
    </row>
    <row r="952" spans="2:11" ht="12.95" customHeight="1" x14ac:dyDescent="0.3">
      <c r="B952" s="59" t="s">
        <v>184</v>
      </c>
      <c r="C952" s="60" t="s">
        <v>172</v>
      </c>
      <c r="D952" s="51"/>
      <c r="E952" s="22"/>
      <c r="F952" s="23"/>
      <c r="G952" s="24"/>
      <c r="H952" s="23"/>
      <c r="I952" s="24"/>
      <c r="J952" s="23"/>
      <c r="K952" s="24"/>
    </row>
    <row r="953" spans="2:11" ht="12.95" customHeight="1" x14ac:dyDescent="0.3">
      <c r="B953" s="46" t="s">
        <v>12</v>
      </c>
      <c r="C953" s="51"/>
      <c r="D953" s="51"/>
      <c r="E953" s="62"/>
      <c r="F953" s="15"/>
      <c r="G953" s="16">
        <f>TRUNC(SUM(G951:G951))</f>
        <v>250752</v>
      </c>
      <c r="H953" s="15"/>
      <c r="I953" s="16">
        <f>TRUNC(SUM(I951:I951))</f>
        <v>250752</v>
      </c>
      <c r="J953" s="15"/>
      <c r="K953" s="16">
        <f>TRUNC(SUM(K951:K951))</f>
        <v>250752</v>
      </c>
    </row>
    <row r="954" spans="2:11" ht="12.95" customHeight="1" x14ac:dyDescent="0.3">
      <c r="B954" s="63"/>
      <c r="C954" s="59"/>
      <c r="D954" s="59"/>
      <c r="E954" s="64"/>
      <c r="F954" s="25"/>
      <c r="G954" s="27"/>
      <c r="H954" s="25"/>
      <c r="I954" s="27"/>
      <c r="J954" s="25"/>
      <c r="K954" s="27"/>
    </row>
    <row r="955" spans="2:11" ht="12.95" customHeight="1" x14ac:dyDescent="0.3">
      <c r="B955" s="65" t="s">
        <v>13</v>
      </c>
      <c r="C955" s="51"/>
      <c r="D955" s="51"/>
      <c r="E955" s="62"/>
      <c r="F955" s="62"/>
      <c r="G955" s="29">
        <f>SUM(G943+G949+G953)</f>
        <v>1496932</v>
      </c>
      <c r="H955" s="62"/>
      <c r="I955" s="29">
        <f>SUM(I943+I949+I953)</f>
        <v>1496932</v>
      </c>
      <c r="J955" s="62"/>
      <c r="K955" s="29">
        <f>SUM(K943+K949+K953)</f>
        <v>1496932</v>
      </c>
    </row>
    <row r="956" spans="2:11" ht="12.95" customHeight="1" x14ac:dyDescent="0.3">
      <c r="B956" s="66" t="s">
        <v>175</v>
      </c>
      <c r="C956" s="67"/>
      <c r="D956" s="68"/>
      <c r="E956" s="69"/>
      <c r="F956" s="70"/>
      <c r="G956" s="71">
        <f>TRUNC(G955/G938)</f>
        <v>74846</v>
      </c>
      <c r="H956" s="70"/>
      <c r="I956" s="71">
        <f>TRUNC(I955/I938)</f>
        <v>99795</v>
      </c>
      <c r="J956" s="70"/>
      <c r="K956" s="71">
        <f>TRUNC(K955/K938)</f>
        <v>115148</v>
      </c>
    </row>
    <row r="957" spans="2:11" ht="12.95" customHeight="1" x14ac:dyDescent="0.3">
      <c r="B957" s="89" t="s">
        <v>3</v>
      </c>
      <c r="C957" s="92" t="s">
        <v>7</v>
      </c>
      <c r="D957" s="92" t="s">
        <v>8</v>
      </c>
      <c r="E957" s="92" t="s">
        <v>4</v>
      </c>
      <c r="F957" s="95" t="s">
        <v>40</v>
      </c>
      <c r="G957" s="96"/>
      <c r="H957" s="95" t="s">
        <v>41</v>
      </c>
      <c r="I957" s="96"/>
      <c r="J957" s="95" t="s">
        <v>43</v>
      </c>
      <c r="K957" s="96"/>
    </row>
    <row r="958" spans="2:11" ht="12.95" customHeight="1" x14ac:dyDescent="0.3">
      <c r="B958" s="90"/>
      <c r="C958" s="93"/>
      <c r="D958" s="93"/>
      <c r="E958" s="93"/>
      <c r="F958" s="38" t="s">
        <v>174</v>
      </c>
      <c r="G958" s="39">
        <v>11</v>
      </c>
      <c r="H958" s="38" t="s">
        <v>174</v>
      </c>
      <c r="I958" s="73">
        <v>9</v>
      </c>
      <c r="J958" s="38" t="s">
        <v>174</v>
      </c>
      <c r="K958" s="73">
        <v>8</v>
      </c>
    </row>
    <row r="959" spans="2:11" ht="12.95" customHeight="1" x14ac:dyDescent="0.3">
      <c r="B959" s="91"/>
      <c r="C959" s="94"/>
      <c r="D959" s="94"/>
      <c r="E959" s="94"/>
      <c r="F959" s="40" t="s">
        <v>21</v>
      </c>
      <c r="G959" s="41" t="s">
        <v>173</v>
      </c>
      <c r="H959" s="40" t="s">
        <v>21</v>
      </c>
      <c r="I959" s="41" t="s">
        <v>173</v>
      </c>
      <c r="J959" s="40" t="s">
        <v>21</v>
      </c>
      <c r="K959" s="41" t="s">
        <v>173</v>
      </c>
    </row>
    <row r="960" spans="2:11" ht="12.95" customHeight="1" x14ac:dyDescent="0.3">
      <c r="B960" s="59" t="s">
        <v>183</v>
      </c>
      <c r="C960" s="59" t="s">
        <v>33</v>
      </c>
      <c r="D960" s="61" t="s">
        <v>17</v>
      </c>
      <c r="E960" s="17">
        <v>7951</v>
      </c>
      <c r="F960" s="56">
        <v>8</v>
      </c>
      <c r="G960" s="3">
        <f t="shared" ref="G960" si="299">TRUNC($E960*F960,1)</f>
        <v>63608</v>
      </c>
      <c r="H960" s="56">
        <v>8</v>
      </c>
      <c r="I960" s="3">
        <f t="shared" ref="I960" si="300">TRUNC($E960*H960,1)</f>
        <v>63608</v>
      </c>
      <c r="J960" s="56">
        <v>8</v>
      </c>
      <c r="K960" s="3">
        <f t="shared" ref="K960" si="301">TRUNC($E960*J960,1)</f>
        <v>63608</v>
      </c>
    </row>
    <row r="961" spans="2:11" ht="12.95" customHeight="1" x14ac:dyDescent="0.3">
      <c r="B961" s="59" t="s">
        <v>184</v>
      </c>
      <c r="C961" s="60" t="s">
        <v>172</v>
      </c>
      <c r="D961" s="51"/>
      <c r="E961" s="22"/>
      <c r="F961" s="23"/>
      <c r="G961" s="24"/>
      <c r="H961" s="23"/>
      <c r="I961" s="24"/>
      <c r="J961" s="23"/>
      <c r="K961" s="24"/>
    </row>
    <row r="962" spans="2:11" ht="12.95" customHeight="1" x14ac:dyDescent="0.3">
      <c r="B962" s="42" t="s">
        <v>53</v>
      </c>
      <c r="C962" s="43" t="s">
        <v>56</v>
      </c>
      <c r="D962" s="44" t="s">
        <v>15</v>
      </c>
      <c r="E962" s="45"/>
      <c r="F962" s="21">
        <v>1</v>
      </c>
      <c r="G962" s="5">
        <f>TRUNC(SUM(G965:G966)*0.02,1)</f>
        <v>13944.5</v>
      </c>
      <c r="H962" s="21">
        <v>1</v>
      </c>
      <c r="I962" s="5">
        <f>TRUNC(SUM(I965:I966)*0.02,1)</f>
        <v>13944.5</v>
      </c>
      <c r="J962" s="21">
        <v>1</v>
      </c>
      <c r="K962" s="5">
        <f>TRUNC(SUM(K965:K966)*0.02,1)</f>
        <v>13944.5</v>
      </c>
    </row>
    <row r="963" spans="2:11" ht="12.95" customHeight="1" x14ac:dyDescent="0.3">
      <c r="B963" s="46" t="s">
        <v>10</v>
      </c>
      <c r="C963" s="51"/>
      <c r="D963" s="51"/>
      <c r="E963" s="22"/>
      <c r="F963" s="23"/>
      <c r="G963" s="16">
        <f>TRUNC(SUM(G960:G962))</f>
        <v>77552</v>
      </c>
      <c r="H963" s="23"/>
      <c r="I963" s="16">
        <f>TRUNC(SUM(I960:I962))</f>
        <v>77552</v>
      </c>
      <c r="J963" s="23"/>
      <c r="K963" s="16">
        <f>TRUNC(SUM(K960:K962))</f>
        <v>77552</v>
      </c>
    </row>
    <row r="964" spans="2:11" ht="12.95" customHeight="1" x14ac:dyDescent="0.3">
      <c r="B964" s="50"/>
      <c r="C964" s="51"/>
      <c r="D964" s="51"/>
      <c r="E964" s="22"/>
      <c r="F964" s="23"/>
      <c r="G964" s="24"/>
      <c r="H964" s="23"/>
      <c r="I964" s="24"/>
      <c r="J964" s="23"/>
      <c r="K964" s="24"/>
    </row>
    <row r="965" spans="2:11" ht="12.95" customHeight="1" x14ac:dyDescent="0.3">
      <c r="B965" s="52" t="s">
        <v>29</v>
      </c>
      <c r="C965" s="53"/>
      <c r="D965" s="54" t="s">
        <v>9</v>
      </c>
      <c r="E965" s="55">
        <v>262580</v>
      </c>
      <c r="F965" s="56">
        <v>2</v>
      </c>
      <c r="G965" s="3">
        <f t="shared" ref="G965:G967" si="302">TRUNC($E965*F965,1)</f>
        <v>525160</v>
      </c>
      <c r="H965" s="56">
        <v>2</v>
      </c>
      <c r="I965" s="3">
        <f t="shared" ref="I965:I967" si="303">TRUNC($E965*H965,1)</f>
        <v>525160</v>
      </c>
      <c r="J965" s="56">
        <v>2</v>
      </c>
      <c r="K965" s="3">
        <f t="shared" ref="K965:K967" si="304">TRUNC($E965*J965,1)</f>
        <v>525160</v>
      </c>
    </row>
    <row r="966" spans="2:11" ht="12.95" customHeight="1" x14ac:dyDescent="0.3">
      <c r="B966" s="52" t="s">
        <v>1</v>
      </c>
      <c r="C966" s="53"/>
      <c r="D966" s="54" t="s">
        <v>9</v>
      </c>
      <c r="E966" s="57">
        <v>172068</v>
      </c>
      <c r="F966" s="56">
        <v>1</v>
      </c>
      <c r="G966" s="3">
        <f t="shared" si="302"/>
        <v>172068</v>
      </c>
      <c r="H966" s="56">
        <v>1</v>
      </c>
      <c r="I966" s="3">
        <f t="shared" si="303"/>
        <v>172068</v>
      </c>
      <c r="J966" s="56">
        <v>1</v>
      </c>
      <c r="K966" s="3">
        <f t="shared" si="304"/>
        <v>172068</v>
      </c>
    </row>
    <row r="967" spans="2:11" ht="12.95" customHeight="1" x14ac:dyDescent="0.3">
      <c r="B967" s="59" t="s">
        <v>183</v>
      </c>
      <c r="C967" s="59" t="s">
        <v>33</v>
      </c>
      <c r="D967" s="61" t="s">
        <v>17</v>
      </c>
      <c r="E967" s="17">
        <v>58925</v>
      </c>
      <c r="F967" s="56">
        <v>8</v>
      </c>
      <c r="G967" s="3">
        <f t="shared" si="302"/>
        <v>471400</v>
      </c>
      <c r="H967" s="56">
        <v>8</v>
      </c>
      <c r="I967" s="3">
        <f t="shared" si="303"/>
        <v>471400</v>
      </c>
      <c r="J967" s="56">
        <v>8</v>
      </c>
      <c r="K967" s="3">
        <f t="shared" si="304"/>
        <v>471400</v>
      </c>
    </row>
    <row r="968" spans="2:11" ht="12.95" customHeight="1" x14ac:dyDescent="0.3">
      <c r="B968" s="59" t="s">
        <v>184</v>
      </c>
      <c r="C968" s="60" t="s">
        <v>172</v>
      </c>
      <c r="D968" s="51"/>
      <c r="E968" s="22"/>
      <c r="F968" s="23"/>
      <c r="G968" s="24"/>
      <c r="H968" s="23"/>
      <c r="I968" s="24"/>
      <c r="J968" s="23"/>
      <c r="K968" s="24"/>
    </row>
    <row r="969" spans="2:11" ht="12.95" customHeight="1" x14ac:dyDescent="0.3">
      <c r="B969" s="58" t="s">
        <v>11</v>
      </c>
      <c r="C969" s="51"/>
      <c r="D969" s="51"/>
      <c r="E969" s="22"/>
      <c r="F969" s="22"/>
      <c r="G969" s="16">
        <f>TRUNC(SUM(G965:G967))</f>
        <v>1168628</v>
      </c>
      <c r="H969" s="22"/>
      <c r="I969" s="16">
        <f>TRUNC(SUM(I965:I967))</f>
        <v>1168628</v>
      </c>
      <c r="J969" s="22"/>
      <c r="K969" s="16">
        <f>TRUNC(SUM(K965:K967))</f>
        <v>1168628</v>
      </c>
    </row>
    <row r="970" spans="2:11" ht="12.95" customHeight="1" x14ac:dyDescent="0.3">
      <c r="B970" s="50"/>
      <c r="C970" s="51"/>
      <c r="D970" s="51"/>
      <c r="E970" s="22"/>
      <c r="F970" s="22"/>
      <c r="G970" s="24"/>
      <c r="H970" s="22"/>
      <c r="I970" s="24"/>
      <c r="J970" s="22"/>
      <c r="K970" s="24"/>
    </row>
    <row r="971" spans="2:11" ht="12.95" customHeight="1" x14ac:dyDescent="0.3">
      <c r="B971" s="59" t="s">
        <v>183</v>
      </c>
      <c r="C971" s="59" t="s">
        <v>33</v>
      </c>
      <c r="D971" s="61" t="s">
        <v>17</v>
      </c>
      <c r="E971" s="17">
        <v>31344</v>
      </c>
      <c r="F971" s="56">
        <v>8</v>
      </c>
      <c r="G971" s="3">
        <f t="shared" ref="G971" si="305">TRUNC($E971*F971,1)</f>
        <v>250752</v>
      </c>
      <c r="H971" s="56">
        <v>8</v>
      </c>
      <c r="I971" s="3">
        <f t="shared" ref="I971" si="306">TRUNC($E971*H971,1)</f>
        <v>250752</v>
      </c>
      <c r="J971" s="56">
        <v>8</v>
      </c>
      <c r="K971" s="3">
        <f t="shared" ref="K971" si="307">TRUNC($E971*J971,1)</f>
        <v>250752</v>
      </c>
    </row>
    <row r="972" spans="2:11" ht="12.95" customHeight="1" x14ac:dyDescent="0.3">
      <c r="B972" s="59" t="s">
        <v>184</v>
      </c>
      <c r="C972" s="60" t="s">
        <v>172</v>
      </c>
      <c r="D972" s="51"/>
      <c r="E972" s="22"/>
      <c r="F972" s="23"/>
      <c r="G972" s="24"/>
      <c r="H972" s="23"/>
      <c r="I972" s="24"/>
      <c r="J972" s="23"/>
      <c r="K972" s="24"/>
    </row>
    <row r="973" spans="2:11" ht="12.95" customHeight="1" x14ac:dyDescent="0.3">
      <c r="B973" s="46" t="s">
        <v>12</v>
      </c>
      <c r="C973" s="51"/>
      <c r="D973" s="51"/>
      <c r="E973" s="62"/>
      <c r="F973" s="15"/>
      <c r="G973" s="16">
        <f>TRUNC(SUM(G971:G971))</f>
        <v>250752</v>
      </c>
      <c r="H973" s="15"/>
      <c r="I973" s="16">
        <f>TRUNC(SUM(I971:I971))</f>
        <v>250752</v>
      </c>
      <c r="J973" s="15"/>
      <c r="K973" s="16">
        <f>TRUNC(SUM(K971:K971))</f>
        <v>250752</v>
      </c>
    </row>
    <row r="974" spans="2:11" ht="12.95" customHeight="1" x14ac:dyDescent="0.3">
      <c r="B974" s="63"/>
      <c r="C974" s="59"/>
      <c r="D974" s="59"/>
      <c r="E974" s="64"/>
      <c r="F974" s="25"/>
      <c r="G974" s="27"/>
      <c r="H974" s="25"/>
      <c r="I974" s="27"/>
      <c r="J974" s="25"/>
      <c r="K974" s="27"/>
    </row>
    <row r="975" spans="2:11" ht="12.95" customHeight="1" x14ac:dyDescent="0.3">
      <c r="B975" s="65" t="s">
        <v>13</v>
      </c>
      <c r="C975" s="51"/>
      <c r="D975" s="51"/>
      <c r="E975" s="62"/>
      <c r="F975" s="62"/>
      <c r="G975" s="29">
        <f>SUM(G963+G969+G973)</f>
        <v>1496932</v>
      </c>
      <c r="H975" s="62"/>
      <c r="I975" s="29">
        <f>SUM(I963+I969+I973)</f>
        <v>1496932</v>
      </c>
      <c r="J975" s="62"/>
      <c r="K975" s="29">
        <f>SUM(K963+K969+K973)</f>
        <v>1496932</v>
      </c>
    </row>
    <row r="976" spans="2:11" ht="12.95" customHeight="1" x14ac:dyDescent="0.3">
      <c r="B976" s="66" t="s">
        <v>175</v>
      </c>
      <c r="C976" s="67"/>
      <c r="D976" s="68"/>
      <c r="E976" s="69"/>
      <c r="F976" s="70"/>
      <c r="G976" s="71">
        <f>TRUNC(G975/G958)</f>
        <v>136084</v>
      </c>
      <c r="H976" s="70"/>
      <c r="I976" s="71">
        <f>TRUNC(I975/I958)</f>
        <v>166325</v>
      </c>
      <c r="J976" s="70"/>
      <c r="K976" s="71">
        <f>TRUNC(K975/K958)</f>
        <v>187116</v>
      </c>
    </row>
    <row r="977" spans="2:11" ht="12.95" customHeight="1" x14ac:dyDescent="0.3">
      <c r="B977" s="89" t="s">
        <v>3</v>
      </c>
      <c r="C977" s="92" t="s">
        <v>7</v>
      </c>
      <c r="D977" s="92" t="s">
        <v>8</v>
      </c>
      <c r="E977" s="92" t="s">
        <v>4</v>
      </c>
      <c r="F977" s="95" t="s">
        <v>44</v>
      </c>
      <c r="G977" s="96"/>
      <c r="H977" s="95" t="s">
        <v>46</v>
      </c>
      <c r="I977" s="96"/>
      <c r="J977" s="95" t="s">
        <v>48</v>
      </c>
      <c r="K977" s="96"/>
    </row>
    <row r="978" spans="2:11" ht="12.95" customHeight="1" x14ac:dyDescent="0.3">
      <c r="B978" s="90"/>
      <c r="C978" s="93"/>
      <c r="D978" s="93"/>
      <c r="E978" s="93"/>
      <c r="F978" s="38" t="s">
        <v>174</v>
      </c>
      <c r="G978" s="73">
        <v>6.5</v>
      </c>
      <c r="H978" s="38" t="s">
        <v>174</v>
      </c>
      <c r="I978" s="73">
        <v>5.5</v>
      </c>
      <c r="J978" s="38" t="s">
        <v>174</v>
      </c>
      <c r="K978" s="73">
        <v>5</v>
      </c>
    </row>
    <row r="979" spans="2:11" ht="12.95" customHeight="1" x14ac:dyDescent="0.3">
      <c r="B979" s="91"/>
      <c r="C979" s="94"/>
      <c r="D979" s="94"/>
      <c r="E979" s="94"/>
      <c r="F979" s="40" t="s">
        <v>21</v>
      </c>
      <c r="G979" s="41" t="s">
        <v>173</v>
      </c>
      <c r="H979" s="40" t="s">
        <v>21</v>
      </c>
      <c r="I979" s="41" t="s">
        <v>173</v>
      </c>
      <c r="J979" s="40" t="s">
        <v>21</v>
      </c>
      <c r="K979" s="41" t="s">
        <v>173</v>
      </c>
    </row>
    <row r="980" spans="2:11" ht="12.95" customHeight="1" x14ac:dyDescent="0.3">
      <c r="B980" s="59" t="s">
        <v>183</v>
      </c>
      <c r="C980" s="59" t="s">
        <v>33</v>
      </c>
      <c r="D980" s="61" t="s">
        <v>17</v>
      </c>
      <c r="E980" s="17">
        <v>7951</v>
      </c>
      <c r="F980" s="56">
        <v>8</v>
      </c>
      <c r="G980" s="3">
        <f t="shared" ref="G980" si="308">TRUNC($E980*F980,1)</f>
        <v>63608</v>
      </c>
      <c r="H980" s="56">
        <v>8</v>
      </c>
      <c r="I980" s="3">
        <f t="shared" ref="I980" si="309">TRUNC($E980*H980,1)</f>
        <v>63608</v>
      </c>
      <c r="J980" s="56">
        <v>8</v>
      </c>
      <c r="K980" s="3">
        <f t="shared" ref="K980" si="310">TRUNC($E980*J980,1)</f>
        <v>63608</v>
      </c>
    </row>
    <row r="981" spans="2:11" ht="12.95" customHeight="1" x14ac:dyDescent="0.3">
      <c r="B981" s="59" t="s">
        <v>184</v>
      </c>
      <c r="C981" s="60" t="s">
        <v>172</v>
      </c>
      <c r="D981" s="51"/>
      <c r="E981" s="22"/>
      <c r="F981" s="23"/>
      <c r="G981" s="24"/>
      <c r="H981" s="23"/>
      <c r="I981" s="24"/>
      <c r="J981" s="23"/>
      <c r="K981" s="24"/>
    </row>
    <row r="982" spans="2:11" ht="12.95" customHeight="1" x14ac:dyDescent="0.3">
      <c r="B982" s="42" t="s">
        <v>53</v>
      </c>
      <c r="C982" s="43" t="s">
        <v>56</v>
      </c>
      <c r="D982" s="44" t="s">
        <v>15</v>
      </c>
      <c r="E982" s="45"/>
      <c r="F982" s="21">
        <v>1</v>
      </c>
      <c r="G982" s="5">
        <f>TRUNC(SUM(G985:G986)*0.02,1)</f>
        <v>13944.5</v>
      </c>
      <c r="H982" s="21">
        <v>1</v>
      </c>
      <c r="I982" s="5">
        <f>TRUNC(SUM(I985:I986)*0.02,1)</f>
        <v>13944.5</v>
      </c>
      <c r="J982" s="21">
        <v>1</v>
      </c>
      <c r="K982" s="5">
        <f>TRUNC(SUM(K985:K986)*0.02,1)</f>
        <v>13944.5</v>
      </c>
    </row>
    <row r="983" spans="2:11" ht="12.95" customHeight="1" x14ac:dyDescent="0.3">
      <c r="B983" s="46" t="s">
        <v>10</v>
      </c>
      <c r="C983" s="51"/>
      <c r="D983" s="51"/>
      <c r="E983" s="22"/>
      <c r="F983" s="23"/>
      <c r="G983" s="16">
        <f>TRUNC(SUM(G980:G982))</f>
        <v>77552</v>
      </c>
      <c r="H983" s="23"/>
      <c r="I983" s="16">
        <f>TRUNC(SUM(I980:I982))</f>
        <v>77552</v>
      </c>
      <c r="J983" s="23"/>
      <c r="K983" s="16">
        <f>TRUNC(SUM(K980:K982))</f>
        <v>77552</v>
      </c>
    </row>
    <row r="984" spans="2:11" ht="12.95" customHeight="1" x14ac:dyDescent="0.3">
      <c r="B984" s="50"/>
      <c r="C984" s="51"/>
      <c r="D984" s="51"/>
      <c r="E984" s="22"/>
      <c r="F984" s="23"/>
      <c r="G984" s="24"/>
      <c r="H984" s="23"/>
      <c r="I984" s="24"/>
      <c r="J984" s="23"/>
      <c r="K984" s="24"/>
    </row>
    <row r="985" spans="2:11" ht="12.95" customHeight="1" x14ac:dyDescent="0.3">
      <c r="B985" s="52" t="s">
        <v>29</v>
      </c>
      <c r="C985" s="53"/>
      <c r="D985" s="54" t="s">
        <v>9</v>
      </c>
      <c r="E985" s="55">
        <v>262580</v>
      </c>
      <c r="F985" s="56">
        <v>2</v>
      </c>
      <c r="G985" s="3">
        <f t="shared" ref="G985:G987" si="311">TRUNC($E985*F985,1)</f>
        <v>525160</v>
      </c>
      <c r="H985" s="56">
        <v>2</v>
      </c>
      <c r="I985" s="3">
        <f t="shared" ref="I985:I987" si="312">TRUNC($E985*H985,1)</f>
        <v>525160</v>
      </c>
      <c r="J985" s="56">
        <v>2</v>
      </c>
      <c r="K985" s="3">
        <f t="shared" ref="K985:K987" si="313">TRUNC($E985*J985,1)</f>
        <v>525160</v>
      </c>
    </row>
    <row r="986" spans="2:11" ht="12.95" customHeight="1" x14ac:dyDescent="0.3">
      <c r="B986" s="52" t="s">
        <v>1</v>
      </c>
      <c r="C986" s="53"/>
      <c r="D986" s="54" t="s">
        <v>9</v>
      </c>
      <c r="E986" s="57">
        <v>172068</v>
      </c>
      <c r="F986" s="56">
        <v>1</v>
      </c>
      <c r="G986" s="3">
        <f t="shared" si="311"/>
        <v>172068</v>
      </c>
      <c r="H986" s="56">
        <v>1</v>
      </c>
      <c r="I986" s="3">
        <f t="shared" si="312"/>
        <v>172068</v>
      </c>
      <c r="J986" s="56">
        <v>1</v>
      </c>
      <c r="K986" s="3">
        <f t="shared" si="313"/>
        <v>172068</v>
      </c>
    </row>
    <row r="987" spans="2:11" ht="12.95" customHeight="1" x14ac:dyDescent="0.3">
      <c r="B987" s="59" t="s">
        <v>183</v>
      </c>
      <c r="C987" s="59" t="s">
        <v>33</v>
      </c>
      <c r="D987" s="61" t="s">
        <v>17</v>
      </c>
      <c r="E987" s="17">
        <v>58925</v>
      </c>
      <c r="F987" s="56">
        <v>8</v>
      </c>
      <c r="G987" s="3">
        <f t="shared" si="311"/>
        <v>471400</v>
      </c>
      <c r="H987" s="56">
        <v>8</v>
      </c>
      <c r="I987" s="3">
        <f t="shared" si="312"/>
        <v>471400</v>
      </c>
      <c r="J987" s="56">
        <v>8</v>
      </c>
      <c r="K987" s="3">
        <f t="shared" si="313"/>
        <v>471400</v>
      </c>
    </row>
    <row r="988" spans="2:11" ht="12.95" customHeight="1" x14ac:dyDescent="0.3">
      <c r="B988" s="59" t="s">
        <v>184</v>
      </c>
      <c r="C988" s="60" t="s">
        <v>172</v>
      </c>
      <c r="D988" s="51"/>
      <c r="E988" s="22"/>
      <c r="F988" s="23"/>
      <c r="G988" s="24"/>
      <c r="H988" s="23"/>
      <c r="I988" s="24"/>
      <c r="J988" s="23"/>
      <c r="K988" s="24"/>
    </row>
    <row r="989" spans="2:11" ht="12.95" customHeight="1" x14ac:dyDescent="0.3">
      <c r="B989" s="58" t="s">
        <v>11</v>
      </c>
      <c r="C989" s="51"/>
      <c r="D989" s="51"/>
      <c r="E989" s="22"/>
      <c r="F989" s="22"/>
      <c r="G989" s="16">
        <f>TRUNC(SUM(G985:G987))</f>
        <v>1168628</v>
      </c>
      <c r="H989" s="22"/>
      <c r="I989" s="16">
        <f>TRUNC(SUM(I985:I987))</f>
        <v>1168628</v>
      </c>
      <c r="J989" s="22"/>
      <c r="K989" s="16">
        <f>TRUNC(SUM(K985:K987))</f>
        <v>1168628</v>
      </c>
    </row>
    <row r="990" spans="2:11" ht="12.95" customHeight="1" x14ac:dyDescent="0.3">
      <c r="B990" s="50"/>
      <c r="C990" s="51"/>
      <c r="D990" s="51"/>
      <c r="E990" s="22"/>
      <c r="F990" s="22"/>
      <c r="G990" s="24"/>
      <c r="H990" s="22"/>
      <c r="I990" s="24"/>
      <c r="J990" s="22"/>
      <c r="K990" s="24"/>
    </row>
    <row r="991" spans="2:11" ht="12.95" customHeight="1" x14ac:dyDescent="0.3">
      <c r="B991" s="59" t="s">
        <v>183</v>
      </c>
      <c r="C991" s="59" t="s">
        <v>33</v>
      </c>
      <c r="D991" s="61" t="s">
        <v>17</v>
      </c>
      <c r="E991" s="17">
        <v>31344</v>
      </c>
      <c r="F991" s="56">
        <v>8</v>
      </c>
      <c r="G991" s="3">
        <f t="shared" ref="G991" si="314">TRUNC($E991*F991,1)</f>
        <v>250752</v>
      </c>
      <c r="H991" s="56">
        <v>8</v>
      </c>
      <c r="I991" s="3">
        <f t="shared" ref="I991" si="315">TRUNC($E991*H991,1)</f>
        <v>250752</v>
      </c>
      <c r="J991" s="56">
        <v>8</v>
      </c>
      <c r="K991" s="3">
        <f t="shared" ref="K991" si="316">TRUNC($E991*J991,1)</f>
        <v>250752</v>
      </c>
    </row>
    <row r="992" spans="2:11" ht="12.95" customHeight="1" x14ac:dyDescent="0.3">
      <c r="B992" s="59" t="s">
        <v>184</v>
      </c>
      <c r="C992" s="60" t="s">
        <v>172</v>
      </c>
      <c r="D992" s="51"/>
      <c r="E992" s="22"/>
      <c r="F992" s="23"/>
      <c r="G992" s="24"/>
      <c r="H992" s="23"/>
      <c r="I992" s="24"/>
      <c r="J992" s="23"/>
      <c r="K992" s="24"/>
    </row>
    <row r="993" spans="2:11" ht="12.95" customHeight="1" x14ac:dyDescent="0.3">
      <c r="B993" s="46" t="s">
        <v>12</v>
      </c>
      <c r="C993" s="51"/>
      <c r="D993" s="51"/>
      <c r="E993" s="62"/>
      <c r="F993" s="15"/>
      <c r="G993" s="16">
        <f>TRUNC(SUM(G991:G991))</f>
        <v>250752</v>
      </c>
      <c r="H993" s="15"/>
      <c r="I993" s="16">
        <f>TRUNC(SUM(I991:I991))</f>
        <v>250752</v>
      </c>
      <c r="J993" s="15"/>
      <c r="K993" s="16">
        <f>TRUNC(SUM(K991:K991))</f>
        <v>250752</v>
      </c>
    </row>
    <row r="994" spans="2:11" ht="12.95" customHeight="1" x14ac:dyDescent="0.3">
      <c r="B994" s="63"/>
      <c r="C994" s="59"/>
      <c r="D994" s="59"/>
      <c r="E994" s="64"/>
      <c r="F994" s="25"/>
      <c r="G994" s="27"/>
      <c r="H994" s="25"/>
      <c r="I994" s="27"/>
      <c r="J994" s="25"/>
      <c r="K994" s="27"/>
    </row>
    <row r="995" spans="2:11" ht="12.95" customHeight="1" x14ac:dyDescent="0.3">
      <c r="B995" s="65" t="s">
        <v>13</v>
      </c>
      <c r="C995" s="51"/>
      <c r="D995" s="51"/>
      <c r="E995" s="62"/>
      <c r="F995" s="62"/>
      <c r="G995" s="29">
        <f>SUM(G983+G989+G993)</f>
        <v>1496932</v>
      </c>
      <c r="H995" s="62"/>
      <c r="I995" s="29">
        <f>SUM(I983+I989+I993)</f>
        <v>1496932</v>
      </c>
      <c r="J995" s="62"/>
      <c r="K995" s="29">
        <f>SUM(K983+K989+K993)</f>
        <v>1496932</v>
      </c>
    </row>
    <row r="996" spans="2:11" ht="12.95" customHeight="1" x14ac:dyDescent="0.3">
      <c r="B996" s="66" t="s">
        <v>175</v>
      </c>
      <c r="C996" s="67"/>
      <c r="D996" s="68"/>
      <c r="E996" s="69"/>
      <c r="F996" s="70"/>
      <c r="G996" s="71">
        <f>TRUNC(G995/G978)</f>
        <v>230297</v>
      </c>
      <c r="H996" s="70"/>
      <c r="I996" s="71">
        <f>TRUNC(I995/I978)</f>
        <v>272169</v>
      </c>
      <c r="J996" s="70"/>
      <c r="K996" s="71">
        <f>TRUNC(K995/K978)</f>
        <v>299386</v>
      </c>
    </row>
    <row r="997" spans="2:11" ht="12.95" customHeight="1" x14ac:dyDescent="0.3">
      <c r="B997" s="89" t="s">
        <v>3</v>
      </c>
      <c r="C997" s="92" t="s">
        <v>7</v>
      </c>
      <c r="D997" s="92" t="s">
        <v>8</v>
      </c>
      <c r="E997" s="92" t="s">
        <v>4</v>
      </c>
      <c r="F997" s="95" t="s">
        <v>49</v>
      </c>
      <c r="G997" s="96"/>
      <c r="H997" s="95" t="s">
        <v>50</v>
      </c>
      <c r="I997" s="96"/>
      <c r="J997" s="95" t="s">
        <v>51</v>
      </c>
      <c r="K997" s="96"/>
    </row>
    <row r="998" spans="2:11" ht="12.95" customHeight="1" x14ac:dyDescent="0.3">
      <c r="B998" s="90"/>
      <c r="C998" s="93"/>
      <c r="D998" s="93"/>
      <c r="E998" s="93"/>
      <c r="F998" s="38" t="s">
        <v>174</v>
      </c>
      <c r="G998" s="73">
        <v>5</v>
      </c>
      <c r="H998" s="38" t="s">
        <v>174</v>
      </c>
      <c r="I998" s="73">
        <v>4.5</v>
      </c>
      <c r="J998" s="38" t="s">
        <v>174</v>
      </c>
      <c r="K998" s="73">
        <v>4</v>
      </c>
    </row>
    <row r="999" spans="2:11" ht="12.95" customHeight="1" x14ac:dyDescent="0.3">
      <c r="B999" s="91"/>
      <c r="C999" s="94"/>
      <c r="D999" s="94"/>
      <c r="E999" s="94"/>
      <c r="F999" s="40" t="s">
        <v>21</v>
      </c>
      <c r="G999" s="41" t="s">
        <v>173</v>
      </c>
      <c r="H999" s="40" t="s">
        <v>21</v>
      </c>
      <c r="I999" s="41" t="s">
        <v>173</v>
      </c>
      <c r="J999" s="40" t="s">
        <v>21</v>
      </c>
      <c r="K999" s="41" t="s">
        <v>173</v>
      </c>
    </row>
    <row r="1000" spans="2:11" ht="12.95" customHeight="1" x14ac:dyDescent="0.3">
      <c r="B1000" s="59" t="s">
        <v>183</v>
      </c>
      <c r="C1000" s="59" t="s">
        <v>45</v>
      </c>
      <c r="D1000" s="61" t="s">
        <v>17</v>
      </c>
      <c r="E1000" s="17">
        <v>9835</v>
      </c>
      <c r="F1000" s="56">
        <v>8</v>
      </c>
      <c r="G1000" s="3">
        <f t="shared" ref="G1000" si="317">TRUNC($E1000*F1000,1)</f>
        <v>78680</v>
      </c>
      <c r="H1000" s="56">
        <v>8</v>
      </c>
      <c r="I1000" s="3">
        <f t="shared" ref="I1000" si="318">TRUNC($E1000*H1000,1)</f>
        <v>78680</v>
      </c>
      <c r="J1000" s="56">
        <v>8</v>
      </c>
      <c r="K1000" s="3">
        <f t="shared" ref="K1000" si="319">TRUNC($E1000*J1000,1)</f>
        <v>78680</v>
      </c>
    </row>
    <row r="1001" spans="2:11" ht="12.95" customHeight="1" x14ac:dyDescent="0.3">
      <c r="B1001" s="59" t="s">
        <v>184</v>
      </c>
      <c r="C1001" s="60" t="s">
        <v>172</v>
      </c>
      <c r="D1001" s="51"/>
      <c r="E1001" s="22"/>
      <c r="F1001" s="23"/>
      <c r="G1001" s="24"/>
      <c r="H1001" s="23"/>
      <c r="I1001" s="24"/>
      <c r="J1001" s="23"/>
      <c r="K1001" s="24"/>
    </row>
    <row r="1002" spans="2:11" ht="12.95" customHeight="1" x14ac:dyDescent="0.3">
      <c r="B1002" s="42" t="s">
        <v>53</v>
      </c>
      <c r="C1002" s="43" t="s">
        <v>56</v>
      </c>
      <c r="D1002" s="44" t="s">
        <v>15</v>
      </c>
      <c r="E1002" s="45"/>
      <c r="F1002" s="21">
        <v>1</v>
      </c>
      <c r="G1002" s="5">
        <f>TRUNC(SUM(G1005:G1006)*0.02,1)</f>
        <v>19196.099999999999</v>
      </c>
      <c r="H1002" s="21">
        <v>1</v>
      </c>
      <c r="I1002" s="5">
        <f>TRUNC(SUM(I1005:I1006)*0.02,1)</f>
        <v>19196.099999999999</v>
      </c>
      <c r="J1002" s="21">
        <v>1</v>
      </c>
      <c r="K1002" s="5">
        <f>TRUNC(SUM(K1005:K1006)*0.02,1)</f>
        <v>19196.099999999999</v>
      </c>
    </row>
    <row r="1003" spans="2:11" ht="12.95" customHeight="1" x14ac:dyDescent="0.3">
      <c r="B1003" s="46" t="s">
        <v>10</v>
      </c>
      <c r="C1003" s="51"/>
      <c r="D1003" s="51"/>
      <c r="E1003" s="22"/>
      <c r="F1003" s="23"/>
      <c r="G1003" s="16">
        <f>TRUNC(SUM(G1000:G1002))</f>
        <v>97876</v>
      </c>
      <c r="H1003" s="23"/>
      <c r="I1003" s="16">
        <f>TRUNC(SUM(I1000:I1002))</f>
        <v>97876</v>
      </c>
      <c r="J1003" s="23"/>
      <c r="K1003" s="16">
        <f>TRUNC(SUM(K1000:K1002))</f>
        <v>97876</v>
      </c>
    </row>
    <row r="1004" spans="2:11" ht="12.95" customHeight="1" x14ac:dyDescent="0.3">
      <c r="B1004" s="50"/>
      <c r="C1004" s="51"/>
      <c r="D1004" s="51"/>
      <c r="E1004" s="22"/>
      <c r="F1004" s="23"/>
      <c r="G1004" s="24"/>
      <c r="H1004" s="23"/>
      <c r="I1004" s="24"/>
      <c r="J1004" s="23"/>
      <c r="K1004" s="24"/>
    </row>
    <row r="1005" spans="2:11" ht="12.95" customHeight="1" x14ac:dyDescent="0.3">
      <c r="B1005" s="52" t="s">
        <v>29</v>
      </c>
      <c r="C1005" s="53"/>
      <c r="D1005" s="54" t="s">
        <v>9</v>
      </c>
      <c r="E1005" s="55">
        <v>262580</v>
      </c>
      <c r="F1005" s="56">
        <v>3</v>
      </c>
      <c r="G1005" s="3">
        <f t="shared" ref="G1005:G1007" si="320">TRUNC($E1005*F1005,1)</f>
        <v>787740</v>
      </c>
      <c r="H1005" s="56">
        <v>3</v>
      </c>
      <c r="I1005" s="3">
        <f t="shared" ref="I1005:I1007" si="321">TRUNC($E1005*H1005,1)</f>
        <v>787740</v>
      </c>
      <c r="J1005" s="56">
        <v>3</v>
      </c>
      <c r="K1005" s="3">
        <f t="shared" ref="K1005:K1007" si="322">TRUNC($E1005*J1005,1)</f>
        <v>787740</v>
      </c>
    </row>
    <row r="1006" spans="2:11" ht="12.95" customHeight="1" x14ac:dyDescent="0.3">
      <c r="B1006" s="52" t="s">
        <v>1</v>
      </c>
      <c r="C1006" s="53"/>
      <c r="D1006" s="54" t="s">
        <v>9</v>
      </c>
      <c r="E1006" s="57">
        <v>172068</v>
      </c>
      <c r="F1006" s="56">
        <v>1</v>
      </c>
      <c r="G1006" s="3">
        <f t="shared" si="320"/>
        <v>172068</v>
      </c>
      <c r="H1006" s="56">
        <v>1</v>
      </c>
      <c r="I1006" s="3">
        <f t="shared" si="321"/>
        <v>172068</v>
      </c>
      <c r="J1006" s="56">
        <v>1</v>
      </c>
      <c r="K1006" s="3">
        <f t="shared" si="322"/>
        <v>172068</v>
      </c>
    </row>
    <row r="1007" spans="2:11" ht="12.95" customHeight="1" x14ac:dyDescent="0.3">
      <c r="B1007" s="59" t="s">
        <v>183</v>
      </c>
      <c r="C1007" s="59" t="s">
        <v>45</v>
      </c>
      <c r="D1007" s="61" t="s">
        <v>17</v>
      </c>
      <c r="E1007" s="17">
        <v>58925</v>
      </c>
      <c r="F1007" s="56">
        <v>8</v>
      </c>
      <c r="G1007" s="3">
        <f t="shared" si="320"/>
        <v>471400</v>
      </c>
      <c r="H1007" s="56">
        <v>8</v>
      </c>
      <c r="I1007" s="3">
        <f t="shared" si="321"/>
        <v>471400</v>
      </c>
      <c r="J1007" s="56">
        <v>8</v>
      </c>
      <c r="K1007" s="3">
        <f t="shared" si="322"/>
        <v>471400</v>
      </c>
    </row>
    <row r="1008" spans="2:11" ht="12.95" customHeight="1" x14ac:dyDescent="0.3">
      <c r="B1008" s="59" t="s">
        <v>184</v>
      </c>
      <c r="C1008" s="60" t="s">
        <v>172</v>
      </c>
      <c r="D1008" s="51"/>
      <c r="E1008" s="22"/>
      <c r="F1008" s="23"/>
      <c r="G1008" s="24"/>
      <c r="H1008" s="23"/>
      <c r="I1008" s="24"/>
      <c r="J1008" s="23"/>
      <c r="K1008" s="24"/>
    </row>
    <row r="1009" spans="2:11" ht="12.95" customHeight="1" x14ac:dyDescent="0.3">
      <c r="B1009" s="58" t="s">
        <v>11</v>
      </c>
      <c r="C1009" s="51"/>
      <c r="D1009" s="51"/>
      <c r="E1009" s="22"/>
      <c r="F1009" s="22"/>
      <c r="G1009" s="16">
        <f>TRUNC(SUM(G1005:G1007))</f>
        <v>1431208</v>
      </c>
      <c r="H1009" s="22"/>
      <c r="I1009" s="16">
        <f>TRUNC(SUM(I1005:I1007))</f>
        <v>1431208</v>
      </c>
      <c r="J1009" s="22"/>
      <c r="K1009" s="16">
        <f>TRUNC(SUM(K1005:K1007))</f>
        <v>1431208</v>
      </c>
    </row>
    <row r="1010" spans="2:11" ht="12.95" customHeight="1" x14ac:dyDescent="0.3">
      <c r="B1010" s="50"/>
      <c r="C1010" s="51"/>
      <c r="D1010" s="51"/>
      <c r="E1010" s="22"/>
      <c r="F1010" s="22"/>
      <c r="G1010" s="24"/>
      <c r="H1010" s="22"/>
      <c r="I1010" s="24"/>
      <c r="J1010" s="22"/>
      <c r="K1010" s="24"/>
    </row>
    <row r="1011" spans="2:11" ht="12.95" customHeight="1" x14ac:dyDescent="0.3">
      <c r="B1011" s="59" t="s">
        <v>183</v>
      </c>
      <c r="C1011" s="59" t="s">
        <v>45</v>
      </c>
      <c r="D1011" s="61" t="s">
        <v>17</v>
      </c>
      <c r="E1011" s="17">
        <v>43014</v>
      </c>
      <c r="F1011" s="56">
        <v>8</v>
      </c>
      <c r="G1011" s="3">
        <f t="shared" ref="G1011" si="323">TRUNC($E1011*F1011,1)</f>
        <v>344112</v>
      </c>
      <c r="H1011" s="56">
        <v>8</v>
      </c>
      <c r="I1011" s="3">
        <f t="shared" ref="I1011" si="324">TRUNC($E1011*H1011,1)</f>
        <v>344112</v>
      </c>
      <c r="J1011" s="56">
        <v>8</v>
      </c>
      <c r="K1011" s="3">
        <f t="shared" ref="K1011" si="325">TRUNC($E1011*J1011,1)</f>
        <v>344112</v>
      </c>
    </row>
    <row r="1012" spans="2:11" ht="12.95" customHeight="1" x14ac:dyDescent="0.3">
      <c r="B1012" s="59" t="s">
        <v>184</v>
      </c>
      <c r="C1012" s="60" t="s">
        <v>172</v>
      </c>
      <c r="D1012" s="51"/>
      <c r="E1012" s="22"/>
      <c r="F1012" s="23"/>
      <c r="G1012" s="24"/>
      <c r="H1012" s="23"/>
      <c r="I1012" s="24"/>
      <c r="J1012" s="23"/>
      <c r="K1012" s="24"/>
    </row>
    <row r="1013" spans="2:11" ht="12.95" customHeight="1" x14ac:dyDescent="0.3">
      <c r="B1013" s="46" t="s">
        <v>12</v>
      </c>
      <c r="C1013" s="51"/>
      <c r="D1013" s="51"/>
      <c r="E1013" s="62"/>
      <c r="F1013" s="15"/>
      <c r="G1013" s="16">
        <f>TRUNC(SUM(G1011:G1011))</f>
        <v>344112</v>
      </c>
      <c r="H1013" s="15"/>
      <c r="I1013" s="16">
        <f>TRUNC(SUM(I1011:I1011))</f>
        <v>344112</v>
      </c>
      <c r="J1013" s="15"/>
      <c r="K1013" s="16">
        <f>TRUNC(SUM(K1011:K1011))</f>
        <v>344112</v>
      </c>
    </row>
    <row r="1014" spans="2:11" ht="12.95" customHeight="1" x14ac:dyDescent="0.3">
      <c r="B1014" s="63"/>
      <c r="C1014" s="59"/>
      <c r="D1014" s="59"/>
      <c r="E1014" s="64"/>
      <c r="F1014" s="25"/>
      <c r="G1014" s="27"/>
      <c r="H1014" s="25"/>
      <c r="I1014" s="27"/>
      <c r="J1014" s="25"/>
      <c r="K1014" s="27"/>
    </row>
    <row r="1015" spans="2:11" ht="12.95" customHeight="1" x14ac:dyDescent="0.3">
      <c r="B1015" s="65" t="s">
        <v>13</v>
      </c>
      <c r="C1015" s="51"/>
      <c r="D1015" s="51"/>
      <c r="E1015" s="62"/>
      <c r="F1015" s="62"/>
      <c r="G1015" s="29">
        <f>SUM(G1003+G1009+G1013)</f>
        <v>1873196</v>
      </c>
      <c r="H1015" s="62"/>
      <c r="I1015" s="29">
        <f>SUM(I1003+I1009+I1013)</f>
        <v>1873196</v>
      </c>
      <c r="J1015" s="62"/>
      <c r="K1015" s="29">
        <f>SUM(K1003+K1009+K1013)</f>
        <v>1873196</v>
      </c>
    </row>
    <row r="1016" spans="2:11" ht="12.95" customHeight="1" x14ac:dyDescent="0.3">
      <c r="B1016" s="66" t="s">
        <v>175</v>
      </c>
      <c r="C1016" s="67"/>
      <c r="D1016" s="68"/>
      <c r="E1016" s="69"/>
      <c r="F1016" s="70"/>
      <c r="G1016" s="71">
        <f>TRUNC(G1015/G998)</f>
        <v>374639</v>
      </c>
      <c r="H1016" s="70"/>
      <c r="I1016" s="71">
        <f>TRUNC(I1015/I998)</f>
        <v>416265</v>
      </c>
      <c r="J1016" s="70"/>
      <c r="K1016" s="71">
        <f>TRUNC(K1015/K998)</f>
        <v>468299</v>
      </c>
    </row>
    <row r="1017" spans="2:11" ht="12.95" customHeight="1" x14ac:dyDescent="0.3">
      <c r="B1017" s="89" t="s">
        <v>3</v>
      </c>
      <c r="C1017" s="92" t="s">
        <v>7</v>
      </c>
      <c r="D1017" s="92" t="s">
        <v>8</v>
      </c>
      <c r="E1017" s="92" t="s">
        <v>4</v>
      </c>
      <c r="F1017" s="95" t="s">
        <v>52</v>
      </c>
      <c r="G1017" s="96"/>
      <c r="H1017" s="95" t="s">
        <v>60</v>
      </c>
      <c r="I1017" s="96"/>
    </row>
    <row r="1018" spans="2:11" ht="12.95" customHeight="1" x14ac:dyDescent="0.3">
      <c r="B1018" s="90"/>
      <c r="C1018" s="93"/>
      <c r="D1018" s="93"/>
      <c r="E1018" s="93"/>
      <c r="F1018" s="38" t="s">
        <v>174</v>
      </c>
      <c r="G1018" s="73">
        <v>3.5</v>
      </c>
      <c r="H1018" s="38" t="s">
        <v>174</v>
      </c>
      <c r="I1018" s="73">
        <v>3.5</v>
      </c>
    </row>
    <row r="1019" spans="2:11" ht="12.95" customHeight="1" x14ac:dyDescent="0.3">
      <c r="B1019" s="91"/>
      <c r="C1019" s="94"/>
      <c r="D1019" s="94"/>
      <c r="E1019" s="94"/>
      <c r="F1019" s="40" t="s">
        <v>21</v>
      </c>
      <c r="G1019" s="41" t="s">
        <v>173</v>
      </c>
      <c r="H1019" s="40" t="s">
        <v>21</v>
      </c>
      <c r="I1019" s="41" t="s">
        <v>173</v>
      </c>
    </row>
    <row r="1020" spans="2:11" ht="12.95" customHeight="1" x14ac:dyDescent="0.3">
      <c r="B1020" s="59" t="s">
        <v>183</v>
      </c>
      <c r="C1020" s="59" t="s">
        <v>45</v>
      </c>
      <c r="D1020" s="61" t="s">
        <v>17</v>
      </c>
      <c r="E1020" s="17">
        <v>9835</v>
      </c>
      <c r="F1020" s="56">
        <v>8</v>
      </c>
      <c r="G1020" s="3">
        <f t="shared" ref="G1020" si="326">TRUNC($E1020*F1020,1)</f>
        <v>78680</v>
      </c>
      <c r="H1020" s="56">
        <v>8</v>
      </c>
      <c r="I1020" s="3">
        <f t="shared" ref="I1020" si="327">TRUNC($E1020*H1020,1)</f>
        <v>78680</v>
      </c>
    </row>
    <row r="1021" spans="2:11" ht="12.95" customHeight="1" x14ac:dyDescent="0.3">
      <c r="B1021" s="59" t="s">
        <v>184</v>
      </c>
      <c r="C1021" s="60" t="s">
        <v>172</v>
      </c>
      <c r="D1021" s="51"/>
      <c r="E1021" s="22"/>
      <c r="F1021" s="23"/>
      <c r="G1021" s="24"/>
      <c r="H1021" s="23"/>
      <c r="I1021" s="24"/>
    </row>
    <row r="1022" spans="2:11" ht="12.95" customHeight="1" x14ac:dyDescent="0.3">
      <c r="B1022" s="42" t="s">
        <v>53</v>
      </c>
      <c r="C1022" s="43" t="s">
        <v>56</v>
      </c>
      <c r="D1022" s="44" t="s">
        <v>15</v>
      </c>
      <c r="E1022" s="45"/>
      <c r="F1022" s="21">
        <v>1</v>
      </c>
      <c r="G1022" s="5">
        <f>TRUNC(SUM(G1025:G1026)*0.02,1)</f>
        <v>19196.099999999999</v>
      </c>
      <c r="H1022" s="21">
        <v>1</v>
      </c>
      <c r="I1022" s="5">
        <f>TRUNC(SUM(I1025:I1026)*0.02,1)</f>
        <v>19196.099999999999</v>
      </c>
    </row>
    <row r="1023" spans="2:11" ht="12.95" customHeight="1" x14ac:dyDescent="0.3">
      <c r="B1023" s="46" t="s">
        <v>10</v>
      </c>
      <c r="C1023" s="51"/>
      <c r="D1023" s="51"/>
      <c r="E1023" s="22"/>
      <c r="F1023" s="23"/>
      <c r="G1023" s="16">
        <f>TRUNC(SUM(G1020:G1022))</f>
        <v>97876</v>
      </c>
      <c r="H1023" s="23"/>
      <c r="I1023" s="16">
        <f>TRUNC(SUM(I1020:I1022))</f>
        <v>97876</v>
      </c>
    </row>
    <row r="1024" spans="2:11" ht="12.95" customHeight="1" x14ac:dyDescent="0.3">
      <c r="B1024" s="50"/>
      <c r="C1024" s="51"/>
      <c r="D1024" s="51"/>
      <c r="E1024" s="22"/>
      <c r="F1024" s="23"/>
      <c r="G1024" s="24"/>
      <c r="H1024" s="23"/>
      <c r="I1024" s="24"/>
    </row>
    <row r="1025" spans="2:11" ht="12.95" customHeight="1" x14ac:dyDescent="0.3">
      <c r="B1025" s="52" t="s">
        <v>29</v>
      </c>
      <c r="C1025" s="53"/>
      <c r="D1025" s="54" t="s">
        <v>9</v>
      </c>
      <c r="E1025" s="55">
        <v>262580</v>
      </c>
      <c r="F1025" s="56">
        <v>3</v>
      </c>
      <c r="G1025" s="3">
        <f t="shared" ref="G1025:G1027" si="328">TRUNC($E1025*F1025,1)</f>
        <v>787740</v>
      </c>
      <c r="H1025" s="56">
        <v>3</v>
      </c>
      <c r="I1025" s="3">
        <f t="shared" ref="I1025:I1027" si="329">TRUNC($E1025*H1025,1)</f>
        <v>787740</v>
      </c>
    </row>
    <row r="1026" spans="2:11" ht="12.95" customHeight="1" x14ac:dyDescent="0.3">
      <c r="B1026" s="52" t="s">
        <v>1</v>
      </c>
      <c r="C1026" s="53"/>
      <c r="D1026" s="54" t="s">
        <v>9</v>
      </c>
      <c r="E1026" s="57">
        <v>172068</v>
      </c>
      <c r="F1026" s="56">
        <v>1</v>
      </c>
      <c r="G1026" s="3">
        <f t="shared" si="328"/>
        <v>172068</v>
      </c>
      <c r="H1026" s="56">
        <v>1</v>
      </c>
      <c r="I1026" s="3">
        <f t="shared" si="329"/>
        <v>172068</v>
      </c>
    </row>
    <row r="1027" spans="2:11" ht="12.95" customHeight="1" x14ac:dyDescent="0.3">
      <c r="B1027" s="59" t="s">
        <v>183</v>
      </c>
      <c r="C1027" s="59" t="s">
        <v>45</v>
      </c>
      <c r="D1027" s="61" t="s">
        <v>17</v>
      </c>
      <c r="E1027" s="17">
        <v>58925</v>
      </c>
      <c r="F1027" s="56">
        <v>8</v>
      </c>
      <c r="G1027" s="3">
        <f t="shared" si="328"/>
        <v>471400</v>
      </c>
      <c r="H1027" s="56">
        <v>8</v>
      </c>
      <c r="I1027" s="3">
        <f t="shared" si="329"/>
        <v>471400</v>
      </c>
    </row>
    <row r="1028" spans="2:11" ht="12.95" customHeight="1" x14ac:dyDescent="0.3">
      <c r="B1028" s="59" t="s">
        <v>184</v>
      </c>
      <c r="C1028" s="60" t="s">
        <v>172</v>
      </c>
      <c r="D1028" s="51"/>
      <c r="E1028" s="22"/>
      <c r="F1028" s="23"/>
      <c r="G1028" s="24"/>
      <c r="H1028" s="23"/>
      <c r="I1028" s="24"/>
    </row>
    <row r="1029" spans="2:11" ht="12.95" customHeight="1" x14ac:dyDescent="0.3">
      <c r="B1029" s="58" t="s">
        <v>11</v>
      </c>
      <c r="C1029" s="51"/>
      <c r="D1029" s="51"/>
      <c r="E1029" s="22"/>
      <c r="F1029" s="22"/>
      <c r="G1029" s="16">
        <f>TRUNC(SUM(G1025:G1027))</f>
        <v>1431208</v>
      </c>
      <c r="H1029" s="22"/>
      <c r="I1029" s="16">
        <f>TRUNC(SUM(I1025:I1027))</f>
        <v>1431208</v>
      </c>
    </row>
    <row r="1030" spans="2:11" ht="12.95" customHeight="1" x14ac:dyDescent="0.3">
      <c r="B1030" s="50"/>
      <c r="C1030" s="51"/>
      <c r="D1030" s="51"/>
      <c r="E1030" s="22"/>
      <c r="F1030" s="22"/>
      <c r="G1030" s="24"/>
      <c r="H1030" s="22"/>
      <c r="I1030" s="24"/>
    </row>
    <row r="1031" spans="2:11" ht="12.95" customHeight="1" x14ac:dyDescent="0.3">
      <c r="B1031" s="59" t="s">
        <v>183</v>
      </c>
      <c r="C1031" s="59" t="s">
        <v>45</v>
      </c>
      <c r="D1031" s="61" t="s">
        <v>17</v>
      </c>
      <c r="E1031" s="17">
        <v>43014</v>
      </c>
      <c r="F1031" s="56">
        <v>8</v>
      </c>
      <c r="G1031" s="3">
        <f t="shared" ref="G1031" si="330">TRUNC($E1031*F1031,1)</f>
        <v>344112</v>
      </c>
      <c r="H1031" s="56">
        <v>8</v>
      </c>
      <c r="I1031" s="3">
        <f t="shared" ref="I1031" si="331">TRUNC($E1031*H1031,1)</f>
        <v>344112</v>
      </c>
    </row>
    <row r="1032" spans="2:11" ht="12.95" customHeight="1" x14ac:dyDescent="0.3">
      <c r="B1032" s="59" t="s">
        <v>184</v>
      </c>
      <c r="C1032" s="60" t="s">
        <v>172</v>
      </c>
      <c r="D1032" s="51"/>
      <c r="E1032" s="22"/>
      <c r="F1032" s="23"/>
      <c r="G1032" s="24"/>
      <c r="H1032" s="23"/>
      <c r="I1032" s="24"/>
    </row>
    <row r="1033" spans="2:11" ht="12.95" customHeight="1" x14ac:dyDescent="0.3">
      <c r="B1033" s="46" t="s">
        <v>12</v>
      </c>
      <c r="C1033" s="51"/>
      <c r="D1033" s="51"/>
      <c r="E1033" s="62"/>
      <c r="F1033" s="15"/>
      <c r="G1033" s="16">
        <f>TRUNC(SUM(G1031:G1031))</f>
        <v>344112</v>
      </c>
      <c r="H1033" s="15"/>
      <c r="I1033" s="16">
        <f>TRUNC(SUM(I1031:I1031))</f>
        <v>344112</v>
      </c>
    </row>
    <row r="1034" spans="2:11" ht="12.95" customHeight="1" x14ac:dyDescent="0.3">
      <c r="B1034" s="63"/>
      <c r="C1034" s="59"/>
      <c r="D1034" s="59"/>
      <c r="E1034" s="64"/>
      <c r="F1034" s="25"/>
      <c r="G1034" s="27"/>
      <c r="H1034" s="25"/>
      <c r="I1034" s="27"/>
    </row>
    <row r="1035" spans="2:11" ht="12.95" customHeight="1" x14ac:dyDescent="0.3">
      <c r="B1035" s="65" t="s">
        <v>13</v>
      </c>
      <c r="C1035" s="51"/>
      <c r="D1035" s="51"/>
      <c r="E1035" s="62"/>
      <c r="F1035" s="62"/>
      <c r="G1035" s="29">
        <f>SUM(G1023+G1029+G1033)</f>
        <v>1873196</v>
      </c>
      <c r="H1035" s="62"/>
      <c r="I1035" s="29">
        <f>SUM(I1023+I1029+I1033)</f>
        <v>1873196</v>
      </c>
    </row>
    <row r="1036" spans="2:11" ht="12.95" customHeight="1" x14ac:dyDescent="0.3">
      <c r="B1036" s="66" t="s">
        <v>175</v>
      </c>
      <c r="C1036" s="67"/>
      <c r="D1036" s="68"/>
      <c r="E1036" s="69"/>
      <c r="F1036" s="70"/>
      <c r="G1036" s="71">
        <f>TRUNC(G1035/G1018)</f>
        <v>535198</v>
      </c>
      <c r="H1036" s="70"/>
      <c r="I1036" s="71">
        <f>TRUNC(I1035/I1018)</f>
        <v>535198</v>
      </c>
    </row>
    <row r="1037" spans="2:11" ht="12.95" customHeight="1" x14ac:dyDescent="0.3">
      <c r="B1037" s="89" t="s">
        <v>3</v>
      </c>
      <c r="C1037" s="92" t="s">
        <v>7</v>
      </c>
      <c r="D1037" s="92" t="s">
        <v>8</v>
      </c>
      <c r="E1037" s="92" t="s">
        <v>4</v>
      </c>
      <c r="F1037" s="95" t="s">
        <v>61</v>
      </c>
      <c r="G1037" s="96"/>
      <c r="H1037" s="95" t="s">
        <v>200</v>
      </c>
      <c r="I1037" s="96"/>
      <c r="J1037" s="95" t="s">
        <v>64</v>
      </c>
      <c r="K1037" s="96"/>
    </row>
    <row r="1038" spans="2:11" ht="12.95" customHeight="1" x14ac:dyDescent="0.3">
      <c r="B1038" s="90"/>
      <c r="C1038" s="93"/>
      <c r="D1038" s="93"/>
      <c r="E1038" s="93"/>
      <c r="F1038" s="38" t="s">
        <v>174</v>
      </c>
      <c r="G1038" s="73">
        <v>3.5</v>
      </c>
      <c r="H1038" s="38" t="s">
        <v>174</v>
      </c>
      <c r="I1038" s="73">
        <v>3</v>
      </c>
      <c r="J1038" s="38" t="s">
        <v>174</v>
      </c>
      <c r="K1038" s="73">
        <v>2.5</v>
      </c>
    </row>
    <row r="1039" spans="2:11" ht="12.95" customHeight="1" x14ac:dyDescent="0.3">
      <c r="B1039" s="91"/>
      <c r="C1039" s="94"/>
      <c r="D1039" s="94"/>
      <c r="E1039" s="94"/>
      <c r="F1039" s="40" t="s">
        <v>21</v>
      </c>
      <c r="G1039" s="41" t="s">
        <v>173</v>
      </c>
      <c r="H1039" s="40" t="s">
        <v>21</v>
      </c>
      <c r="I1039" s="41" t="s">
        <v>173</v>
      </c>
      <c r="J1039" s="40" t="s">
        <v>21</v>
      </c>
      <c r="K1039" s="41" t="s">
        <v>173</v>
      </c>
    </row>
    <row r="1040" spans="2:11" ht="12.95" customHeight="1" x14ac:dyDescent="0.3">
      <c r="B1040" s="59" t="s">
        <v>183</v>
      </c>
      <c r="C1040" s="59" t="s">
        <v>45</v>
      </c>
      <c r="D1040" s="61" t="s">
        <v>17</v>
      </c>
      <c r="E1040" s="17">
        <v>9835</v>
      </c>
      <c r="F1040" s="56">
        <v>8</v>
      </c>
      <c r="G1040" s="3">
        <f t="shared" ref="G1040" si="332">TRUNC($E1040*F1040,1)</f>
        <v>78680</v>
      </c>
      <c r="H1040" s="56">
        <v>8</v>
      </c>
      <c r="I1040" s="3">
        <f t="shared" ref="I1040" si="333">TRUNC($E1040*H1040,1)</f>
        <v>78680</v>
      </c>
      <c r="J1040" s="56">
        <v>8</v>
      </c>
      <c r="K1040" s="3">
        <f t="shared" ref="K1040" si="334">TRUNC($E1040*J1040,1)</f>
        <v>78680</v>
      </c>
    </row>
    <row r="1041" spans="2:11" ht="12.95" customHeight="1" x14ac:dyDescent="0.3">
      <c r="B1041" s="59" t="s">
        <v>184</v>
      </c>
      <c r="C1041" s="60" t="s">
        <v>172</v>
      </c>
      <c r="D1041" s="51"/>
      <c r="E1041" s="22"/>
      <c r="F1041" s="23"/>
      <c r="G1041" s="24"/>
      <c r="H1041" s="23"/>
      <c r="I1041" s="24"/>
      <c r="J1041" s="23"/>
      <c r="K1041" s="24"/>
    </row>
    <row r="1042" spans="2:11" ht="12.95" customHeight="1" x14ac:dyDescent="0.3">
      <c r="B1042" s="42" t="s">
        <v>53</v>
      </c>
      <c r="C1042" s="43" t="s">
        <v>56</v>
      </c>
      <c r="D1042" s="44" t="s">
        <v>15</v>
      </c>
      <c r="E1042" s="45"/>
      <c r="F1042" s="21">
        <v>1</v>
      </c>
      <c r="G1042" s="5">
        <f>TRUNC(SUM(G1045:G1046)*0.02,1)</f>
        <v>24447.7</v>
      </c>
      <c r="H1042" s="21">
        <v>1</v>
      </c>
      <c r="I1042" s="5">
        <f>TRUNC(SUM(I1045:I1046)*0.02,1)</f>
        <v>24447.7</v>
      </c>
      <c r="J1042" s="21">
        <v>1</v>
      </c>
      <c r="K1042" s="5">
        <f>TRUNC(SUM(K1045:K1046)*0.02,1)</f>
        <v>24447.7</v>
      </c>
    </row>
    <row r="1043" spans="2:11" ht="12.95" customHeight="1" x14ac:dyDescent="0.3">
      <c r="B1043" s="46" t="s">
        <v>10</v>
      </c>
      <c r="C1043" s="51"/>
      <c r="D1043" s="51"/>
      <c r="E1043" s="22"/>
      <c r="F1043" s="23"/>
      <c r="G1043" s="16">
        <f>TRUNC(SUM(G1040:G1042))</f>
        <v>103127</v>
      </c>
      <c r="H1043" s="23"/>
      <c r="I1043" s="16">
        <f>TRUNC(SUM(I1040:I1042))</f>
        <v>103127</v>
      </c>
      <c r="J1043" s="23"/>
      <c r="K1043" s="16">
        <f>TRUNC(SUM(K1040:K1042))</f>
        <v>103127</v>
      </c>
    </row>
    <row r="1044" spans="2:11" ht="12.95" customHeight="1" x14ac:dyDescent="0.3">
      <c r="B1044" s="50"/>
      <c r="C1044" s="51"/>
      <c r="D1044" s="51"/>
      <c r="E1044" s="22"/>
      <c r="F1044" s="23"/>
      <c r="G1044" s="24"/>
      <c r="H1044" s="23"/>
      <c r="I1044" s="24"/>
      <c r="J1044" s="23"/>
      <c r="K1044" s="24"/>
    </row>
    <row r="1045" spans="2:11" ht="12.95" customHeight="1" x14ac:dyDescent="0.3">
      <c r="B1045" s="52" t="s">
        <v>29</v>
      </c>
      <c r="C1045" s="53"/>
      <c r="D1045" s="54" t="s">
        <v>9</v>
      </c>
      <c r="E1045" s="55">
        <v>262580</v>
      </c>
      <c r="F1045" s="56">
        <v>4</v>
      </c>
      <c r="G1045" s="3">
        <f t="shared" ref="G1045:G1047" si="335">TRUNC($E1045*F1045,1)</f>
        <v>1050320</v>
      </c>
      <c r="H1045" s="56">
        <v>4</v>
      </c>
      <c r="I1045" s="3">
        <f t="shared" ref="I1045:I1047" si="336">TRUNC($E1045*H1045,1)</f>
        <v>1050320</v>
      </c>
      <c r="J1045" s="56">
        <v>4</v>
      </c>
      <c r="K1045" s="3">
        <f t="shared" ref="K1045:K1047" si="337">TRUNC($E1045*J1045,1)</f>
        <v>1050320</v>
      </c>
    </row>
    <row r="1046" spans="2:11" ht="12.95" customHeight="1" x14ac:dyDescent="0.3">
      <c r="B1046" s="52" t="s">
        <v>1</v>
      </c>
      <c r="C1046" s="53"/>
      <c r="D1046" s="54" t="s">
        <v>9</v>
      </c>
      <c r="E1046" s="57">
        <v>172068</v>
      </c>
      <c r="F1046" s="56">
        <v>1</v>
      </c>
      <c r="G1046" s="3">
        <f t="shared" si="335"/>
        <v>172068</v>
      </c>
      <c r="H1046" s="56">
        <v>1</v>
      </c>
      <c r="I1046" s="3">
        <f t="shared" si="336"/>
        <v>172068</v>
      </c>
      <c r="J1046" s="56">
        <v>1</v>
      </c>
      <c r="K1046" s="3">
        <f t="shared" si="337"/>
        <v>172068</v>
      </c>
    </row>
    <row r="1047" spans="2:11" ht="12.95" customHeight="1" x14ac:dyDescent="0.3">
      <c r="B1047" s="59" t="s">
        <v>183</v>
      </c>
      <c r="C1047" s="59" t="s">
        <v>45</v>
      </c>
      <c r="D1047" s="61" t="s">
        <v>17</v>
      </c>
      <c r="E1047" s="17">
        <v>58925</v>
      </c>
      <c r="F1047" s="56">
        <v>8</v>
      </c>
      <c r="G1047" s="3">
        <f t="shared" si="335"/>
        <v>471400</v>
      </c>
      <c r="H1047" s="56">
        <v>8</v>
      </c>
      <c r="I1047" s="3">
        <f t="shared" si="336"/>
        <v>471400</v>
      </c>
      <c r="J1047" s="56">
        <v>8</v>
      </c>
      <c r="K1047" s="3">
        <f t="shared" si="337"/>
        <v>471400</v>
      </c>
    </row>
    <row r="1048" spans="2:11" ht="12.95" customHeight="1" x14ac:dyDescent="0.3">
      <c r="B1048" s="59" t="s">
        <v>184</v>
      </c>
      <c r="C1048" s="60" t="s">
        <v>172</v>
      </c>
      <c r="D1048" s="51"/>
      <c r="E1048" s="22"/>
      <c r="F1048" s="23"/>
      <c r="G1048" s="24"/>
      <c r="H1048" s="23"/>
      <c r="I1048" s="24"/>
      <c r="J1048" s="23"/>
      <c r="K1048" s="24"/>
    </row>
    <row r="1049" spans="2:11" ht="12.95" customHeight="1" x14ac:dyDescent="0.3">
      <c r="B1049" s="58" t="s">
        <v>11</v>
      </c>
      <c r="C1049" s="51"/>
      <c r="D1049" s="51"/>
      <c r="E1049" s="22"/>
      <c r="F1049" s="22"/>
      <c r="G1049" s="16">
        <f>TRUNC(SUM(G1045:G1047))</f>
        <v>1693788</v>
      </c>
      <c r="H1049" s="22"/>
      <c r="I1049" s="16">
        <f>TRUNC(SUM(I1045:I1047))</f>
        <v>1693788</v>
      </c>
      <c r="J1049" s="22"/>
      <c r="K1049" s="16">
        <f>TRUNC(SUM(K1045:K1047))</f>
        <v>1693788</v>
      </c>
    </row>
    <row r="1050" spans="2:11" ht="12.95" customHeight="1" x14ac:dyDescent="0.3">
      <c r="B1050" s="50"/>
      <c r="C1050" s="51"/>
      <c r="D1050" s="51"/>
      <c r="E1050" s="22"/>
      <c r="F1050" s="22"/>
      <c r="G1050" s="24"/>
      <c r="H1050" s="22"/>
      <c r="I1050" s="24"/>
      <c r="J1050" s="22"/>
      <c r="K1050" s="24"/>
    </row>
    <row r="1051" spans="2:11" ht="12.95" customHeight="1" x14ac:dyDescent="0.3">
      <c r="B1051" s="59" t="s">
        <v>183</v>
      </c>
      <c r="C1051" s="59" t="s">
        <v>45</v>
      </c>
      <c r="D1051" s="61" t="s">
        <v>17</v>
      </c>
      <c r="E1051" s="17">
        <v>43014</v>
      </c>
      <c r="F1051" s="56">
        <v>8</v>
      </c>
      <c r="G1051" s="3">
        <f t="shared" ref="G1051" si="338">TRUNC($E1051*F1051,1)</f>
        <v>344112</v>
      </c>
      <c r="H1051" s="56">
        <v>8</v>
      </c>
      <c r="I1051" s="3">
        <f t="shared" ref="I1051" si="339">TRUNC($E1051*H1051,1)</f>
        <v>344112</v>
      </c>
      <c r="J1051" s="56">
        <v>8</v>
      </c>
      <c r="K1051" s="3">
        <f t="shared" ref="K1051" si="340">TRUNC($E1051*J1051,1)</f>
        <v>344112</v>
      </c>
    </row>
    <row r="1052" spans="2:11" ht="12.95" customHeight="1" x14ac:dyDescent="0.3">
      <c r="B1052" s="59" t="s">
        <v>184</v>
      </c>
      <c r="C1052" s="60" t="s">
        <v>172</v>
      </c>
      <c r="D1052" s="51"/>
      <c r="E1052" s="22"/>
      <c r="F1052" s="23"/>
      <c r="G1052" s="24"/>
      <c r="H1052" s="23"/>
      <c r="I1052" s="24"/>
      <c r="J1052" s="23"/>
      <c r="K1052" s="24"/>
    </row>
    <row r="1053" spans="2:11" ht="12.95" customHeight="1" x14ac:dyDescent="0.3">
      <c r="B1053" s="46" t="s">
        <v>12</v>
      </c>
      <c r="C1053" s="51"/>
      <c r="D1053" s="51"/>
      <c r="E1053" s="62"/>
      <c r="F1053" s="15"/>
      <c r="G1053" s="16">
        <f>TRUNC(SUM(G1051:G1051))</f>
        <v>344112</v>
      </c>
      <c r="H1053" s="15"/>
      <c r="I1053" s="16">
        <f>TRUNC(SUM(I1051:I1051))</f>
        <v>344112</v>
      </c>
      <c r="J1053" s="15"/>
      <c r="K1053" s="16">
        <f>TRUNC(SUM(K1051:K1051))</f>
        <v>344112</v>
      </c>
    </row>
    <row r="1054" spans="2:11" ht="12.95" customHeight="1" x14ac:dyDescent="0.3">
      <c r="B1054" s="63"/>
      <c r="C1054" s="59"/>
      <c r="D1054" s="59"/>
      <c r="E1054" s="64"/>
      <c r="F1054" s="25"/>
      <c r="G1054" s="27"/>
      <c r="H1054" s="25"/>
      <c r="I1054" s="27"/>
      <c r="J1054" s="25"/>
      <c r="K1054" s="27"/>
    </row>
    <row r="1055" spans="2:11" ht="12.95" customHeight="1" x14ac:dyDescent="0.3">
      <c r="B1055" s="65" t="s">
        <v>13</v>
      </c>
      <c r="C1055" s="51"/>
      <c r="D1055" s="51"/>
      <c r="E1055" s="62"/>
      <c r="F1055" s="62"/>
      <c r="G1055" s="29">
        <f>SUM(G1043+G1049+G1053)</f>
        <v>2141027</v>
      </c>
      <c r="H1055" s="62"/>
      <c r="I1055" s="29">
        <f>SUM(I1043+I1049+I1053)</f>
        <v>2141027</v>
      </c>
      <c r="J1055" s="62"/>
      <c r="K1055" s="29">
        <f>SUM(K1043+K1049+K1053)</f>
        <v>2141027</v>
      </c>
    </row>
    <row r="1056" spans="2:11" ht="12.95" customHeight="1" x14ac:dyDescent="0.3">
      <c r="B1056" s="66" t="s">
        <v>175</v>
      </c>
      <c r="C1056" s="67"/>
      <c r="D1056" s="68"/>
      <c r="E1056" s="69"/>
      <c r="F1056" s="70"/>
      <c r="G1056" s="71">
        <f>TRUNC(G1055/G1038)</f>
        <v>611722</v>
      </c>
      <c r="H1056" s="70"/>
      <c r="I1056" s="71">
        <f>TRUNC(I1055/I1038)</f>
        <v>713675</v>
      </c>
      <c r="J1056" s="70"/>
      <c r="K1056" s="71">
        <f>TRUNC(K1055/K1038)</f>
        <v>856410</v>
      </c>
    </row>
    <row r="1058" spans="2:11" ht="12.95" customHeight="1" x14ac:dyDescent="0.3">
      <c r="B1058" s="1" t="s">
        <v>167</v>
      </c>
      <c r="K1058" s="79" t="s">
        <v>169</v>
      </c>
    </row>
    <row r="1059" spans="2:11" ht="12.95" customHeight="1" x14ac:dyDescent="0.3">
      <c r="B1059" s="89" t="s">
        <v>3</v>
      </c>
      <c r="C1059" s="92" t="s">
        <v>7</v>
      </c>
      <c r="D1059" s="92" t="s">
        <v>8</v>
      </c>
      <c r="E1059" s="92" t="s">
        <v>4</v>
      </c>
      <c r="F1059" s="95" t="s">
        <v>36</v>
      </c>
      <c r="G1059" s="96"/>
      <c r="H1059" s="95" t="s">
        <v>37</v>
      </c>
      <c r="I1059" s="96"/>
      <c r="J1059" s="95" t="s">
        <v>39</v>
      </c>
      <c r="K1059" s="96"/>
    </row>
    <row r="1060" spans="2:11" ht="12.95" customHeight="1" x14ac:dyDescent="0.3">
      <c r="B1060" s="90"/>
      <c r="C1060" s="93"/>
      <c r="D1060" s="93"/>
      <c r="E1060" s="93"/>
      <c r="F1060" s="38" t="s">
        <v>174</v>
      </c>
      <c r="G1060" s="39">
        <v>21</v>
      </c>
      <c r="H1060" s="38" t="s">
        <v>174</v>
      </c>
      <c r="I1060" s="39">
        <v>16</v>
      </c>
      <c r="J1060" s="38" t="s">
        <v>174</v>
      </c>
      <c r="K1060" s="39">
        <v>13</v>
      </c>
    </row>
    <row r="1061" spans="2:11" ht="12.95" customHeight="1" x14ac:dyDescent="0.3">
      <c r="B1061" s="91"/>
      <c r="C1061" s="94"/>
      <c r="D1061" s="94"/>
      <c r="E1061" s="94"/>
      <c r="F1061" s="40" t="s">
        <v>21</v>
      </c>
      <c r="G1061" s="41" t="s">
        <v>173</v>
      </c>
      <c r="H1061" s="40" t="s">
        <v>21</v>
      </c>
      <c r="I1061" s="41" t="s">
        <v>173</v>
      </c>
      <c r="J1061" s="40" t="s">
        <v>21</v>
      </c>
      <c r="K1061" s="41" t="s">
        <v>173</v>
      </c>
    </row>
    <row r="1062" spans="2:11" ht="12.95" customHeight="1" x14ac:dyDescent="0.3">
      <c r="B1062" s="59" t="s">
        <v>183</v>
      </c>
      <c r="C1062" s="59" t="s">
        <v>33</v>
      </c>
      <c r="D1062" s="61" t="s">
        <v>17</v>
      </c>
      <c r="E1062" s="17">
        <v>7951</v>
      </c>
      <c r="F1062" s="56">
        <v>8</v>
      </c>
      <c r="G1062" s="3">
        <f t="shared" ref="G1062" si="341">TRUNC($E1062*F1062,1)</f>
        <v>63608</v>
      </c>
      <c r="H1062" s="56">
        <v>8</v>
      </c>
      <c r="I1062" s="3">
        <f t="shared" ref="I1062" si="342">TRUNC($E1062*H1062,1)</f>
        <v>63608</v>
      </c>
      <c r="J1062" s="56">
        <v>8</v>
      </c>
      <c r="K1062" s="3">
        <f t="shared" ref="K1062" si="343">TRUNC($E1062*J1062,1)</f>
        <v>63608</v>
      </c>
    </row>
    <row r="1063" spans="2:11" ht="12.95" customHeight="1" x14ac:dyDescent="0.3">
      <c r="B1063" s="59" t="s">
        <v>184</v>
      </c>
      <c r="C1063" s="60" t="s">
        <v>172</v>
      </c>
      <c r="D1063" s="51"/>
      <c r="E1063" s="22"/>
      <c r="F1063" s="23"/>
      <c r="G1063" s="24"/>
      <c r="H1063" s="23"/>
      <c r="I1063" s="24"/>
      <c r="J1063" s="23"/>
      <c r="K1063" s="24"/>
    </row>
    <row r="1064" spans="2:11" ht="12.95" customHeight="1" x14ac:dyDescent="0.3">
      <c r="B1064" s="42" t="s">
        <v>53</v>
      </c>
      <c r="C1064" s="43" t="s">
        <v>56</v>
      </c>
      <c r="D1064" s="44" t="s">
        <v>15</v>
      </c>
      <c r="E1064" s="45"/>
      <c r="F1064" s="21">
        <v>1</v>
      </c>
      <c r="G1064" s="5">
        <f>TRUNC(SUM(G1067:G1068)*0.02,1)</f>
        <v>13944.5</v>
      </c>
      <c r="H1064" s="21">
        <v>1</v>
      </c>
      <c r="I1064" s="5">
        <f>TRUNC(SUM(I1067:I1068)*0.02,1)</f>
        <v>13944.5</v>
      </c>
      <c r="J1064" s="21">
        <v>1</v>
      </c>
      <c r="K1064" s="5">
        <f>TRUNC(SUM(K1067:K1068)*0.02,1)</f>
        <v>13944.5</v>
      </c>
    </row>
    <row r="1065" spans="2:11" ht="12.95" customHeight="1" x14ac:dyDescent="0.3">
      <c r="B1065" s="46" t="s">
        <v>10</v>
      </c>
      <c r="C1065" s="51"/>
      <c r="D1065" s="51"/>
      <c r="E1065" s="22"/>
      <c r="F1065" s="23"/>
      <c r="G1065" s="16">
        <f>TRUNC(SUM(G1062:G1064))</f>
        <v>77552</v>
      </c>
      <c r="H1065" s="23"/>
      <c r="I1065" s="16">
        <f>TRUNC(SUM(I1062:I1064))</f>
        <v>77552</v>
      </c>
      <c r="J1065" s="23"/>
      <c r="K1065" s="16">
        <f>TRUNC(SUM(K1062:K1064))</f>
        <v>77552</v>
      </c>
    </row>
    <row r="1066" spans="2:11" ht="12.95" customHeight="1" x14ac:dyDescent="0.3">
      <c r="B1066" s="50"/>
      <c r="C1066" s="51"/>
      <c r="D1066" s="51"/>
      <c r="E1066" s="22"/>
      <c r="F1066" s="23"/>
      <c r="G1066" s="24"/>
      <c r="H1066" s="23"/>
      <c r="I1066" s="24"/>
      <c r="J1066" s="23"/>
      <c r="K1066" s="24"/>
    </row>
    <row r="1067" spans="2:11" ht="12.95" customHeight="1" x14ac:dyDescent="0.3">
      <c r="B1067" s="52" t="s">
        <v>29</v>
      </c>
      <c r="C1067" s="53"/>
      <c r="D1067" s="54" t="s">
        <v>9</v>
      </c>
      <c r="E1067" s="55">
        <v>262580</v>
      </c>
      <c r="F1067" s="56">
        <v>2</v>
      </c>
      <c r="G1067" s="3">
        <f t="shared" ref="G1067:G1069" si="344">TRUNC($E1067*F1067,1)</f>
        <v>525160</v>
      </c>
      <c r="H1067" s="56">
        <v>2</v>
      </c>
      <c r="I1067" s="3">
        <f t="shared" ref="I1067:I1069" si="345">TRUNC($E1067*H1067,1)</f>
        <v>525160</v>
      </c>
      <c r="J1067" s="56">
        <v>2</v>
      </c>
      <c r="K1067" s="3">
        <f t="shared" ref="K1067:K1069" si="346">TRUNC($E1067*J1067,1)</f>
        <v>525160</v>
      </c>
    </row>
    <row r="1068" spans="2:11" ht="12.95" customHeight="1" x14ac:dyDescent="0.3">
      <c r="B1068" s="52" t="s">
        <v>1</v>
      </c>
      <c r="C1068" s="53"/>
      <c r="D1068" s="54" t="s">
        <v>9</v>
      </c>
      <c r="E1068" s="57">
        <v>172068</v>
      </c>
      <c r="F1068" s="56">
        <v>1</v>
      </c>
      <c r="G1068" s="3">
        <f t="shared" si="344"/>
        <v>172068</v>
      </c>
      <c r="H1068" s="56">
        <v>1</v>
      </c>
      <c r="I1068" s="3">
        <f t="shared" si="345"/>
        <v>172068</v>
      </c>
      <c r="J1068" s="56">
        <v>1</v>
      </c>
      <c r="K1068" s="3">
        <f t="shared" si="346"/>
        <v>172068</v>
      </c>
    </row>
    <row r="1069" spans="2:11" ht="12.95" customHeight="1" x14ac:dyDescent="0.3">
      <c r="B1069" s="59" t="s">
        <v>183</v>
      </c>
      <c r="C1069" s="59" t="s">
        <v>33</v>
      </c>
      <c r="D1069" s="61" t="s">
        <v>17</v>
      </c>
      <c r="E1069" s="17">
        <v>58925</v>
      </c>
      <c r="F1069" s="56">
        <v>8</v>
      </c>
      <c r="G1069" s="3">
        <f t="shared" si="344"/>
        <v>471400</v>
      </c>
      <c r="H1069" s="56">
        <v>8</v>
      </c>
      <c r="I1069" s="3">
        <f t="shared" si="345"/>
        <v>471400</v>
      </c>
      <c r="J1069" s="56">
        <v>8</v>
      </c>
      <c r="K1069" s="3">
        <f t="shared" si="346"/>
        <v>471400</v>
      </c>
    </row>
    <row r="1070" spans="2:11" ht="12.95" customHeight="1" x14ac:dyDescent="0.3">
      <c r="B1070" s="59" t="s">
        <v>184</v>
      </c>
      <c r="C1070" s="60" t="s">
        <v>172</v>
      </c>
      <c r="D1070" s="51"/>
      <c r="E1070" s="22"/>
      <c r="F1070" s="23"/>
      <c r="G1070" s="24"/>
      <c r="H1070" s="23"/>
      <c r="I1070" s="24"/>
      <c r="J1070" s="23"/>
      <c r="K1070" s="24"/>
    </row>
    <row r="1071" spans="2:11" ht="12.95" customHeight="1" x14ac:dyDescent="0.3">
      <c r="B1071" s="58" t="s">
        <v>11</v>
      </c>
      <c r="C1071" s="51"/>
      <c r="D1071" s="51"/>
      <c r="E1071" s="22"/>
      <c r="F1071" s="22"/>
      <c r="G1071" s="16">
        <f>TRUNC(SUM(G1067:G1069))</f>
        <v>1168628</v>
      </c>
      <c r="H1071" s="22"/>
      <c r="I1071" s="16">
        <f>TRUNC(SUM(I1067:I1069))</f>
        <v>1168628</v>
      </c>
      <c r="J1071" s="22"/>
      <c r="K1071" s="16">
        <f>TRUNC(SUM(K1067:K1069))</f>
        <v>1168628</v>
      </c>
    </row>
    <row r="1072" spans="2:11" ht="12.95" customHeight="1" x14ac:dyDescent="0.3">
      <c r="B1072" s="50"/>
      <c r="C1072" s="51"/>
      <c r="D1072" s="51"/>
      <c r="E1072" s="22"/>
      <c r="F1072" s="22"/>
      <c r="G1072" s="24"/>
      <c r="H1072" s="22"/>
      <c r="I1072" s="24"/>
      <c r="J1072" s="22"/>
      <c r="K1072" s="24"/>
    </row>
    <row r="1073" spans="2:11" ht="12.95" customHeight="1" x14ac:dyDescent="0.3">
      <c r="B1073" s="59" t="s">
        <v>183</v>
      </c>
      <c r="C1073" s="59" t="s">
        <v>33</v>
      </c>
      <c r="D1073" s="61" t="s">
        <v>17</v>
      </c>
      <c r="E1073" s="17">
        <v>31344</v>
      </c>
      <c r="F1073" s="56">
        <v>8</v>
      </c>
      <c r="G1073" s="3">
        <f t="shared" ref="G1073" si="347">TRUNC($E1073*F1073,1)</f>
        <v>250752</v>
      </c>
      <c r="H1073" s="56">
        <v>8</v>
      </c>
      <c r="I1073" s="3">
        <f t="shared" ref="I1073" si="348">TRUNC($E1073*H1073,1)</f>
        <v>250752</v>
      </c>
      <c r="J1073" s="56">
        <v>8</v>
      </c>
      <c r="K1073" s="3">
        <f t="shared" ref="K1073" si="349">TRUNC($E1073*J1073,1)</f>
        <v>250752</v>
      </c>
    </row>
    <row r="1074" spans="2:11" ht="12.95" customHeight="1" x14ac:dyDescent="0.3">
      <c r="B1074" s="59" t="s">
        <v>184</v>
      </c>
      <c r="C1074" s="60" t="s">
        <v>172</v>
      </c>
      <c r="D1074" s="51"/>
      <c r="E1074" s="22"/>
      <c r="F1074" s="23"/>
      <c r="G1074" s="24"/>
      <c r="H1074" s="23"/>
      <c r="I1074" s="24"/>
      <c r="J1074" s="23"/>
      <c r="K1074" s="24"/>
    </row>
    <row r="1075" spans="2:11" ht="12.95" customHeight="1" x14ac:dyDescent="0.3">
      <c r="B1075" s="46" t="s">
        <v>12</v>
      </c>
      <c r="C1075" s="51"/>
      <c r="D1075" s="51"/>
      <c r="E1075" s="62"/>
      <c r="F1075" s="15"/>
      <c r="G1075" s="16">
        <f>TRUNC(SUM(G1073:G1073))</f>
        <v>250752</v>
      </c>
      <c r="H1075" s="15"/>
      <c r="I1075" s="16">
        <f>TRUNC(SUM(I1073:I1073))</f>
        <v>250752</v>
      </c>
      <c r="J1075" s="15"/>
      <c r="K1075" s="16">
        <f>TRUNC(SUM(K1073:K1073))</f>
        <v>250752</v>
      </c>
    </row>
    <row r="1076" spans="2:11" ht="12.95" customHeight="1" x14ac:dyDescent="0.3">
      <c r="B1076" s="63"/>
      <c r="C1076" s="59"/>
      <c r="D1076" s="59"/>
      <c r="E1076" s="64"/>
      <c r="F1076" s="25"/>
      <c r="G1076" s="27"/>
      <c r="H1076" s="25"/>
      <c r="I1076" s="27"/>
      <c r="J1076" s="25"/>
      <c r="K1076" s="27"/>
    </row>
    <row r="1077" spans="2:11" ht="12.95" customHeight="1" x14ac:dyDescent="0.3">
      <c r="B1077" s="65" t="s">
        <v>13</v>
      </c>
      <c r="C1077" s="51"/>
      <c r="D1077" s="51"/>
      <c r="E1077" s="62"/>
      <c r="F1077" s="62"/>
      <c r="G1077" s="29">
        <f>SUM(G1065+G1071+G1075)</f>
        <v>1496932</v>
      </c>
      <c r="H1077" s="62"/>
      <c r="I1077" s="29">
        <f>SUM(I1065+I1071+I1075)</f>
        <v>1496932</v>
      </c>
      <c r="J1077" s="62"/>
      <c r="K1077" s="29">
        <f>SUM(K1065+K1071+K1075)</f>
        <v>1496932</v>
      </c>
    </row>
    <row r="1078" spans="2:11" ht="12.95" customHeight="1" x14ac:dyDescent="0.3">
      <c r="B1078" s="66" t="s">
        <v>175</v>
      </c>
      <c r="C1078" s="67"/>
      <c r="D1078" s="68"/>
      <c r="E1078" s="69"/>
      <c r="F1078" s="70"/>
      <c r="G1078" s="71">
        <f>TRUNC(G1077/G1060)</f>
        <v>71282</v>
      </c>
      <c r="H1078" s="70"/>
      <c r="I1078" s="71">
        <f>TRUNC(I1077/I1060)</f>
        <v>93558</v>
      </c>
      <c r="J1078" s="70"/>
      <c r="K1078" s="71">
        <f>TRUNC(K1077/K1060)</f>
        <v>115148</v>
      </c>
    </row>
    <row r="1079" spans="2:11" ht="12.95" customHeight="1" x14ac:dyDescent="0.3">
      <c r="B1079" s="89" t="s">
        <v>3</v>
      </c>
      <c r="C1079" s="92" t="s">
        <v>7</v>
      </c>
      <c r="D1079" s="92" t="s">
        <v>8</v>
      </c>
      <c r="E1079" s="92" t="s">
        <v>4</v>
      </c>
      <c r="F1079" s="95" t="s">
        <v>40</v>
      </c>
      <c r="G1079" s="96"/>
      <c r="H1079" s="95" t="s">
        <v>41</v>
      </c>
      <c r="I1079" s="96"/>
      <c r="J1079" s="95" t="s">
        <v>43</v>
      </c>
      <c r="K1079" s="96"/>
    </row>
    <row r="1080" spans="2:11" ht="12.95" customHeight="1" x14ac:dyDescent="0.3">
      <c r="B1080" s="90"/>
      <c r="C1080" s="93"/>
      <c r="D1080" s="93"/>
      <c r="E1080" s="93"/>
      <c r="F1080" s="38" t="s">
        <v>174</v>
      </c>
      <c r="G1080" s="39">
        <v>11</v>
      </c>
      <c r="H1080" s="38" t="s">
        <v>174</v>
      </c>
      <c r="I1080" s="39">
        <v>10</v>
      </c>
      <c r="J1080" s="38" t="s">
        <v>174</v>
      </c>
      <c r="K1080" s="39">
        <v>9</v>
      </c>
    </row>
    <row r="1081" spans="2:11" ht="12.95" customHeight="1" x14ac:dyDescent="0.3">
      <c r="B1081" s="91"/>
      <c r="C1081" s="94"/>
      <c r="D1081" s="94"/>
      <c r="E1081" s="94"/>
      <c r="F1081" s="40" t="s">
        <v>21</v>
      </c>
      <c r="G1081" s="41" t="s">
        <v>173</v>
      </c>
      <c r="H1081" s="40" t="s">
        <v>21</v>
      </c>
      <c r="I1081" s="41" t="s">
        <v>173</v>
      </c>
      <c r="J1081" s="40" t="s">
        <v>21</v>
      </c>
      <c r="K1081" s="41" t="s">
        <v>173</v>
      </c>
    </row>
    <row r="1082" spans="2:11" ht="12.95" customHeight="1" x14ac:dyDescent="0.3">
      <c r="B1082" s="59" t="s">
        <v>183</v>
      </c>
      <c r="C1082" s="59" t="s">
        <v>33</v>
      </c>
      <c r="D1082" s="61" t="s">
        <v>17</v>
      </c>
      <c r="E1082" s="17">
        <v>7951</v>
      </c>
      <c r="F1082" s="56">
        <v>8</v>
      </c>
      <c r="G1082" s="3">
        <f t="shared" ref="G1082" si="350">TRUNC($E1082*F1082,1)</f>
        <v>63608</v>
      </c>
      <c r="H1082" s="56">
        <v>8</v>
      </c>
      <c r="I1082" s="3">
        <f t="shared" ref="I1082" si="351">TRUNC($E1082*H1082,1)</f>
        <v>63608</v>
      </c>
      <c r="J1082" s="56">
        <v>8</v>
      </c>
      <c r="K1082" s="3">
        <f t="shared" ref="K1082" si="352">TRUNC($E1082*J1082,1)</f>
        <v>63608</v>
      </c>
    </row>
    <row r="1083" spans="2:11" ht="12.95" customHeight="1" x14ac:dyDescent="0.3">
      <c r="B1083" s="59" t="s">
        <v>184</v>
      </c>
      <c r="C1083" s="60" t="s">
        <v>172</v>
      </c>
      <c r="D1083" s="51"/>
      <c r="E1083" s="22"/>
      <c r="F1083" s="23"/>
      <c r="G1083" s="24"/>
      <c r="H1083" s="23"/>
      <c r="I1083" s="24"/>
      <c r="J1083" s="23"/>
      <c r="K1083" s="24"/>
    </row>
    <row r="1084" spans="2:11" ht="12.95" customHeight="1" x14ac:dyDescent="0.3">
      <c r="B1084" s="42" t="s">
        <v>53</v>
      </c>
      <c r="C1084" s="43" t="s">
        <v>56</v>
      </c>
      <c r="D1084" s="44" t="s">
        <v>15</v>
      </c>
      <c r="E1084" s="45"/>
      <c r="F1084" s="21">
        <v>1</v>
      </c>
      <c r="G1084" s="5">
        <f>TRUNC(SUM(G1087:G1088)*0.02,1)</f>
        <v>13944.5</v>
      </c>
      <c r="H1084" s="21">
        <v>1</v>
      </c>
      <c r="I1084" s="5">
        <f>TRUNC(SUM(I1087:I1088)*0.02,1)</f>
        <v>13944.5</v>
      </c>
      <c r="J1084" s="21">
        <v>1</v>
      </c>
      <c r="K1084" s="5">
        <f>TRUNC(SUM(K1087:K1088)*0.02,1)</f>
        <v>13944.5</v>
      </c>
    </row>
    <row r="1085" spans="2:11" ht="12.95" customHeight="1" x14ac:dyDescent="0.3">
      <c r="B1085" s="46" t="s">
        <v>10</v>
      </c>
      <c r="C1085" s="51"/>
      <c r="D1085" s="51"/>
      <c r="E1085" s="22"/>
      <c r="F1085" s="23"/>
      <c r="G1085" s="16">
        <f>TRUNC(SUM(G1082:G1084))</f>
        <v>77552</v>
      </c>
      <c r="H1085" s="23"/>
      <c r="I1085" s="16">
        <f>TRUNC(SUM(I1082:I1084))</f>
        <v>77552</v>
      </c>
      <c r="J1085" s="23"/>
      <c r="K1085" s="16">
        <f>TRUNC(SUM(K1082:K1084))</f>
        <v>77552</v>
      </c>
    </row>
    <row r="1086" spans="2:11" ht="12.95" customHeight="1" x14ac:dyDescent="0.3">
      <c r="B1086" s="50"/>
      <c r="C1086" s="51"/>
      <c r="D1086" s="51"/>
      <c r="E1086" s="22"/>
      <c r="F1086" s="23"/>
      <c r="G1086" s="24"/>
      <c r="H1086" s="23"/>
      <c r="I1086" s="24"/>
      <c r="J1086" s="23"/>
      <c r="K1086" s="24"/>
    </row>
    <row r="1087" spans="2:11" ht="12.95" customHeight="1" x14ac:dyDescent="0.3">
      <c r="B1087" s="52" t="s">
        <v>29</v>
      </c>
      <c r="C1087" s="53"/>
      <c r="D1087" s="54" t="s">
        <v>9</v>
      </c>
      <c r="E1087" s="55">
        <v>262580</v>
      </c>
      <c r="F1087" s="56">
        <v>2</v>
      </c>
      <c r="G1087" s="3">
        <f t="shared" ref="G1087:G1089" si="353">TRUNC($E1087*F1087,1)</f>
        <v>525160</v>
      </c>
      <c r="H1087" s="56">
        <v>2</v>
      </c>
      <c r="I1087" s="3">
        <f t="shared" ref="I1087:I1089" si="354">TRUNC($E1087*H1087,1)</f>
        <v>525160</v>
      </c>
      <c r="J1087" s="56">
        <v>2</v>
      </c>
      <c r="K1087" s="3">
        <f t="shared" ref="K1087:K1089" si="355">TRUNC($E1087*J1087,1)</f>
        <v>525160</v>
      </c>
    </row>
    <row r="1088" spans="2:11" ht="12.95" customHeight="1" x14ac:dyDescent="0.3">
      <c r="B1088" s="52" t="s">
        <v>1</v>
      </c>
      <c r="C1088" s="53"/>
      <c r="D1088" s="54" t="s">
        <v>9</v>
      </c>
      <c r="E1088" s="57">
        <v>172068</v>
      </c>
      <c r="F1088" s="56">
        <v>1</v>
      </c>
      <c r="G1088" s="3">
        <f t="shared" si="353"/>
        <v>172068</v>
      </c>
      <c r="H1088" s="56">
        <v>1</v>
      </c>
      <c r="I1088" s="3">
        <f t="shared" si="354"/>
        <v>172068</v>
      </c>
      <c r="J1088" s="56">
        <v>1</v>
      </c>
      <c r="K1088" s="3">
        <f t="shared" si="355"/>
        <v>172068</v>
      </c>
    </row>
    <row r="1089" spans="2:11" ht="12.95" customHeight="1" x14ac:dyDescent="0.3">
      <c r="B1089" s="59" t="s">
        <v>183</v>
      </c>
      <c r="C1089" s="59" t="s">
        <v>33</v>
      </c>
      <c r="D1089" s="61" t="s">
        <v>17</v>
      </c>
      <c r="E1089" s="17">
        <v>58925</v>
      </c>
      <c r="F1089" s="56">
        <v>8</v>
      </c>
      <c r="G1089" s="3">
        <f t="shared" si="353"/>
        <v>471400</v>
      </c>
      <c r="H1089" s="56">
        <v>8</v>
      </c>
      <c r="I1089" s="3">
        <f t="shared" si="354"/>
        <v>471400</v>
      </c>
      <c r="J1089" s="56">
        <v>8</v>
      </c>
      <c r="K1089" s="3">
        <f t="shared" si="355"/>
        <v>471400</v>
      </c>
    </row>
    <row r="1090" spans="2:11" ht="12.95" customHeight="1" x14ac:dyDescent="0.3">
      <c r="B1090" s="59" t="s">
        <v>184</v>
      </c>
      <c r="C1090" s="60" t="s">
        <v>172</v>
      </c>
      <c r="D1090" s="51"/>
      <c r="E1090" s="22"/>
      <c r="F1090" s="23"/>
      <c r="G1090" s="24"/>
      <c r="H1090" s="23"/>
      <c r="I1090" s="24"/>
      <c r="J1090" s="23"/>
      <c r="K1090" s="24"/>
    </row>
    <row r="1091" spans="2:11" ht="12.95" customHeight="1" x14ac:dyDescent="0.3">
      <c r="B1091" s="58" t="s">
        <v>11</v>
      </c>
      <c r="C1091" s="51"/>
      <c r="D1091" s="51"/>
      <c r="E1091" s="22"/>
      <c r="F1091" s="22"/>
      <c r="G1091" s="16">
        <f>TRUNC(SUM(G1087:G1089))</f>
        <v>1168628</v>
      </c>
      <c r="H1091" s="22"/>
      <c r="I1091" s="16">
        <f>TRUNC(SUM(I1087:I1089))</f>
        <v>1168628</v>
      </c>
      <c r="J1091" s="22"/>
      <c r="K1091" s="16">
        <f>TRUNC(SUM(K1087:K1089))</f>
        <v>1168628</v>
      </c>
    </row>
    <row r="1092" spans="2:11" ht="12.95" customHeight="1" x14ac:dyDescent="0.3">
      <c r="B1092" s="50"/>
      <c r="C1092" s="51"/>
      <c r="D1092" s="51"/>
      <c r="E1092" s="22"/>
      <c r="F1092" s="22"/>
      <c r="G1092" s="24"/>
      <c r="H1092" s="22"/>
      <c r="I1092" s="24"/>
      <c r="J1092" s="22"/>
      <c r="K1092" s="24"/>
    </row>
    <row r="1093" spans="2:11" ht="12.95" customHeight="1" x14ac:dyDescent="0.3">
      <c r="B1093" s="59" t="s">
        <v>183</v>
      </c>
      <c r="C1093" s="59" t="s">
        <v>33</v>
      </c>
      <c r="D1093" s="61" t="s">
        <v>17</v>
      </c>
      <c r="E1093" s="17">
        <v>31344</v>
      </c>
      <c r="F1093" s="56">
        <v>8</v>
      </c>
      <c r="G1093" s="3">
        <f t="shared" ref="G1093" si="356">TRUNC($E1093*F1093,1)</f>
        <v>250752</v>
      </c>
      <c r="H1093" s="56">
        <v>8</v>
      </c>
      <c r="I1093" s="3">
        <f t="shared" ref="I1093" si="357">TRUNC($E1093*H1093,1)</f>
        <v>250752</v>
      </c>
      <c r="J1093" s="56">
        <v>8</v>
      </c>
      <c r="K1093" s="3">
        <f t="shared" ref="K1093" si="358">TRUNC($E1093*J1093,1)</f>
        <v>250752</v>
      </c>
    </row>
    <row r="1094" spans="2:11" ht="12.95" customHeight="1" x14ac:dyDescent="0.3">
      <c r="B1094" s="59" t="s">
        <v>184</v>
      </c>
      <c r="C1094" s="60" t="s">
        <v>172</v>
      </c>
      <c r="D1094" s="51"/>
      <c r="E1094" s="22"/>
      <c r="F1094" s="23"/>
      <c r="G1094" s="24"/>
      <c r="H1094" s="23"/>
      <c r="I1094" s="24"/>
      <c r="J1094" s="23"/>
      <c r="K1094" s="24"/>
    </row>
    <row r="1095" spans="2:11" ht="12.95" customHeight="1" x14ac:dyDescent="0.3">
      <c r="B1095" s="46" t="s">
        <v>12</v>
      </c>
      <c r="C1095" s="51"/>
      <c r="D1095" s="51"/>
      <c r="E1095" s="62"/>
      <c r="F1095" s="15"/>
      <c r="G1095" s="16">
        <f>TRUNC(SUM(G1093:G1093))</f>
        <v>250752</v>
      </c>
      <c r="H1095" s="15"/>
      <c r="I1095" s="16">
        <f>TRUNC(SUM(I1093:I1093))</f>
        <v>250752</v>
      </c>
      <c r="J1095" s="15"/>
      <c r="K1095" s="16">
        <f>TRUNC(SUM(K1093:K1093))</f>
        <v>250752</v>
      </c>
    </row>
    <row r="1096" spans="2:11" ht="12.95" customHeight="1" x14ac:dyDescent="0.3">
      <c r="B1096" s="63"/>
      <c r="C1096" s="59"/>
      <c r="D1096" s="59"/>
      <c r="E1096" s="64"/>
      <c r="F1096" s="25"/>
      <c r="G1096" s="27"/>
      <c r="H1096" s="25"/>
      <c r="I1096" s="27"/>
      <c r="J1096" s="25"/>
      <c r="K1096" s="27"/>
    </row>
    <row r="1097" spans="2:11" ht="12.95" customHeight="1" x14ac:dyDescent="0.3">
      <c r="B1097" s="65" t="s">
        <v>13</v>
      </c>
      <c r="C1097" s="51"/>
      <c r="D1097" s="51"/>
      <c r="E1097" s="62"/>
      <c r="F1097" s="62"/>
      <c r="G1097" s="29">
        <f>SUM(G1085+G1091+G1095)</f>
        <v>1496932</v>
      </c>
      <c r="H1097" s="62"/>
      <c r="I1097" s="29">
        <f>SUM(I1085+I1091+I1095)</f>
        <v>1496932</v>
      </c>
      <c r="J1097" s="62"/>
      <c r="K1097" s="29">
        <f>SUM(K1085+K1091+K1095)</f>
        <v>1496932</v>
      </c>
    </row>
    <row r="1098" spans="2:11" ht="12.95" customHeight="1" x14ac:dyDescent="0.3">
      <c r="B1098" s="66" t="s">
        <v>175</v>
      </c>
      <c r="C1098" s="67"/>
      <c r="D1098" s="68"/>
      <c r="E1098" s="69"/>
      <c r="F1098" s="70"/>
      <c r="G1098" s="71">
        <f>TRUNC(G1097/G1080)</f>
        <v>136084</v>
      </c>
      <c r="H1098" s="70"/>
      <c r="I1098" s="71">
        <f>TRUNC(I1097/I1080)</f>
        <v>149693</v>
      </c>
      <c r="J1098" s="70"/>
      <c r="K1098" s="71">
        <f>TRUNC(K1097/K1080)</f>
        <v>166325</v>
      </c>
    </row>
    <row r="1099" spans="2:11" ht="12.95" customHeight="1" x14ac:dyDescent="0.3">
      <c r="B1099" s="89" t="s">
        <v>3</v>
      </c>
      <c r="C1099" s="92" t="s">
        <v>7</v>
      </c>
      <c r="D1099" s="92" t="s">
        <v>8</v>
      </c>
      <c r="E1099" s="92" t="s">
        <v>4</v>
      </c>
      <c r="F1099" s="95" t="s">
        <v>44</v>
      </c>
      <c r="G1099" s="96"/>
      <c r="H1099" s="95" t="s">
        <v>46</v>
      </c>
      <c r="I1099" s="96"/>
      <c r="J1099" s="95" t="s">
        <v>48</v>
      </c>
      <c r="K1099" s="96"/>
    </row>
    <row r="1100" spans="2:11" ht="12.95" customHeight="1" x14ac:dyDescent="0.3">
      <c r="B1100" s="90"/>
      <c r="C1100" s="93"/>
      <c r="D1100" s="93"/>
      <c r="E1100" s="93"/>
      <c r="F1100" s="38" t="s">
        <v>174</v>
      </c>
      <c r="G1100" s="39">
        <v>7</v>
      </c>
      <c r="H1100" s="38" t="s">
        <v>174</v>
      </c>
      <c r="I1100" s="39">
        <v>6</v>
      </c>
      <c r="J1100" s="38" t="s">
        <v>174</v>
      </c>
      <c r="K1100" s="39">
        <v>5</v>
      </c>
    </row>
    <row r="1101" spans="2:11" ht="12.95" customHeight="1" x14ac:dyDescent="0.3">
      <c r="B1101" s="91"/>
      <c r="C1101" s="94"/>
      <c r="D1101" s="94"/>
      <c r="E1101" s="94"/>
      <c r="F1101" s="40" t="s">
        <v>21</v>
      </c>
      <c r="G1101" s="41" t="s">
        <v>173</v>
      </c>
      <c r="H1101" s="40" t="s">
        <v>21</v>
      </c>
      <c r="I1101" s="41" t="s">
        <v>173</v>
      </c>
      <c r="J1101" s="40" t="s">
        <v>21</v>
      </c>
      <c r="K1101" s="41" t="s">
        <v>173</v>
      </c>
    </row>
    <row r="1102" spans="2:11" ht="12.95" customHeight="1" x14ac:dyDescent="0.3">
      <c r="B1102" s="59" t="s">
        <v>183</v>
      </c>
      <c r="C1102" s="59" t="s">
        <v>33</v>
      </c>
      <c r="D1102" s="61" t="s">
        <v>17</v>
      </c>
      <c r="E1102" s="17">
        <v>7951</v>
      </c>
      <c r="F1102" s="56">
        <v>8</v>
      </c>
      <c r="G1102" s="3">
        <f t="shared" ref="G1102" si="359">TRUNC($E1102*F1102,1)</f>
        <v>63608</v>
      </c>
      <c r="H1102" s="56">
        <v>8</v>
      </c>
      <c r="I1102" s="3">
        <f t="shared" ref="I1102" si="360">TRUNC($E1102*H1102,1)</f>
        <v>63608</v>
      </c>
      <c r="J1102" s="56">
        <v>8</v>
      </c>
      <c r="K1102" s="3">
        <f t="shared" ref="K1102" si="361">TRUNC($E1102*J1102,1)</f>
        <v>63608</v>
      </c>
    </row>
    <row r="1103" spans="2:11" ht="12.95" customHeight="1" x14ac:dyDescent="0.3">
      <c r="B1103" s="59" t="s">
        <v>184</v>
      </c>
      <c r="C1103" s="60" t="s">
        <v>172</v>
      </c>
      <c r="D1103" s="51"/>
      <c r="E1103" s="22"/>
      <c r="F1103" s="23"/>
      <c r="G1103" s="24"/>
      <c r="H1103" s="23"/>
      <c r="I1103" s="24"/>
      <c r="J1103" s="23"/>
      <c r="K1103" s="24"/>
    </row>
    <row r="1104" spans="2:11" ht="12.95" customHeight="1" x14ac:dyDescent="0.3">
      <c r="B1104" s="42" t="s">
        <v>53</v>
      </c>
      <c r="C1104" s="43" t="s">
        <v>56</v>
      </c>
      <c r="D1104" s="44" t="s">
        <v>15</v>
      </c>
      <c r="E1104" s="45"/>
      <c r="F1104" s="21">
        <v>1</v>
      </c>
      <c r="G1104" s="5">
        <f>TRUNC(SUM(G1107:G1108)*0.02,1)</f>
        <v>13944.5</v>
      </c>
      <c r="H1104" s="21">
        <v>1</v>
      </c>
      <c r="I1104" s="5">
        <f>TRUNC(SUM(I1107:I1108)*0.02,1)</f>
        <v>13944.5</v>
      </c>
      <c r="J1104" s="21">
        <v>1</v>
      </c>
      <c r="K1104" s="5">
        <f>TRUNC(SUM(K1107:K1108)*0.02,1)</f>
        <v>13944.5</v>
      </c>
    </row>
    <row r="1105" spans="2:11" ht="12.95" customHeight="1" x14ac:dyDescent="0.3">
      <c r="B1105" s="46" t="s">
        <v>10</v>
      </c>
      <c r="C1105" s="51"/>
      <c r="D1105" s="51"/>
      <c r="E1105" s="22"/>
      <c r="F1105" s="23"/>
      <c r="G1105" s="16">
        <f>TRUNC(SUM(G1102:G1104))</f>
        <v>77552</v>
      </c>
      <c r="H1105" s="23"/>
      <c r="I1105" s="16">
        <f>TRUNC(SUM(I1102:I1104))</f>
        <v>77552</v>
      </c>
      <c r="J1105" s="23"/>
      <c r="K1105" s="16">
        <f>TRUNC(SUM(K1102:K1104))</f>
        <v>77552</v>
      </c>
    </row>
    <row r="1106" spans="2:11" ht="12.95" customHeight="1" x14ac:dyDescent="0.3">
      <c r="B1106" s="50"/>
      <c r="C1106" s="51"/>
      <c r="D1106" s="51"/>
      <c r="E1106" s="22"/>
      <c r="F1106" s="23"/>
      <c r="G1106" s="24"/>
      <c r="H1106" s="23"/>
      <c r="I1106" s="24"/>
      <c r="J1106" s="23"/>
      <c r="K1106" s="24"/>
    </row>
    <row r="1107" spans="2:11" ht="12.95" customHeight="1" x14ac:dyDescent="0.3">
      <c r="B1107" s="52" t="s">
        <v>29</v>
      </c>
      <c r="C1107" s="53"/>
      <c r="D1107" s="54" t="s">
        <v>9</v>
      </c>
      <c r="E1107" s="55">
        <v>262580</v>
      </c>
      <c r="F1107" s="56">
        <v>2</v>
      </c>
      <c r="G1107" s="3">
        <f t="shared" ref="G1107:G1109" si="362">TRUNC($E1107*F1107,1)</f>
        <v>525160</v>
      </c>
      <c r="H1107" s="56">
        <v>2</v>
      </c>
      <c r="I1107" s="3">
        <f t="shared" ref="I1107:I1109" si="363">TRUNC($E1107*H1107,1)</f>
        <v>525160</v>
      </c>
      <c r="J1107" s="56">
        <v>2</v>
      </c>
      <c r="K1107" s="3">
        <f t="shared" ref="K1107:K1109" si="364">TRUNC($E1107*J1107,1)</f>
        <v>525160</v>
      </c>
    </row>
    <row r="1108" spans="2:11" ht="12.95" customHeight="1" x14ac:dyDescent="0.3">
      <c r="B1108" s="52" t="s">
        <v>1</v>
      </c>
      <c r="C1108" s="53"/>
      <c r="D1108" s="54" t="s">
        <v>9</v>
      </c>
      <c r="E1108" s="57">
        <v>172068</v>
      </c>
      <c r="F1108" s="56">
        <v>1</v>
      </c>
      <c r="G1108" s="3">
        <f t="shared" si="362"/>
        <v>172068</v>
      </c>
      <c r="H1108" s="56">
        <v>1</v>
      </c>
      <c r="I1108" s="3">
        <f t="shared" si="363"/>
        <v>172068</v>
      </c>
      <c r="J1108" s="56">
        <v>1</v>
      </c>
      <c r="K1108" s="3">
        <f t="shared" si="364"/>
        <v>172068</v>
      </c>
    </row>
    <row r="1109" spans="2:11" ht="12.95" customHeight="1" x14ac:dyDescent="0.3">
      <c r="B1109" s="59" t="s">
        <v>183</v>
      </c>
      <c r="C1109" s="59" t="s">
        <v>33</v>
      </c>
      <c r="D1109" s="61" t="s">
        <v>17</v>
      </c>
      <c r="E1109" s="17">
        <v>58925</v>
      </c>
      <c r="F1109" s="56">
        <v>8</v>
      </c>
      <c r="G1109" s="3">
        <f t="shared" si="362"/>
        <v>471400</v>
      </c>
      <c r="H1109" s="56">
        <v>8</v>
      </c>
      <c r="I1109" s="3">
        <f t="shared" si="363"/>
        <v>471400</v>
      </c>
      <c r="J1109" s="56">
        <v>8</v>
      </c>
      <c r="K1109" s="3">
        <f t="shared" si="364"/>
        <v>471400</v>
      </c>
    </row>
    <row r="1110" spans="2:11" ht="12.95" customHeight="1" x14ac:dyDescent="0.3">
      <c r="B1110" s="59" t="s">
        <v>184</v>
      </c>
      <c r="C1110" s="60" t="s">
        <v>172</v>
      </c>
      <c r="D1110" s="51"/>
      <c r="E1110" s="22"/>
      <c r="F1110" s="23"/>
      <c r="G1110" s="24"/>
      <c r="H1110" s="23"/>
      <c r="I1110" s="24"/>
      <c r="J1110" s="23"/>
      <c r="K1110" s="24"/>
    </row>
    <row r="1111" spans="2:11" ht="12.95" customHeight="1" x14ac:dyDescent="0.3">
      <c r="B1111" s="58" t="s">
        <v>11</v>
      </c>
      <c r="C1111" s="51"/>
      <c r="D1111" s="51"/>
      <c r="E1111" s="22"/>
      <c r="F1111" s="22"/>
      <c r="G1111" s="16">
        <f>TRUNC(SUM(G1107:G1109))</f>
        <v>1168628</v>
      </c>
      <c r="H1111" s="22"/>
      <c r="I1111" s="16">
        <f>TRUNC(SUM(I1107:I1109))</f>
        <v>1168628</v>
      </c>
      <c r="J1111" s="22"/>
      <c r="K1111" s="16">
        <f>TRUNC(SUM(K1107:K1109))</f>
        <v>1168628</v>
      </c>
    </row>
    <row r="1112" spans="2:11" ht="12.95" customHeight="1" x14ac:dyDescent="0.3">
      <c r="B1112" s="50"/>
      <c r="C1112" s="51"/>
      <c r="D1112" s="51"/>
      <c r="E1112" s="22"/>
      <c r="F1112" s="22"/>
      <c r="G1112" s="24"/>
      <c r="H1112" s="22"/>
      <c r="I1112" s="24"/>
      <c r="J1112" s="22"/>
      <c r="K1112" s="24"/>
    </row>
    <row r="1113" spans="2:11" ht="12.95" customHeight="1" x14ac:dyDescent="0.3">
      <c r="B1113" s="59" t="s">
        <v>183</v>
      </c>
      <c r="C1113" s="59" t="s">
        <v>33</v>
      </c>
      <c r="D1113" s="61" t="s">
        <v>17</v>
      </c>
      <c r="E1113" s="17">
        <v>31344</v>
      </c>
      <c r="F1113" s="56">
        <v>8</v>
      </c>
      <c r="G1113" s="3">
        <f t="shared" ref="G1113" si="365">TRUNC($E1113*F1113,1)</f>
        <v>250752</v>
      </c>
      <c r="H1113" s="56">
        <v>8</v>
      </c>
      <c r="I1113" s="3">
        <f t="shared" ref="I1113" si="366">TRUNC($E1113*H1113,1)</f>
        <v>250752</v>
      </c>
      <c r="J1113" s="56">
        <v>8</v>
      </c>
      <c r="K1113" s="3">
        <f t="shared" ref="K1113" si="367">TRUNC($E1113*J1113,1)</f>
        <v>250752</v>
      </c>
    </row>
    <row r="1114" spans="2:11" ht="12.95" customHeight="1" x14ac:dyDescent="0.3">
      <c r="B1114" s="59" t="s">
        <v>184</v>
      </c>
      <c r="C1114" s="60" t="s">
        <v>172</v>
      </c>
      <c r="D1114" s="51"/>
      <c r="E1114" s="22"/>
      <c r="F1114" s="23"/>
      <c r="G1114" s="24"/>
      <c r="H1114" s="23"/>
      <c r="I1114" s="24"/>
      <c r="J1114" s="23"/>
      <c r="K1114" s="24"/>
    </row>
    <row r="1115" spans="2:11" ht="12.95" customHeight="1" x14ac:dyDescent="0.3">
      <c r="B1115" s="46" t="s">
        <v>12</v>
      </c>
      <c r="C1115" s="51"/>
      <c r="D1115" s="51"/>
      <c r="E1115" s="62"/>
      <c r="F1115" s="15"/>
      <c r="G1115" s="16">
        <f>TRUNC(SUM(G1113:G1113))</f>
        <v>250752</v>
      </c>
      <c r="H1115" s="15"/>
      <c r="I1115" s="16">
        <f>TRUNC(SUM(I1113:I1113))</f>
        <v>250752</v>
      </c>
      <c r="J1115" s="15"/>
      <c r="K1115" s="16">
        <f>TRUNC(SUM(K1113:K1113))</f>
        <v>250752</v>
      </c>
    </row>
    <row r="1116" spans="2:11" ht="12.95" customHeight="1" x14ac:dyDescent="0.3">
      <c r="B1116" s="63"/>
      <c r="C1116" s="59"/>
      <c r="D1116" s="59"/>
      <c r="E1116" s="64"/>
      <c r="F1116" s="25"/>
      <c r="G1116" s="27"/>
      <c r="H1116" s="25"/>
      <c r="I1116" s="27"/>
      <c r="J1116" s="25"/>
      <c r="K1116" s="27"/>
    </row>
    <row r="1117" spans="2:11" ht="12.95" customHeight="1" x14ac:dyDescent="0.3">
      <c r="B1117" s="65" t="s">
        <v>13</v>
      </c>
      <c r="C1117" s="51"/>
      <c r="D1117" s="51"/>
      <c r="E1117" s="62"/>
      <c r="F1117" s="62"/>
      <c r="G1117" s="29">
        <f>SUM(G1105+G1111+G1115)</f>
        <v>1496932</v>
      </c>
      <c r="H1117" s="62"/>
      <c r="I1117" s="29">
        <f>SUM(I1105+I1111+I1115)</f>
        <v>1496932</v>
      </c>
      <c r="J1117" s="62"/>
      <c r="K1117" s="29">
        <f>SUM(K1105+K1111+K1115)</f>
        <v>1496932</v>
      </c>
    </row>
    <row r="1118" spans="2:11" ht="12.95" customHeight="1" x14ac:dyDescent="0.3">
      <c r="B1118" s="66" t="s">
        <v>175</v>
      </c>
      <c r="C1118" s="67"/>
      <c r="D1118" s="68"/>
      <c r="E1118" s="69"/>
      <c r="F1118" s="70"/>
      <c r="G1118" s="71">
        <f>TRUNC(G1117/G1100)</f>
        <v>213847</v>
      </c>
      <c r="H1118" s="70"/>
      <c r="I1118" s="71">
        <f>TRUNC(I1117/I1100)</f>
        <v>249488</v>
      </c>
      <c r="J1118" s="70"/>
      <c r="K1118" s="71">
        <f>TRUNC(K1117/K1100)</f>
        <v>299386</v>
      </c>
    </row>
    <row r="1119" spans="2:11" ht="12.95" customHeight="1" x14ac:dyDescent="0.3">
      <c r="B1119" s="89" t="s">
        <v>3</v>
      </c>
      <c r="C1119" s="92" t="s">
        <v>7</v>
      </c>
      <c r="D1119" s="92" t="s">
        <v>8</v>
      </c>
      <c r="E1119" s="92" t="s">
        <v>4</v>
      </c>
      <c r="F1119" s="95" t="s">
        <v>201</v>
      </c>
      <c r="G1119" s="96"/>
      <c r="H1119" s="95" t="s">
        <v>202</v>
      </c>
      <c r="I1119" s="96"/>
      <c r="J1119" s="95" t="s">
        <v>60</v>
      </c>
      <c r="K1119" s="96"/>
    </row>
    <row r="1120" spans="2:11" ht="12.95" customHeight="1" x14ac:dyDescent="0.3">
      <c r="B1120" s="90"/>
      <c r="C1120" s="93"/>
      <c r="D1120" s="93"/>
      <c r="E1120" s="93"/>
      <c r="F1120" s="38" t="s">
        <v>174</v>
      </c>
      <c r="G1120" s="73">
        <v>5</v>
      </c>
      <c r="H1120" s="38" t="s">
        <v>174</v>
      </c>
      <c r="I1120" s="73">
        <v>4</v>
      </c>
      <c r="J1120" s="38" t="s">
        <v>174</v>
      </c>
      <c r="K1120" s="73">
        <v>3.5</v>
      </c>
    </row>
    <row r="1121" spans="2:11" ht="12.95" customHeight="1" x14ac:dyDescent="0.3">
      <c r="B1121" s="91"/>
      <c r="C1121" s="94"/>
      <c r="D1121" s="94"/>
      <c r="E1121" s="94"/>
      <c r="F1121" s="40" t="s">
        <v>21</v>
      </c>
      <c r="G1121" s="41" t="s">
        <v>173</v>
      </c>
      <c r="H1121" s="40" t="s">
        <v>21</v>
      </c>
      <c r="I1121" s="41" t="s">
        <v>173</v>
      </c>
      <c r="J1121" s="40" t="s">
        <v>21</v>
      </c>
      <c r="K1121" s="41" t="s">
        <v>173</v>
      </c>
    </row>
    <row r="1122" spans="2:11" ht="12.95" customHeight="1" x14ac:dyDescent="0.3">
      <c r="B1122" s="59" t="s">
        <v>183</v>
      </c>
      <c r="C1122" s="59" t="s">
        <v>45</v>
      </c>
      <c r="D1122" s="61" t="s">
        <v>17</v>
      </c>
      <c r="E1122" s="17">
        <v>9835</v>
      </c>
      <c r="F1122" s="56">
        <v>8</v>
      </c>
      <c r="G1122" s="3">
        <f t="shared" ref="G1122" si="368">TRUNC($E1122*F1122,1)</f>
        <v>78680</v>
      </c>
      <c r="H1122" s="56">
        <v>8</v>
      </c>
      <c r="I1122" s="3">
        <f t="shared" ref="I1122" si="369">TRUNC($E1122*H1122,1)</f>
        <v>78680</v>
      </c>
      <c r="J1122" s="56">
        <v>8</v>
      </c>
      <c r="K1122" s="3">
        <f t="shared" ref="K1122" si="370">TRUNC($E1122*J1122,1)</f>
        <v>78680</v>
      </c>
    </row>
    <row r="1123" spans="2:11" ht="12.95" customHeight="1" x14ac:dyDescent="0.3">
      <c r="B1123" s="59" t="s">
        <v>184</v>
      </c>
      <c r="C1123" s="60" t="s">
        <v>172</v>
      </c>
      <c r="D1123" s="51"/>
      <c r="E1123" s="22"/>
      <c r="F1123" s="23"/>
      <c r="G1123" s="24"/>
      <c r="H1123" s="23"/>
      <c r="I1123" s="24"/>
      <c r="J1123" s="23"/>
      <c r="K1123" s="24"/>
    </row>
    <row r="1124" spans="2:11" ht="12.95" customHeight="1" x14ac:dyDescent="0.3">
      <c r="B1124" s="42" t="s">
        <v>53</v>
      </c>
      <c r="C1124" s="43" t="s">
        <v>56</v>
      </c>
      <c r="D1124" s="44" t="s">
        <v>15</v>
      </c>
      <c r="E1124" s="45"/>
      <c r="F1124" s="21">
        <v>1</v>
      </c>
      <c r="G1124" s="5">
        <f>TRUNC(SUM(G1127:G1128)*0.02,1)</f>
        <v>19196.099999999999</v>
      </c>
      <c r="H1124" s="21">
        <v>1</v>
      </c>
      <c r="I1124" s="5">
        <f>TRUNC(SUM(I1127:I1128)*0.02,1)</f>
        <v>19196.099999999999</v>
      </c>
      <c r="J1124" s="21">
        <v>1</v>
      </c>
      <c r="K1124" s="5">
        <f>TRUNC(SUM(K1127:K1128)*0.02,1)</f>
        <v>19196.099999999999</v>
      </c>
    </row>
    <row r="1125" spans="2:11" ht="12.95" customHeight="1" x14ac:dyDescent="0.3">
      <c r="B1125" s="46" t="s">
        <v>10</v>
      </c>
      <c r="C1125" s="51"/>
      <c r="D1125" s="51"/>
      <c r="E1125" s="22"/>
      <c r="F1125" s="23"/>
      <c r="G1125" s="16">
        <f>TRUNC(SUM(G1122:G1124))</f>
        <v>97876</v>
      </c>
      <c r="H1125" s="23"/>
      <c r="I1125" s="16">
        <f>TRUNC(SUM(I1122:I1124))</f>
        <v>97876</v>
      </c>
      <c r="J1125" s="23"/>
      <c r="K1125" s="16">
        <f>TRUNC(SUM(K1122:K1124))</f>
        <v>97876</v>
      </c>
    </row>
    <row r="1126" spans="2:11" ht="12.95" customHeight="1" x14ac:dyDescent="0.3">
      <c r="B1126" s="50"/>
      <c r="C1126" s="51"/>
      <c r="D1126" s="51"/>
      <c r="E1126" s="22"/>
      <c r="F1126" s="23"/>
      <c r="G1126" s="24"/>
      <c r="H1126" s="23"/>
      <c r="I1126" s="24"/>
      <c r="J1126" s="23"/>
      <c r="K1126" s="24"/>
    </row>
    <row r="1127" spans="2:11" ht="12.95" customHeight="1" x14ac:dyDescent="0.3">
      <c r="B1127" s="52" t="s">
        <v>29</v>
      </c>
      <c r="C1127" s="53"/>
      <c r="D1127" s="54" t="s">
        <v>9</v>
      </c>
      <c r="E1127" s="55">
        <v>262580</v>
      </c>
      <c r="F1127" s="56">
        <v>3</v>
      </c>
      <c r="G1127" s="3">
        <f t="shared" ref="G1127:G1129" si="371">TRUNC($E1127*F1127,1)</f>
        <v>787740</v>
      </c>
      <c r="H1127" s="56">
        <v>3</v>
      </c>
      <c r="I1127" s="3">
        <f t="shared" ref="I1127:I1129" si="372">TRUNC($E1127*H1127,1)</f>
        <v>787740</v>
      </c>
      <c r="J1127" s="56">
        <v>3</v>
      </c>
      <c r="K1127" s="3">
        <f t="shared" ref="K1127:K1129" si="373">TRUNC($E1127*J1127,1)</f>
        <v>787740</v>
      </c>
    </row>
    <row r="1128" spans="2:11" ht="12.95" customHeight="1" x14ac:dyDescent="0.3">
      <c r="B1128" s="52" t="s">
        <v>1</v>
      </c>
      <c r="C1128" s="53"/>
      <c r="D1128" s="54" t="s">
        <v>9</v>
      </c>
      <c r="E1128" s="57">
        <v>172068</v>
      </c>
      <c r="F1128" s="56">
        <v>1</v>
      </c>
      <c r="G1128" s="3">
        <f t="shared" si="371"/>
        <v>172068</v>
      </c>
      <c r="H1128" s="56">
        <v>1</v>
      </c>
      <c r="I1128" s="3">
        <f t="shared" si="372"/>
        <v>172068</v>
      </c>
      <c r="J1128" s="56">
        <v>1</v>
      </c>
      <c r="K1128" s="3">
        <f t="shared" si="373"/>
        <v>172068</v>
      </c>
    </row>
    <row r="1129" spans="2:11" ht="12.95" customHeight="1" x14ac:dyDescent="0.3">
      <c r="B1129" s="59" t="s">
        <v>183</v>
      </c>
      <c r="C1129" s="59" t="s">
        <v>45</v>
      </c>
      <c r="D1129" s="61" t="s">
        <v>17</v>
      </c>
      <c r="E1129" s="17">
        <v>58925</v>
      </c>
      <c r="F1129" s="56">
        <v>8</v>
      </c>
      <c r="G1129" s="3">
        <f t="shared" si="371"/>
        <v>471400</v>
      </c>
      <c r="H1129" s="56">
        <v>8</v>
      </c>
      <c r="I1129" s="3">
        <f t="shared" si="372"/>
        <v>471400</v>
      </c>
      <c r="J1129" s="56">
        <v>8</v>
      </c>
      <c r="K1129" s="3">
        <f t="shared" si="373"/>
        <v>471400</v>
      </c>
    </row>
    <row r="1130" spans="2:11" ht="12.95" customHeight="1" x14ac:dyDescent="0.3">
      <c r="B1130" s="59" t="s">
        <v>184</v>
      </c>
      <c r="C1130" s="60" t="s">
        <v>172</v>
      </c>
      <c r="D1130" s="51"/>
      <c r="E1130" s="22"/>
      <c r="F1130" s="23"/>
      <c r="G1130" s="24"/>
      <c r="H1130" s="23"/>
      <c r="I1130" s="24"/>
      <c r="J1130" s="23"/>
      <c r="K1130" s="24"/>
    </row>
    <row r="1131" spans="2:11" ht="12.95" customHeight="1" x14ac:dyDescent="0.3">
      <c r="B1131" s="58" t="s">
        <v>11</v>
      </c>
      <c r="C1131" s="51"/>
      <c r="D1131" s="51"/>
      <c r="E1131" s="22"/>
      <c r="F1131" s="22"/>
      <c r="G1131" s="16">
        <f>TRUNC(SUM(G1127:G1129))</f>
        <v>1431208</v>
      </c>
      <c r="H1131" s="22"/>
      <c r="I1131" s="16">
        <f>TRUNC(SUM(I1127:I1129))</f>
        <v>1431208</v>
      </c>
      <c r="J1131" s="22"/>
      <c r="K1131" s="16">
        <f>TRUNC(SUM(K1127:K1129))</f>
        <v>1431208</v>
      </c>
    </row>
    <row r="1132" spans="2:11" ht="12.95" customHeight="1" x14ac:dyDescent="0.3">
      <c r="B1132" s="50"/>
      <c r="C1132" s="51"/>
      <c r="D1132" s="51"/>
      <c r="E1132" s="22"/>
      <c r="F1132" s="22"/>
      <c r="G1132" s="24"/>
      <c r="H1132" s="22"/>
      <c r="I1132" s="24"/>
      <c r="J1132" s="22"/>
      <c r="K1132" s="24"/>
    </row>
    <row r="1133" spans="2:11" ht="12.95" customHeight="1" x14ac:dyDescent="0.3">
      <c r="B1133" s="59" t="s">
        <v>183</v>
      </c>
      <c r="C1133" s="59" t="s">
        <v>45</v>
      </c>
      <c r="D1133" s="61" t="s">
        <v>17</v>
      </c>
      <c r="E1133" s="17">
        <v>43014</v>
      </c>
      <c r="F1133" s="56">
        <v>8</v>
      </c>
      <c r="G1133" s="3">
        <f t="shared" ref="G1133" si="374">TRUNC($E1133*F1133,1)</f>
        <v>344112</v>
      </c>
      <c r="H1133" s="56">
        <v>8</v>
      </c>
      <c r="I1133" s="3">
        <f t="shared" ref="I1133" si="375">TRUNC($E1133*H1133,1)</f>
        <v>344112</v>
      </c>
      <c r="J1133" s="56">
        <v>8</v>
      </c>
      <c r="K1133" s="3">
        <f t="shared" ref="K1133" si="376">TRUNC($E1133*J1133,1)</f>
        <v>344112</v>
      </c>
    </row>
    <row r="1134" spans="2:11" ht="12.95" customHeight="1" x14ac:dyDescent="0.3">
      <c r="B1134" s="59" t="s">
        <v>184</v>
      </c>
      <c r="C1134" s="60" t="s">
        <v>172</v>
      </c>
      <c r="D1134" s="51"/>
      <c r="E1134" s="22"/>
      <c r="F1134" s="23"/>
      <c r="G1134" s="24"/>
      <c r="H1134" s="23"/>
      <c r="I1134" s="24"/>
      <c r="J1134" s="23"/>
      <c r="K1134" s="24"/>
    </row>
    <row r="1135" spans="2:11" ht="12.95" customHeight="1" x14ac:dyDescent="0.3">
      <c r="B1135" s="46" t="s">
        <v>12</v>
      </c>
      <c r="C1135" s="51"/>
      <c r="D1135" s="51"/>
      <c r="E1135" s="62"/>
      <c r="F1135" s="15"/>
      <c r="G1135" s="16">
        <f>TRUNC(SUM(G1133:G1133))</f>
        <v>344112</v>
      </c>
      <c r="H1135" s="15"/>
      <c r="I1135" s="16">
        <f>TRUNC(SUM(I1133:I1133))</f>
        <v>344112</v>
      </c>
      <c r="J1135" s="15"/>
      <c r="K1135" s="16">
        <f>TRUNC(SUM(K1133:K1133))</f>
        <v>344112</v>
      </c>
    </row>
    <row r="1136" spans="2:11" ht="12.95" customHeight="1" x14ac:dyDescent="0.3">
      <c r="B1136" s="63"/>
      <c r="C1136" s="59"/>
      <c r="D1136" s="59"/>
      <c r="E1136" s="64"/>
      <c r="F1136" s="25"/>
      <c r="G1136" s="27"/>
      <c r="H1136" s="25"/>
      <c r="I1136" s="27"/>
      <c r="J1136" s="25"/>
      <c r="K1136" s="27"/>
    </row>
    <row r="1137" spans="2:11" ht="12.95" customHeight="1" x14ac:dyDescent="0.3">
      <c r="B1137" s="65" t="s">
        <v>13</v>
      </c>
      <c r="C1137" s="51"/>
      <c r="D1137" s="51"/>
      <c r="E1137" s="62"/>
      <c r="F1137" s="62"/>
      <c r="G1137" s="29">
        <f>SUM(G1125+G1131+G1135)</f>
        <v>1873196</v>
      </c>
      <c r="H1137" s="62"/>
      <c r="I1137" s="29">
        <f>SUM(I1125+I1131+I1135)</f>
        <v>1873196</v>
      </c>
      <c r="J1137" s="62"/>
      <c r="K1137" s="29">
        <f>SUM(K1125+K1131+K1135)</f>
        <v>1873196</v>
      </c>
    </row>
    <row r="1138" spans="2:11" ht="12.95" customHeight="1" x14ac:dyDescent="0.3">
      <c r="B1138" s="66" t="s">
        <v>175</v>
      </c>
      <c r="C1138" s="67"/>
      <c r="D1138" s="68"/>
      <c r="E1138" s="69"/>
      <c r="F1138" s="70"/>
      <c r="G1138" s="71">
        <f>TRUNC(G1137/G1120)</f>
        <v>374639</v>
      </c>
      <c r="H1138" s="70"/>
      <c r="I1138" s="71">
        <f>TRUNC(I1137/I1120)</f>
        <v>468299</v>
      </c>
      <c r="J1138" s="70"/>
      <c r="K1138" s="71">
        <f>TRUNC(K1137/K1120)</f>
        <v>535198</v>
      </c>
    </row>
    <row r="1139" spans="2:11" ht="12.95" customHeight="1" x14ac:dyDescent="0.3">
      <c r="B1139" s="89" t="s">
        <v>3</v>
      </c>
      <c r="C1139" s="92" t="s">
        <v>7</v>
      </c>
      <c r="D1139" s="92" t="s">
        <v>8</v>
      </c>
      <c r="E1139" s="92" t="s">
        <v>4</v>
      </c>
      <c r="F1139" s="95" t="s">
        <v>61</v>
      </c>
      <c r="G1139" s="96"/>
      <c r="H1139" s="95" t="s">
        <v>200</v>
      </c>
      <c r="I1139" s="96"/>
      <c r="J1139" s="95" t="s">
        <v>64</v>
      </c>
      <c r="K1139" s="96"/>
    </row>
    <row r="1140" spans="2:11" ht="12.95" customHeight="1" x14ac:dyDescent="0.3">
      <c r="B1140" s="90"/>
      <c r="C1140" s="93"/>
      <c r="D1140" s="93"/>
      <c r="E1140" s="93"/>
      <c r="F1140" s="38" t="s">
        <v>174</v>
      </c>
      <c r="G1140" s="73">
        <v>3.5</v>
      </c>
      <c r="H1140" s="38" t="s">
        <v>174</v>
      </c>
      <c r="I1140" s="73">
        <v>3</v>
      </c>
      <c r="J1140" s="38" t="s">
        <v>174</v>
      </c>
      <c r="K1140" s="73">
        <v>2.5</v>
      </c>
    </row>
    <row r="1141" spans="2:11" ht="12.95" customHeight="1" x14ac:dyDescent="0.3">
      <c r="B1141" s="91"/>
      <c r="C1141" s="94"/>
      <c r="D1141" s="94"/>
      <c r="E1141" s="94"/>
      <c r="F1141" s="40" t="s">
        <v>21</v>
      </c>
      <c r="G1141" s="41" t="s">
        <v>173</v>
      </c>
      <c r="H1141" s="40" t="s">
        <v>21</v>
      </c>
      <c r="I1141" s="41" t="s">
        <v>173</v>
      </c>
      <c r="J1141" s="40" t="s">
        <v>21</v>
      </c>
      <c r="K1141" s="41" t="s">
        <v>173</v>
      </c>
    </row>
    <row r="1142" spans="2:11" ht="12.95" customHeight="1" x14ac:dyDescent="0.3">
      <c r="B1142" s="59" t="s">
        <v>183</v>
      </c>
      <c r="C1142" s="59" t="s">
        <v>45</v>
      </c>
      <c r="D1142" s="61" t="s">
        <v>17</v>
      </c>
      <c r="E1142" s="17">
        <v>9835</v>
      </c>
      <c r="F1142" s="56">
        <v>8</v>
      </c>
      <c r="G1142" s="3">
        <f t="shared" ref="G1142" si="377">TRUNC($E1142*F1142,1)</f>
        <v>78680</v>
      </c>
      <c r="H1142" s="56">
        <v>8</v>
      </c>
      <c r="I1142" s="3">
        <f t="shared" ref="I1142" si="378">TRUNC($E1142*H1142,1)</f>
        <v>78680</v>
      </c>
      <c r="J1142" s="56">
        <v>8</v>
      </c>
      <c r="K1142" s="3">
        <f t="shared" ref="K1142" si="379">TRUNC($E1142*J1142,1)</f>
        <v>78680</v>
      </c>
    </row>
    <row r="1143" spans="2:11" ht="12.95" customHeight="1" x14ac:dyDescent="0.3">
      <c r="B1143" s="59" t="s">
        <v>184</v>
      </c>
      <c r="C1143" s="60" t="s">
        <v>172</v>
      </c>
      <c r="D1143" s="51"/>
      <c r="E1143" s="22"/>
      <c r="F1143" s="23"/>
      <c r="G1143" s="24"/>
      <c r="H1143" s="23"/>
      <c r="I1143" s="24"/>
      <c r="J1143" s="23"/>
      <c r="K1143" s="24"/>
    </row>
    <row r="1144" spans="2:11" ht="12.95" customHeight="1" x14ac:dyDescent="0.3">
      <c r="B1144" s="42" t="s">
        <v>53</v>
      </c>
      <c r="C1144" s="43" t="s">
        <v>56</v>
      </c>
      <c r="D1144" s="44" t="s">
        <v>15</v>
      </c>
      <c r="E1144" s="45"/>
      <c r="F1144" s="21">
        <v>1</v>
      </c>
      <c r="G1144" s="5">
        <f>TRUNC(SUM(G1147:G1148)*0.02,1)</f>
        <v>24447.7</v>
      </c>
      <c r="H1144" s="21">
        <v>1</v>
      </c>
      <c r="I1144" s="5">
        <f>TRUNC(SUM(I1147:I1148)*0.02,1)</f>
        <v>24447.7</v>
      </c>
      <c r="J1144" s="21">
        <v>1</v>
      </c>
      <c r="K1144" s="5">
        <f>TRUNC(SUM(K1147:K1148)*0.02,1)</f>
        <v>24447.7</v>
      </c>
    </row>
    <row r="1145" spans="2:11" ht="12.95" customHeight="1" x14ac:dyDescent="0.3">
      <c r="B1145" s="46" t="s">
        <v>10</v>
      </c>
      <c r="C1145" s="51"/>
      <c r="D1145" s="51"/>
      <c r="E1145" s="22"/>
      <c r="F1145" s="23"/>
      <c r="G1145" s="16">
        <f>TRUNC(SUM(G1142:G1144))</f>
        <v>103127</v>
      </c>
      <c r="H1145" s="23"/>
      <c r="I1145" s="16">
        <f>TRUNC(SUM(I1142:I1144))</f>
        <v>103127</v>
      </c>
      <c r="J1145" s="23"/>
      <c r="K1145" s="16">
        <f>TRUNC(SUM(K1142:K1144))</f>
        <v>103127</v>
      </c>
    </row>
    <row r="1146" spans="2:11" ht="12.95" customHeight="1" x14ac:dyDescent="0.3">
      <c r="B1146" s="50"/>
      <c r="C1146" s="51"/>
      <c r="D1146" s="51"/>
      <c r="E1146" s="22"/>
      <c r="F1146" s="23"/>
      <c r="G1146" s="24"/>
      <c r="H1146" s="23"/>
      <c r="I1146" s="24"/>
      <c r="J1146" s="23"/>
      <c r="K1146" s="24"/>
    </row>
    <row r="1147" spans="2:11" ht="12.95" customHeight="1" x14ac:dyDescent="0.3">
      <c r="B1147" s="52" t="s">
        <v>29</v>
      </c>
      <c r="C1147" s="53"/>
      <c r="D1147" s="54" t="s">
        <v>9</v>
      </c>
      <c r="E1147" s="55">
        <v>262580</v>
      </c>
      <c r="F1147" s="56">
        <v>4</v>
      </c>
      <c r="G1147" s="3">
        <f t="shared" ref="G1147:G1149" si="380">TRUNC($E1147*F1147,1)</f>
        <v>1050320</v>
      </c>
      <c r="H1147" s="56">
        <v>4</v>
      </c>
      <c r="I1147" s="3">
        <f t="shared" ref="I1147:I1149" si="381">TRUNC($E1147*H1147,1)</f>
        <v>1050320</v>
      </c>
      <c r="J1147" s="56">
        <v>4</v>
      </c>
      <c r="K1147" s="3">
        <f t="shared" ref="K1147:K1149" si="382">TRUNC($E1147*J1147,1)</f>
        <v>1050320</v>
      </c>
    </row>
    <row r="1148" spans="2:11" ht="12.95" customHeight="1" x14ac:dyDescent="0.3">
      <c r="B1148" s="52" t="s">
        <v>1</v>
      </c>
      <c r="C1148" s="53"/>
      <c r="D1148" s="54" t="s">
        <v>9</v>
      </c>
      <c r="E1148" s="57">
        <v>172068</v>
      </c>
      <c r="F1148" s="56">
        <v>1</v>
      </c>
      <c r="G1148" s="3">
        <f t="shared" si="380"/>
        <v>172068</v>
      </c>
      <c r="H1148" s="56">
        <v>1</v>
      </c>
      <c r="I1148" s="3">
        <f t="shared" si="381"/>
        <v>172068</v>
      </c>
      <c r="J1148" s="56">
        <v>1</v>
      </c>
      <c r="K1148" s="3">
        <f t="shared" si="382"/>
        <v>172068</v>
      </c>
    </row>
    <row r="1149" spans="2:11" ht="12.95" customHeight="1" x14ac:dyDescent="0.3">
      <c r="B1149" s="59" t="s">
        <v>183</v>
      </c>
      <c r="C1149" s="59" t="s">
        <v>45</v>
      </c>
      <c r="D1149" s="61" t="s">
        <v>17</v>
      </c>
      <c r="E1149" s="17">
        <v>58925</v>
      </c>
      <c r="F1149" s="56">
        <v>8</v>
      </c>
      <c r="G1149" s="3">
        <f t="shared" si="380"/>
        <v>471400</v>
      </c>
      <c r="H1149" s="56">
        <v>8</v>
      </c>
      <c r="I1149" s="3">
        <f t="shared" si="381"/>
        <v>471400</v>
      </c>
      <c r="J1149" s="56">
        <v>8</v>
      </c>
      <c r="K1149" s="3">
        <f t="shared" si="382"/>
        <v>471400</v>
      </c>
    </row>
    <row r="1150" spans="2:11" ht="12.95" customHeight="1" x14ac:dyDescent="0.3">
      <c r="B1150" s="59" t="s">
        <v>184</v>
      </c>
      <c r="C1150" s="60" t="s">
        <v>172</v>
      </c>
      <c r="D1150" s="51"/>
      <c r="E1150" s="22"/>
      <c r="F1150" s="23"/>
      <c r="G1150" s="24"/>
      <c r="H1150" s="23"/>
      <c r="I1150" s="24"/>
      <c r="J1150" s="23"/>
      <c r="K1150" s="24"/>
    </row>
    <row r="1151" spans="2:11" ht="12.95" customHeight="1" x14ac:dyDescent="0.3">
      <c r="B1151" s="58" t="s">
        <v>11</v>
      </c>
      <c r="C1151" s="51"/>
      <c r="D1151" s="51"/>
      <c r="E1151" s="22"/>
      <c r="F1151" s="22"/>
      <c r="G1151" s="16">
        <f>TRUNC(SUM(G1147:G1149))</f>
        <v>1693788</v>
      </c>
      <c r="H1151" s="22"/>
      <c r="I1151" s="16">
        <f>TRUNC(SUM(I1147:I1149))</f>
        <v>1693788</v>
      </c>
      <c r="J1151" s="22"/>
      <c r="K1151" s="16">
        <f>TRUNC(SUM(K1147:K1149))</f>
        <v>1693788</v>
      </c>
    </row>
    <row r="1152" spans="2:11" ht="12.95" customHeight="1" x14ac:dyDescent="0.3">
      <c r="B1152" s="50"/>
      <c r="C1152" s="51"/>
      <c r="D1152" s="51"/>
      <c r="E1152" s="22"/>
      <c r="F1152" s="22"/>
      <c r="G1152" s="24"/>
      <c r="H1152" s="22"/>
      <c r="I1152" s="24"/>
      <c r="J1152" s="22"/>
      <c r="K1152" s="24"/>
    </row>
    <row r="1153" spans="2:13" ht="12.95" customHeight="1" x14ac:dyDescent="0.3">
      <c r="B1153" s="59" t="s">
        <v>183</v>
      </c>
      <c r="C1153" s="59" t="s">
        <v>45</v>
      </c>
      <c r="D1153" s="61" t="s">
        <v>17</v>
      </c>
      <c r="E1153" s="17">
        <v>43014</v>
      </c>
      <c r="F1153" s="56">
        <v>8</v>
      </c>
      <c r="G1153" s="3">
        <f t="shared" ref="G1153" si="383">TRUNC($E1153*F1153,1)</f>
        <v>344112</v>
      </c>
      <c r="H1153" s="56">
        <v>8</v>
      </c>
      <c r="I1153" s="3">
        <f t="shared" ref="I1153" si="384">TRUNC($E1153*H1153,1)</f>
        <v>344112</v>
      </c>
      <c r="J1153" s="56">
        <v>8</v>
      </c>
      <c r="K1153" s="3">
        <f t="shared" ref="K1153" si="385">TRUNC($E1153*J1153,1)</f>
        <v>344112</v>
      </c>
    </row>
    <row r="1154" spans="2:13" ht="12.95" customHeight="1" x14ac:dyDescent="0.3">
      <c r="B1154" s="59" t="s">
        <v>184</v>
      </c>
      <c r="C1154" s="60" t="s">
        <v>172</v>
      </c>
      <c r="D1154" s="51"/>
      <c r="E1154" s="22"/>
      <c r="F1154" s="23"/>
      <c r="G1154" s="24"/>
      <c r="H1154" s="23"/>
      <c r="I1154" s="24"/>
      <c r="J1154" s="23"/>
      <c r="K1154" s="24"/>
    </row>
    <row r="1155" spans="2:13" ht="12.95" customHeight="1" x14ac:dyDescent="0.3">
      <c r="B1155" s="46" t="s">
        <v>12</v>
      </c>
      <c r="C1155" s="51"/>
      <c r="D1155" s="51"/>
      <c r="E1155" s="62"/>
      <c r="F1155" s="15"/>
      <c r="G1155" s="16">
        <f>TRUNC(SUM(G1153:G1153))</f>
        <v>344112</v>
      </c>
      <c r="H1155" s="15"/>
      <c r="I1155" s="16">
        <f>TRUNC(SUM(I1153:I1153))</f>
        <v>344112</v>
      </c>
      <c r="J1155" s="15"/>
      <c r="K1155" s="16">
        <f>TRUNC(SUM(K1153:K1153))</f>
        <v>344112</v>
      </c>
    </row>
    <row r="1156" spans="2:13" ht="12.95" customHeight="1" x14ac:dyDescent="0.3">
      <c r="B1156" s="63"/>
      <c r="C1156" s="59"/>
      <c r="D1156" s="59"/>
      <c r="E1156" s="64"/>
      <c r="F1156" s="25"/>
      <c r="G1156" s="27"/>
      <c r="H1156" s="25"/>
      <c r="I1156" s="27"/>
      <c r="J1156" s="25"/>
      <c r="K1156" s="27"/>
    </row>
    <row r="1157" spans="2:13" ht="12.95" customHeight="1" x14ac:dyDescent="0.3">
      <c r="B1157" s="65" t="s">
        <v>13</v>
      </c>
      <c r="C1157" s="51"/>
      <c r="D1157" s="51"/>
      <c r="E1157" s="62"/>
      <c r="F1157" s="62"/>
      <c r="G1157" s="29">
        <f>SUM(G1145+G1151+G1155)</f>
        <v>2141027</v>
      </c>
      <c r="H1157" s="62"/>
      <c r="I1157" s="29">
        <f>SUM(I1145+I1151+I1155)</f>
        <v>2141027</v>
      </c>
      <c r="J1157" s="62"/>
      <c r="K1157" s="29">
        <f>SUM(K1145+K1151+K1155)</f>
        <v>2141027</v>
      </c>
    </row>
    <row r="1158" spans="2:13" ht="12.95" customHeight="1" x14ac:dyDescent="0.3">
      <c r="B1158" s="66" t="s">
        <v>175</v>
      </c>
      <c r="C1158" s="67"/>
      <c r="D1158" s="68"/>
      <c r="E1158" s="69"/>
      <c r="F1158" s="70"/>
      <c r="G1158" s="71">
        <f>TRUNC(G1157/G1140)</f>
        <v>611722</v>
      </c>
      <c r="H1158" s="70"/>
      <c r="I1158" s="71">
        <f>TRUNC(I1157/I1140)</f>
        <v>713675</v>
      </c>
      <c r="J1158" s="70"/>
      <c r="K1158" s="71">
        <f>TRUNC(K1157/K1140)</f>
        <v>856410</v>
      </c>
    </row>
    <row r="1160" spans="2:13" ht="12.95" customHeight="1" x14ac:dyDescent="0.3">
      <c r="B1160" s="1" t="s">
        <v>90</v>
      </c>
      <c r="M1160" s="37" t="s">
        <v>22</v>
      </c>
    </row>
    <row r="1161" spans="2:13" ht="12.95" customHeight="1" x14ac:dyDescent="0.3">
      <c r="B1161" s="106" t="s">
        <v>3</v>
      </c>
      <c r="C1161" s="107" t="s">
        <v>7</v>
      </c>
      <c r="D1161" s="108" t="s">
        <v>8</v>
      </c>
      <c r="E1161" s="109" t="s">
        <v>4</v>
      </c>
      <c r="F1161" s="105" t="s">
        <v>36</v>
      </c>
      <c r="G1161" s="95"/>
      <c r="H1161" s="105" t="s">
        <v>37</v>
      </c>
      <c r="I1161" s="95"/>
      <c r="J1161" s="105" t="s">
        <v>39</v>
      </c>
      <c r="K1161" s="95"/>
      <c r="L1161" s="105" t="s">
        <v>40</v>
      </c>
      <c r="M1161" s="95"/>
    </row>
    <row r="1162" spans="2:13" ht="12.95" customHeight="1" x14ac:dyDescent="0.3">
      <c r="B1162" s="106"/>
      <c r="C1162" s="107"/>
      <c r="D1162" s="108"/>
      <c r="E1162" s="109"/>
      <c r="F1162" s="74" t="s">
        <v>5</v>
      </c>
      <c r="G1162" s="75" t="s">
        <v>6</v>
      </c>
      <c r="H1162" s="74" t="s">
        <v>5</v>
      </c>
      <c r="I1162" s="75" t="s">
        <v>6</v>
      </c>
      <c r="J1162" s="74" t="s">
        <v>5</v>
      </c>
      <c r="K1162" s="75" t="s">
        <v>6</v>
      </c>
      <c r="L1162" s="74" t="s">
        <v>5</v>
      </c>
      <c r="M1162" s="75" t="s">
        <v>6</v>
      </c>
    </row>
    <row r="1163" spans="2:13" ht="12.95" customHeight="1" x14ac:dyDescent="0.3">
      <c r="B1163" s="42" t="s">
        <v>53</v>
      </c>
      <c r="C1163" s="43" t="s">
        <v>88</v>
      </c>
      <c r="D1163" s="44" t="s">
        <v>15</v>
      </c>
      <c r="E1163" s="45"/>
      <c r="F1163" s="21">
        <v>1</v>
      </c>
      <c r="G1163" s="5">
        <f>TRUNC(SUM(G1166:G1167)*0.06,1)</f>
        <v>521.5</v>
      </c>
      <c r="H1163" s="21">
        <v>1</v>
      </c>
      <c r="I1163" s="5">
        <f>TRUNC(SUM(I1166:I1167)*0.06,1)</f>
        <v>782.3</v>
      </c>
      <c r="J1163" s="21">
        <v>1</v>
      </c>
      <c r="K1163" s="5">
        <f>TRUNC(SUM(K1166:K1167)*0.06,1)</f>
        <v>782.3</v>
      </c>
      <c r="L1163" s="21">
        <v>1</v>
      </c>
      <c r="M1163" s="5">
        <f>TRUNC(SUM(M1166:M1167)*0.06,1)</f>
        <v>1043.0999999999999</v>
      </c>
    </row>
    <row r="1164" spans="2:13" ht="12.95" customHeight="1" x14ac:dyDescent="0.3">
      <c r="B1164" s="46" t="s">
        <v>10</v>
      </c>
      <c r="C1164" s="47"/>
      <c r="D1164" s="48"/>
      <c r="E1164" s="49"/>
      <c r="F1164" s="25"/>
      <c r="G1164" s="12">
        <f>TRUNC(SUM(G1163))</f>
        <v>521</v>
      </c>
      <c r="H1164" s="25"/>
      <c r="I1164" s="12">
        <f>TRUNC(SUM(I1163))</f>
        <v>782</v>
      </c>
      <c r="J1164" s="25"/>
      <c r="K1164" s="12">
        <f>TRUNC(SUM(K1163))</f>
        <v>782</v>
      </c>
      <c r="L1164" s="25"/>
      <c r="M1164" s="12">
        <f>TRUNC(SUM(M1163))</f>
        <v>1043</v>
      </c>
    </row>
    <row r="1165" spans="2:13" ht="12.95" customHeight="1" x14ac:dyDescent="0.3">
      <c r="B1165" s="50"/>
      <c r="C1165" s="51"/>
      <c r="D1165" s="51"/>
      <c r="E1165" s="22"/>
      <c r="F1165" s="15"/>
      <c r="G1165" s="24"/>
      <c r="H1165" s="15"/>
      <c r="I1165" s="24"/>
      <c r="J1165" s="15"/>
      <c r="K1165" s="24"/>
      <c r="L1165" s="15"/>
      <c r="M1165" s="24"/>
    </row>
    <row r="1166" spans="2:13" ht="12.95" customHeight="1" x14ac:dyDescent="0.3">
      <c r="B1166" s="52" t="s">
        <v>29</v>
      </c>
      <c r="C1166" s="53"/>
      <c r="D1166" s="54" t="s">
        <v>9</v>
      </c>
      <c r="E1166" s="55">
        <v>262580</v>
      </c>
      <c r="F1166" s="28">
        <v>0.02</v>
      </c>
      <c r="G1166" s="2">
        <f t="shared" ref="G1166:G1167" si="386">TRUNC($E1166*F1166,1)</f>
        <v>5251.6</v>
      </c>
      <c r="H1166" s="28">
        <v>0.03</v>
      </c>
      <c r="I1166" s="3">
        <f t="shared" ref="I1166:I1167" si="387">TRUNC($E1166*H1166,1)</f>
        <v>7877.4</v>
      </c>
      <c r="J1166" s="28">
        <v>0.03</v>
      </c>
      <c r="K1166" s="3">
        <f t="shared" ref="K1166:K1167" si="388">TRUNC($E1166*J1166,1)</f>
        <v>7877.4</v>
      </c>
      <c r="L1166" s="28">
        <v>0.04</v>
      </c>
      <c r="M1166" s="3">
        <f t="shared" ref="M1166:M1167" si="389">TRUNC($E1166*L1166,1)</f>
        <v>10503.2</v>
      </c>
    </row>
    <row r="1167" spans="2:13" ht="12.95" customHeight="1" x14ac:dyDescent="0.3">
      <c r="B1167" s="52" t="s">
        <v>1</v>
      </c>
      <c r="C1167" s="53"/>
      <c r="D1167" s="54" t="s">
        <v>9</v>
      </c>
      <c r="E1167" s="57">
        <v>172068</v>
      </c>
      <c r="F1167" s="28">
        <v>0.02</v>
      </c>
      <c r="G1167" s="2">
        <f t="shared" si="386"/>
        <v>3441.3</v>
      </c>
      <c r="H1167" s="28">
        <v>0.03</v>
      </c>
      <c r="I1167" s="3">
        <f t="shared" si="387"/>
        <v>5162</v>
      </c>
      <c r="J1167" s="28">
        <v>0.03</v>
      </c>
      <c r="K1167" s="3">
        <f t="shared" si="388"/>
        <v>5162</v>
      </c>
      <c r="L1167" s="28">
        <v>0.04</v>
      </c>
      <c r="M1167" s="3">
        <f t="shared" si="389"/>
        <v>6882.7</v>
      </c>
    </row>
    <row r="1168" spans="2:13" ht="12.95" customHeight="1" x14ac:dyDescent="0.3">
      <c r="B1168" s="58" t="s">
        <v>11</v>
      </c>
      <c r="C1168" s="80"/>
      <c r="D1168" s="81"/>
      <c r="E1168" s="82"/>
      <c r="F1168" s="82"/>
      <c r="G1168" s="10">
        <f>TRUNC(SUM(G1166:G1167))</f>
        <v>8692</v>
      </c>
      <c r="H1168" s="82"/>
      <c r="I1168" s="11">
        <f>TRUNC(SUM(I1166:I1167))</f>
        <v>13039</v>
      </c>
      <c r="J1168" s="82"/>
      <c r="K1168" s="11">
        <f>TRUNC(SUM(K1166:K1167))</f>
        <v>13039</v>
      </c>
      <c r="L1168" s="82"/>
      <c r="M1168" s="11">
        <f>TRUNC(SUM(M1166:M1167))</f>
        <v>17385</v>
      </c>
    </row>
    <row r="1169" spans="2:13" ht="12.95" customHeight="1" x14ac:dyDescent="0.3">
      <c r="B1169" s="83"/>
      <c r="C1169" s="53"/>
      <c r="D1169" s="54"/>
      <c r="E1169" s="84"/>
      <c r="F1169" s="84"/>
      <c r="G1169" s="6"/>
      <c r="H1169" s="84"/>
      <c r="I1169" s="7"/>
      <c r="J1169" s="84"/>
      <c r="K1169" s="7"/>
      <c r="L1169" s="84"/>
      <c r="M1169" s="7"/>
    </row>
    <row r="1170" spans="2:13" ht="12.95" customHeight="1" x14ac:dyDescent="0.3">
      <c r="B1170" s="66" t="s">
        <v>13</v>
      </c>
      <c r="C1170" s="85"/>
      <c r="D1170" s="86"/>
      <c r="E1170" s="87"/>
      <c r="F1170" s="87"/>
      <c r="G1170" s="26">
        <f>SUM(G1164+G1168)</f>
        <v>9213</v>
      </c>
      <c r="H1170" s="87"/>
      <c r="I1170" s="26">
        <f>SUM(I1164+I1168)</f>
        <v>13821</v>
      </c>
      <c r="J1170" s="87"/>
      <c r="K1170" s="26">
        <f>SUM(K1164+K1168)</f>
        <v>13821</v>
      </c>
      <c r="L1170" s="87"/>
      <c r="M1170" s="26">
        <f>SUM(M1164+M1168)</f>
        <v>18428</v>
      </c>
    </row>
    <row r="1171" spans="2:13" ht="12.95" customHeight="1" x14ac:dyDescent="0.3">
      <c r="B1171" s="106" t="s">
        <v>3</v>
      </c>
      <c r="C1171" s="107" t="s">
        <v>7</v>
      </c>
      <c r="D1171" s="108" t="s">
        <v>8</v>
      </c>
      <c r="E1171" s="109" t="s">
        <v>4</v>
      </c>
      <c r="F1171" s="105" t="s">
        <v>41</v>
      </c>
      <c r="G1171" s="95"/>
      <c r="H1171" s="105" t="s">
        <v>43</v>
      </c>
      <c r="I1171" s="95"/>
      <c r="J1171" s="105" t="s">
        <v>44</v>
      </c>
      <c r="K1171" s="95"/>
      <c r="L1171" s="105" t="s">
        <v>46</v>
      </c>
      <c r="M1171" s="95"/>
    </row>
    <row r="1172" spans="2:13" ht="12.95" customHeight="1" x14ac:dyDescent="0.3">
      <c r="B1172" s="106"/>
      <c r="C1172" s="107"/>
      <c r="D1172" s="108"/>
      <c r="E1172" s="109"/>
      <c r="F1172" s="74" t="s">
        <v>5</v>
      </c>
      <c r="G1172" s="75" t="s">
        <v>6</v>
      </c>
      <c r="H1172" s="74" t="s">
        <v>21</v>
      </c>
      <c r="I1172" s="75" t="s">
        <v>6</v>
      </c>
      <c r="J1172" s="74" t="s">
        <v>5</v>
      </c>
      <c r="K1172" s="75" t="s">
        <v>6</v>
      </c>
      <c r="L1172" s="74" t="s">
        <v>5</v>
      </c>
      <c r="M1172" s="75" t="s">
        <v>6</v>
      </c>
    </row>
    <row r="1173" spans="2:13" ht="12.95" customHeight="1" x14ac:dyDescent="0.3">
      <c r="B1173" s="42" t="s">
        <v>53</v>
      </c>
      <c r="C1173" s="43" t="s">
        <v>88</v>
      </c>
      <c r="D1173" s="44" t="s">
        <v>15</v>
      </c>
      <c r="E1173" s="45"/>
      <c r="F1173" s="21">
        <v>1</v>
      </c>
      <c r="G1173" s="5">
        <f>TRUNC(SUM(G1176:G1177)*0.06,1)</f>
        <v>1043.0999999999999</v>
      </c>
      <c r="H1173" s="21">
        <v>1</v>
      </c>
      <c r="I1173" s="5">
        <f>TRUNC(SUM(I1176:I1177)*0.06,1)</f>
        <v>1303.9000000000001</v>
      </c>
      <c r="J1173" s="21">
        <v>1</v>
      </c>
      <c r="K1173" s="5">
        <f>TRUNC(SUM(K1176:K1177)*0.06,1)</f>
        <v>1825.5</v>
      </c>
      <c r="L1173" s="21">
        <v>1</v>
      </c>
      <c r="M1173" s="5">
        <f>TRUNC(SUM(M1176:M1177)*0.06,1)</f>
        <v>2086.3000000000002</v>
      </c>
    </row>
    <row r="1174" spans="2:13" ht="12.95" customHeight="1" x14ac:dyDescent="0.3">
      <c r="B1174" s="46" t="s">
        <v>10</v>
      </c>
      <c r="C1174" s="47"/>
      <c r="D1174" s="48"/>
      <c r="E1174" s="49"/>
      <c r="F1174" s="25"/>
      <c r="G1174" s="12">
        <f>TRUNC(SUM(G1173))</f>
        <v>1043</v>
      </c>
      <c r="H1174" s="25"/>
      <c r="I1174" s="12">
        <f>TRUNC(SUM(I1173))</f>
        <v>1303</v>
      </c>
      <c r="J1174" s="25"/>
      <c r="K1174" s="12">
        <f>TRUNC(SUM(K1173))</f>
        <v>1825</v>
      </c>
      <c r="L1174" s="25"/>
      <c r="M1174" s="12">
        <f>TRUNC(SUM(M1173))</f>
        <v>2086</v>
      </c>
    </row>
    <row r="1175" spans="2:13" ht="12.95" customHeight="1" x14ac:dyDescent="0.3">
      <c r="B1175" s="50"/>
      <c r="C1175" s="51"/>
      <c r="D1175" s="51"/>
      <c r="E1175" s="22"/>
      <c r="F1175" s="15"/>
      <c r="G1175" s="24"/>
      <c r="H1175" s="15"/>
      <c r="I1175" s="24"/>
      <c r="J1175" s="15"/>
      <c r="K1175" s="24"/>
      <c r="L1175" s="15"/>
      <c r="M1175" s="24"/>
    </row>
    <row r="1176" spans="2:13" ht="12.95" customHeight="1" x14ac:dyDescent="0.3">
      <c r="B1176" s="52" t="s">
        <v>29</v>
      </c>
      <c r="C1176" s="53"/>
      <c r="D1176" s="54" t="s">
        <v>9</v>
      </c>
      <c r="E1176" s="55">
        <v>262580</v>
      </c>
      <c r="F1176" s="28">
        <v>0.04</v>
      </c>
      <c r="G1176" s="2">
        <f t="shared" ref="G1176:G1177" si="390">TRUNC($E1176*F1176,1)</f>
        <v>10503.2</v>
      </c>
      <c r="H1176" s="28">
        <v>0.05</v>
      </c>
      <c r="I1176" s="3">
        <f t="shared" ref="I1176:I1177" si="391">TRUNC($E1176*H1176,1)</f>
        <v>13129</v>
      </c>
      <c r="J1176" s="28">
        <v>7.0000000000000007E-2</v>
      </c>
      <c r="K1176" s="3">
        <f t="shared" ref="K1176:K1177" si="392">TRUNC($E1176*J1176,1)</f>
        <v>18380.599999999999</v>
      </c>
      <c r="L1176" s="28">
        <v>0.08</v>
      </c>
      <c r="M1176" s="3">
        <f t="shared" ref="M1176:M1177" si="393">TRUNC($E1176*L1176,1)</f>
        <v>21006.400000000001</v>
      </c>
    </row>
    <row r="1177" spans="2:13" ht="12.95" customHeight="1" x14ac:dyDescent="0.3">
      <c r="B1177" s="52" t="s">
        <v>1</v>
      </c>
      <c r="C1177" s="53"/>
      <c r="D1177" s="54" t="s">
        <v>9</v>
      </c>
      <c r="E1177" s="57">
        <v>172068</v>
      </c>
      <c r="F1177" s="28">
        <v>0.04</v>
      </c>
      <c r="G1177" s="2">
        <f t="shared" si="390"/>
        <v>6882.7</v>
      </c>
      <c r="H1177" s="28">
        <v>0.05</v>
      </c>
      <c r="I1177" s="3">
        <f t="shared" si="391"/>
        <v>8603.4</v>
      </c>
      <c r="J1177" s="28">
        <v>7.0000000000000007E-2</v>
      </c>
      <c r="K1177" s="3">
        <f t="shared" si="392"/>
        <v>12044.7</v>
      </c>
      <c r="L1177" s="28">
        <v>0.08</v>
      </c>
      <c r="M1177" s="3">
        <f t="shared" si="393"/>
        <v>13765.4</v>
      </c>
    </row>
    <row r="1178" spans="2:13" ht="12.95" customHeight="1" x14ac:dyDescent="0.3">
      <c r="B1178" s="58" t="s">
        <v>11</v>
      </c>
      <c r="C1178" s="80"/>
      <c r="D1178" s="81"/>
      <c r="E1178" s="82"/>
      <c r="F1178" s="82"/>
      <c r="G1178" s="10">
        <f>TRUNC(SUM(G1176:G1177))</f>
        <v>17385</v>
      </c>
      <c r="H1178" s="82"/>
      <c r="I1178" s="11">
        <f>TRUNC(SUM(I1176:I1177))</f>
        <v>21732</v>
      </c>
      <c r="J1178" s="82"/>
      <c r="K1178" s="11">
        <f>TRUNC(SUM(K1176:K1177))</f>
        <v>30425</v>
      </c>
      <c r="L1178" s="82"/>
      <c r="M1178" s="11">
        <f>TRUNC(SUM(M1176:M1177))</f>
        <v>34771</v>
      </c>
    </row>
    <row r="1179" spans="2:13" ht="12.95" customHeight="1" x14ac:dyDescent="0.3">
      <c r="B1179" s="83"/>
      <c r="C1179" s="53"/>
      <c r="D1179" s="54"/>
      <c r="E1179" s="84"/>
      <c r="F1179" s="84"/>
      <c r="G1179" s="6"/>
      <c r="H1179" s="84"/>
      <c r="I1179" s="7"/>
      <c r="J1179" s="84"/>
      <c r="K1179" s="7"/>
      <c r="L1179" s="84"/>
      <c r="M1179" s="7"/>
    </row>
    <row r="1180" spans="2:13" ht="12.95" customHeight="1" x14ac:dyDescent="0.3">
      <c r="B1180" s="66" t="s">
        <v>13</v>
      </c>
      <c r="C1180" s="85"/>
      <c r="D1180" s="86"/>
      <c r="E1180" s="87"/>
      <c r="F1180" s="87"/>
      <c r="G1180" s="26">
        <f>SUM(G1174+G1178)</f>
        <v>18428</v>
      </c>
      <c r="H1180" s="87"/>
      <c r="I1180" s="26">
        <f>SUM(I1174+I1178)</f>
        <v>23035</v>
      </c>
      <c r="J1180" s="87"/>
      <c r="K1180" s="26">
        <f>SUM(K1174+K1178)</f>
        <v>32250</v>
      </c>
      <c r="L1180" s="87"/>
      <c r="M1180" s="26">
        <f>SUM(M1174+M1178)</f>
        <v>36857</v>
      </c>
    </row>
    <row r="1181" spans="2:13" ht="12.95" customHeight="1" x14ac:dyDescent="0.3">
      <c r="B1181" s="106" t="s">
        <v>3</v>
      </c>
      <c r="C1181" s="107" t="s">
        <v>7</v>
      </c>
      <c r="D1181" s="108" t="s">
        <v>8</v>
      </c>
      <c r="E1181" s="109" t="s">
        <v>4</v>
      </c>
      <c r="F1181" s="105" t="s">
        <v>48</v>
      </c>
      <c r="G1181" s="95"/>
      <c r="H1181" s="105" t="s">
        <v>49</v>
      </c>
      <c r="I1181" s="95"/>
      <c r="J1181" s="95" t="s">
        <v>50</v>
      </c>
      <c r="K1181" s="96"/>
      <c r="L1181" s="95" t="s">
        <v>51</v>
      </c>
      <c r="M1181" s="96"/>
    </row>
    <row r="1182" spans="2:13" ht="12.95" customHeight="1" x14ac:dyDescent="0.3">
      <c r="B1182" s="106"/>
      <c r="C1182" s="107"/>
      <c r="D1182" s="108"/>
      <c r="E1182" s="109"/>
      <c r="F1182" s="74" t="s">
        <v>5</v>
      </c>
      <c r="G1182" s="75" t="s">
        <v>6</v>
      </c>
      <c r="H1182" s="74" t="s">
        <v>21</v>
      </c>
      <c r="I1182" s="75" t="s">
        <v>6</v>
      </c>
      <c r="J1182" s="74" t="s">
        <v>5</v>
      </c>
      <c r="K1182" s="75" t="s">
        <v>6</v>
      </c>
      <c r="L1182" s="74" t="s">
        <v>5</v>
      </c>
      <c r="M1182" s="75" t="s">
        <v>6</v>
      </c>
    </row>
    <row r="1183" spans="2:13" ht="12.95" customHeight="1" x14ac:dyDescent="0.3">
      <c r="B1183" s="42" t="s">
        <v>53</v>
      </c>
      <c r="C1183" s="43" t="s">
        <v>88</v>
      </c>
      <c r="D1183" s="44" t="s">
        <v>15</v>
      </c>
      <c r="E1183" s="45"/>
      <c r="F1183" s="21">
        <v>1</v>
      </c>
      <c r="G1183" s="5">
        <f>TRUNC(SUM(G1186:G1187)*0.06,1)</f>
        <v>2607.8000000000002</v>
      </c>
      <c r="H1183" s="21">
        <v>1</v>
      </c>
      <c r="I1183" s="5">
        <f>TRUNC(SUM(I1186:I1187)*0.06,1)</f>
        <v>2868.6</v>
      </c>
      <c r="J1183" s="21">
        <v>1</v>
      </c>
      <c r="K1183" s="5">
        <f>TRUNC(SUM(K1186:K1187)*0.06,1)</f>
        <v>3390.2</v>
      </c>
      <c r="L1183" s="21">
        <v>1</v>
      </c>
      <c r="M1183" s="5">
        <f>TRUNC(SUM(M1186:M1187)*0.06,1)</f>
        <v>3651</v>
      </c>
    </row>
    <row r="1184" spans="2:13" ht="12.95" customHeight="1" x14ac:dyDescent="0.3">
      <c r="B1184" s="46" t="s">
        <v>10</v>
      </c>
      <c r="C1184" s="47"/>
      <c r="D1184" s="48"/>
      <c r="E1184" s="49"/>
      <c r="F1184" s="25"/>
      <c r="G1184" s="12">
        <f>TRUNC(SUM(G1183))</f>
        <v>2607</v>
      </c>
      <c r="H1184" s="25"/>
      <c r="I1184" s="12">
        <f>TRUNC(SUM(I1183))</f>
        <v>2868</v>
      </c>
      <c r="J1184" s="25"/>
      <c r="K1184" s="12">
        <f>TRUNC(SUM(K1183))</f>
        <v>3390</v>
      </c>
      <c r="L1184" s="25"/>
      <c r="M1184" s="12">
        <f>TRUNC(SUM(M1183))</f>
        <v>3651</v>
      </c>
    </row>
    <row r="1185" spans="2:13" ht="12.95" customHeight="1" x14ac:dyDescent="0.3">
      <c r="B1185" s="50"/>
      <c r="C1185" s="51"/>
      <c r="D1185" s="51"/>
      <c r="E1185" s="22"/>
      <c r="F1185" s="15"/>
      <c r="G1185" s="24"/>
      <c r="H1185" s="15"/>
      <c r="I1185" s="24"/>
      <c r="J1185" s="15"/>
      <c r="K1185" s="24"/>
      <c r="L1185" s="15"/>
      <c r="M1185" s="24"/>
    </row>
    <row r="1186" spans="2:13" ht="12.95" customHeight="1" x14ac:dyDescent="0.3">
      <c r="B1186" s="52" t="s">
        <v>29</v>
      </c>
      <c r="C1186" s="53"/>
      <c r="D1186" s="54" t="s">
        <v>9</v>
      </c>
      <c r="E1186" s="55">
        <v>262580</v>
      </c>
      <c r="F1186" s="28">
        <v>0.1</v>
      </c>
      <c r="G1186" s="2">
        <f t="shared" ref="G1186:G1187" si="394">TRUNC($E1186*F1186,1)</f>
        <v>26258</v>
      </c>
      <c r="H1186" s="28">
        <v>0.11</v>
      </c>
      <c r="I1186" s="3">
        <f t="shared" ref="I1186:I1187" si="395">TRUNC($E1186*H1186,1)</f>
        <v>28883.8</v>
      </c>
      <c r="J1186" s="28">
        <v>0.13</v>
      </c>
      <c r="K1186" s="3">
        <f t="shared" ref="K1186:K1187" si="396">TRUNC($E1186*J1186,1)</f>
        <v>34135.4</v>
      </c>
      <c r="L1186" s="28">
        <v>0.14000000000000001</v>
      </c>
      <c r="M1186" s="3">
        <f t="shared" ref="M1186:M1187" si="397">TRUNC($E1186*L1186,1)</f>
        <v>36761.199999999997</v>
      </c>
    </row>
    <row r="1187" spans="2:13" ht="12.95" customHeight="1" x14ac:dyDescent="0.3">
      <c r="B1187" s="52" t="s">
        <v>1</v>
      </c>
      <c r="C1187" s="53"/>
      <c r="D1187" s="54" t="s">
        <v>9</v>
      </c>
      <c r="E1187" s="57">
        <v>172068</v>
      </c>
      <c r="F1187" s="28">
        <v>0.1</v>
      </c>
      <c r="G1187" s="2">
        <f t="shared" si="394"/>
        <v>17206.8</v>
      </c>
      <c r="H1187" s="28">
        <v>0.11</v>
      </c>
      <c r="I1187" s="3">
        <f t="shared" si="395"/>
        <v>18927.400000000001</v>
      </c>
      <c r="J1187" s="28">
        <v>0.13</v>
      </c>
      <c r="K1187" s="3">
        <f t="shared" si="396"/>
        <v>22368.799999999999</v>
      </c>
      <c r="L1187" s="28">
        <v>0.14000000000000001</v>
      </c>
      <c r="M1187" s="3">
        <f t="shared" si="397"/>
        <v>24089.5</v>
      </c>
    </row>
    <row r="1188" spans="2:13" ht="12.95" customHeight="1" x14ac:dyDescent="0.3">
      <c r="B1188" s="58" t="s">
        <v>11</v>
      </c>
      <c r="C1188" s="80"/>
      <c r="D1188" s="81"/>
      <c r="E1188" s="82"/>
      <c r="F1188" s="82"/>
      <c r="G1188" s="10">
        <f>TRUNC(SUM(G1186:G1187))</f>
        <v>43464</v>
      </c>
      <c r="H1188" s="82"/>
      <c r="I1188" s="11">
        <f>TRUNC(SUM(I1186:I1187))</f>
        <v>47811</v>
      </c>
      <c r="J1188" s="82"/>
      <c r="K1188" s="11">
        <f>TRUNC(SUM(K1186:K1187))</f>
        <v>56504</v>
      </c>
      <c r="L1188" s="82"/>
      <c r="M1188" s="11">
        <f>TRUNC(SUM(M1186:M1187))</f>
        <v>60850</v>
      </c>
    </row>
    <row r="1189" spans="2:13" ht="12.95" customHeight="1" x14ac:dyDescent="0.3">
      <c r="B1189" s="83"/>
      <c r="C1189" s="53"/>
      <c r="D1189" s="54"/>
      <c r="E1189" s="84"/>
      <c r="F1189" s="84"/>
      <c r="G1189" s="6"/>
      <c r="H1189" s="84"/>
      <c r="I1189" s="7"/>
      <c r="J1189" s="84"/>
      <c r="K1189" s="7"/>
      <c r="L1189" s="84"/>
      <c r="M1189" s="7"/>
    </row>
    <row r="1190" spans="2:13" ht="12.95" customHeight="1" x14ac:dyDescent="0.3">
      <c r="B1190" s="66" t="s">
        <v>13</v>
      </c>
      <c r="C1190" s="85"/>
      <c r="D1190" s="86"/>
      <c r="E1190" s="87"/>
      <c r="F1190" s="87"/>
      <c r="G1190" s="26">
        <f>SUM(G1184+G1188)</f>
        <v>46071</v>
      </c>
      <c r="H1190" s="87"/>
      <c r="I1190" s="26">
        <f>SUM(I1184+I1188)</f>
        <v>50679</v>
      </c>
      <c r="J1190" s="87"/>
      <c r="K1190" s="26">
        <f>SUM(K1184+K1188)</f>
        <v>59894</v>
      </c>
      <c r="L1190" s="87"/>
      <c r="M1190" s="26">
        <f>SUM(M1184+M1188)</f>
        <v>64501</v>
      </c>
    </row>
    <row r="1191" spans="2:13" ht="12.95" customHeight="1" x14ac:dyDescent="0.3">
      <c r="B1191" s="106" t="s">
        <v>3</v>
      </c>
      <c r="C1191" s="107" t="s">
        <v>7</v>
      </c>
      <c r="D1191" s="108" t="s">
        <v>8</v>
      </c>
      <c r="E1191" s="109" t="s">
        <v>4</v>
      </c>
      <c r="F1191" s="95" t="s">
        <v>52</v>
      </c>
      <c r="G1191" s="96"/>
      <c r="H1191" s="95" t="s">
        <v>60</v>
      </c>
      <c r="I1191" s="96"/>
      <c r="J1191" s="95" t="s">
        <v>61</v>
      </c>
      <c r="K1191" s="96"/>
    </row>
    <row r="1192" spans="2:13" ht="12.95" customHeight="1" x14ac:dyDescent="0.3">
      <c r="B1192" s="106"/>
      <c r="C1192" s="107"/>
      <c r="D1192" s="108"/>
      <c r="E1192" s="109"/>
      <c r="F1192" s="74" t="s">
        <v>5</v>
      </c>
      <c r="G1192" s="75" t="s">
        <v>6</v>
      </c>
      <c r="H1192" s="74" t="s">
        <v>21</v>
      </c>
      <c r="I1192" s="75" t="s">
        <v>6</v>
      </c>
      <c r="J1192" s="74" t="s">
        <v>5</v>
      </c>
      <c r="K1192" s="75" t="s">
        <v>6</v>
      </c>
    </row>
    <row r="1193" spans="2:13" ht="12.95" customHeight="1" x14ac:dyDescent="0.3">
      <c r="B1193" s="42" t="s">
        <v>53</v>
      </c>
      <c r="C1193" s="43" t="s">
        <v>88</v>
      </c>
      <c r="D1193" s="44" t="s">
        <v>15</v>
      </c>
      <c r="E1193" s="45"/>
      <c r="F1193" s="21">
        <v>1</v>
      </c>
      <c r="G1193" s="5">
        <f>TRUNC(SUM(G1196:G1197)*0.06,1)</f>
        <v>4172.6000000000004</v>
      </c>
      <c r="H1193" s="21">
        <v>1</v>
      </c>
      <c r="I1193" s="5">
        <f>TRUNC(SUM(I1196:I1197)*0.06,1)</f>
        <v>4694.1000000000004</v>
      </c>
      <c r="J1193" s="21">
        <v>1</v>
      </c>
      <c r="K1193" s="5">
        <f>TRUNC(SUM(K1196:K1197)*0.06,1)</f>
        <v>5215.7</v>
      </c>
    </row>
    <row r="1194" spans="2:13" ht="12.95" customHeight="1" x14ac:dyDescent="0.3">
      <c r="B1194" s="46" t="s">
        <v>10</v>
      </c>
      <c r="C1194" s="47"/>
      <c r="D1194" s="48"/>
      <c r="E1194" s="49"/>
      <c r="F1194" s="25"/>
      <c r="G1194" s="12">
        <f>TRUNC(SUM(G1193))</f>
        <v>4172</v>
      </c>
      <c r="H1194" s="25"/>
      <c r="I1194" s="12">
        <f>TRUNC(SUM(I1193))</f>
        <v>4694</v>
      </c>
      <c r="J1194" s="25"/>
      <c r="K1194" s="12">
        <f>TRUNC(SUM(K1193))</f>
        <v>5215</v>
      </c>
    </row>
    <row r="1195" spans="2:13" ht="12.95" customHeight="1" x14ac:dyDescent="0.3">
      <c r="B1195" s="50"/>
      <c r="C1195" s="51"/>
      <c r="D1195" s="51"/>
      <c r="E1195" s="22"/>
      <c r="F1195" s="15"/>
      <c r="G1195" s="24"/>
      <c r="H1195" s="15"/>
      <c r="I1195" s="24"/>
      <c r="J1195" s="15"/>
      <c r="K1195" s="24"/>
    </row>
    <row r="1196" spans="2:13" ht="12.95" customHeight="1" x14ac:dyDescent="0.3">
      <c r="B1196" s="52" t="s">
        <v>29</v>
      </c>
      <c r="C1196" s="53"/>
      <c r="D1196" s="54" t="s">
        <v>9</v>
      </c>
      <c r="E1196" s="55">
        <v>262580</v>
      </c>
      <c r="F1196" s="28">
        <v>0.16</v>
      </c>
      <c r="G1196" s="2">
        <f t="shared" ref="G1196:G1197" si="398">TRUNC($E1196*F1196,1)</f>
        <v>42012.800000000003</v>
      </c>
      <c r="H1196" s="28">
        <v>0.18</v>
      </c>
      <c r="I1196" s="3">
        <f t="shared" ref="I1196:I1197" si="399">TRUNC($E1196*H1196,1)</f>
        <v>47264.4</v>
      </c>
      <c r="J1196" s="28">
        <v>0.2</v>
      </c>
      <c r="K1196" s="3">
        <f t="shared" ref="K1196:K1197" si="400">TRUNC($E1196*J1196,1)</f>
        <v>52516</v>
      </c>
    </row>
    <row r="1197" spans="2:13" ht="12.95" customHeight="1" x14ac:dyDescent="0.3">
      <c r="B1197" s="52" t="s">
        <v>1</v>
      </c>
      <c r="C1197" s="53"/>
      <c r="D1197" s="54" t="s">
        <v>9</v>
      </c>
      <c r="E1197" s="57">
        <v>172068</v>
      </c>
      <c r="F1197" s="28">
        <v>0.16</v>
      </c>
      <c r="G1197" s="2">
        <f t="shared" si="398"/>
        <v>27530.799999999999</v>
      </c>
      <c r="H1197" s="28">
        <v>0.18</v>
      </c>
      <c r="I1197" s="3">
        <f t="shared" si="399"/>
        <v>30972.2</v>
      </c>
      <c r="J1197" s="28">
        <v>0.2</v>
      </c>
      <c r="K1197" s="3">
        <f t="shared" si="400"/>
        <v>34413.599999999999</v>
      </c>
    </row>
    <row r="1198" spans="2:13" ht="12.95" customHeight="1" x14ac:dyDescent="0.3">
      <c r="B1198" s="58" t="s">
        <v>11</v>
      </c>
      <c r="C1198" s="80"/>
      <c r="D1198" s="81"/>
      <c r="E1198" s="82"/>
      <c r="F1198" s="82"/>
      <c r="G1198" s="10">
        <f>TRUNC(SUM(G1196:G1197))</f>
        <v>69543</v>
      </c>
      <c r="H1198" s="82"/>
      <c r="I1198" s="11">
        <f>TRUNC(SUM(I1196:I1197))</f>
        <v>78236</v>
      </c>
      <c r="J1198" s="82"/>
      <c r="K1198" s="11">
        <f>TRUNC(SUM(K1196:K1197))</f>
        <v>86929</v>
      </c>
    </row>
    <row r="1199" spans="2:13" ht="12.95" customHeight="1" x14ac:dyDescent="0.3">
      <c r="B1199" s="83"/>
      <c r="C1199" s="53"/>
      <c r="D1199" s="54"/>
      <c r="E1199" s="84"/>
      <c r="F1199" s="84"/>
      <c r="G1199" s="6"/>
      <c r="H1199" s="84"/>
      <c r="I1199" s="7"/>
      <c r="J1199" s="84"/>
      <c r="K1199" s="7"/>
    </row>
    <row r="1200" spans="2:13" ht="12.95" customHeight="1" x14ac:dyDescent="0.3">
      <c r="B1200" s="66" t="s">
        <v>13</v>
      </c>
      <c r="C1200" s="85"/>
      <c r="D1200" s="86"/>
      <c r="E1200" s="87"/>
      <c r="F1200" s="87"/>
      <c r="G1200" s="26">
        <f>SUM(G1194+G1198)</f>
        <v>73715</v>
      </c>
      <c r="H1200" s="87"/>
      <c r="I1200" s="26">
        <f>SUM(I1194+I1198)</f>
        <v>82930</v>
      </c>
      <c r="J1200" s="87"/>
      <c r="K1200" s="26">
        <f>SUM(K1194+K1198)</f>
        <v>92144</v>
      </c>
    </row>
    <row r="1201" spans="2:13" ht="12.95" customHeight="1" x14ac:dyDescent="0.3">
      <c r="B1201" s="106" t="s">
        <v>3</v>
      </c>
      <c r="C1201" s="107" t="s">
        <v>7</v>
      </c>
      <c r="D1201" s="108" t="s">
        <v>8</v>
      </c>
      <c r="E1201" s="109" t="s">
        <v>4</v>
      </c>
      <c r="F1201" s="95" t="s">
        <v>62</v>
      </c>
      <c r="G1201" s="96"/>
      <c r="H1201" s="95" t="s">
        <v>63</v>
      </c>
      <c r="I1201" s="96"/>
      <c r="J1201" s="95" t="s">
        <v>64</v>
      </c>
      <c r="K1201" s="96"/>
    </row>
    <row r="1202" spans="2:13" ht="12.95" customHeight="1" x14ac:dyDescent="0.3">
      <c r="B1202" s="106"/>
      <c r="C1202" s="107"/>
      <c r="D1202" s="108"/>
      <c r="E1202" s="109"/>
      <c r="F1202" s="74" t="s">
        <v>5</v>
      </c>
      <c r="G1202" s="75" t="s">
        <v>6</v>
      </c>
      <c r="H1202" s="74" t="s">
        <v>21</v>
      </c>
      <c r="I1202" s="75" t="s">
        <v>6</v>
      </c>
      <c r="J1202" s="74" t="s">
        <v>5</v>
      </c>
      <c r="K1202" s="75" t="s">
        <v>6</v>
      </c>
    </row>
    <row r="1203" spans="2:13" ht="12.95" customHeight="1" x14ac:dyDescent="0.3">
      <c r="B1203" s="42" t="s">
        <v>53</v>
      </c>
      <c r="C1203" s="43" t="s">
        <v>88</v>
      </c>
      <c r="D1203" s="44" t="s">
        <v>15</v>
      </c>
      <c r="E1203" s="45"/>
      <c r="F1203" s="21">
        <v>1</v>
      </c>
      <c r="G1203" s="5">
        <f>TRUNC(SUM(G1206:G1207)*0.06,1)</f>
        <v>5737.3</v>
      </c>
      <c r="H1203" s="21">
        <v>1</v>
      </c>
      <c r="I1203" s="5">
        <f>TRUNC(SUM(I1206:I1207)*0.06,1)</f>
        <v>6519.7</v>
      </c>
      <c r="J1203" s="21">
        <v>1</v>
      </c>
      <c r="K1203" s="5">
        <f>TRUNC(SUM(K1206:K1207)*0.06,1)</f>
        <v>7302</v>
      </c>
    </row>
    <row r="1204" spans="2:13" ht="12.95" customHeight="1" x14ac:dyDescent="0.3">
      <c r="B1204" s="46" t="s">
        <v>10</v>
      </c>
      <c r="C1204" s="47"/>
      <c r="D1204" s="48"/>
      <c r="E1204" s="49"/>
      <c r="F1204" s="25"/>
      <c r="G1204" s="12">
        <f>TRUNC(SUM(G1203))</f>
        <v>5737</v>
      </c>
      <c r="H1204" s="25"/>
      <c r="I1204" s="12">
        <f>TRUNC(SUM(I1203))</f>
        <v>6519</v>
      </c>
      <c r="J1204" s="25"/>
      <c r="K1204" s="12">
        <f>TRUNC(SUM(K1203))</f>
        <v>7302</v>
      </c>
    </row>
    <row r="1205" spans="2:13" ht="12.95" customHeight="1" x14ac:dyDescent="0.3">
      <c r="B1205" s="50"/>
      <c r="C1205" s="51"/>
      <c r="D1205" s="51"/>
      <c r="E1205" s="22"/>
      <c r="F1205" s="15"/>
      <c r="G1205" s="24"/>
      <c r="H1205" s="15"/>
      <c r="I1205" s="24"/>
      <c r="J1205" s="15"/>
      <c r="K1205" s="24"/>
    </row>
    <row r="1206" spans="2:13" ht="12.95" customHeight="1" x14ac:dyDescent="0.3">
      <c r="B1206" s="52" t="s">
        <v>29</v>
      </c>
      <c r="C1206" s="53"/>
      <c r="D1206" s="54" t="s">
        <v>9</v>
      </c>
      <c r="E1206" s="55">
        <v>262580</v>
      </c>
      <c r="F1206" s="28">
        <v>0.22</v>
      </c>
      <c r="G1206" s="2">
        <f t="shared" ref="G1206:G1207" si="401">TRUNC($E1206*F1206,1)</f>
        <v>57767.6</v>
      </c>
      <c r="H1206" s="28">
        <v>0.25</v>
      </c>
      <c r="I1206" s="3">
        <f t="shared" ref="I1206:I1207" si="402">TRUNC($E1206*H1206,1)</f>
        <v>65645</v>
      </c>
      <c r="J1206" s="28">
        <v>0.28000000000000003</v>
      </c>
      <c r="K1206" s="3">
        <f t="shared" ref="K1206:K1207" si="403">TRUNC($E1206*J1206,1)</f>
        <v>73522.399999999994</v>
      </c>
    </row>
    <row r="1207" spans="2:13" ht="12.95" customHeight="1" x14ac:dyDescent="0.3">
      <c r="B1207" s="52" t="s">
        <v>1</v>
      </c>
      <c r="C1207" s="53"/>
      <c r="D1207" s="54" t="s">
        <v>9</v>
      </c>
      <c r="E1207" s="57">
        <v>172068</v>
      </c>
      <c r="F1207" s="28">
        <v>0.22</v>
      </c>
      <c r="G1207" s="2">
        <f t="shared" si="401"/>
        <v>37854.9</v>
      </c>
      <c r="H1207" s="28">
        <v>0.25</v>
      </c>
      <c r="I1207" s="3">
        <f t="shared" si="402"/>
        <v>43017</v>
      </c>
      <c r="J1207" s="28">
        <v>0.28000000000000003</v>
      </c>
      <c r="K1207" s="3">
        <f t="shared" si="403"/>
        <v>48179</v>
      </c>
    </row>
    <row r="1208" spans="2:13" ht="12.95" customHeight="1" x14ac:dyDescent="0.3">
      <c r="B1208" s="58" t="s">
        <v>11</v>
      </c>
      <c r="C1208" s="80"/>
      <c r="D1208" s="81"/>
      <c r="E1208" s="82"/>
      <c r="F1208" s="82"/>
      <c r="G1208" s="10">
        <f>TRUNC(SUM(G1206:G1207))</f>
        <v>95622</v>
      </c>
      <c r="H1208" s="82"/>
      <c r="I1208" s="11">
        <f>TRUNC(SUM(I1206:I1207))</f>
        <v>108662</v>
      </c>
      <c r="J1208" s="82"/>
      <c r="K1208" s="11">
        <f>TRUNC(SUM(K1206:K1207))</f>
        <v>121701</v>
      </c>
    </row>
    <row r="1209" spans="2:13" ht="12.95" customHeight="1" x14ac:dyDescent="0.3">
      <c r="B1209" s="83"/>
      <c r="C1209" s="53"/>
      <c r="D1209" s="54"/>
      <c r="E1209" s="84"/>
      <c r="F1209" s="84"/>
      <c r="G1209" s="6"/>
      <c r="H1209" s="84"/>
      <c r="I1209" s="7"/>
      <c r="J1209" s="84"/>
      <c r="K1209" s="7"/>
    </row>
    <row r="1210" spans="2:13" ht="12.95" customHeight="1" x14ac:dyDescent="0.3">
      <c r="B1210" s="66" t="s">
        <v>13</v>
      </c>
      <c r="C1210" s="85"/>
      <c r="D1210" s="86"/>
      <c r="E1210" s="87"/>
      <c r="F1210" s="87"/>
      <c r="G1210" s="26">
        <f>SUM(G1204+G1208)</f>
        <v>101359</v>
      </c>
      <c r="H1210" s="87"/>
      <c r="I1210" s="26">
        <f>SUM(I1204+I1208)</f>
        <v>115181</v>
      </c>
      <c r="J1210" s="87"/>
      <c r="K1210" s="26">
        <f>SUM(K1204+K1208)</f>
        <v>129003</v>
      </c>
    </row>
    <row r="1212" spans="2:13" ht="12.95" customHeight="1" x14ac:dyDescent="0.3">
      <c r="B1212" s="1" t="s">
        <v>91</v>
      </c>
      <c r="M1212" s="37" t="s">
        <v>22</v>
      </c>
    </row>
    <row r="1213" spans="2:13" ht="12.95" customHeight="1" x14ac:dyDescent="0.3">
      <c r="B1213" s="89" t="s">
        <v>3</v>
      </c>
      <c r="C1213" s="89" t="s">
        <v>7</v>
      </c>
      <c r="D1213" s="92" t="s">
        <v>8</v>
      </c>
      <c r="E1213" s="92" t="s">
        <v>4</v>
      </c>
      <c r="F1213" s="95" t="s">
        <v>92</v>
      </c>
      <c r="G1213" s="96"/>
      <c r="H1213" s="96"/>
      <c r="I1213" s="96"/>
      <c r="J1213" s="96"/>
      <c r="K1213" s="96"/>
      <c r="L1213" s="96"/>
      <c r="M1213" s="96"/>
    </row>
    <row r="1214" spans="2:13" ht="12.95" customHeight="1" x14ac:dyDescent="0.3">
      <c r="B1214" s="90"/>
      <c r="C1214" s="90"/>
      <c r="D1214" s="93"/>
      <c r="E1214" s="93"/>
      <c r="F1214" s="95" t="s">
        <v>93</v>
      </c>
      <c r="G1214" s="102"/>
      <c r="H1214" s="95" t="s">
        <v>96</v>
      </c>
      <c r="I1214" s="96"/>
      <c r="J1214" s="95" t="s">
        <v>97</v>
      </c>
      <c r="K1214" s="96"/>
      <c r="L1214" s="95" t="s">
        <v>98</v>
      </c>
      <c r="M1214" s="96"/>
    </row>
    <row r="1215" spans="2:13" ht="12.95" customHeight="1" x14ac:dyDescent="0.3">
      <c r="B1215" s="91"/>
      <c r="C1215" s="91"/>
      <c r="D1215" s="94"/>
      <c r="E1215" s="94"/>
      <c r="F1215" s="74" t="s">
        <v>5</v>
      </c>
      <c r="G1215" s="75" t="s">
        <v>6</v>
      </c>
      <c r="H1215" s="74" t="s">
        <v>5</v>
      </c>
      <c r="I1215" s="75" t="s">
        <v>6</v>
      </c>
      <c r="J1215" s="74" t="s">
        <v>5</v>
      </c>
      <c r="K1215" s="75" t="s">
        <v>6</v>
      </c>
      <c r="L1215" s="74" t="s">
        <v>5</v>
      </c>
      <c r="M1215" s="75" t="s">
        <v>6</v>
      </c>
    </row>
    <row r="1216" spans="2:13" ht="12.95" customHeight="1" x14ac:dyDescent="0.3">
      <c r="B1216" s="42" t="s">
        <v>53</v>
      </c>
      <c r="C1216" s="43" t="s">
        <v>18</v>
      </c>
      <c r="D1216" s="44" t="s">
        <v>15</v>
      </c>
      <c r="E1216" s="45"/>
      <c r="F1216" s="21">
        <v>1</v>
      </c>
      <c r="G1216" s="5">
        <f>TRUNC(SUM(G1219:G1220)*0.05,1)</f>
        <v>1086.5999999999999</v>
      </c>
      <c r="H1216" s="21">
        <v>1</v>
      </c>
      <c r="I1216" s="5">
        <f>TRUNC(SUM(I1219:I1220)*0.05,1)</f>
        <v>1521.2</v>
      </c>
      <c r="J1216" s="21">
        <v>1</v>
      </c>
      <c r="K1216" s="5">
        <f>TRUNC(SUM(K1219:K1220)*0.05,1)</f>
        <v>1955.9</v>
      </c>
      <c r="L1216" s="21">
        <v>1</v>
      </c>
      <c r="M1216" s="5">
        <f>TRUNC(SUM(M1219:M1220)*0.05,1)</f>
        <v>2607.8000000000002</v>
      </c>
    </row>
    <row r="1217" spans="2:13" ht="12.95" customHeight="1" x14ac:dyDescent="0.3">
      <c r="B1217" s="46" t="s">
        <v>10</v>
      </c>
      <c r="C1217" s="47"/>
      <c r="D1217" s="48"/>
      <c r="E1217" s="49"/>
      <c r="F1217" s="25"/>
      <c r="G1217" s="12">
        <f>TRUNC(SUM(G1216))</f>
        <v>1086</v>
      </c>
      <c r="H1217" s="25"/>
      <c r="I1217" s="12">
        <f>TRUNC(SUM(I1216))</f>
        <v>1521</v>
      </c>
      <c r="J1217" s="25"/>
      <c r="K1217" s="12">
        <f>TRUNC(SUM(K1216))</f>
        <v>1955</v>
      </c>
      <c r="L1217" s="25"/>
      <c r="M1217" s="12">
        <f>TRUNC(SUM(M1216))</f>
        <v>2607</v>
      </c>
    </row>
    <row r="1218" spans="2:13" ht="12.95" customHeight="1" x14ac:dyDescent="0.3">
      <c r="B1218" s="50"/>
      <c r="C1218" s="51"/>
      <c r="D1218" s="51"/>
      <c r="E1218" s="22"/>
      <c r="F1218" s="15"/>
      <c r="G1218" s="24"/>
      <c r="H1218" s="15"/>
      <c r="I1218" s="24"/>
      <c r="J1218" s="15"/>
      <c r="K1218" s="24"/>
      <c r="L1218" s="15"/>
      <c r="M1218" s="24"/>
    </row>
    <row r="1219" spans="2:13" ht="12.95" customHeight="1" x14ac:dyDescent="0.3">
      <c r="B1219" s="52" t="s">
        <v>29</v>
      </c>
      <c r="C1219" s="53"/>
      <c r="D1219" s="54" t="s">
        <v>9</v>
      </c>
      <c r="E1219" s="55">
        <v>262580</v>
      </c>
      <c r="F1219" s="28">
        <v>0.05</v>
      </c>
      <c r="G1219" s="2">
        <f t="shared" ref="G1219:G1220" si="404">TRUNC($E1219*F1219,1)</f>
        <v>13129</v>
      </c>
      <c r="H1219" s="28">
        <v>7.0000000000000007E-2</v>
      </c>
      <c r="I1219" s="3">
        <f t="shared" ref="I1219:I1220" si="405">TRUNC($E1219*H1219,1)</f>
        <v>18380.599999999999</v>
      </c>
      <c r="J1219" s="28">
        <v>0.09</v>
      </c>
      <c r="K1219" s="3">
        <f t="shared" ref="K1219:K1220" si="406">TRUNC($E1219*J1219,1)</f>
        <v>23632.2</v>
      </c>
      <c r="L1219" s="28">
        <v>0.12</v>
      </c>
      <c r="M1219" s="3">
        <f t="shared" ref="M1219:M1220" si="407">TRUNC($E1219*L1219,1)</f>
        <v>31509.599999999999</v>
      </c>
    </row>
    <row r="1220" spans="2:13" ht="12.95" customHeight="1" x14ac:dyDescent="0.3">
      <c r="B1220" s="52" t="s">
        <v>1</v>
      </c>
      <c r="C1220" s="53"/>
      <c r="D1220" s="54" t="s">
        <v>9</v>
      </c>
      <c r="E1220" s="57">
        <v>172068</v>
      </c>
      <c r="F1220" s="28">
        <v>0.05</v>
      </c>
      <c r="G1220" s="2">
        <f t="shared" si="404"/>
        <v>8603.4</v>
      </c>
      <c r="H1220" s="28">
        <v>7.0000000000000007E-2</v>
      </c>
      <c r="I1220" s="3">
        <f t="shared" si="405"/>
        <v>12044.7</v>
      </c>
      <c r="J1220" s="28">
        <v>0.09</v>
      </c>
      <c r="K1220" s="3">
        <f t="shared" si="406"/>
        <v>15486.1</v>
      </c>
      <c r="L1220" s="28">
        <v>0.12</v>
      </c>
      <c r="M1220" s="3">
        <f t="shared" si="407"/>
        <v>20648.099999999999</v>
      </c>
    </row>
    <row r="1221" spans="2:13" ht="12.95" customHeight="1" x14ac:dyDescent="0.3">
      <c r="B1221" s="58" t="s">
        <v>11</v>
      </c>
      <c r="C1221" s="80"/>
      <c r="D1221" s="81"/>
      <c r="E1221" s="82"/>
      <c r="F1221" s="82"/>
      <c r="G1221" s="10">
        <f>TRUNC(SUM(G1219:G1220))</f>
        <v>21732</v>
      </c>
      <c r="H1221" s="82"/>
      <c r="I1221" s="11">
        <f>TRUNC(SUM(I1219:I1220))</f>
        <v>30425</v>
      </c>
      <c r="J1221" s="82"/>
      <c r="K1221" s="11">
        <f>TRUNC(SUM(K1219:K1220))</f>
        <v>39118</v>
      </c>
      <c r="L1221" s="82"/>
      <c r="M1221" s="11">
        <f>TRUNC(SUM(M1219:M1220))</f>
        <v>52157</v>
      </c>
    </row>
    <row r="1222" spans="2:13" ht="12.95" customHeight="1" x14ac:dyDescent="0.3">
      <c r="B1222" s="83"/>
      <c r="C1222" s="53"/>
      <c r="D1222" s="54"/>
      <c r="E1222" s="84"/>
      <c r="F1222" s="84"/>
      <c r="G1222" s="6"/>
      <c r="H1222" s="84"/>
      <c r="I1222" s="7"/>
      <c r="J1222" s="84"/>
      <c r="K1222" s="7"/>
      <c r="L1222" s="84"/>
      <c r="M1222" s="7"/>
    </row>
    <row r="1223" spans="2:13" ht="12.95" customHeight="1" x14ac:dyDescent="0.3">
      <c r="B1223" s="66" t="s">
        <v>13</v>
      </c>
      <c r="C1223" s="85"/>
      <c r="D1223" s="86"/>
      <c r="E1223" s="87"/>
      <c r="F1223" s="87"/>
      <c r="G1223" s="26">
        <f>SUM(G1217+G1221)</f>
        <v>22818</v>
      </c>
      <c r="H1223" s="87"/>
      <c r="I1223" s="26">
        <f>SUM(I1217+I1221)</f>
        <v>31946</v>
      </c>
      <c r="J1223" s="87"/>
      <c r="K1223" s="26">
        <f>SUM(K1217+K1221)</f>
        <v>41073</v>
      </c>
      <c r="L1223" s="87"/>
      <c r="M1223" s="26">
        <f>SUM(M1217+M1221)</f>
        <v>54764</v>
      </c>
    </row>
    <row r="1224" spans="2:13" ht="12.95" customHeight="1" x14ac:dyDescent="0.3">
      <c r="B1224" s="89" t="s">
        <v>3</v>
      </c>
      <c r="C1224" s="89" t="s">
        <v>7</v>
      </c>
      <c r="D1224" s="92" t="s">
        <v>8</v>
      </c>
      <c r="E1224" s="92" t="s">
        <v>4</v>
      </c>
      <c r="F1224" s="95" t="s">
        <v>94</v>
      </c>
      <c r="G1224" s="96"/>
      <c r="H1224" s="96"/>
      <c r="I1224" s="96"/>
      <c r="J1224" s="96"/>
      <c r="K1224" s="96"/>
      <c r="L1224" s="96"/>
      <c r="M1224" s="96"/>
    </row>
    <row r="1225" spans="2:13" ht="12.95" customHeight="1" x14ac:dyDescent="0.3">
      <c r="B1225" s="90"/>
      <c r="C1225" s="90"/>
      <c r="D1225" s="93"/>
      <c r="E1225" s="93"/>
      <c r="F1225" s="95" t="s">
        <v>93</v>
      </c>
      <c r="G1225" s="102"/>
      <c r="H1225" s="95" t="s">
        <v>96</v>
      </c>
      <c r="I1225" s="96"/>
      <c r="J1225" s="95" t="s">
        <v>97</v>
      </c>
      <c r="K1225" s="96"/>
      <c r="L1225" s="95" t="s">
        <v>98</v>
      </c>
      <c r="M1225" s="96"/>
    </row>
    <row r="1226" spans="2:13" ht="12.95" customHeight="1" x14ac:dyDescent="0.3">
      <c r="B1226" s="91"/>
      <c r="C1226" s="91"/>
      <c r="D1226" s="94"/>
      <c r="E1226" s="94"/>
      <c r="F1226" s="74" t="s">
        <v>5</v>
      </c>
      <c r="G1226" s="75" t="s">
        <v>6</v>
      </c>
      <c r="H1226" s="74" t="s">
        <v>5</v>
      </c>
      <c r="I1226" s="75" t="s">
        <v>6</v>
      </c>
      <c r="J1226" s="74" t="s">
        <v>5</v>
      </c>
      <c r="K1226" s="75" t="s">
        <v>6</v>
      </c>
      <c r="L1226" s="74" t="s">
        <v>5</v>
      </c>
      <c r="M1226" s="75" t="s">
        <v>6</v>
      </c>
    </row>
    <row r="1227" spans="2:13" ht="12.95" customHeight="1" x14ac:dyDescent="0.3">
      <c r="B1227" s="42" t="s">
        <v>53</v>
      </c>
      <c r="C1227" s="43" t="s">
        <v>18</v>
      </c>
      <c r="D1227" s="44" t="s">
        <v>15</v>
      </c>
      <c r="E1227" s="45"/>
      <c r="F1227" s="21">
        <v>1</v>
      </c>
      <c r="G1227" s="5">
        <f>TRUNC(SUM(G1230:G1231)*0.05,1)</f>
        <v>1521.2</v>
      </c>
      <c r="H1227" s="21">
        <v>1</v>
      </c>
      <c r="I1227" s="5">
        <f>TRUNC(SUM(I1230:I1231)*0.05,1)</f>
        <v>1955.9</v>
      </c>
      <c r="J1227" s="21">
        <v>1</v>
      </c>
      <c r="K1227" s="5">
        <f>TRUNC(SUM(K1230:K1231)*0.05,1)</f>
        <v>2390.5</v>
      </c>
      <c r="L1227" s="21">
        <v>1</v>
      </c>
      <c r="M1227" s="5">
        <f>TRUNC(SUM(M1230:M1231)*0.05,1)</f>
        <v>2825.2</v>
      </c>
    </row>
    <row r="1228" spans="2:13" ht="12.95" customHeight="1" x14ac:dyDescent="0.3">
      <c r="B1228" s="46" t="s">
        <v>10</v>
      </c>
      <c r="C1228" s="47"/>
      <c r="D1228" s="48"/>
      <c r="E1228" s="49"/>
      <c r="F1228" s="25"/>
      <c r="G1228" s="12">
        <f>TRUNC(SUM(G1227))</f>
        <v>1521</v>
      </c>
      <c r="H1228" s="25"/>
      <c r="I1228" s="12">
        <f>TRUNC(SUM(I1227))</f>
        <v>1955</v>
      </c>
      <c r="J1228" s="25"/>
      <c r="K1228" s="12">
        <f>TRUNC(SUM(K1227))</f>
        <v>2390</v>
      </c>
      <c r="L1228" s="25"/>
      <c r="M1228" s="12">
        <f>TRUNC(SUM(M1227))</f>
        <v>2825</v>
      </c>
    </row>
    <row r="1229" spans="2:13" ht="12.95" customHeight="1" x14ac:dyDescent="0.3">
      <c r="B1229" s="50"/>
      <c r="C1229" s="51"/>
      <c r="D1229" s="51"/>
      <c r="E1229" s="22"/>
      <c r="F1229" s="15"/>
      <c r="G1229" s="24"/>
      <c r="H1229" s="15"/>
      <c r="I1229" s="24"/>
      <c r="J1229" s="15"/>
      <c r="K1229" s="24"/>
      <c r="L1229" s="15"/>
      <c r="M1229" s="24"/>
    </row>
    <row r="1230" spans="2:13" ht="12.95" customHeight="1" x14ac:dyDescent="0.3">
      <c r="B1230" s="52" t="s">
        <v>29</v>
      </c>
      <c r="C1230" s="53"/>
      <c r="D1230" s="54" t="s">
        <v>9</v>
      </c>
      <c r="E1230" s="55">
        <v>262580</v>
      </c>
      <c r="F1230" s="28">
        <v>7.0000000000000007E-2</v>
      </c>
      <c r="G1230" s="2">
        <f t="shared" ref="G1230:G1231" si="408">TRUNC($E1230*F1230,1)</f>
        <v>18380.599999999999</v>
      </c>
      <c r="H1230" s="28">
        <v>0.09</v>
      </c>
      <c r="I1230" s="3">
        <f t="shared" ref="I1230:I1231" si="409">TRUNC($E1230*H1230,1)</f>
        <v>23632.2</v>
      </c>
      <c r="J1230" s="28">
        <v>0.11</v>
      </c>
      <c r="K1230" s="3">
        <f t="shared" ref="K1230:K1231" si="410">TRUNC($E1230*J1230,1)</f>
        <v>28883.8</v>
      </c>
      <c r="L1230" s="28">
        <v>0.13</v>
      </c>
      <c r="M1230" s="3">
        <f t="shared" ref="M1230:M1231" si="411">TRUNC($E1230*L1230,1)</f>
        <v>34135.4</v>
      </c>
    </row>
    <row r="1231" spans="2:13" ht="12.95" customHeight="1" x14ac:dyDescent="0.3">
      <c r="B1231" s="52" t="s">
        <v>1</v>
      </c>
      <c r="C1231" s="53"/>
      <c r="D1231" s="54" t="s">
        <v>9</v>
      </c>
      <c r="E1231" s="57">
        <v>172068</v>
      </c>
      <c r="F1231" s="28">
        <v>7.0000000000000007E-2</v>
      </c>
      <c r="G1231" s="2">
        <f t="shared" si="408"/>
        <v>12044.7</v>
      </c>
      <c r="H1231" s="28">
        <v>0.09</v>
      </c>
      <c r="I1231" s="3">
        <f t="shared" si="409"/>
        <v>15486.1</v>
      </c>
      <c r="J1231" s="28">
        <v>0.11</v>
      </c>
      <c r="K1231" s="3">
        <f t="shared" si="410"/>
        <v>18927.400000000001</v>
      </c>
      <c r="L1231" s="28">
        <v>0.13</v>
      </c>
      <c r="M1231" s="3">
        <f t="shared" si="411"/>
        <v>22368.799999999999</v>
      </c>
    </row>
    <row r="1232" spans="2:13" ht="12.95" customHeight="1" x14ac:dyDescent="0.3">
      <c r="B1232" s="58" t="s">
        <v>11</v>
      </c>
      <c r="C1232" s="80"/>
      <c r="D1232" s="81"/>
      <c r="E1232" s="82"/>
      <c r="F1232" s="82"/>
      <c r="G1232" s="10">
        <f>TRUNC(SUM(G1230:G1231))</f>
        <v>30425</v>
      </c>
      <c r="H1232" s="82"/>
      <c r="I1232" s="11">
        <f>TRUNC(SUM(I1230:I1231))</f>
        <v>39118</v>
      </c>
      <c r="J1232" s="82"/>
      <c r="K1232" s="11">
        <f>TRUNC(SUM(K1230:K1231))</f>
        <v>47811</v>
      </c>
      <c r="L1232" s="82"/>
      <c r="M1232" s="11">
        <f>TRUNC(SUM(M1230:M1231))</f>
        <v>56504</v>
      </c>
    </row>
    <row r="1233" spans="2:13" ht="12.95" customHeight="1" x14ac:dyDescent="0.3">
      <c r="B1233" s="83"/>
      <c r="C1233" s="53"/>
      <c r="D1233" s="54"/>
      <c r="E1233" s="84"/>
      <c r="F1233" s="84"/>
      <c r="G1233" s="6"/>
      <c r="H1233" s="84"/>
      <c r="I1233" s="7"/>
      <c r="J1233" s="84"/>
      <c r="K1233" s="7"/>
      <c r="L1233" s="84"/>
      <c r="M1233" s="7"/>
    </row>
    <row r="1234" spans="2:13" ht="12.95" customHeight="1" x14ac:dyDescent="0.3">
      <c r="B1234" s="66" t="s">
        <v>13</v>
      </c>
      <c r="C1234" s="85"/>
      <c r="D1234" s="86"/>
      <c r="E1234" s="87"/>
      <c r="F1234" s="87"/>
      <c r="G1234" s="26">
        <f>SUM(G1228+G1232)</f>
        <v>31946</v>
      </c>
      <c r="H1234" s="87"/>
      <c r="I1234" s="26">
        <f>SUM(I1228+I1232)</f>
        <v>41073</v>
      </c>
      <c r="J1234" s="87"/>
      <c r="K1234" s="26">
        <f>SUM(K1228+K1232)</f>
        <v>50201</v>
      </c>
      <c r="L1234" s="87"/>
      <c r="M1234" s="26">
        <f>SUM(M1228+M1232)</f>
        <v>59329</v>
      </c>
    </row>
    <row r="1235" spans="2:13" ht="12.95" customHeight="1" x14ac:dyDescent="0.3">
      <c r="B1235" s="89" t="s">
        <v>3</v>
      </c>
      <c r="C1235" s="89" t="s">
        <v>7</v>
      </c>
      <c r="D1235" s="92" t="s">
        <v>8</v>
      </c>
      <c r="E1235" s="92" t="s">
        <v>4</v>
      </c>
      <c r="F1235" s="95" t="s">
        <v>95</v>
      </c>
      <c r="G1235" s="96"/>
      <c r="H1235" s="96"/>
      <c r="I1235" s="96"/>
      <c r="J1235" s="96"/>
      <c r="K1235" s="96"/>
      <c r="L1235" s="96"/>
      <c r="M1235" s="96"/>
    </row>
    <row r="1236" spans="2:13" ht="12.95" customHeight="1" x14ac:dyDescent="0.3">
      <c r="B1236" s="90"/>
      <c r="C1236" s="90"/>
      <c r="D1236" s="93"/>
      <c r="E1236" s="93"/>
      <c r="F1236" s="95" t="s">
        <v>93</v>
      </c>
      <c r="G1236" s="102"/>
      <c r="H1236" s="95" t="s">
        <v>96</v>
      </c>
      <c r="I1236" s="96"/>
      <c r="J1236" s="95" t="s">
        <v>97</v>
      </c>
      <c r="K1236" s="96"/>
      <c r="L1236" s="95" t="s">
        <v>98</v>
      </c>
      <c r="M1236" s="96"/>
    </row>
    <row r="1237" spans="2:13" ht="12.95" customHeight="1" x14ac:dyDescent="0.3">
      <c r="B1237" s="91"/>
      <c r="C1237" s="91"/>
      <c r="D1237" s="94"/>
      <c r="E1237" s="94"/>
      <c r="F1237" s="74" t="s">
        <v>5</v>
      </c>
      <c r="G1237" s="75" t="s">
        <v>6</v>
      </c>
      <c r="H1237" s="74" t="s">
        <v>5</v>
      </c>
      <c r="I1237" s="75" t="s">
        <v>6</v>
      </c>
      <c r="J1237" s="74" t="s">
        <v>5</v>
      </c>
      <c r="K1237" s="75" t="s">
        <v>6</v>
      </c>
      <c r="L1237" s="74" t="s">
        <v>5</v>
      </c>
      <c r="M1237" s="75" t="s">
        <v>6</v>
      </c>
    </row>
    <row r="1238" spans="2:13" ht="12.95" customHeight="1" x14ac:dyDescent="0.3">
      <c r="B1238" s="42" t="s">
        <v>53</v>
      </c>
      <c r="C1238" s="43" t="s">
        <v>18</v>
      </c>
      <c r="D1238" s="44" t="s">
        <v>15</v>
      </c>
      <c r="E1238" s="45"/>
      <c r="F1238" s="21">
        <v>1</v>
      </c>
      <c r="G1238" s="5">
        <f>TRUNC(SUM(G1241:G1242)*0.05,1)</f>
        <v>1738.5</v>
      </c>
      <c r="H1238" s="21">
        <v>1</v>
      </c>
      <c r="I1238" s="5">
        <f>TRUNC(SUM(I1241:I1242)*0.05,1)</f>
        <v>2390.5</v>
      </c>
      <c r="J1238" s="21">
        <v>1</v>
      </c>
      <c r="K1238" s="5">
        <f>TRUNC(SUM(K1241:K1242)*0.05,1)</f>
        <v>2607.8000000000002</v>
      </c>
      <c r="L1238" s="21">
        <v>1</v>
      </c>
      <c r="M1238" s="5">
        <f>TRUNC(SUM(M1241:M1242)*0.05,1)</f>
        <v>3259.8</v>
      </c>
    </row>
    <row r="1239" spans="2:13" ht="12.95" customHeight="1" x14ac:dyDescent="0.3">
      <c r="B1239" s="46" t="s">
        <v>10</v>
      </c>
      <c r="C1239" s="47"/>
      <c r="D1239" s="48"/>
      <c r="E1239" s="49"/>
      <c r="F1239" s="25"/>
      <c r="G1239" s="12">
        <f>TRUNC(SUM(G1238))</f>
        <v>1738</v>
      </c>
      <c r="H1239" s="25"/>
      <c r="I1239" s="12">
        <f>TRUNC(SUM(I1238))</f>
        <v>2390</v>
      </c>
      <c r="J1239" s="25"/>
      <c r="K1239" s="12">
        <f>TRUNC(SUM(K1238))</f>
        <v>2607</v>
      </c>
      <c r="L1239" s="25"/>
      <c r="M1239" s="12">
        <f>TRUNC(SUM(M1238))</f>
        <v>3259</v>
      </c>
    </row>
    <row r="1240" spans="2:13" ht="12.95" customHeight="1" x14ac:dyDescent="0.3">
      <c r="B1240" s="50"/>
      <c r="C1240" s="51"/>
      <c r="D1240" s="51"/>
      <c r="E1240" s="22"/>
      <c r="F1240" s="15"/>
      <c r="G1240" s="24"/>
      <c r="H1240" s="15"/>
      <c r="I1240" s="24"/>
      <c r="J1240" s="15"/>
      <c r="K1240" s="24"/>
      <c r="L1240" s="15"/>
      <c r="M1240" s="24"/>
    </row>
    <row r="1241" spans="2:13" ht="12.95" customHeight="1" x14ac:dyDescent="0.3">
      <c r="B1241" s="52" t="s">
        <v>29</v>
      </c>
      <c r="C1241" s="53"/>
      <c r="D1241" s="54" t="s">
        <v>9</v>
      </c>
      <c r="E1241" s="55">
        <v>262580</v>
      </c>
      <c r="F1241" s="28">
        <v>0.08</v>
      </c>
      <c r="G1241" s="2">
        <f t="shared" ref="G1241:G1242" si="412">TRUNC($E1241*F1241,1)</f>
        <v>21006.400000000001</v>
      </c>
      <c r="H1241" s="28">
        <v>0.11</v>
      </c>
      <c r="I1241" s="3">
        <f t="shared" ref="I1241:I1242" si="413">TRUNC($E1241*H1241,1)</f>
        <v>28883.8</v>
      </c>
      <c r="J1241" s="28">
        <v>0.12</v>
      </c>
      <c r="K1241" s="3">
        <f t="shared" ref="K1241:K1242" si="414">TRUNC($E1241*J1241,1)</f>
        <v>31509.599999999999</v>
      </c>
      <c r="L1241" s="28">
        <v>0.15</v>
      </c>
      <c r="M1241" s="3">
        <f t="shared" ref="M1241:M1242" si="415">TRUNC($E1241*L1241,1)</f>
        <v>39387</v>
      </c>
    </row>
    <row r="1242" spans="2:13" ht="12.95" customHeight="1" x14ac:dyDescent="0.3">
      <c r="B1242" s="52" t="s">
        <v>1</v>
      </c>
      <c r="C1242" s="53"/>
      <c r="D1242" s="54" t="s">
        <v>9</v>
      </c>
      <c r="E1242" s="57">
        <v>172068</v>
      </c>
      <c r="F1242" s="28">
        <v>0.08</v>
      </c>
      <c r="G1242" s="2">
        <f t="shared" si="412"/>
        <v>13765.4</v>
      </c>
      <c r="H1242" s="28">
        <v>0.11</v>
      </c>
      <c r="I1242" s="3">
        <f t="shared" si="413"/>
        <v>18927.400000000001</v>
      </c>
      <c r="J1242" s="28">
        <v>0.12</v>
      </c>
      <c r="K1242" s="3">
        <f t="shared" si="414"/>
        <v>20648.099999999999</v>
      </c>
      <c r="L1242" s="28">
        <v>0.15</v>
      </c>
      <c r="M1242" s="3">
        <f t="shared" si="415"/>
        <v>25810.2</v>
      </c>
    </row>
    <row r="1243" spans="2:13" ht="12.95" customHeight="1" x14ac:dyDescent="0.3">
      <c r="B1243" s="58" t="s">
        <v>11</v>
      </c>
      <c r="C1243" s="80"/>
      <c r="D1243" s="81"/>
      <c r="E1243" s="82"/>
      <c r="F1243" s="82"/>
      <c r="G1243" s="10">
        <f>TRUNC(SUM(G1241:G1242))</f>
        <v>34771</v>
      </c>
      <c r="H1243" s="82"/>
      <c r="I1243" s="11">
        <f>TRUNC(SUM(I1241:I1242))</f>
        <v>47811</v>
      </c>
      <c r="J1243" s="82"/>
      <c r="K1243" s="11">
        <f>TRUNC(SUM(K1241:K1242))</f>
        <v>52157</v>
      </c>
      <c r="L1243" s="82"/>
      <c r="M1243" s="11">
        <f>TRUNC(SUM(M1241:M1242))</f>
        <v>65197</v>
      </c>
    </row>
    <row r="1244" spans="2:13" ht="12.95" customHeight="1" x14ac:dyDescent="0.3">
      <c r="B1244" s="83"/>
      <c r="C1244" s="53"/>
      <c r="D1244" s="54"/>
      <c r="E1244" s="84"/>
      <c r="F1244" s="84"/>
      <c r="G1244" s="6"/>
      <c r="H1244" s="84"/>
      <c r="I1244" s="7"/>
      <c r="J1244" s="84"/>
      <c r="K1244" s="7"/>
      <c r="L1244" s="84"/>
      <c r="M1244" s="7"/>
    </row>
    <row r="1245" spans="2:13" ht="12.95" customHeight="1" x14ac:dyDescent="0.3">
      <c r="B1245" s="66" t="s">
        <v>13</v>
      </c>
      <c r="C1245" s="85"/>
      <c r="D1245" s="86"/>
      <c r="E1245" s="87"/>
      <c r="F1245" s="87"/>
      <c r="G1245" s="26">
        <f>SUM(G1239+G1243)</f>
        <v>36509</v>
      </c>
      <c r="H1245" s="87"/>
      <c r="I1245" s="26">
        <f>SUM(I1239+I1243)</f>
        <v>50201</v>
      </c>
      <c r="J1245" s="87"/>
      <c r="K1245" s="26">
        <f>SUM(K1239+K1243)</f>
        <v>54764</v>
      </c>
      <c r="L1245" s="87"/>
      <c r="M1245" s="26">
        <f>SUM(M1239+M1243)</f>
        <v>68456</v>
      </c>
    </row>
    <row r="1247" spans="2:13" ht="12.95" customHeight="1" x14ac:dyDescent="0.3">
      <c r="B1247" s="32" t="s">
        <v>99</v>
      </c>
    </row>
    <row r="1248" spans="2:13" ht="12.95" customHeight="1" x14ac:dyDescent="0.3">
      <c r="B1248" s="1" t="s">
        <v>100</v>
      </c>
      <c r="K1248" s="79" t="s">
        <v>87</v>
      </c>
    </row>
    <row r="1249" spans="2:11" ht="12.95" customHeight="1" x14ac:dyDescent="0.3">
      <c r="B1249" s="97" t="s">
        <v>3</v>
      </c>
      <c r="C1249" s="99" t="s">
        <v>16</v>
      </c>
      <c r="D1249" s="101" t="s">
        <v>8</v>
      </c>
      <c r="E1249" s="92" t="s">
        <v>4</v>
      </c>
      <c r="F1249" s="105" t="s">
        <v>89</v>
      </c>
      <c r="G1249" s="95"/>
      <c r="H1249" s="105" t="s">
        <v>103</v>
      </c>
      <c r="I1249" s="95"/>
      <c r="J1249" s="105" t="s">
        <v>104</v>
      </c>
      <c r="K1249" s="95"/>
    </row>
    <row r="1250" spans="2:11" ht="12.95" customHeight="1" x14ac:dyDescent="0.3">
      <c r="B1250" s="98"/>
      <c r="C1250" s="100"/>
      <c r="D1250" s="101"/>
      <c r="E1250" s="94"/>
      <c r="F1250" s="74" t="s">
        <v>5</v>
      </c>
      <c r="G1250" s="75" t="s">
        <v>6</v>
      </c>
      <c r="H1250" s="74" t="s">
        <v>5</v>
      </c>
      <c r="I1250" s="75" t="s">
        <v>6</v>
      </c>
      <c r="J1250" s="74" t="s">
        <v>5</v>
      </c>
      <c r="K1250" s="75" t="s">
        <v>6</v>
      </c>
    </row>
    <row r="1251" spans="2:11" ht="12.95" customHeight="1" x14ac:dyDescent="0.3">
      <c r="B1251" s="59" t="s">
        <v>2</v>
      </c>
      <c r="C1251" s="59" t="s">
        <v>45</v>
      </c>
      <c r="D1251" s="61" t="s">
        <v>17</v>
      </c>
      <c r="E1251" s="17">
        <v>19871</v>
      </c>
      <c r="F1251" s="25">
        <v>0.71</v>
      </c>
      <c r="G1251" s="3">
        <f t="shared" ref="G1251" si="416">TRUNC($E1251*F1251,1)</f>
        <v>14108.4</v>
      </c>
      <c r="H1251" s="25">
        <v>0.83</v>
      </c>
      <c r="I1251" s="3">
        <f t="shared" ref="I1251" si="417">TRUNC($E1251*H1251,1)</f>
        <v>16492.900000000001</v>
      </c>
      <c r="J1251" s="25">
        <v>0.92</v>
      </c>
      <c r="K1251" s="3">
        <f t="shared" ref="K1251" si="418">TRUNC($E1251*J1251,1)</f>
        <v>18281.3</v>
      </c>
    </row>
    <row r="1252" spans="2:11" ht="12.95" customHeight="1" x14ac:dyDescent="0.3">
      <c r="B1252" s="42" t="s">
        <v>53</v>
      </c>
      <c r="C1252" s="43" t="s">
        <v>54</v>
      </c>
      <c r="D1252" s="44" t="s">
        <v>15</v>
      </c>
      <c r="E1252" s="45"/>
      <c r="F1252" s="21">
        <v>1</v>
      </c>
      <c r="G1252" s="5">
        <f>TRUNC(SUM(G1255:G1256)*0.01,1)</f>
        <v>3104.9</v>
      </c>
      <c r="H1252" s="21">
        <v>1</v>
      </c>
      <c r="I1252" s="5">
        <f>TRUNC(SUM(I1255:I1256)*0.01,1)</f>
        <v>3880.9</v>
      </c>
      <c r="J1252" s="21">
        <v>1</v>
      </c>
      <c r="K1252" s="5">
        <f>TRUNC(SUM(K1255:K1256)*0.01,1)</f>
        <v>4378</v>
      </c>
    </row>
    <row r="1253" spans="2:11" ht="12.95" customHeight="1" x14ac:dyDescent="0.3">
      <c r="B1253" s="46" t="s">
        <v>10</v>
      </c>
      <c r="C1253" s="51"/>
      <c r="D1253" s="51"/>
      <c r="E1253" s="22"/>
      <c r="F1253" s="23"/>
      <c r="G1253" s="16">
        <f>TRUNC(SUM(G1251:G1252))</f>
        <v>17213</v>
      </c>
      <c r="H1253" s="23"/>
      <c r="I1253" s="16">
        <f>TRUNC(SUM(I1251:I1252))</f>
        <v>20373</v>
      </c>
      <c r="J1253" s="23"/>
      <c r="K1253" s="16">
        <f>TRUNC(SUM(K1251:K1252))</f>
        <v>22659</v>
      </c>
    </row>
    <row r="1254" spans="2:11" ht="12.95" customHeight="1" x14ac:dyDescent="0.3">
      <c r="B1254" s="50"/>
      <c r="C1254" s="51"/>
      <c r="D1254" s="51"/>
      <c r="E1254" s="22"/>
      <c r="F1254" s="23"/>
      <c r="G1254" s="24"/>
      <c r="H1254" s="23"/>
      <c r="I1254" s="24"/>
      <c r="J1254" s="23"/>
      <c r="K1254" s="24"/>
    </row>
    <row r="1255" spans="2:11" ht="12.95" customHeight="1" x14ac:dyDescent="0.3">
      <c r="B1255" s="52" t="s">
        <v>29</v>
      </c>
      <c r="C1255" s="53"/>
      <c r="D1255" s="54" t="s">
        <v>9</v>
      </c>
      <c r="E1255" s="55">
        <v>262580</v>
      </c>
      <c r="F1255" s="25">
        <v>0.94</v>
      </c>
      <c r="G1255" s="3">
        <f t="shared" ref="G1255:G1257" si="419">TRUNC($E1255*F1255,1)</f>
        <v>246825.2</v>
      </c>
      <c r="H1255" s="25">
        <v>1.17</v>
      </c>
      <c r="I1255" s="3">
        <f t="shared" ref="I1255:I1257" si="420">TRUNC($E1255*H1255,1)</f>
        <v>307218.59999999998</v>
      </c>
      <c r="J1255" s="25">
        <v>1.32</v>
      </c>
      <c r="K1255" s="3">
        <f t="shared" ref="K1255:K1257" si="421">TRUNC($E1255*J1255,1)</f>
        <v>346605.6</v>
      </c>
    </row>
    <row r="1256" spans="2:11" ht="12.95" customHeight="1" x14ac:dyDescent="0.3">
      <c r="B1256" s="52" t="s">
        <v>1</v>
      </c>
      <c r="C1256" s="53"/>
      <c r="D1256" s="54" t="s">
        <v>9</v>
      </c>
      <c r="E1256" s="57">
        <v>172068</v>
      </c>
      <c r="F1256" s="25">
        <v>0.37</v>
      </c>
      <c r="G1256" s="3">
        <f t="shared" si="419"/>
        <v>63665.1</v>
      </c>
      <c r="H1256" s="25">
        <v>0.47</v>
      </c>
      <c r="I1256" s="3">
        <f t="shared" si="420"/>
        <v>80871.899999999994</v>
      </c>
      <c r="J1256" s="25">
        <v>0.53</v>
      </c>
      <c r="K1256" s="3">
        <f t="shared" si="421"/>
        <v>91196</v>
      </c>
    </row>
    <row r="1257" spans="2:11" ht="12.95" customHeight="1" x14ac:dyDescent="0.3">
      <c r="B1257" s="59" t="s">
        <v>2</v>
      </c>
      <c r="C1257" s="59" t="s">
        <v>45</v>
      </c>
      <c r="D1257" s="61" t="s">
        <v>17</v>
      </c>
      <c r="E1257" s="17">
        <v>49698</v>
      </c>
      <c r="F1257" s="25">
        <v>0.71</v>
      </c>
      <c r="G1257" s="3">
        <f t="shared" si="419"/>
        <v>35285.5</v>
      </c>
      <c r="H1257" s="25">
        <v>0.83</v>
      </c>
      <c r="I1257" s="3">
        <f t="shared" si="420"/>
        <v>41249.300000000003</v>
      </c>
      <c r="J1257" s="25">
        <v>0.92</v>
      </c>
      <c r="K1257" s="3">
        <f t="shared" si="421"/>
        <v>45722.1</v>
      </c>
    </row>
    <row r="1258" spans="2:11" ht="12.95" customHeight="1" x14ac:dyDescent="0.3">
      <c r="B1258" s="58" t="s">
        <v>11</v>
      </c>
      <c r="C1258" s="51"/>
      <c r="D1258" s="51"/>
      <c r="E1258" s="22"/>
      <c r="F1258" s="23"/>
      <c r="G1258" s="16">
        <f>TRUNC(SUM(G1255:G1257))</f>
        <v>345775</v>
      </c>
      <c r="H1258" s="23" t="s">
        <v>58</v>
      </c>
      <c r="I1258" s="16">
        <f>TRUNC(SUM(I1255:I1257))</f>
        <v>429339</v>
      </c>
      <c r="J1258" s="23"/>
      <c r="K1258" s="16">
        <f>TRUNC(SUM(K1255:K1257))</f>
        <v>483523</v>
      </c>
    </row>
    <row r="1259" spans="2:11" ht="12.95" customHeight="1" x14ac:dyDescent="0.3">
      <c r="B1259" s="50"/>
      <c r="C1259" s="51"/>
      <c r="D1259" s="51"/>
      <c r="E1259" s="22"/>
      <c r="F1259" s="23"/>
      <c r="G1259" s="24"/>
      <c r="H1259" s="23"/>
      <c r="I1259" s="24"/>
      <c r="J1259" s="23"/>
      <c r="K1259" s="24"/>
    </row>
    <row r="1260" spans="2:11" ht="12.95" customHeight="1" x14ac:dyDescent="0.3">
      <c r="B1260" s="59" t="s">
        <v>2</v>
      </c>
      <c r="C1260" s="59" t="s">
        <v>45</v>
      </c>
      <c r="D1260" s="61" t="s">
        <v>17</v>
      </c>
      <c r="E1260" s="17">
        <v>31327</v>
      </c>
      <c r="F1260" s="25">
        <v>0.71</v>
      </c>
      <c r="G1260" s="3">
        <f t="shared" ref="G1260" si="422">TRUNC($E1260*F1260,1)</f>
        <v>22242.1</v>
      </c>
      <c r="H1260" s="25">
        <v>0.83</v>
      </c>
      <c r="I1260" s="3">
        <f t="shared" ref="I1260" si="423">TRUNC($E1260*H1260,1)</f>
        <v>26001.4</v>
      </c>
      <c r="J1260" s="25">
        <v>0.92</v>
      </c>
      <c r="K1260" s="3">
        <f t="shared" ref="K1260" si="424">TRUNC($E1260*J1260,1)</f>
        <v>28820.799999999999</v>
      </c>
    </row>
    <row r="1261" spans="2:11" ht="12.95" customHeight="1" x14ac:dyDescent="0.3">
      <c r="B1261" s="46" t="s">
        <v>12</v>
      </c>
      <c r="C1261" s="51"/>
      <c r="D1261" s="51"/>
      <c r="E1261" s="62"/>
      <c r="F1261" s="15"/>
      <c r="G1261" s="16">
        <f>TRUNC(SUM(G1260:G1260))</f>
        <v>22242</v>
      </c>
      <c r="H1261" s="15"/>
      <c r="I1261" s="16">
        <f>TRUNC(SUM(I1260:I1260))</f>
        <v>26001</v>
      </c>
      <c r="J1261" s="15"/>
      <c r="K1261" s="16">
        <f>TRUNC(SUM(K1260:K1260))</f>
        <v>28820</v>
      </c>
    </row>
    <row r="1262" spans="2:11" ht="12.95" customHeight="1" x14ac:dyDescent="0.3">
      <c r="B1262" s="63"/>
      <c r="C1262" s="59"/>
      <c r="D1262" s="59"/>
      <c r="E1262" s="64"/>
      <c r="F1262" s="25"/>
      <c r="G1262" s="27"/>
      <c r="H1262" s="25"/>
      <c r="I1262" s="27"/>
      <c r="J1262" s="25"/>
      <c r="K1262" s="27"/>
    </row>
    <row r="1263" spans="2:11" ht="12.95" customHeight="1" x14ac:dyDescent="0.3">
      <c r="B1263" s="66" t="s">
        <v>13</v>
      </c>
      <c r="C1263" s="76"/>
      <c r="D1263" s="76"/>
      <c r="E1263" s="77"/>
      <c r="F1263" s="77"/>
      <c r="G1263" s="26">
        <f>SUM(G1253+G1258+G1261)</f>
        <v>385230</v>
      </c>
      <c r="H1263" s="77"/>
      <c r="I1263" s="26">
        <f>SUM(I1253+I1258+I1261)</f>
        <v>475713</v>
      </c>
      <c r="J1263" s="77"/>
      <c r="K1263" s="26">
        <f>SUM(K1253+K1258+K1261)</f>
        <v>535002</v>
      </c>
    </row>
    <row r="1264" spans="2:11" ht="12.95" customHeight="1" x14ac:dyDescent="0.3">
      <c r="B1264" s="97" t="s">
        <v>3</v>
      </c>
      <c r="C1264" s="99" t="s">
        <v>16</v>
      </c>
      <c r="D1264" s="101" t="s">
        <v>8</v>
      </c>
      <c r="E1264" s="92" t="s">
        <v>4</v>
      </c>
      <c r="F1264" s="105" t="s">
        <v>105</v>
      </c>
      <c r="G1264" s="95"/>
      <c r="H1264" s="105" t="s">
        <v>106</v>
      </c>
      <c r="I1264" s="95"/>
      <c r="J1264" s="105" t="s">
        <v>107</v>
      </c>
      <c r="K1264" s="95"/>
    </row>
    <row r="1265" spans="2:11" ht="12.95" customHeight="1" x14ac:dyDescent="0.3">
      <c r="B1265" s="98"/>
      <c r="C1265" s="100"/>
      <c r="D1265" s="101"/>
      <c r="E1265" s="94"/>
      <c r="F1265" s="74" t="s">
        <v>5</v>
      </c>
      <c r="G1265" s="75" t="s">
        <v>6</v>
      </c>
      <c r="H1265" s="74" t="s">
        <v>5</v>
      </c>
      <c r="I1265" s="75" t="s">
        <v>6</v>
      </c>
      <c r="J1265" s="74" t="s">
        <v>5</v>
      </c>
      <c r="K1265" s="75" t="s">
        <v>6</v>
      </c>
    </row>
    <row r="1266" spans="2:11" ht="12.95" customHeight="1" x14ac:dyDescent="0.3">
      <c r="B1266" s="59" t="s">
        <v>2</v>
      </c>
      <c r="C1266" s="59" t="s">
        <v>45</v>
      </c>
      <c r="D1266" s="61" t="s">
        <v>17</v>
      </c>
      <c r="E1266" s="17">
        <v>19871</v>
      </c>
      <c r="F1266" s="25">
        <v>1</v>
      </c>
      <c r="G1266" s="3">
        <f t="shared" ref="G1266" si="425">TRUNC($E1266*F1266,1)</f>
        <v>19871</v>
      </c>
      <c r="H1266" s="25">
        <v>1.0900000000000001</v>
      </c>
      <c r="I1266" s="3">
        <f t="shared" ref="I1266" si="426">TRUNC($E1266*H1266,1)</f>
        <v>21659.3</v>
      </c>
      <c r="J1266" s="25">
        <v>1.21</v>
      </c>
      <c r="K1266" s="3">
        <f t="shared" ref="K1266" si="427">TRUNC($E1266*J1266,1)</f>
        <v>24043.9</v>
      </c>
    </row>
    <row r="1267" spans="2:11" ht="12.95" customHeight="1" x14ac:dyDescent="0.3">
      <c r="B1267" s="42" t="s">
        <v>53</v>
      </c>
      <c r="C1267" s="43" t="s">
        <v>54</v>
      </c>
      <c r="D1267" s="44" t="s">
        <v>15</v>
      </c>
      <c r="E1267" s="45"/>
      <c r="F1267" s="21">
        <v>1</v>
      </c>
      <c r="G1267" s="5">
        <f>TRUNC(SUM(G1270:G1271)*0.01,1)</f>
        <v>4901.3</v>
      </c>
      <c r="H1267" s="21">
        <v>1</v>
      </c>
      <c r="I1267" s="5">
        <f>TRUNC(SUM(I1270:I1271)*0.01,1)</f>
        <v>5398.4</v>
      </c>
      <c r="J1267" s="21">
        <v>1</v>
      </c>
      <c r="K1267" s="5">
        <f>TRUNC(SUM(K1270:K1271)*0.01,1)</f>
        <v>6174.4</v>
      </c>
    </row>
    <row r="1268" spans="2:11" ht="12.95" customHeight="1" x14ac:dyDescent="0.3">
      <c r="B1268" s="46" t="s">
        <v>10</v>
      </c>
      <c r="C1268" s="51"/>
      <c r="D1268" s="51"/>
      <c r="E1268" s="22"/>
      <c r="F1268" s="23"/>
      <c r="G1268" s="16">
        <f>TRUNC(SUM(G1266:G1267))</f>
        <v>24772</v>
      </c>
      <c r="H1268" s="23"/>
      <c r="I1268" s="16">
        <f>TRUNC(SUM(I1266:I1267))</f>
        <v>27057</v>
      </c>
      <c r="J1268" s="23"/>
      <c r="K1268" s="16">
        <f>TRUNC(SUM(K1266:K1267))</f>
        <v>30218</v>
      </c>
    </row>
    <row r="1269" spans="2:11" ht="12.95" customHeight="1" x14ac:dyDescent="0.3">
      <c r="B1269" s="50"/>
      <c r="C1269" s="51"/>
      <c r="D1269" s="51"/>
      <c r="E1269" s="22"/>
      <c r="F1269" s="23"/>
      <c r="G1269" s="24"/>
      <c r="H1269" s="23"/>
      <c r="I1269" s="24"/>
      <c r="J1269" s="23"/>
      <c r="K1269" s="24"/>
    </row>
    <row r="1270" spans="2:11" ht="12.95" customHeight="1" x14ac:dyDescent="0.3">
      <c r="B1270" s="52" t="s">
        <v>29</v>
      </c>
      <c r="C1270" s="53"/>
      <c r="D1270" s="54" t="s">
        <v>9</v>
      </c>
      <c r="E1270" s="55">
        <v>262580</v>
      </c>
      <c r="F1270" s="25">
        <v>1.48</v>
      </c>
      <c r="G1270" s="3">
        <f t="shared" ref="G1270:G1272" si="428">TRUNC($E1270*F1270,1)</f>
        <v>388618.4</v>
      </c>
      <c r="H1270" s="25">
        <v>1.63</v>
      </c>
      <c r="I1270" s="3">
        <f t="shared" ref="I1270:I1272" si="429">TRUNC($E1270*H1270,1)</f>
        <v>428005.4</v>
      </c>
      <c r="J1270" s="25">
        <v>1.86</v>
      </c>
      <c r="K1270" s="3">
        <f t="shared" ref="K1270:K1272" si="430">TRUNC($E1270*J1270,1)</f>
        <v>488398.8</v>
      </c>
    </row>
    <row r="1271" spans="2:11" ht="12.95" customHeight="1" x14ac:dyDescent="0.3">
      <c r="B1271" s="52" t="s">
        <v>1</v>
      </c>
      <c r="C1271" s="53"/>
      <c r="D1271" s="54" t="s">
        <v>9</v>
      </c>
      <c r="E1271" s="57">
        <v>172068</v>
      </c>
      <c r="F1271" s="25">
        <v>0.59</v>
      </c>
      <c r="G1271" s="3">
        <f t="shared" si="428"/>
        <v>101520.1</v>
      </c>
      <c r="H1271" s="25">
        <v>0.65</v>
      </c>
      <c r="I1271" s="3">
        <f t="shared" si="429"/>
        <v>111844.2</v>
      </c>
      <c r="J1271" s="25">
        <v>0.75</v>
      </c>
      <c r="K1271" s="3">
        <f t="shared" si="430"/>
        <v>129051</v>
      </c>
    </row>
    <row r="1272" spans="2:11" ht="12.95" customHeight="1" x14ac:dyDescent="0.3">
      <c r="B1272" s="59" t="s">
        <v>2</v>
      </c>
      <c r="C1272" s="59" t="s">
        <v>45</v>
      </c>
      <c r="D1272" s="61" t="s">
        <v>17</v>
      </c>
      <c r="E1272" s="17">
        <v>49698</v>
      </c>
      <c r="F1272" s="25">
        <v>1</v>
      </c>
      <c r="G1272" s="3">
        <f t="shared" si="428"/>
        <v>49698</v>
      </c>
      <c r="H1272" s="25">
        <v>1.0900000000000001</v>
      </c>
      <c r="I1272" s="3">
        <f t="shared" si="429"/>
        <v>54170.8</v>
      </c>
      <c r="J1272" s="25">
        <v>1.21</v>
      </c>
      <c r="K1272" s="3">
        <f t="shared" si="430"/>
        <v>60134.5</v>
      </c>
    </row>
    <row r="1273" spans="2:11" ht="12.95" customHeight="1" x14ac:dyDescent="0.3">
      <c r="B1273" s="58" t="s">
        <v>11</v>
      </c>
      <c r="C1273" s="51"/>
      <c r="D1273" s="51"/>
      <c r="E1273" s="22"/>
      <c r="F1273" s="23"/>
      <c r="G1273" s="16">
        <f>TRUNC(SUM(G1270:G1272))</f>
        <v>539836</v>
      </c>
      <c r="H1273" s="23" t="s">
        <v>58</v>
      </c>
      <c r="I1273" s="16">
        <f>TRUNC(SUM(I1270:I1272))</f>
        <v>594020</v>
      </c>
      <c r="J1273" s="23"/>
      <c r="K1273" s="16">
        <f>TRUNC(SUM(K1270:K1272))</f>
        <v>677584</v>
      </c>
    </row>
    <row r="1274" spans="2:11" ht="12.95" customHeight="1" x14ac:dyDescent="0.3">
      <c r="B1274" s="50"/>
      <c r="C1274" s="51"/>
      <c r="D1274" s="51"/>
      <c r="E1274" s="22"/>
      <c r="F1274" s="23"/>
      <c r="G1274" s="24"/>
      <c r="H1274" s="23"/>
      <c r="I1274" s="24"/>
      <c r="J1274" s="23"/>
      <c r="K1274" s="24"/>
    </row>
    <row r="1275" spans="2:11" ht="12.95" customHeight="1" x14ac:dyDescent="0.3">
      <c r="B1275" s="59" t="s">
        <v>2</v>
      </c>
      <c r="C1275" s="59" t="s">
        <v>45</v>
      </c>
      <c r="D1275" s="61" t="s">
        <v>17</v>
      </c>
      <c r="E1275" s="17">
        <v>31327</v>
      </c>
      <c r="F1275" s="25">
        <v>1</v>
      </c>
      <c r="G1275" s="3">
        <f t="shared" ref="G1275" si="431">TRUNC($E1275*F1275,1)</f>
        <v>31327</v>
      </c>
      <c r="H1275" s="25">
        <v>1.0900000000000001</v>
      </c>
      <c r="I1275" s="3">
        <f t="shared" ref="I1275" si="432">TRUNC($E1275*H1275,1)</f>
        <v>34146.400000000001</v>
      </c>
      <c r="J1275" s="25">
        <v>1.21</v>
      </c>
      <c r="K1275" s="3">
        <f t="shared" ref="K1275" si="433">TRUNC($E1275*J1275,1)</f>
        <v>37905.599999999999</v>
      </c>
    </row>
    <row r="1276" spans="2:11" ht="12.95" customHeight="1" x14ac:dyDescent="0.3">
      <c r="B1276" s="46" t="s">
        <v>12</v>
      </c>
      <c r="C1276" s="51"/>
      <c r="D1276" s="51"/>
      <c r="E1276" s="62"/>
      <c r="F1276" s="15"/>
      <c r="G1276" s="16">
        <f>TRUNC(SUM(G1275:G1275))</f>
        <v>31327</v>
      </c>
      <c r="H1276" s="15"/>
      <c r="I1276" s="16">
        <f>TRUNC(SUM(I1275:I1275))</f>
        <v>34146</v>
      </c>
      <c r="J1276" s="15"/>
      <c r="K1276" s="16">
        <f>TRUNC(SUM(K1275:K1275))</f>
        <v>37905</v>
      </c>
    </row>
    <row r="1277" spans="2:11" ht="12.95" customHeight="1" x14ac:dyDescent="0.3">
      <c r="B1277" s="63"/>
      <c r="C1277" s="59"/>
      <c r="D1277" s="59"/>
      <c r="E1277" s="64"/>
      <c r="F1277" s="25"/>
      <c r="G1277" s="27"/>
      <c r="H1277" s="25"/>
      <c r="I1277" s="27"/>
      <c r="J1277" s="25"/>
      <c r="K1277" s="27"/>
    </row>
    <row r="1278" spans="2:11" ht="12.95" customHeight="1" x14ac:dyDescent="0.3">
      <c r="B1278" s="66" t="s">
        <v>13</v>
      </c>
      <c r="C1278" s="76"/>
      <c r="D1278" s="76"/>
      <c r="E1278" s="77"/>
      <c r="F1278" s="77"/>
      <c r="G1278" s="26">
        <f>SUM(G1268+G1273+G1276)</f>
        <v>595935</v>
      </c>
      <c r="H1278" s="77"/>
      <c r="I1278" s="26">
        <f>SUM(I1268+I1273+I1276)</f>
        <v>655223</v>
      </c>
      <c r="J1278" s="77"/>
      <c r="K1278" s="26">
        <f>SUM(K1268+K1273+K1276)</f>
        <v>745707</v>
      </c>
    </row>
    <row r="1279" spans="2:11" ht="12.95" customHeight="1" x14ac:dyDescent="0.3">
      <c r="B1279" s="97" t="s">
        <v>3</v>
      </c>
      <c r="C1279" s="99" t="s">
        <v>16</v>
      </c>
      <c r="D1279" s="101" t="s">
        <v>8</v>
      </c>
      <c r="E1279" s="92" t="s">
        <v>4</v>
      </c>
      <c r="F1279" s="105" t="s">
        <v>108</v>
      </c>
      <c r="G1279" s="95"/>
      <c r="H1279" s="105" t="s">
        <v>109</v>
      </c>
      <c r="I1279" s="95"/>
    </row>
    <row r="1280" spans="2:11" ht="12.95" customHeight="1" x14ac:dyDescent="0.3">
      <c r="B1280" s="98"/>
      <c r="C1280" s="100"/>
      <c r="D1280" s="101"/>
      <c r="E1280" s="94"/>
      <c r="F1280" s="74" t="s">
        <v>5</v>
      </c>
      <c r="G1280" s="75" t="s">
        <v>6</v>
      </c>
      <c r="H1280" s="74" t="s">
        <v>5</v>
      </c>
      <c r="I1280" s="75" t="s">
        <v>6</v>
      </c>
    </row>
    <row r="1281" spans="2:9" ht="12.95" customHeight="1" x14ac:dyDescent="0.3">
      <c r="B1281" s="59" t="s">
        <v>102</v>
      </c>
      <c r="C1281" s="59" t="s">
        <v>101</v>
      </c>
      <c r="D1281" s="61" t="s">
        <v>17</v>
      </c>
      <c r="E1281" s="17">
        <v>11299</v>
      </c>
      <c r="F1281" s="25">
        <v>1.34</v>
      </c>
      <c r="G1281" s="3">
        <f t="shared" ref="G1281" si="434">TRUNC($E1281*F1281,1)</f>
        <v>15140.6</v>
      </c>
      <c r="H1281" s="25">
        <v>1.46</v>
      </c>
      <c r="I1281" s="3">
        <f t="shared" ref="I1281" si="435">TRUNC($E1281*H1281,1)</f>
        <v>16496.5</v>
      </c>
    </row>
    <row r="1282" spans="2:9" ht="12.95" customHeight="1" x14ac:dyDescent="0.3">
      <c r="B1282" s="42" t="s">
        <v>53</v>
      </c>
      <c r="C1282" s="43" t="s">
        <v>54</v>
      </c>
      <c r="D1282" s="44" t="s">
        <v>15</v>
      </c>
      <c r="E1282" s="45"/>
      <c r="F1282" s="21">
        <v>1</v>
      </c>
      <c r="G1282" s="5">
        <f>TRUNC(SUM(G1285:G1286)*0.01,1)</f>
        <v>6959.5</v>
      </c>
      <c r="H1282" s="21">
        <v>1</v>
      </c>
      <c r="I1282" s="5">
        <f>TRUNC(SUM(I1285:I1286)*0.01,1)</f>
        <v>7718.3</v>
      </c>
    </row>
    <row r="1283" spans="2:9" ht="12.95" customHeight="1" x14ac:dyDescent="0.3">
      <c r="B1283" s="46" t="s">
        <v>10</v>
      </c>
      <c r="C1283" s="51"/>
      <c r="D1283" s="51"/>
      <c r="E1283" s="22"/>
      <c r="F1283" s="23"/>
      <c r="G1283" s="16">
        <f>TRUNC(SUM(G1281:G1282))</f>
        <v>22100</v>
      </c>
      <c r="H1283" s="23"/>
      <c r="I1283" s="16">
        <f>TRUNC(SUM(I1281:I1282))</f>
        <v>24214</v>
      </c>
    </row>
    <row r="1284" spans="2:9" ht="12.95" customHeight="1" x14ac:dyDescent="0.3">
      <c r="B1284" s="50"/>
      <c r="C1284" s="51"/>
      <c r="D1284" s="51"/>
      <c r="E1284" s="22"/>
      <c r="F1284" s="23"/>
      <c r="G1284" s="24"/>
      <c r="H1284" s="23"/>
      <c r="I1284" s="24"/>
    </row>
    <row r="1285" spans="2:9" ht="12.95" customHeight="1" x14ac:dyDescent="0.3">
      <c r="B1285" s="52" t="s">
        <v>29</v>
      </c>
      <c r="C1285" s="53"/>
      <c r="D1285" s="54" t="s">
        <v>9</v>
      </c>
      <c r="E1285" s="55">
        <v>262580</v>
      </c>
      <c r="F1285" s="25">
        <v>2.1</v>
      </c>
      <c r="G1285" s="3">
        <f t="shared" ref="G1285:G1287" si="436">TRUNC($E1285*F1285,1)</f>
        <v>551418</v>
      </c>
      <c r="H1285" s="25">
        <v>2.33</v>
      </c>
      <c r="I1285" s="3">
        <f t="shared" ref="I1285:I1287" si="437">TRUNC($E1285*H1285,1)</f>
        <v>611811.4</v>
      </c>
    </row>
    <row r="1286" spans="2:9" ht="12.95" customHeight="1" x14ac:dyDescent="0.3">
      <c r="B1286" s="52" t="s">
        <v>1</v>
      </c>
      <c r="C1286" s="53"/>
      <c r="D1286" s="54" t="s">
        <v>9</v>
      </c>
      <c r="E1286" s="57">
        <v>172068</v>
      </c>
      <c r="F1286" s="25">
        <v>0.84</v>
      </c>
      <c r="G1286" s="3">
        <f t="shared" si="436"/>
        <v>144537.1</v>
      </c>
      <c r="H1286" s="25">
        <v>0.93</v>
      </c>
      <c r="I1286" s="3">
        <f t="shared" si="437"/>
        <v>160023.20000000001</v>
      </c>
    </row>
    <row r="1287" spans="2:9" ht="12.95" customHeight="1" x14ac:dyDescent="0.3">
      <c r="B1287" s="59" t="s">
        <v>102</v>
      </c>
      <c r="C1287" s="59" t="s">
        <v>101</v>
      </c>
      <c r="D1287" s="61" t="s">
        <v>17</v>
      </c>
      <c r="E1287" s="17">
        <v>58925</v>
      </c>
      <c r="F1287" s="25">
        <v>1.34</v>
      </c>
      <c r="G1287" s="3">
        <f t="shared" si="436"/>
        <v>78959.5</v>
      </c>
      <c r="H1287" s="25">
        <v>1.46</v>
      </c>
      <c r="I1287" s="3">
        <f t="shared" si="437"/>
        <v>86030.5</v>
      </c>
    </row>
    <row r="1288" spans="2:9" ht="12.95" customHeight="1" x14ac:dyDescent="0.3">
      <c r="B1288" s="58" t="s">
        <v>11</v>
      </c>
      <c r="C1288" s="51"/>
      <c r="D1288" s="51"/>
      <c r="E1288" s="22"/>
      <c r="F1288" s="23"/>
      <c r="G1288" s="16">
        <f>TRUNC(SUM(G1285:G1287))</f>
        <v>774914</v>
      </c>
      <c r="H1288" s="23"/>
      <c r="I1288" s="16">
        <f>TRUNC(SUM(I1285:I1287))</f>
        <v>857865</v>
      </c>
    </row>
    <row r="1289" spans="2:9" ht="12.95" customHeight="1" x14ac:dyDescent="0.3">
      <c r="B1289" s="50"/>
      <c r="C1289" s="51"/>
      <c r="D1289" s="51"/>
      <c r="E1289" s="22"/>
      <c r="F1289" s="23"/>
      <c r="G1289" s="24"/>
      <c r="H1289" s="23"/>
      <c r="I1289" s="24"/>
    </row>
    <row r="1290" spans="2:9" ht="12.95" customHeight="1" x14ac:dyDescent="0.3">
      <c r="B1290" s="59" t="s">
        <v>102</v>
      </c>
      <c r="C1290" s="59" t="s">
        <v>101</v>
      </c>
      <c r="D1290" s="61" t="s">
        <v>17</v>
      </c>
      <c r="E1290" s="17">
        <v>53629</v>
      </c>
      <c r="F1290" s="25">
        <v>1.34</v>
      </c>
      <c r="G1290" s="3">
        <f t="shared" ref="G1290" si="438">TRUNC($E1290*F1290,1)</f>
        <v>71862.8</v>
      </c>
      <c r="H1290" s="25">
        <v>1.46</v>
      </c>
      <c r="I1290" s="3">
        <f t="shared" ref="I1290" si="439">TRUNC($E1290*H1290,1)</f>
        <v>78298.3</v>
      </c>
    </row>
    <row r="1291" spans="2:9" ht="12.95" customHeight="1" x14ac:dyDescent="0.3">
      <c r="B1291" s="46" t="s">
        <v>12</v>
      </c>
      <c r="C1291" s="51"/>
      <c r="D1291" s="51"/>
      <c r="E1291" s="62"/>
      <c r="F1291" s="15"/>
      <c r="G1291" s="16">
        <f>TRUNC(SUM(G1290:G1290))</f>
        <v>71862</v>
      </c>
      <c r="H1291" s="15"/>
      <c r="I1291" s="16">
        <f>TRUNC(SUM(I1290:I1290))</f>
        <v>78298</v>
      </c>
    </row>
    <row r="1292" spans="2:9" ht="12.95" customHeight="1" x14ac:dyDescent="0.3">
      <c r="B1292" s="63"/>
      <c r="C1292" s="59"/>
      <c r="D1292" s="59"/>
      <c r="E1292" s="64"/>
      <c r="F1292" s="25"/>
      <c r="G1292" s="27"/>
      <c r="H1292" s="25"/>
      <c r="I1292" s="27"/>
    </row>
    <row r="1293" spans="2:9" ht="12.95" customHeight="1" x14ac:dyDescent="0.3">
      <c r="B1293" s="66" t="s">
        <v>13</v>
      </c>
      <c r="C1293" s="76"/>
      <c r="D1293" s="76"/>
      <c r="E1293" s="77"/>
      <c r="F1293" s="77"/>
      <c r="G1293" s="26">
        <f>SUM(G1283+G1288+G1291)</f>
        <v>868876</v>
      </c>
      <c r="H1293" s="77"/>
      <c r="I1293" s="26">
        <f>SUM(I1283+I1288+I1291)</f>
        <v>960377</v>
      </c>
    </row>
    <row r="1294" spans="2:9" ht="12.95" customHeight="1" x14ac:dyDescent="0.3">
      <c r="B1294" s="97" t="s">
        <v>3</v>
      </c>
      <c r="C1294" s="99" t="s">
        <v>16</v>
      </c>
      <c r="D1294" s="101" t="s">
        <v>8</v>
      </c>
      <c r="E1294" s="92" t="s">
        <v>4</v>
      </c>
      <c r="F1294" s="105" t="s">
        <v>110</v>
      </c>
      <c r="G1294" s="95"/>
      <c r="H1294" s="105" t="s">
        <v>111</v>
      </c>
      <c r="I1294" s="95"/>
    </row>
    <row r="1295" spans="2:9" ht="12.95" customHeight="1" x14ac:dyDescent="0.3">
      <c r="B1295" s="98"/>
      <c r="C1295" s="100"/>
      <c r="D1295" s="101"/>
      <c r="E1295" s="94"/>
      <c r="F1295" s="74" t="s">
        <v>5</v>
      </c>
      <c r="G1295" s="75" t="s">
        <v>6</v>
      </c>
      <c r="H1295" s="74" t="s">
        <v>5</v>
      </c>
      <c r="I1295" s="75" t="s">
        <v>6</v>
      </c>
    </row>
    <row r="1296" spans="2:9" ht="12.95" customHeight="1" x14ac:dyDescent="0.3">
      <c r="B1296" s="59" t="s">
        <v>102</v>
      </c>
      <c r="C1296" s="59" t="s">
        <v>101</v>
      </c>
      <c r="D1296" s="61" t="s">
        <v>17</v>
      </c>
      <c r="E1296" s="17">
        <v>11299</v>
      </c>
      <c r="F1296" s="25">
        <v>1.76</v>
      </c>
      <c r="G1296" s="3">
        <f t="shared" ref="G1296" si="440">TRUNC($E1296*F1296,1)</f>
        <v>19886.2</v>
      </c>
      <c r="H1296" s="25">
        <v>2.0099999999999998</v>
      </c>
      <c r="I1296" s="3">
        <f t="shared" ref="I1296" si="441">TRUNC($E1296*H1296,1)</f>
        <v>22710.9</v>
      </c>
    </row>
    <row r="1297" spans="2:13" ht="12.95" customHeight="1" x14ac:dyDescent="0.3">
      <c r="B1297" s="42" t="s">
        <v>53</v>
      </c>
      <c r="C1297" s="43" t="s">
        <v>54</v>
      </c>
      <c r="D1297" s="44" t="s">
        <v>15</v>
      </c>
      <c r="E1297" s="45"/>
      <c r="F1297" s="21">
        <v>1</v>
      </c>
      <c r="G1297" s="5">
        <f>TRUNC(SUM(G1300:G1301)*0.01,1)</f>
        <v>9514.7999999999993</v>
      </c>
      <c r="H1297" s="21">
        <v>1</v>
      </c>
      <c r="I1297" s="5">
        <f>TRUNC(SUM(I1300:I1301)*0.01,1)</f>
        <v>11032.4</v>
      </c>
    </row>
    <row r="1298" spans="2:13" ht="12.95" customHeight="1" x14ac:dyDescent="0.3">
      <c r="B1298" s="46" t="s">
        <v>10</v>
      </c>
      <c r="C1298" s="51"/>
      <c r="D1298" s="51"/>
      <c r="E1298" s="22"/>
      <c r="F1298" s="23"/>
      <c r="G1298" s="16">
        <f>TRUNC(SUM(G1296:G1297))</f>
        <v>29401</v>
      </c>
      <c r="H1298" s="23"/>
      <c r="I1298" s="16">
        <f>TRUNC(SUM(I1296:I1297))</f>
        <v>33743</v>
      </c>
    </row>
    <row r="1299" spans="2:13" ht="12.95" customHeight="1" x14ac:dyDescent="0.3">
      <c r="B1299" s="50"/>
      <c r="C1299" s="51"/>
      <c r="D1299" s="51"/>
      <c r="E1299" s="22"/>
      <c r="F1299" s="23"/>
      <c r="G1299" s="24"/>
      <c r="H1299" s="23"/>
      <c r="I1299" s="24"/>
    </row>
    <row r="1300" spans="2:13" ht="12.95" customHeight="1" x14ac:dyDescent="0.3">
      <c r="B1300" s="52" t="s">
        <v>29</v>
      </c>
      <c r="C1300" s="53"/>
      <c r="D1300" s="54" t="s">
        <v>9</v>
      </c>
      <c r="E1300" s="55">
        <v>262580</v>
      </c>
      <c r="F1300" s="25">
        <v>2.87</v>
      </c>
      <c r="G1300" s="3">
        <f t="shared" ref="G1300:G1302" si="442">TRUNC($E1300*F1300,1)</f>
        <v>753604.6</v>
      </c>
      <c r="H1300" s="25">
        <v>3.33</v>
      </c>
      <c r="I1300" s="3">
        <f t="shared" ref="I1300:I1302" si="443">TRUNC($E1300*H1300,1)</f>
        <v>874391.4</v>
      </c>
    </row>
    <row r="1301" spans="2:13" ht="12.95" customHeight="1" x14ac:dyDescent="0.3">
      <c r="B1301" s="52" t="s">
        <v>1</v>
      </c>
      <c r="C1301" s="53"/>
      <c r="D1301" s="54" t="s">
        <v>9</v>
      </c>
      <c r="E1301" s="57">
        <v>172068</v>
      </c>
      <c r="F1301" s="25">
        <v>1.1499999999999999</v>
      </c>
      <c r="G1301" s="3">
        <f t="shared" si="442"/>
        <v>197878.2</v>
      </c>
      <c r="H1301" s="25">
        <v>1.33</v>
      </c>
      <c r="I1301" s="3">
        <f t="shared" si="443"/>
        <v>228850.4</v>
      </c>
    </row>
    <row r="1302" spans="2:13" ht="12.95" customHeight="1" x14ac:dyDescent="0.3">
      <c r="B1302" s="59" t="s">
        <v>102</v>
      </c>
      <c r="C1302" s="59" t="s">
        <v>101</v>
      </c>
      <c r="D1302" s="61" t="s">
        <v>17</v>
      </c>
      <c r="E1302" s="17">
        <v>58925</v>
      </c>
      <c r="F1302" s="25">
        <v>1.76</v>
      </c>
      <c r="G1302" s="3">
        <f t="shared" si="442"/>
        <v>103708</v>
      </c>
      <c r="H1302" s="25">
        <v>2.0099999999999998</v>
      </c>
      <c r="I1302" s="3">
        <f t="shared" si="443"/>
        <v>118439.2</v>
      </c>
    </row>
    <row r="1303" spans="2:13" ht="12.95" customHeight="1" x14ac:dyDescent="0.3">
      <c r="B1303" s="58" t="s">
        <v>11</v>
      </c>
      <c r="C1303" s="51"/>
      <c r="D1303" s="51"/>
      <c r="E1303" s="22"/>
      <c r="F1303" s="23"/>
      <c r="G1303" s="16">
        <f>TRUNC(SUM(G1300:G1302))</f>
        <v>1055190</v>
      </c>
      <c r="H1303" s="23"/>
      <c r="I1303" s="16">
        <f>TRUNC(SUM(I1300:I1302))</f>
        <v>1221681</v>
      </c>
    </row>
    <row r="1304" spans="2:13" ht="12.95" customHeight="1" x14ac:dyDescent="0.3">
      <c r="B1304" s="50"/>
      <c r="C1304" s="51"/>
      <c r="D1304" s="51"/>
      <c r="E1304" s="22"/>
      <c r="F1304" s="23"/>
      <c r="G1304" s="24"/>
      <c r="H1304" s="23"/>
      <c r="I1304" s="24"/>
    </row>
    <row r="1305" spans="2:13" ht="12.95" customHeight="1" x14ac:dyDescent="0.3">
      <c r="B1305" s="59" t="s">
        <v>102</v>
      </c>
      <c r="C1305" s="59" t="s">
        <v>101</v>
      </c>
      <c r="D1305" s="61" t="s">
        <v>17</v>
      </c>
      <c r="E1305" s="17">
        <v>53629</v>
      </c>
      <c r="F1305" s="25">
        <v>1.76</v>
      </c>
      <c r="G1305" s="3">
        <f t="shared" ref="G1305" si="444">TRUNC($E1305*F1305,1)</f>
        <v>94387</v>
      </c>
      <c r="H1305" s="25">
        <v>2.0099999999999998</v>
      </c>
      <c r="I1305" s="3">
        <f t="shared" ref="I1305" si="445">TRUNC($E1305*H1305,1)</f>
        <v>107794.2</v>
      </c>
    </row>
    <row r="1306" spans="2:13" ht="12.95" customHeight="1" x14ac:dyDescent="0.3">
      <c r="B1306" s="46" t="s">
        <v>12</v>
      </c>
      <c r="C1306" s="51"/>
      <c r="D1306" s="51"/>
      <c r="E1306" s="62"/>
      <c r="F1306" s="15"/>
      <c r="G1306" s="16">
        <f>TRUNC(SUM(G1305:G1305))</f>
        <v>94387</v>
      </c>
      <c r="H1306" s="15"/>
      <c r="I1306" s="16">
        <f>TRUNC(SUM(I1305:I1305))</f>
        <v>107794</v>
      </c>
    </row>
    <row r="1307" spans="2:13" ht="12.95" customHeight="1" x14ac:dyDescent="0.3">
      <c r="B1307" s="63"/>
      <c r="C1307" s="59"/>
      <c r="D1307" s="59"/>
      <c r="E1307" s="64"/>
      <c r="F1307" s="25"/>
      <c r="G1307" s="27"/>
      <c r="H1307" s="25"/>
      <c r="I1307" s="27"/>
    </row>
    <row r="1308" spans="2:13" ht="12.95" customHeight="1" x14ac:dyDescent="0.3">
      <c r="B1308" s="66" t="s">
        <v>13</v>
      </c>
      <c r="C1308" s="76"/>
      <c r="D1308" s="76"/>
      <c r="E1308" s="77"/>
      <c r="F1308" s="77"/>
      <c r="G1308" s="26">
        <f>SUM(G1298+G1303+G1306)</f>
        <v>1178978</v>
      </c>
      <c r="H1308" s="77"/>
      <c r="I1308" s="26">
        <f>SUM(I1298+I1303+I1306)</f>
        <v>1363218</v>
      </c>
    </row>
    <row r="1310" spans="2:13" ht="12.95" customHeight="1" x14ac:dyDescent="0.3">
      <c r="B1310" s="1" t="s">
        <v>112</v>
      </c>
      <c r="M1310" s="79" t="s">
        <v>87</v>
      </c>
    </row>
    <row r="1311" spans="2:13" ht="12.95" customHeight="1" x14ac:dyDescent="0.3">
      <c r="B1311" s="106" t="s">
        <v>3</v>
      </c>
      <c r="C1311" s="107" t="s">
        <v>7</v>
      </c>
      <c r="D1311" s="108" t="s">
        <v>8</v>
      </c>
      <c r="E1311" s="109" t="s">
        <v>4</v>
      </c>
      <c r="F1311" s="105" t="s">
        <v>36</v>
      </c>
      <c r="G1311" s="95"/>
      <c r="H1311" s="105" t="s">
        <v>37</v>
      </c>
      <c r="I1311" s="95"/>
      <c r="J1311" s="105" t="s">
        <v>40</v>
      </c>
      <c r="K1311" s="95"/>
      <c r="L1311" s="105" t="s">
        <v>41</v>
      </c>
      <c r="M1311" s="95"/>
    </row>
    <row r="1312" spans="2:13" ht="12.95" customHeight="1" x14ac:dyDescent="0.3">
      <c r="B1312" s="106"/>
      <c r="C1312" s="107"/>
      <c r="D1312" s="108"/>
      <c r="E1312" s="109"/>
      <c r="F1312" s="74" t="s">
        <v>5</v>
      </c>
      <c r="G1312" s="75" t="s">
        <v>6</v>
      </c>
      <c r="H1312" s="74" t="s">
        <v>5</v>
      </c>
      <c r="I1312" s="75" t="s">
        <v>6</v>
      </c>
      <c r="J1312" s="74" t="s">
        <v>5</v>
      </c>
      <c r="K1312" s="75" t="s">
        <v>6</v>
      </c>
      <c r="L1312" s="74" t="s">
        <v>5</v>
      </c>
      <c r="M1312" s="75" t="s">
        <v>6</v>
      </c>
    </row>
    <row r="1313" spans="2:13" ht="12.95" customHeight="1" x14ac:dyDescent="0.3">
      <c r="B1313" s="59" t="s">
        <v>2</v>
      </c>
      <c r="C1313" s="59" t="s">
        <v>14</v>
      </c>
      <c r="D1313" s="61" t="s">
        <v>17</v>
      </c>
      <c r="E1313" s="78">
        <v>9213</v>
      </c>
      <c r="F1313" s="25">
        <v>0.12</v>
      </c>
      <c r="G1313" s="3">
        <f t="shared" ref="G1313" si="446">TRUNC($E1313*F1313,1)</f>
        <v>1105.5</v>
      </c>
      <c r="H1313" s="25">
        <v>0.13</v>
      </c>
      <c r="I1313" s="3">
        <f t="shared" ref="I1313" si="447">TRUNC($E1313*H1313,1)</f>
        <v>1197.5999999999999</v>
      </c>
      <c r="J1313" s="25">
        <v>0.16</v>
      </c>
      <c r="K1313" s="3">
        <f t="shared" ref="K1313" si="448">TRUNC($E1313*J1313,1)</f>
        <v>1474</v>
      </c>
      <c r="L1313" s="25">
        <v>0.17</v>
      </c>
      <c r="M1313" s="3">
        <f t="shared" ref="M1313" si="449">TRUNC($E1313*L1313,1)</f>
        <v>1566.2</v>
      </c>
    </row>
    <row r="1314" spans="2:13" ht="12.95" customHeight="1" x14ac:dyDescent="0.3">
      <c r="B1314" s="42" t="s">
        <v>53</v>
      </c>
      <c r="C1314" s="43" t="s">
        <v>56</v>
      </c>
      <c r="D1314" s="44" t="s">
        <v>15</v>
      </c>
      <c r="E1314" s="45"/>
      <c r="F1314" s="21">
        <v>1</v>
      </c>
      <c r="G1314" s="5">
        <f>TRUNC(SUM(G1317:G1318)*0.02,1)</f>
        <v>278.8</v>
      </c>
      <c r="H1314" s="21">
        <v>1</v>
      </c>
      <c r="I1314" s="5">
        <f>TRUNC(SUM(I1317:I1318)*0.02,1)</f>
        <v>418.3</v>
      </c>
      <c r="J1314" s="21">
        <v>1</v>
      </c>
      <c r="K1314" s="5">
        <f>TRUNC(SUM(K1317:K1318)*0.02,1)</f>
        <v>697.2</v>
      </c>
      <c r="L1314" s="21">
        <v>1</v>
      </c>
      <c r="M1314" s="5">
        <f>TRUNC(SUM(M1317:M1318)*0.02,1)</f>
        <v>836.6</v>
      </c>
    </row>
    <row r="1315" spans="2:13" ht="12.95" customHeight="1" x14ac:dyDescent="0.3">
      <c r="B1315" s="46" t="s">
        <v>10</v>
      </c>
      <c r="C1315" s="51"/>
      <c r="D1315" s="51"/>
      <c r="E1315" s="22"/>
      <c r="F1315" s="23"/>
      <c r="G1315" s="16">
        <f>TRUNC(SUM(G1313:G1314))</f>
        <v>1384</v>
      </c>
      <c r="H1315" s="23"/>
      <c r="I1315" s="16">
        <f>TRUNC(SUM(I1313:I1314))</f>
        <v>1615</v>
      </c>
      <c r="J1315" s="23"/>
      <c r="K1315" s="16">
        <f>TRUNC(SUM(K1313:K1314))</f>
        <v>2171</v>
      </c>
      <c r="L1315" s="23"/>
      <c r="M1315" s="16">
        <f>TRUNC(SUM(M1313:M1314))</f>
        <v>2402</v>
      </c>
    </row>
    <row r="1316" spans="2:13" ht="12.95" customHeight="1" x14ac:dyDescent="0.3">
      <c r="B1316" s="50"/>
      <c r="C1316" s="51"/>
      <c r="D1316" s="51"/>
      <c r="E1316" s="22"/>
      <c r="F1316" s="23"/>
      <c r="G1316" s="24"/>
      <c r="H1316" s="23"/>
      <c r="I1316" s="24"/>
      <c r="J1316" s="23"/>
      <c r="K1316" s="24"/>
      <c r="L1316" s="23"/>
      <c r="M1316" s="24"/>
    </row>
    <row r="1317" spans="2:13" ht="12.95" customHeight="1" x14ac:dyDescent="0.3">
      <c r="B1317" s="52" t="s">
        <v>29</v>
      </c>
      <c r="C1317" s="53"/>
      <c r="D1317" s="54" t="s">
        <v>9</v>
      </c>
      <c r="E1317" s="55">
        <v>262580</v>
      </c>
      <c r="F1317" s="25">
        <v>0.04</v>
      </c>
      <c r="G1317" s="3">
        <f t="shared" ref="G1317:G1319" si="450">TRUNC($E1317*F1317,1)</f>
        <v>10503.2</v>
      </c>
      <c r="H1317" s="25">
        <v>0.06</v>
      </c>
      <c r="I1317" s="3">
        <f t="shared" ref="I1317:I1319" si="451">TRUNC($E1317*H1317,1)</f>
        <v>15754.8</v>
      </c>
      <c r="J1317" s="25">
        <v>0.1</v>
      </c>
      <c r="K1317" s="3">
        <f t="shared" ref="K1317:K1319" si="452">TRUNC($E1317*J1317,1)</f>
        <v>26258</v>
      </c>
      <c r="L1317" s="25">
        <v>0.12</v>
      </c>
      <c r="M1317" s="3">
        <f t="shared" ref="M1317:M1319" si="453">TRUNC($E1317*L1317,1)</f>
        <v>31509.599999999999</v>
      </c>
    </row>
    <row r="1318" spans="2:13" ht="12.95" customHeight="1" x14ac:dyDescent="0.3">
      <c r="B1318" s="52" t="s">
        <v>1</v>
      </c>
      <c r="C1318" s="53"/>
      <c r="D1318" s="54" t="s">
        <v>9</v>
      </c>
      <c r="E1318" s="57">
        <v>172068</v>
      </c>
      <c r="F1318" s="25">
        <v>0.02</v>
      </c>
      <c r="G1318" s="3">
        <f t="shared" si="450"/>
        <v>3441.3</v>
      </c>
      <c r="H1318" s="25">
        <v>0.03</v>
      </c>
      <c r="I1318" s="3">
        <f t="shared" si="451"/>
        <v>5162</v>
      </c>
      <c r="J1318" s="25">
        <v>0.05</v>
      </c>
      <c r="K1318" s="3">
        <f t="shared" si="452"/>
        <v>8603.4</v>
      </c>
      <c r="L1318" s="25">
        <v>0.06</v>
      </c>
      <c r="M1318" s="3">
        <f t="shared" si="453"/>
        <v>10324</v>
      </c>
    </row>
    <row r="1319" spans="2:13" ht="12.95" customHeight="1" x14ac:dyDescent="0.3">
      <c r="B1319" s="59" t="s">
        <v>2</v>
      </c>
      <c r="C1319" s="59" t="s">
        <v>14</v>
      </c>
      <c r="D1319" s="61" t="s">
        <v>17</v>
      </c>
      <c r="E1319" s="78">
        <v>49698</v>
      </c>
      <c r="F1319" s="25">
        <v>0.12</v>
      </c>
      <c r="G1319" s="3">
        <f t="shared" si="450"/>
        <v>5963.7</v>
      </c>
      <c r="H1319" s="25">
        <v>0.13</v>
      </c>
      <c r="I1319" s="3">
        <f t="shared" si="451"/>
        <v>6460.7</v>
      </c>
      <c r="J1319" s="25">
        <v>0.16</v>
      </c>
      <c r="K1319" s="3">
        <f t="shared" si="452"/>
        <v>7951.6</v>
      </c>
      <c r="L1319" s="25">
        <v>0.17</v>
      </c>
      <c r="M1319" s="3">
        <f t="shared" si="453"/>
        <v>8448.6</v>
      </c>
    </row>
    <row r="1320" spans="2:13" ht="12.95" customHeight="1" x14ac:dyDescent="0.3">
      <c r="B1320" s="58" t="s">
        <v>11</v>
      </c>
      <c r="C1320" s="51"/>
      <c r="D1320" s="51"/>
      <c r="E1320" s="22"/>
      <c r="F1320" s="23"/>
      <c r="G1320" s="16">
        <f>TRUNC(SUM(G1317:G1319))</f>
        <v>19908</v>
      </c>
      <c r="H1320" s="23"/>
      <c r="I1320" s="16">
        <f>TRUNC(SUM(I1317:I1319))</f>
        <v>27377</v>
      </c>
      <c r="J1320" s="23"/>
      <c r="K1320" s="16">
        <f>TRUNC(SUM(K1317:K1319))</f>
        <v>42813</v>
      </c>
      <c r="L1320" s="23"/>
      <c r="M1320" s="16">
        <f>TRUNC(SUM(M1317:M1319))</f>
        <v>50282</v>
      </c>
    </row>
    <row r="1321" spans="2:13" ht="12.95" customHeight="1" x14ac:dyDescent="0.3">
      <c r="B1321" s="50"/>
      <c r="C1321" s="51"/>
      <c r="D1321" s="51"/>
      <c r="E1321" s="22"/>
      <c r="F1321" s="23"/>
      <c r="G1321" s="24"/>
      <c r="H1321" s="23"/>
      <c r="I1321" s="24"/>
      <c r="J1321" s="23"/>
      <c r="K1321" s="24"/>
      <c r="L1321" s="23"/>
      <c r="M1321" s="24"/>
    </row>
    <row r="1322" spans="2:13" ht="12.95" customHeight="1" x14ac:dyDescent="0.3">
      <c r="B1322" s="59" t="s">
        <v>2</v>
      </c>
      <c r="C1322" s="59" t="s">
        <v>14</v>
      </c>
      <c r="D1322" s="61" t="s">
        <v>17</v>
      </c>
      <c r="E1322" s="78">
        <v>11117</v>
      </c>
      <c r="F1322" s="25">
        <v>0.12</v>
      </c>
      <c r="G1322" s="3">
        <f t="shared" ref="G1322" si="454">TRUNC($E1322*F1322,1)</f>
        <v>1334</v>
      </c>
      <c r="H1322" s="25">
        <v>0.13</v>
      </c>
      <c r="I1322" s="3">
        <f t="shared" ref="I1322" si="455">TRUNC($E1322*H1322,1)</f>
        <v>1445.2</v>
      </c>
      <c r="J1322" s="25">
        <v>0.16</v>
      </c>
      <c r="K1322" s="3">
        <f t="shared" ref="K1322" si="456">TRUNC($E1322*J1322,1)</f>
        <v>1778.7</v>
      </c>
      <c r="L1322" s="25">
        <v>0.17</v>
      </c>
      <c r="M1322" s="3">
        <f t="shared" ref="M1322" si="457">TRUNC($E1322*L1322,1)</f>
        <v>1889.8</v>
      </c>
    </row>
    <row r="1323" spans="2:13" ht="12.95" customHeight="1" x14ac:dyDescent="0.3">
      <c r="B1323" s="46" t="s">
        <v>12</v>
      </c>
      <c r="C1323" s="51"/>
      <c r="D1323" s="51"/>
      <c r="E1323" s="62"/>
      <c r="F1323" s="15"/>
      <c r="G1323" s="16">
        <f>TRUNC(SUM(G1322:G1322))</f>
        <v>1334</v>
      </c>
      <c r="H1323" s="15"/>
      <c r="I1323" s="16">
        <f>TRUNC(SUM(I1322:I1322))</f>
        <v>1445</v>
      </c>
      <c r="J1323" s="15"/>
      <c r="K1323" s="16">
        <f>TRUNC(SUM(K1322:K1322))</f>
        <v>1778</v>
      </c>
      <c r="L1323" s="15"/>
      <c r="M1323" s="16">
        <f>TRUNC(SUM(M1322:M1322))</f>
        <v>1889</v>
      </c>
    </row>
    <row r="1324" spans="2:13" ht="12.95" customHeight="1" x14ac:dyDescent="0.3">
      <c r="B1324" s="63"/>
      <c r="C1324" s="59"/>
      <c r="D1324" s="59"/>
      <c r="E1324" s="64"/>
      <c r="F1324" s="25"/>
      <c r="G1324" s="27"/>
      <c r="H1324" s="25"/>
      <c r="I1324" s="27"/>
      <c r="J1324" s="25"/>
      <c r="K1324" s="27"/>
      <c r="L1324" s="25"/>
      <c r="M1324" s="27"/>
    </row>
    <row r="1325" spans="2:13" ht="12.95" customHeight="1" x14ac:dyDescent="0.3">
      <c r="B1325" s="66" t="s">
        <v>13</v>
      </c>
      <c r="C1325" s="76"/>
      <c r="D1325" s="76"/>
      <c r="E1325" s="77"/>
      <c r="F1325" s="77"/>
      <c r="G1325" s="26">
        <f>SUM(G1315+G1320+G1323)</f>
        <v>22626</v>
      </c>
      <c r="H1325" s="77"/>
      <c r="I1325" s="26">
        <f>SUM(I1315+I1320+I1323)</f>
        <v>30437</v>
      </c>
      <c r="J1325" s="77"/>
      <c r="K1325" s="26">
        <f>SUM(K1315+K1320+K1323)</f>
        <v>46762</v>
      </c>
      <c r="L1325" s="77"/>
      <c r="M1325" s="26">
        <f>SUM(M1315+M1320+M1323)</f>
        <v>54573</v>
      </c>
    </row>
    <row r="1326" spans="2:13" ht="12.95" customHeight="1" x14ac:dyDescent="0.3">
      <c r="B1326" s="106" t="s">
        <v>3</v>
      </c>
      <c r="C1326" s="107" t="s">
        <v>7</v>
      </c>
      <c r="D1326" s="108" t="s">
        <v>8</v>
      </c>
      <c r="E1326" s="109" t="s">
        <v>4</v>
      </c>
      <c r="F1326" s="105" t="s">
        <v>43</v>
      </c>
      <c r="G1326" s="95"/>
      <c r="H1326" s="105" t="s">
        <v>44</v>
      </c>
      <c r="I1326" s="95"/>
      <c r="J1326" s="105" t="s">
        <v>46</v>
      </c>
      <c r="K1326" s="95"/>
      <c r="L1326" s="105" t="s">
        <v>48</v>
      </c>
      <c r="M1326" s="95"/>
    </row>
    <row r="1327" spans="2:13" ht="12.95" customHeight="1" x14ac:dyDescent="0.3">
      <c r="B1327" s="106"/>
      <c r="C1327" s="107"/>
      <c r="D1327" s="108"/>
      <c r="E1327" s="109"/>
      <c r="F1327" s="74" t="s">
        <v>5</v>
      </c>
      <c r="G1327" s="75" t="s">
        <v>6</v>
      </c>
      <c r="H1327" s="74" t="s">
        <v>5</v>
      </c>
      <c r="I1327" s="75" t="s">
        <v>6</v>
      </c>
      <c r="J1327" s="74" t="s">
        <v>5</v>
      </c>
      <c r="K1327" s="75" t="s">
        <v>6</v>
      </c>
      <c r="L1327" s="74" t="s">
        <v>5</v>
      </c>
      <c r="M1327" s="75" t="s">
        <v>6</v>
      </c>
    </row>
    <row r="1328" spans="2:13" ht="12.95" customHeight="1" x14ac:dyDescent="0.3">
      <c r="B1328" s="59" t="s">
        <v>2</v>
      </c>
      <c r="C1328" s="59" t="s">
        <v>14</v>
      </c>
      <c r="D1328" s="61" t="s">
        <v>17</v>
      </c>
      <c r="E1328" s="78">
        <v>9213</v>
      </c>
      <c r="F1328" s="25">
        <v>0.18</v>
      </c>
      <c r="G1328" s="3">
        <f t="shared" ref="G1328" si="458">TRUNC($E1328*F1328,1)</f>
        <v>1658.3</v>
      </c>
      <c r="H1328" s="25">
        <v>0.2</v>
      </c>
      <c r="I1328" s="3">
        <f t="shared" ref="I1328" si="459">TRUNC($E1328*H1328,1)</f>
        <v>1842.6</v>
      </c>
      <c r="J1328" s="25">
        <v>0.23</v>
      </c>
      <c r="K1328" s="3">
        <f t="shared" ref="K1328" si="460">TRUNC($E1328*J1328,1)</f>
        <v>2118.9</v>
      </c>
      <c r="L1328" s="25">
        <v>0.25</v>
      </c>
      <c r="M1328" s="3">
        <f t="shared" ref="M1328" si="461">TRUNC($E1328*L1328,1)</f>
        <v>2303.1999999999998</v>
      </c>
    </row>
    <row r="1329" spans="2:13" ht="12.95" customHeight="1" x14ac:dyDescent="0.3">
      <c r="B1329" s="42" t="s">
        <v>53</v>
      </c>
      <c r="C1329" s="43" t="s">
        <v>56</v>
      </c>
      <c r="D1329" s="44" t="s">
        <v>15</v>
      </c>
      <c r="E1329" s="45"/>
      <c r="F1329" s="21">
        <v>1</v>
      </c>
      <c r="G1329" s="5">
        <f>TRUNC(SUM(G1332:G1333)*0.02,1)</f>
        <v>923.6</v>
      </c>
      <c r="H1329" s="21">
        <v>1</v>
      </c>
      <c r="I1329" s="5">
        <f>TRUNC(SUM(I1332:I1333)*0.02,1)</f>
        <v>1168</v>
      </c>
      <c r="J1329" s="21">
        <v>1</v>
      </c>
      <c r="K1329" s="5">
        <f>TRUNC(SUM(K1332:K1333)*0.02,1)</f>
        <v>1446.9</v>
      </c>
      <c r="L1329" s="21">
        <v>1</v>
      </c>
      <c r="M1329" s="5">
        <f>TRUNC(SUM(M1332:M1333)*0.02,1)</f>
        <v>1673.3</v>
      </c>
    </row>
    <row r="1330" spans="2:13" ht="12.95" customHeight="1" x14ac:dyDescent="0.3">
      <c r="B1330" s="46" t="s">
        <v>10</v>
      </c>
      <c r="C1330" s="51"/>
      <c r="D1330" s="51"/>
      <c r="E1330" s="22"/>
      <c r="F1330" s="23"/>
      <c r="G1330" s="16">
        <f>TRUNC(SUM(G1328:G1329))</f>
        <v>2581</v>
      </c>
      <c r="H1330" s="23"/>
      <c r="I1330" s="16">
        <f>TRUNC(SUM(I1328:I1329))</f>
        <v>3010</v>
      </c>
      <c r="J1330" s="23"/>
      <c r="K1330" s="16">
        <f>TRUNC(SUM(K1328:K1329))</f>
        <v>3565</v>
      </c>
      <c r="L1330" s="23"/>
      <c r="M1330" s="16">
        <f>TRUNC(SUM(M1328:M1329))</f>
        <v>3976</v>
      </c>
    </row>
    <row r="1331" spans="2:13" ht="12.95" customHeight="1" x14ac:dyDescent="0.3">
      <c r="B1331" s="50"/>
      <c r="C1331" s="51"/>
      <c r="D1331" s="51"/>
      <c r="E1331" s="22"/>
      <c r="F1331" s="23"/>
      <c r="G1331" s="24"/>
      <c r="H1331" s="23"/>
      <c r="I1331" s="24"/>
      <c r="J1331" s="23"/>
      <c r="K1331" s="24"/>
      <c r="L1331" s="23"/>
      <c r="M1331" s="24"/>
    </row>
    <row r="1332" spans="2:13" ht="12.95" customHeight="1" x14ac:dyDescent="0.3">
      <c r="B1332" s="52" t="s">
        <v>29</v>
      </c>
      <c r="C1332" s="53"/>
      <c r="D1332" s="54" t="s">
        <v>9</v>
      </c>
      <c r="E1332" s="55">
        <v>262580</v>
      </c>
      <c r="F1332" s="25">
        <v>0.13</v>
      </c>
      <c r="G1332" s="3">
        <f t="shared" ref="G1332:G1334" si="462">TRUNC($E1332*F1332,1)</f>
        <v>34135.4</v>
      </c>
      <c r="H1332" s="25">
        <v>0.17</v>
      </c>
      <c r="I1332" s="3">
        <f t="shared" ref="I1332:I1334" si="463">TRUNC($E1332*H1332,1)</f>
        <v>44638.6</v>
      </c>
      <c r="J1332" s="25">
        <v>0.21</v>
      </c>
      <c r="K1332" s="3">
        <f t="shared" ref="K1332:K1334" si="464">TRUNC($E1332*J1332,1)</f>
        <v>55141.8</v>
      </c>
      <c r="L1332" s="25">
        <v>0.24</v>
      </c>
      <c r="M1332" s="3">
        <f t="shared" ref="M1332:M1334" si="465">TRUNC($E1332*L1332,1)</f>
        <v>63019.199999999997</v>
      </c>
    </row>
    <row r="1333" spans="2:13" ht="12.95" customHeight="1" x14ac:dyDescent="0.3">
      <c r="B1333" s="52" t="s">
        <v>1</v>
      </c>
      <c r="C1333" s="53"/>
      <c r="D1333" s="54" t="s">
        <v>9</v>
      </c>
      <c r="E1333" s="57">
        <v>172068</v>
      </c>
      <c r="F1333" s="25">
        <v>7.0000000000000007E-2</v>
      </c>
      <c r="G1333" s="3">
        <f t="shared" si="462"/>
        <v>12044.7</v>
      </c>
      <c r="H1333" s="25">
        <v>0.08</v>
      </c>
      <c r="I1333" s="3">
        <f t="shared" si="463"/>
        <v>13765.4</v>
      </c>
      <c r="J1333" s="25">
        <v>0.1</v>
      </c>
      <c r="K1333" s="3">
        <f t="shared" si="464"/>
        <v>17206.8</v>
      </c>
      <c r="L1333" s="25">
        <v>0.12</v>
      </c>
      <c r="M1333" s="3">
        <f t="shared" si="465"/>
        <v>20648.099999999999</v>
      </c>
    </row>
    <row r="1334" spans="2:13" ht="12.95" customHeight="1" x14ac:dyDescent="0.3">
      <c r="B1334" s="59" t="s">
        <v>2</v>
      </c>
      <c r="C1334" s="59" t="s">
        <v>14</v>
      </c>
      <c r="D1334" s="61" t="s">
        <v>17</v>
      </c>
      <c r="E1334" s="78">
        <v>49698</v>
      </c>
      <c r="F1334" s="25">
        <v>0.18</v>
      </c>
      <c r="G1334" s="3">
        <f t="shared" si="462"/>
        <v>8945.6</v>
      </c>
      <c r="H1334" s="25">
        <v>0.2</v>
      </c>
      <c r="I1334" s="3">
        <f t="shared" si="463"/>
        <v>9939.6</v>
      </c>
      <c r="J1334" s="25">
        <v>0.23</v>
      </c>
      <c r="K1334" s="3">
        <f t="shared" si="464"/>
        <v>11430.5</v>
      </c>
      <c r="L1334" s="25">
        <v>0.25</v>
      </c>
      <c r="M1334" s="3">
        <f t="shared" si="465"/>
        <v>12424.5</v>
      </c>
    </row>
    <row r="1335" spans="2:13" ht="12.95" customHeight="1" x14ac:dyDescent="0.3">
      <c r="B1335" s="58" t="s">
        <v>11</v>
      </c>
      <c r="C1335" s="51"/>
      <c r="D1335" s="51"/>
      <c r="E1335" s="22"/>
      <c r="F1335" s="23"/>
      <c r="G1335" s="16">
        <f>TRUNC(SUM(G1332:G1334))</f>
        <v>55125</v>
      </c>
      <c r="H1335" s="23"/>
      <c r="I1335" s="16">
        <f>TRUNC(SUM(I1332:I1334))</f>
        <v>68343</v>
      </c>
      <c r="J1335" s="23"/>
      <c r="K1335" s="16">
        <f>TRUNC(SUM(K1332:K1334))</f>
        <v>83779</v>
      </c>
      <c r="L1335" s="23" t="s">
        <v>58</v>
      </c>
      <c r="M1335" s="16">
        <f>TRUNC(SUM(M1332:M1334))</f>
        <v>96091</v>
      </c>
    </row>
    <row r="1336" spans="2:13" ht="12.95" customHeight="1" x14ac:dyDescent="0.3">
      <c r="B1336" s="50"/>
      <c r="C1336" s="51"/>
      <c r="D1336" s="51"/>
      <c r="E1336" s="22"/>
      <c r="F1336" s="23"/>
      <c r="G1336" s="24"/>
      <c r="H1336" s="23"/>
      <c r="I1336" s="24"/>
      <c r="J1336" s="23"/>
      <c r="K1336" s="24"/>
      <c r="L1336" s="23"/>
      <c r="M1336" s="24"/>
    </row>
    <row r="1337" spans="2:13" ht="12.95" customHeight="1" x14ac:dyDescent="0.3">
      <c r="B1337" s="59" t="s">
        <v>2</v>
      </c>
      <c r="C1337" s="59" t="s">
        <v>14</v>
      </c>
      <c r="D1337" s="61" t="s">
        <v>17</v>
      </c>
      <c r="E1337" s="78">
        <v>11117</v>
      </c>
      <c r="F1337" s="25">
        <v>0.18</v>
      </c>
      <c r="G1337" s="3">
        <f t="shared" ref="G1337" si="466">TRUNC($E1337*F1337,1)</f>
        <v>2001</v>
      </c>
      <c r="H1337" s="25">
        <v>0.2</v>
      </c>
      <c r="I1337" s="3">
        <f t="shared" ref="I1337" si="467">TRUNC($E1337*H1337,1)</f>
        <v>2223.4</v>
      </c>
      <c r="J1337" s="25">
        <v>0.23</v>
      </c>
      <c r="K1337" s="3">
        <f t="shared" ref="K1337" si="468">TRUNC($E1337*J1337,1)</f>
        <v>2556.9</v>
      </c>
      <c r="L1337" s="25">
        <v>0.25</v>
      </c>
      <c r="M1337" s="3">
        <f t="shared" ref="M1337" si="469">TRUNC($E1337*L1337,1)</f>
        <v>2779.2</v>
      </c>
    </row>
    <row r="1338" spans="2:13" ht="12.95" customHeight="1" x14ac:dyDescent="0.3">
      <c r="B1338" s="46" t="s">
        <v>12</v>
      </c>
      <c r="C1338" s="51"/>
      <c r="D1338" s="51"/>
      <c r="E1338" s="62"/>
      <c r="F1338" s="15"/>
      <c r="G1338" s="16">
        <f>TRUNC(SUM(G1337:G1337))</f>
        <v>2001</v>
      </c>
      <c r="H1338" s="15"/>
      <c r="I1338" s="16">
        <f>TRUNC(SUM(I1337:I1337))</f>
        <v>2223</v>
      </c>
      <c r="J1338" s="15"/>
      <c r="K1338" s="16">
        <f>TRUNC(SUM(K1337:K1337))</f>
        <v>2556</v>
      </c>
      <c r="L1338" s="15"/>
      <c r="M1338" s="16">
        <f>TRUNC(SUM(M1337:M1337))</f>
        <v>2779</v>
      </c>
    </row>
    <row r="1339" spans="2:13" ht="12.95" customHeight="1" x14ac:dyDescent="0.3">
      <c r="B1339" s="63"/>
      <c r="C1339" s="59"/>
      <c r="D1339" s="59"/>
      <c r="E1339" s="64"/>
      <c r="F1339" s="25"/>
      <c r="G1339" s="27"/>
      <c r="H1339" s="25"/>
      <c r="I1339" s="27"/>
      <c r="J1339" s="25"/>
      <c r="K1339" s="27"/>
      <c r="L1339" s="25"/>
      <c r="M1339" s="27"/>
    </row>
    <row r="1340" spans="2:13" ht="12.95" customHeight="1" x14ac:dyDescent="0.3">
      <c r="B1340" s="66" t="s">
        <v>13</v>
      </c>
      <c r="C1340" s="76"/>
      <c r="D1340" s="76"/>
      <c r="E1340" s="77"/>
      <c r="F1340" s="77"/>
      <c r="G1340" s="26">
        <f>SUM(G1330+G1335+G1338)</f>
        <v>59707</v>
      </c>
      <c r="H1340" s="77"/>
      <c r="I1340" s="26">
        <f>SUM(I1330+I1335+I1338)</f>
        <v>73576</v>
      </c>
      <c r="J1340" s="77"/>
      <c r="K1340" s="26">
        <f>SUM(K1330+K1335+K1338)</f>
        <v>89900</v>
      </c>
      <c r="L1340" s="77"/>
      <c r="M1340" s="26">
        <f>SUM(M1330+M1335+M1338)</f>
        <v>102846</v>
      </c>
    </row>
    <row r="1341" spans="2:13" ht="12.95" customHeight="1" x14ac:dyDescent="0.3">
      <c r="B1341" s="106" t="s">
        <v>3</v>
      </c>
      <c r="C1341" s="107" t="s">
        <v>7</v>
      </c>
      <c r="D1341" s="108" t="s">
        <v>8</v>
      </c>
      <c r="E1341" s="109" t="s">
        <v>4</v>
      </c>
      <c r="F1341" s="105" t="s">
        <v>50</v>
      </c>
      <c r="G1341" s="95"/>
      <c r="H1341" s="105" t="s">
        <v>52</v>
      </c>
      <c r="I1341" s="95"/>
      <c r="J1341" s="105" t="s">
        <v>61</v>
      </c>
      <c r="K1341" s="95"/>
    </row>
    <row r="1342" spans="2:13" ht="12.95" customHeight="1" x14ac:dyDescent="0.3">
      <c r="B1342" s="106"/>
      <c r="C1342" s="107"/>
      <c r="D1342" s="108"/>
      <c r="E1342" s="109"/>
      <c r="F1342" s="74" t="s">
        <v>5</v>
      </c>
      <c r="G1342" s="75" t="s">
        <v>6</v>
      </c>
      <c r="H1342" s="74" t="s">
        <v>5</v>
      </c>
      <c r="I1342" s="75" t="s">
        <v>6</v>
      </c>
      <c r="J1342" s="74" t="s">
        <v>5</v>
      </c>
      <c r="K1342" s="75" t="s">
        <v>6</v>
      </c>
    </row>
    <row r="1343" spans="2:13" ht="12.95" customHeight="1" x14ac:dyDescent="0.3">
      <c r="B1343" s="59" t="s">
        <v>2</v>
      </c>
      <c r="C1343" s="59" t="s">
        <v>14</v>
      </c>
      <c r="D1343" s="61" t="s">
        <v>17</v>
      </c>
      <c r="E1343" s="78">
        <v>9213</v>
      </c>
      <c r="F1343" s="25">
        <v>0.3</v>
      </c>
      <c r="G1343" s="3">
        <f t="shared" ref="G1343" si="470">TRUNC($E1343*F1343,1)</f>
        <v>2763.9</v>
      </c>
      <c r="H1343" s="25">
        <v>0.35</v>
      </c>
      <c r="I1343" s="3">
        <f t="shared" ref="I1343" si="471">TRUNC($E1343*H1343,1)</f>
        <v>3224.5</v>
      </c>
      <c r="J1343" s="25">
        <v>0.43</v>
      </c>
      <c r="K1343" s="3">
        <f t="shared" ref="K1343" si="472">TRUNC($E1343*J1343,1)</f>
        <v>3961.5</v>
      </c>
    </row>
    <row r="1344" spans="2:13" ht="12.95" customHeight="1" x14ac:dyDescent="0.3">
      <c r="B1344" s="42" t="s">
        <v>53</v>
      </c>
      <c r="C1344" s="43" t="s">
        <v>56</v>
      </c>
      <c r="D1344" s="44" t="s">
        <v>15</v>
      </c>
      <c r="E1344" s="45"/>
      <c r="F1344" s="21">
        <v>1</v>
      </c>
      <c r="G1344" s="5">
        <f>TRUNC(SUM(G1347:G1348)*0.02,1)</f>
        <v>2231.1</v>
      </c>
      <c r="H1344" s="21">
        <v>1</v>
      </c>
      <c r="I1344" s="5">
        <f>TRUNC(SUM(I1347:I1348)*0.02,1)</f>
        <v>2701.9</v>
      </c>
      <c r="J1344" s="21">
        <v>1</v>
      </c>
      <c r="K1344" s="5">
        <f>TRUNC(SUM(K1347:K1348)*0.02,1)</f>
        <v>3486.1</v>
      </c>
    </row>
    <row r="1345" spans="2:11" ht="12.95" customHeight="1" x14ac:dyDescent="0.3">
      <c r="B1345" s="46" t="s">
        <v>10</v>
      </c>
      <c r="C1345" s="51"/>
      <c r="D1345" s="51"/>
      <c r="E1345" s="22"/>
      <c r="F1345" s="23"/>
      <c r="G1345" s="16">
        <f>TRUNC(SUM(G1343:G1344))</f>
        <v>4995</v>
      </c>
      <c r="H1345" s="23"/>
      <c r="I1345" s="16">
        <f>TRUNC(SUM(I1343:I1344))</f>
        <v>5926</v>
      </c>
      <c r="J1345" s="23"/>
      <c r="K1345" s="16">
        <f>TRUNC(SUM(K1343:K1344))</f>
        <v>7447</v>
      </c>
    </row>
    <row r="1346" spans="2:11" ht="12.95" customHeight="1" x14ac:dyDescent="0.3">
      <c r="B1346" s="50"/>
      <c r="C1346" s="51"/>
      <c r="D1346" s="51"/>
      <c r="E1346" s="22"/>
      <c r="F1346" s="23"/>
      <c r="G1346" s="24"/>
      <c r="H1346" s="23"/>
      <c r="I1346" s="24"/>
      <c r="J1346" s="23"/>
      <c r="K1346" s="24"/>
    </row>
    <row r="1347" spans="2:11" ht="12.95" customHeight="1" x14ac:dyDescent="0.3">
      <c r="B1347" s="52" t="s">
        <v>29</v>
      </c>
      <c r="C1347" s="53"/>
      <c r="D1347" s="54" t="s">
        <v>9</v>
      </c>
      <c r="E1347" s="55">
        <v>262580</v>
      </c>
      <c r="F1347" s="25">
        <v>0.32</v>
      </c>
      <c r="G1347" s="3">
        <f t="shared" ref="G1347:G1349" si="473">TRUNC($E1347*F1347,1)</f>
        <v>84025.600000000006</v>
      </c>
      <c r="H1347" s="25">
        <v>0.39</v>
      </c>
      <c r="I1347" s="3">
        <f t="shared" ref="I1347:I1349" si="474">TRUNC($E1347*H1347,1)</f>
        <v>102406.2</v>
      </c>
      <c r="J1347" s="25">
        <v>0.5</v>
      </c>
      <c r="K1347" s="3">
        <f t="shared" ref="K1347:K1349" si="475">TRUNC($E1347*J1347,1)</f>
        <v>131290</v>
      </c>
    </row>
    <row r="1348" spans="2:11" ht="12.95" customHeight="1" x14ac:dyDescent="0.3">
      <c r="B1348" s="52" t="s">
        <v>1</v>
      </c>
      <c r="C1348" s="53"/>
      <c r="D1348" s="54" t="s">
        <v>9</v>
      </c>
      <c r="E1348" s="57">
        <v>172068</v>
      </c>
      <c r="F1348" s="25">
        <v>0.16</v>
      </c>
      <c r="G1348" s="3">
        <f t="shared" si="473"/>
        <v>27530.799999999999</v>
      </c>
      <c r="H1348" s="25">
        <v>0.19</v>
      </c>
      <c r="I1348" s="3">
        <f t="shared" si="474"/>
        <v>32692.9</v>
      </c>
      <c r="J1348" s="25">
        <v>0.25</v>
      </c>
      <c r="K1348" s="3">
        <f t="shared" si="475"/>
        <v>43017</v>
      </c>
    </row>
    <row r="1349" spans="2:11" ht="12.95" customHeight="1" x14ac:dyDescent="0.3">
      <c r="B1349" s="59" t="s">
        <v>2</v>
      </c>
      <c r="C1349" s="59" t="s">
        <v>14</v>
      </c>
      <c r="D1349" s="61" t="s">
        <v>17</v>
      </c>
      <c r="E1349" s="78">
        <v>49698</v>
      </c>
      <c r="F1349" s="25">
        <v>0.3</v>
      </c>
      <c r="G1349" s="3">
        <f t="shared" si="473"/>
        <v>14909.4</v>
      </c>
      <c r="H1349" s="25">
        <v>0.35</v>
      </c>
      <c r="I1349" s="3">
        <f t="shared" si="474"/>
        <v>17394.3</v>
      </c>
      <c r="J1349" s="25">
        <v>0.43</v>
      </c>
      <c r="K1349" s="3">
        <f t="shared" si="475"/>
        <v>21370.1</v>
      </c>
    </row>
    <row r="1350" spans="2:11" ht="12.95" customHeight="1" x14ac:dyDescent="0.3">
      <c r="B1350" s="58" t="s">
        <v>11</v>
      </c>
      <c r="C1350" s="51"/>
      <c r="D1350" s="51"/>
      <c r="E1350" s="22"/>
      <c r="F1350" s="23"/>
      <c r="G1350" s="16">
        <f>TRUNC(SUM(G1347:G1349))</f>
        <v>126465</v>
      </c>
      <c r="H1350" s="23"/>
      <c r="I1350" s="16">
        <f>TRUNC(SUM(I1347:I1349))</f>
        <v>152493</v>
      </c>
      <c r="J1350" s="23"/>
      <c r="K1350" s="16">
        <f>TRUNC(SUM(K1347:K1349))</f>
        <v>195677</v>
      </c>
    </row>
    <row r="1351" spans="2:11" ht="12.95" customHeight="1" x14ac:dyDescent="0.3">
      <c r="B1351" s="50"/>
      <c r="C1351" s="51"/>
      <c r="D1351" s="51"/>
      <c r="E1351" s="22"/>
      <c r="F1351" s="23"/>
      <c r="G1351" s="24"/>
      <c r="H1351" s="23"/>
      <c r="I1351" s="24"/>
      <c r="J1351" s="23"/>
      <c r="K1351" s="24"/>
    </row>
    <row r="1352" spans="2:11" ht="12.95" customHeight="1" x14ac:dyDescent="0.3">
      <c r="B1352" s="59" t="s">
        <v>2</v>
      </c>
      <c r="C1352" s="59" t="s">
        <v>14</v>
      </c>
      <c r="D1352" s="61" t="s">
        <v>17</v>
      </c>
      <c r="E1352" s="78">
        <v>11117</v>
      </c>
      <c r="F1352" s="25">
        <v>0.3</v>
      </c>
      <c r="G1352" s="3">
        <f t="shared" ref="G1352" si="476">TRUNC($E1352*F1352,1)</f>
        <v>3335.1</v>
      </c>
      <c r="H1352" s="25">
        <v>0.35</v>
      </c>
      <c r="I1352" s="3">
        <f t="shared" ref="I1352" si="477">TRUNC($E1352*H1352,1)</f>
        <v>3890.9</v>
      </c>
      <c r="J1352" s="25">
        <v>0.43</v>
      </c>
      <c r="K1352" s="3">
        <f t="shared" ref="K1352" si="478">TRUNC($E1352*J1352,1)</f>
        <v>4780.3</v>
      </c>
    </row>
    <row r="1353" spans="2:11" ht="12.95" customHeight="1" x14ac:dyDescent="0.3">
      <c r="B1353" s="46" t="s">
        <v>12</v>
      </c>
      <c r="C1353" s="51"/>
      <c r="D1353" s="51"/>
      <c r="E1353" s="62"/>
      <c r="F1353" s="15"/>
      <c r="G1353" s="16">
        <f>TRUNC(SUM(G1352:G1352))</f>
        <v>3335</v>
      </c>
      <c r="H1353" s="15"/>
      <c r="I1353" s="16">
        <f>TRUNC(SUM(I1352:I1352))</f>
        <v>3890</v>
      </c>
      <c r="J1353" s="15"/>
      <c r="K1353" s="16">
        <f>TRUNC(SUM(K1352:K1352))</f>
        <v>4780</v>
      </c>
    </row>
    <row r="1354" spans="2:11" ht="12.95" customHeight="1" x14ac:dyDescent="0.3">
      <c r="B1354" s="63"/>
      <c r="C1354" s="59"/>
      <c r="D1354" s="59"/>
      <c r="E1354" s="64"/>
      <c r="F1354" s="25"/>
      <c r="G1354" s="27"/>
      <c r="H1354" s="25"/>
      <c r="I1354" s="27"/>
      <c r="J1354" s="25"/>
      <c r="K1354" s="27"/>
    </row>
    <row r="1355" spans="2:11" ht="12.95" customHeight="1" x14ac:dyDescent="0.3">
      <c r="B1355" s="66" t="s">
        <v>13</v>
      </c>
      <c r="C1355" s="76"/>
      <c r="D1355" s="76"/>
      <c r="E1355" s="77"/>
      <c r="F1355" s="77"/>
      <c r="G1355" s="26">
        <f>SUM(G1345+G1350+G1353)</f>
        <v>134795</v>
      </c>
      <c r="H1355" s="77"/>
      <c r="I1355" s="26">
        <f>SUM(I1345+I1350+I1353)</f>
        <v>162309</v>
      </c>
      <c r="J1355" s="77"/>
      <c r="K1355" s="26">
        <f>SUM(K1345+K1350+K1353)</f>
        <v>207904</v>
      </c>
    </row>
    <row r="1357" spans="2:11" ht="12.95" customHeight="1" x14ac:dyDescent="0.3">
      <c r="B1357" s="1" t="s">
        <v>113</v>
      </c>
      <c r="I1357" s="37" t="s">
        <v>25</v>
      </c>
    </row>
    <row r="1358" spans="2:11" ht="12.95" customHeight="1" x14ac:dyDescent="0.3">
      <c r="B1358" s="110" t="s">
        <v>3</v>
      </c>
      <c r="C1358" s="113" t="s">
        <v>7</v>
      </c>
      <c r="D1358" s="116" t="s">
        <v>8</v>
      </c>
      <c r="E1358" s="119" t="s">
        <v>4</v>
      </c>
      <c r="F1358" s="95" t="s">
        <v>121</v>
      </c>
      <c r="G1358" s="96"/>
      <c r="H1358" s="96"/>
      <c r="I1358" s="96"/>
    </row>
    <row r="1359" spans="2:11" ht="12.95" customHeight="1" x14ac:dyDescent="0.3">
      <c r="B1359" s="111"/>
      <c r="C1359" s="114"/>
      <c r="D1359" s="117"/>
      <c r="E1359" s="120"/>
      <c r="F1359" s="95" t="s">
        <v>114</v>
      </c>
      <c r="G1359" s="102"/>
      <c r="H1359" s="95" t="s">
        <v>35</v>
      </c>
      <c r="I1359" s="96"/>
    </row>
    <row r="1360" spans="2:11" ht="12.95" customHeight="1" x14ac:dyDescent="0.3">
      <c r="B1360" s="112"/>
      <c r="C1360" s="115"/>
      <c r="D1360" s="118"/>
      <c r="E1360" s="121"/>
      <c r="F1360" s="74" t="s">
        <v>5</v>
      </c>
      <c r="G1360" s="75" t="s">
        <v>6</v>
      </c>
      <c r="H1360" s="74" t="s">
        <v>5</v>
      </c>
      <c r="I1360" s="75" t="s">
        <v>6</v>
      </c>
    </row>
    <row r="1361" spans="2:13" ht="12.95" customHeight="1" x14ac:dyDescent="0.3">
      <c r="B1361" s="42" t="s">
        <v>53</v>
      </c>
      <c r="C1361" s="43" t="s">
        <v>54</v>
      </c>
      <c r="D1361" s="44" t="s">
        <v>15</v>
      </c>
      <c r="E1361" s="45"/>
      <c r="F1361" s="21">
        <v>1</v>
      </c>
      <c r="G1361" s="5">
        <f>TRUNC(SUM(G1364:G1365)*0.01,1)</f>
        <v>785</v>
      </c>
      <c r="H1361" s="21">
        <v>1</v>
      </c>
      <c r="I1361" s="5">
        <f>TRUNC(SUM(I1364:I1365)*0.01,1)</f>
        <v>994.2</v>
      </c>
    </row>
    <row r="1362" spans="2:13" ht="12.95" customHeight="1" x14ac:dyDescent="0.3">
      <c r="B1362" s="46" t="s">
        <v>10</v>
      </c>
      <c r="C1362" s="47"/>
      <c r="D1362" s="48"/>
      <c r="E1362" s="49"/>
      <c r="F1362" s="25"/>
      <c r="G1362" s="12">
        <f>TRUNC(SUM(G1361))</f>
        <v>785</v>
      </c>
      <c r="H1362" s="25"/>
      <c r="I1362" s="12">
        <f>TRUNC(SUM(I1361))</f>
        <v>994</v>
      </c>
    </row>
    <row r="1363" spans="2:13" ht="12.95" customHeight="1" x14ac:dyDescent="0.3">
      <c r="B1363" s="50"/>
      <c r="C1363" s="51"/>
      <c r="D1363" s="51"/>
      <c r="E1363" s="22"/>
      <c r="F1363" s="15"/>
      <c r="G1363" s="24"/>
      <c r="H1363" s="15"/>
      <c r="I1363" s="24"/>
    </row>
    <row r="1364" spans="2:13" ht="12.95" customHeight="1" x14ac:dyDescent="0.3">
      <c r="B1364" s="52" t="s">
        <v>29</v>
      </c>
      <c r="C1364" s="53"/>
      <c r="D1364" s="54" t="s">
        <v>9</v>
      </c>
      <c r="E1364" s="55">
        <v>262580</v>
      </c>
      <c r="F1364" s="28">
        <v>0.24</v>
      </c>
      <c r="G1364" s="2">
        <f t="shared" ref="G1364:G1365" si="479">TRUNC($E1364*F1364,1)</f>
        <v>63019.199999999997</v>
      </c>
      <c r="H1364" s="28">
        <v>0.3</v>
      </c>
      <c r="I1364" s="3">
        <f t="shared" ref="I1364:I1365" si="480">TRUNC($E1364*H1364,1)</f>
        <v>78774</v>
      </c>
    </row>
    <row r="1365" spans="2:13" ht="12.95" customHeight="1" x14ac:dyDescent="0.3">
      <c r="B1365" s="52" t="s">
        <v>1</v>
      </c>
      <c r="C1365" s="53"/>
      <c r="D1365" s="54" t="s">
        <v>9</v>
      </c>
      <c r="E1365" s="57">
        <v>172068</v>
      </c>
      <c r="F1365" s="28">
        <v>0.09</v>
      </c>
      <c r="G1365" s="2">
        <f t="shared" si="479"/>
        <v>15486.1</v>
      </c>
      <c r="H1365" s="28">
        <v>0.12</v>
      </c>
      <c r="I1365" s="3">
        <f t="shared" si="480"/>
        <v>20648.099999999999</v>
      </c>
    </row>
    <row r="1366" spans="2:13" ht="12.95" customHeight="1" x14ac:dyDescent="0.3">
      <c r="B1366" s="58" t="s">
        <v>11</v>
      </c>
      <c r="C1366" s="80"/>
      <c r="D1366" s="81"/>
      <c r="E1366" s="82"/>
      <c r="F1366" s="82"/>
      <c r="G1366" s="10">
        <f>TRUNC(SUM(G1364:G1365))</f>
        <v>78505</v>
      </c>
      <c r="H1366" s="82"/>
      <c r="I1366" s="11">
        <f>TRUNC(SUM(I1364:I1365))</f>
        <v>99422</v>
      </c>
    </row>
    <row r="1367" spans="2:13" ht="12.95" customHeight="1" x14ac:dyDescent="0.3">
      <c r="B1367" s="83"/>
      <c r="C1367" s="53"/>
      <c r="D1367" s="54"/>
      <c r="E1367" s="84"/>
      <c r="F1367" s="84"/>
      <c r="G1367" s="6"/>
      <c r="H1367" s="84"/>
      <c r="I1367" s="7"/>
    </row>
    <row r="1368" spans="2:13" ht="12.95" customHeight="1" x14ac:dyDescent="0.3">
      <c r="B1368" s="66" t="s">
        <v>13</v>
      </c>
      <c r="C1368" s="85"/>
      <c r="D1368" s="86"/>
      <c r="E1368" s="87"/>
      <c r="F1368" s="87"/>
      <c r="G1368" s="26">
        <f>SUM(G1362+G1366)</f>
        <v>79290</v>
      </c>
      <c r="H1368" s="87"/>
      <c r="I1368" s="26">
        <f>SUM(I1362+I1366)</f>
        <v>100416</v>
      </c>
    </row>
    <row r="1369" spans="2:13" ht="12.95" customHeight="1" x14ac:dyDescent="0.3">
      <c r="B1369" s="110" t="s">
        <v>3</v>
      </c>
      <c r="C1369" s="113" t="s">
        <v>7</v>
      </c>
      <c r="D1369" s="116" t="s">
        <v>8</v>
      </c>
      <c r="E1369" s="119" t="s">
        <v>4</v>
      </c>
      <c r="F1369" s="95" t="s">
        <v>120</v>
      </c>
      <c r="G1369" s="96"/>
      <c r="H1369" s="96"/>
      <c r="I1369" s="96"/>
      <c r="J1369" s="96"/>
      <c r="K1369" s="96"/>
      <c r="L1369" s="96"/>
      <c r="M1369" s="96"/>
    </row>
    <row r="1370" spans="2:13" ht="12.95" customHeight="1" x14ac:dyDescent="0.3">
      <c r="B1370" s="111"/>
      <c r="C1370" s="114"/>
      <c r="D1370" s="117"/>
      <c r="E1370" s="120"/>
      <c r="F1370" s="105" t="s">
        <v>36</v>
      </c>
      <c r="G1370" s="95"/>
      <c r="H1370" s="105" t="s">
        <v>37</v>
      </c>
      <c r="I1370" s="95"/>
      <c r="J1370" s="105" t="s">
        <v>39</v>
      </c>
      <c r="K1370" s="95"/>
      <c r="L1370" s="105" t="s">
        <v>40</v>
      </c>
      <c r="M1370" s="95"/>
    </row>
    <row r="1371" spans="2:13" ht="12.95" customHeight="1" x14ac:dyDescent="0.3">
      <c r="B1371" s="112"/>
      <c r="C1371" s="115"/>
      <c r="D1371" s="118"/>
      <c r="E1371" s="121"/>
      <c r="F1371" s="74" t="s">
        <v>5</v>
      </c>
      <c r="G1371" s="75" t="s">
        <v>6</v>
      </c>
      <c r="H1371" s="74" t="s">
        <v>5</v>
      </c>
      <c r="I1371" s="75" t="s">
        <v>6</v>
      </c>
      <c r="J1371" s="74" t="s">
        <v>5</v>
      </c>
      <c r="K1371" s="75" t="s">
        <v>6</v>
      </c>
      <c r="L1371" s="74" t="s">
        <v>5</v>
      </c>
      <c r="M1371" s="75" t="s">
        <v>6</v>
      </c>
    </row>
    <row r="1372" spans="2:13" ht="12.95" customHeight="1" x14ac:dyDescent="0.3">
      <c r="B1372" s="59" t="s">
        <v>2</v>
      </c>
      <c r="C1372" s="59" t="s">
        <v>14</v>
      </c>
      <c r="D1372" s="61" t="s">
        <v>17</v>
      </c>
      <c r="E1372" s="78">
        <v>9213</v>
      </c>
      <c r="F1372" s="25">
        <v>0.27</v>
      </c>
      <c r="G1372" s="3">
        <f t="shared" ref="G1372" si="481">TRUNC($E1372*F1372,1)</f>
        <v>2487.5</v>
      </c>
      <c r="H1372" s="25">
        <v>0.3</v>
      </c>
      <c r="I1372" s="3">
        <f t="shared" ref="I1372" si="482">TRUNC($E1372*H1372,1)</f>
        <v>2763.9</v>
      </c>
      <c r="J1372" s="25">
        <v>0.34</v>
      </c>
      <c r="K1372" s="3">
        <f t="shared" ref="K1372" si="483">TRUNC($E1372*J1372,1)</f>
        <v>3132.4</v>
      </c>
      <c r="L1372" s="25">
        <v>0.37</v>
      </c>
      <c r="M1372" s="3">
        <f t="shared" ref="M1372" si="484">TRUNC($E1372*L1372,1)</f>
        <v>3408.8</v>
      </c>
    </row>
    <row r="1373" spans="2:13" ht="12.95" customHeight="1" x14ac:dyDescent="0.3">
      <c r="B1373" s="42" t="s">
        <v>53</v>
      </c>
      <c r="C1373" s="43" t="s">
        <v>54</v>
      </c>
      <c r="D1373" s="44" t="s">
        <v>15</v>
      </c>
      <c r="E1373" s="45"/>
      <c r="F1373" s="21">
        <v>1</v>
      </c>
      <c r="G1373" s="5">
        <f>TRUNC(SUM(G1376:G1377)*0.01,1)</f>
        <v>470.8</v>
      </c>
      <c r="H1373" s="21">
        <v>1</v>
      </c>
      <c r="I1373" s="5">
        <f>TRUNC(SUM(I1376:I1377)*0.01,1)</f>
        <v>523.29999999999995</v>
      </c>
      <c r="J1373" s="21">
        <v>1</v>
      </c>
      <c r="K1373" s="5">
        <f>TRUNC(SUM(K1376:K1377)*0.01,1)</f>
        <v>593</v>
      </c>
      <c r="L1373" s="21">
        <v>1</v>
      </c>
      <c r="M1373" s="5">
        <f>TRUNC(SUM(M1376:M1377)*0.01,1)</f>
        <v>732.5</v>
      </c>
    </row>
    <row r="1374" spans="2:13" ht="12.95" customHeight="1" x14ac:dyDescent="0.3">
      <c r="B1374" s="46" t="s">
        <v>10</v>
      </c>
      <c r="C1374" s="51"/>
      <c r="D1374" s="51"/>
      <c r="E1374" s="22"/>
      <c r="F1374" s="23"/>
      <c r="G1374" s="16">
        <f>TRUNC(SUM(G1372:G1373))</f>
        <v>2958</v>
      </c>
      <c r="H1374" s="23"/>
      <c r="I1374" s="16">
        <f>TRUNC(SUM(I1372:I1373))</f>
        <v>3287</v>
      </c>
      <c r="J1374" s="23"/>
      <c r="K1374" s="16">
        <f>TRUNC(SUM(K1372:K1373))</f>
        <v>3725</v>
      </c>
      <c r="L1374" s="23"/>
      <c r="M1374" s="16">
        <f>TRUNC(SUM(M1372:M1373))</f>
        <v>4141</v>
      </c>
    </row>
    <row r="1375" spans="2:13" ht="12.95" customHeight="1" x14ac:dyDescent="0.3">
      <c r="B1375" s="50"/>
      <c r="C1375" s="51"/>
      <c r="D1375" s="51"/>
      <c r="E1375" s="22"/>
      <c r="F1375" s="23"/>
      <c r="G1375" s="24"/>
      <c r="H1375" s="23"/>
      <c r="I1375" s="24"/>
      <c r="J1375" s="23"/>
      <c r="K1375" s="24"/>
      <c r="L1375" s="23"/>
      <c r="M1375" s="24"/>
    </row>
    <row r="1376" spans="2:13" ht="12.95" customHeight="1" x14ac:dyDescent="0.3">
      <c r="B1376" s="52" t="s">
        <v>29</v>
      </c>
      <c r="C1376" s="53"/>
      <c r="D1376" s="54" t="s">
        <v>9</v>
      </c>
      <c r="E1376" s="55">
        <v>262580</v>
      </c>
      <c r="F1376" s="25">
        <v>0.14000000000000001</v>
      </c>
      <c r="G1376" s="3">
        <f t="shared" ref="G1376:G1378" si="485">TRUNC($E1376*F1376,1)</f>
        <v>36761.199999999997</v>
      </c>
      <c r="H1376" s="25">
        <v>0.16</v>
      </c>
      <c r="I1376" s="3">
        <f t="shared" ref="I1376:I1378" si="486">TRUNC($E1376*H1376,1)</f>
        <v>42012.800000000003</v>
      </c>
      <c r="J1376" s="25">
        <v>0.18</v>
      </c>
      <c r="K1376" s="3">
        <f t="shared" ref="K1376:K1378" si="487">TRUNC($E1376*J1376,1)</f>
        <v>47264.4</v>
      </c>
      <c r="L1376" s="25">
        <v>0.22</v>
      </c>
      <c r="M1376" s="3">
        <f t="shared" ref="M1376:M1378" si="488">TRUNC($E1376*L1376,1)</f>
        <v>57767.6</v>
      </c>
    </row>
    <row r="1377" spans="2:13" ht="12.95" customHeight="1" x14ac:dyDescent="0.3">
      <c r="B1377" s="52" t="s">
        <v>1</v>
      </c>
      <c r="C1377" s="53"/>
      <c r="D1377" s="54" t="s">
        <v>9</v>
      </c>
      <c r="E1377" s="57">
        <v>172068</v>
      </c>
      <c r="F1377" s="25">
        <v>0.06</v>
      </c>
      <c r="G1377" s="3">
        <f t="shared" si="485"/>
        <v>10324</v>
      </c>
      <c r="H1377" s="25">
        <v>0.06</v>
      </c>
      <c r="I1377" s="3">
        <f t="shared" si="486"/>
        <v>10324</v>
      </c>
      <c r="J1377" s="25">
        <v>7.0000000000000007E-2</v>
      </c>
      <c r="K1377" s="3">
        <f t="shared" si="487"/>
        <v>12044.7</v>
      </c>
      <c r="L1377" s="25">
        <v>0.09</v>
      </c>
      <c r="M1377" s="3">
        <f t="shared" si="488"/>
        <v>15486.1</v>
      </c>
    </row>
    <row r="1378" spans="2:13" ht="12.95" customHeight="1" x14ac:dyDescent="0.3">
      <c r="B1378" s="59" t="s">
        <v>2</v>
      </c>
      <c r="C1378" s="59" t="s">
        <v>14</v>
      </c>
      <c r="D1378" s="61" t="s">
        <v>17</v>
      </c>
      <c r="E1378" s="78">
        <v>49698</v>
      </c>
      <c r="F1378" s="25">
        <v>0.27</v>
      </c>
      <c r="G1378" s="3">
        <f t="shared" si="485"/>
        <v>13418.4</v>
      </c>
      <c r="H1378" s="25">
        <v>0.3</v>
      </c>
      <c r="I1378" s="3">
        <f t="shared" si="486"/>
        <v>14909.4</v>
      </c>
      <c r="J1378" s="25">
        <v>0.34</v>
      </c>
      <c r="K1378" s="3">
        <f t="shared" si="487"/>
        <v>16897.3</v>
      </c>
      <c r="L1378" s="25">
        <v>0.37</v>
      </c>
      <c r="M1378" s="3">
        <f t="shared" si="488"/>
        <v>18388.2</v>
      </c>
    </row>
    <row r="1379" spans="2:13" ht="12.95" customHeight="1" x14ac:dyDescent="0.3">
      <c r="B1379" s="58" t="s">
        <v>11</v>
      </c>
      <c r="C1379" s="51"/>
      <c r="D1379" s="51"/>
      <c r="E1379" s="22"/>
      <c r="F1379" s="23"/>
      <c r="G1379" s="16">
        <f>TRUNC(SUM(G1376:G1378))</f>
        <v>60503</v>
      </c>
      <c r="H1379" s="23"/>
      <c r="I1379" s="16">
        <f>TRUNC(SUM(I1376:I1378))</f>
        <v>67246</v>
      </c>
      <c r="J1379" s="23"/>
      <c r="K1379" s="16">
        <f>TRUNC(SUM(K1376:K1378))</f>
        <v>76206</v>
      </c>
      <c r="L1379" s="23"/>
      <c r="M1379" s="16">
        <f>TRUNC(SUM(M1376:M1378))</f>
        <v>91641</v>
      </c>
    </row>
    <row r="1380" spans="2:13" ht="12.95" customHeight="1" x14ac:dyDescent="0.3">
      <c r="B1380" s="50"/>
      <c r="C1380" s="51"/>
      <c r="D1380" s="51"/>
      <c r="E1380" s="22"/>
      <c r="F1380" s="23"/>
      <c r="G1380" s="24"/>
      <c r="H1380" s="23"/>
      <c r="I1380" s="24"/>
      <c r="J1380" s="23"/>
      <c r="K1380" s="24"/>
      <c r="L1380" s="23"/>
      <c r="M1380" s="24"/>
    </row>
    <row r="1381" spans="2:13" ht="12.95" customHeight="1" x14ac:dyDescent="0.3">
      <c r="B1381" s="59" t="s">
        <v>2</v>
      </c>
      <c r="C1381" s="59" t="s">
        <v>14</v>
      </c>
      <c r="D1381" s="61" t="s">
        <v>17</v>
      </c>
      <c r="E1381" s="78">
        <v>11117</v>
      </c>
      <c r="F1381" s="25">
        <v>0.27</v>
      </c>
      <c r="G1381" s="3">
        <f t="shared" ref="G1381" si="489">TRUNC($E1381*F1381,1)</f>
        <v>3001.5</v>
      </c>
      <c r="H1381" s="25">
        <v>0.3</v>
      </c>
      <c r="I1381" s="3">
        <f t="shared" ref="I1381" si="490">TRUNC($E1381*H1381,1)</f>
        <v>3335.1</v>
      </c>
      <c r="J1381" s="25">
        <v>0.34</v>
      </c>
      <c r="K1381" s="3">
        <f t="shared" ref="K1381" si="491">TRUNC($E1381*J1381,1)</f>
        <v>3779.7</v>
      </c>
      <c r="L1381" s="25">
        <v>0.37</v>
      </c>
      <c r="M1381" s="3">
        <f t="shared" ref="M1381" si="492">TRUNC($E1381*L1381,1)</f>
        <v>4113.2</v>
      </c>
    </row>
    <row r="1382" spans="2:13" ht="12.95" customHeight="1" x14ac:dyDescent="0.3">
      <c r="B1382" s="46" t="s">
        <v>12</v>
      </c>
      <c r="C1382" s="51"/>
      <c r="D1382" s="51"/>
      <c r="E1382" s="62"/>
      <c r="F1382" s="15"/>
      <c r="G1382" s="16">
        <f>TRUNC(SUM(G1381:G1381))</f>
        <v>3001</v>
      </c>
      <c r="H1382" s="15"/>
      <c r="I1382" s="16">
        <f>TRUNC(SUM(I1381:I1381))</f>
        <v>3335</v>
      </c>
      <c r="J1382" s="15"/>
      <c r="K1382" s="16">
        <f>TRUNC(SUM(K1381:K1381))</f>
        <v>3779</v>
      </c>
      <c r="L1382" s="15"/>
      <c r="M1382" s="16">
        <f>TRUNC(SUM(M1381:M1381))</f>
        <v>4113</v>
      </c>
    </row>
    <row r="1383" spans="2:13" ht="12.95" customHeight="1" x14ac:dyDescent="0.3">
      <c r="B1383" s="63"/>
      <c r="C1383" s="59"/>
      <c r="D1383" s="59"/>
      <c r="E1383" s="64"/>
      <c r="F1383" s="25"/>
      <c r="G1383" s="27"/>
      <c r="H1383" s="25"/>
      <c r="I1383" s="27"/>
      <c r="J1383" s="25"/>
      <c r="K1383" s="27"/>
      <c r="L1383" s="25"/>
      <c r="M1383" s="27"/>
    </row>
    <row r="1384" spans="2:13" ht="12.95" customHeight="1" x14ac:dyDescent="0.3">
      <c r="B1384" s="66" t="s">
        <v>13</v>
      </c>
      <c r="C1384" s="76"/>
      <c r="D1384" s="76"/>
      <c r="E1384" s="77"/>
      <c r="F1384" s="77"/>
      <c r="G1384" s="26">
        <f>SUM(G1374+G1379+G1382)</f>
        <v>66462</v>
      </c>
      <c r="H1384" s="77"/>
      <c r="I1384" s="26">
        <f>SUM(I1374+I1379+I1382)</f>
        <v>73868</v>
      </c>
      <c r="J1384" s="77"/>
      <c r="K1384" s="26">
        <f>SUM(K1374+K1379+K1382)</f>
        <v>83710</v>
      </c>
      <c r="L1384" s="77"/>
      <c r="M1384" s="26">
        <f>SUM(M1374+M1379+M1382)</f>
        <v>99895</v>
      </c>
    </row>
    <row r="1385" spans="2:13" ht="12.95" customHeight="1" x14ac:dyDescent="0.3">
      <c r="B1385" s="110" t="s">
        <v>3</v>
      </c>
      <c r="C1385" s="113" t="s">
        <v>7</v>
      </c>
      <c r="D1385" s="116" t="s">
        <v>8</v>
      </c>
      <c r="E1385" s="119" t="s">
        <v>4</v>
      </c>
      <c r="F1385" s="95" t="s">
        <v>120</v>
      </c>
      <c r="G1385" s="96"/>
      <c r="H1385" s="96"/>
      <c r="I1385" s="96"/>
      <c r="J1385" s="96"/>
      <c r="K1385" s="96"/>
      <c r="L1385" s="96"/>
      <c r="M1385" s="96"/>
    </row>
    <row r="1386" spans="2:13" ht="12.95" customHeight="1" x14ac:dyDescent="0.3">
      <c r="B1386" s="111"/>
      <c r="C1386" s="114"/>
      <c r="D1386" s="117"/>
      <c r="E1386" s="120"/>
      <c r="F1386" s="105" t="s">
        <v>41</v>
      </c>
      <c r="G1386" s="95"/>
      <c r="H1386" s="105" t="s">
        <v>43</v>
      </c>
      <c r="I1386" s="95"/>
      <c r="J1386" s="105" t="s">
        <v>44</v>
      </c>
      <c r="K1386" s="95"/>
      <c r="L1386" s="105" t="s">
        <v>46</v>
      </c>
      <c r="M1386" s="95"/>
    </row>
    <row r="1387" spans="2:13" ht="12.95" customHeight="1" x14ac:dyDescent="0.3">
      <c r="B1387" s="112"/>
      <c r="C1387" s="115"/>
      <c r="D1387" s="118"/>
      <c r="E1387" s="121"/>
      <c r="F1387" s="74" t="s">
        <v>5</v>
      </c>
      <c r="G1387" s="75" t="s">
        <v>6</v>
      </c>
      <c r="H1387" s="74" t="s">
        <v>5</v>
      </c>
      <c r="I1387" s="75" t="s">
        <v>6</v>
      </c>
      <c r="J1387" s="74" t="s">
        <v>5</v>
      </c>
      <c r="K1387" s="75" t="s">
        <v>6</v>
      </c>
      <c r="L1387" s="74" t="s">
        <v>5</v>
      </c>
      <c r="M1387" s="75" t="s">
        <v>6</v>
      </c>
    </row>
    <row r="1388" spans="2:13" ht="12.95" customHeight="1" x14ac:dyDescent="0.3">
      <c r="B1388" s="59" t="s">
        <v>2</v>
      </c>
      <c r="C1388" s="59" t="s">
        <v>14</v>
      </c>
      <c r="D1388" s="61" t="s">
        <v>17</v>
      </c>
      <c r="E1388" s="78">
        <v>9213</v>
      </c>
      <c r="F1388" s="25">
        <v>0.41</v>
      </c>
      <c r="G1388" s="3">
        <f t="shared" ref="G1388" si="493">TRUNC($E1388*F1388,1)</f>
        <v>3777.3</v>
      </c>
      <c r="H1388" s="25">
        <v>0.44</v>
      </c>
      <c r="I1388" s="3">
        <f t="shared" ref="I1388" si="494">TRUNC($E1388*H1388,1)</f>
        <v>4053.7</v>
      </c>
      <c r="J1388" s="25">
        <v>0.51</v>
      </c>
      <c r="K1388" s="3">
        <f t="shared" ref="K1388" si="495">TRUNC($E1388*J1388,1)</f>
        <v>4698.6000000000004</v>
      </c>
      <c r="L1388" s="25">
        <v>0.57999999999999996</v>
      </c>
      <c r="M1388" s="3">
        <f t="shared" ref="M1388" si="496">TRUNC($E1388*L1388,1)</f>
        <v>5343.5</v>
      </c>
    </row>
    <row r="1389" spans="2:13" ht="12.95" customHeight="1" x14ac:dyDescent="0.3">
      <c r="B1389" s="42" t="s">
        <v>53</v>
      </c>
      <c r="C1389" s="43" t="s">
        <v>54</v>
      </c>
      <c r="D1389" s="44" t="s">
        <v>15</v>
      </c>
      <c r="E1389" s="45"/>
      <c r="F1389" s="21">
        <v>1</v>
      </c>
      <c r="G1389" s="5">
        <f>TRUNC(SUM(G1392:G1393)*0.01,1)</f>
        <v>854.7</v>
      </c>
      <c r="H1389" s="21">
        <v>1</v>
      </c>
      <c r="I1389" s="5">
        <f>TRUNC(SUM(I1392:I1393)*0.01,1)</f>
        <v>1020.4</v>
      </c>
      <c r="J1389" s="21">
        <v>1</v>
      </c>
      <c r="K1389" s="5">
        <f>TRUNC(SUM(K1392:K1393)*0.01,1)</f>
        <v>1325.6</v>
      </c>
      <c r="L1389" s="21">
        <v>1</v>
      </c>
      <c r="M1389" s="5">
        <f>TRUNC(SUM(M1392:M1393)*0.01,1)</f>
        <v>1613.5</v>
      </c>
    </row>
    <row r="1390" spans="2:13" ht="12.95" customHeight="1" x14ac:dyDescent="0.3">
      <c r="B1390" s="46" t="s">
        <v>10</v>
      </c>
      <c r="C1390" s="51"/>
      <c r="D1390" s="51"/>
      <c r="E1390" s="22"/>
      <c r="F1390" s="23"/>
      <c r="G1390" s="16">
        <f>TRUNC(SUM(G1388:G1389))</f>
        <v>4632</v>
      </c>
      <c r="H1390" s="23"/>
      <c r="I1390" s="16">
        <f>TRUNC(SUM(I1388:I1389))</f>
        <v>5074</v>
      </c>
      <c r="J1390" s="23"/>
      <c r="K1390" s="16">
        <f>TRUNC(SUM(K1388:K1389))</f>
        <v>6024</v>
      </c>
      <c r="L1390" s="23"/>
      <c r="M1390" s="16">
        <f>TRUNC(SUM(M1388:M1389))</f>
        <v>6957</v>
      </c>
    </row>
    <row r="1391" spans="2:13" ht="12.95" customHeight="1" x14ac:dyDescent="0.3">
      <c r="B1391" s="50"/>
      <c r="C1391" s="51"/>
      <c r="D1391" s="51"/>
      <c r="E1391" s="22"/>
      <c r="F1391" s="23"/>
      <c r="G1391" s="24"/>
      <c r="H1391" s="23"/>
      <c r="I1391" s="24"/>
      <c r="J1391" s="23"/>
      <c r="K1391" s="24"/>
      <c r="L1391" s="23"/>
      <c r="M1391" s="24"/>
    </row>
    <row r="1392" spans="2:13" ht="12.95" customHeight="1" x14ac:dyDescent="0.3">
      <c r="B1392" s="52" t="s">
        <v>29</v>
      </c>
      <c r="C1392" s="53"/>
      <c r="D1392" s="54" t="s">
        <v>9</v>
      </c>
      <c r="E1392" s="55">
        <v>262580</v>
      </c>
      <c r="F1392" s="25">
        <v>0.26</v>
      </c>
      <c r="G1392" s="3">
        <f t="shared" ref="G1392:G1394" si="497">TRUNC($E1392*F1392,1)</f>
        <v>68270.8</v>
      </c>
      <c r="H1392" s="25">
        <v>0.31</v>
      </c>
      <c r="I1392" s="3">
        <f t="shared" ref="I1392:I1394" si="498">TRUNC($E1392*H1392,1)</f>
        <v>81399.8</v>
      </c>
      <c r="J1392" s="25">
        <v>0.4</v>
      </c>
      <c r="K1392" s="3">
        <f t="shared" ref="K1392:K1394" si="499">TRUNC($E1392*J1392,1)</f>
        <v>105032</v>
      </c>
      <c r="L1392" s="25">
        <v>0.49</v>
      </c>
      <c r="M1392" s="3">
        <f t="shared" ref="M1392:M1394" si="500">TRUNC($E1392*L1392,1)</f>
        <v>128664.2</v>
      </c>
    </row>
    <row r="1393" spans="2:13" ht="12.95" customHeight="1" x14ac:dyDescent="0.3">
      <c r="B1393" s="52" t="s">
        <v>1</v>
      </c>
      <c r="C1393" s="53"/>
      <c r="D1393" s="54" t="s">
        <v>9</v>
      </c>
      <c r="E1393" s="57">
        <v>172068</v>
      </c>
      <c r="F1393" s="25">
        <v>0.1</v>
      </c>
      <c r="G1393" s="3">
        <f t="shared" si="497"/>
        <v>17206.8</v>
      </c>
      <c r="H1393" s="25">
        <v>0.12</v>
      </c>
      <c r="I1393" s="3">
        <f t="shared" si="498"/>
        <v>20648.099999999999</v>
      </c>
      <c r="J1393" s="25">
        <v>0.16</v>
      </c>
      <c r="K1393" s="3">
        <f t="shared" si="499"/>
        <v>27530.799999999999</v>
      </c>
      <c r="L1393" s="25">
        <v>0.19</v>
      </c>
      <c r="M1393" s="3">
        <f t="shared" si="500"/>
        <v>32692.9</v>
      </c>
    </row>
    <row r="1394" spans="2:13" ht="12.95" customHeight="1" x14ac:dyDescent="0.3">
      <c r="B1394" s="59" t="s">
        <v>2</v>
      </c>
      <c r="C1394" s="59" t="s">
        <v>14</v>
      </c>
      <c r="D1394" s="61" t="s">
        <v>17</v>
      </c>
      <c r="E1394" s="78">
        <v>49698</v>
      </c>
      <c r="F1394" s="25">
        <v>0.41</v>
      </c>
      <c r="G1394" s="3">
        <f t="shared" si="497"/>
        <v>20376.099999999999</v>
      </c>
      <c r="H1394" s="25">
        <v>0.44</v>
      </c>
      <c r="I1394" s="3">
        <f t="shared" si="498"/>
        <v>21867.1</v>
      </c>
      <c r="J1394" s="25">
        <v>0.51</v>
      </c>
      <c r="K1394" s="3">
        <f t="shared" si="499"/>
        <v>25345.9</v>
      </c>
      <c r="L1394" s="25">
        <v>0.57999999999999996</v>
      </c>
      <c r="M1394" s="3">
        <f t="shared" si="500"/>
        <v>28824.799999999999</v>
      </c>
    </row>
    <row r="1395" spans="2:13" ht="12.95" customHeight="1" x14ac:dyDescent="0.3">
      <c r="B1395" s="58" t="s">
        <v>11</v>
      </c>
      <c r="C1395" s="51"/>
      <c r="D1395" s="51"/>
      <c r="E1395" s="22"/>
      <c r="F1395" s="23"/>
      <c r="G1395" s="16">
        <f>TRUNC(SUM(G1392:G1394))</f>
        <v>105853</v>
      </c>
      <c r="H1395" s="23"/>
      <c r="I1395" s="16">
        <f>TRUNC(SUM(I1392:I1394))</f>
        <v>123915</v>
      </c>
      <c r="J1395" s="23"/>
      <c r="K1395" s="16">
        <f>TRUNC(SUM(K1392:K1394))</f>
        <v>157908</v>
      </c>
      <c r="L1395" s="23"/>
      <c r="M1395" s="16">
        <f>TRUNC(SUM(M1392:M1394))</f>
        <v>190181</v>
      </c>
    </row>
    <row r="1396" spans="2:13" ht="12.95" customHeight="1" x14ac:dyDescent="0.3">
      <c r="B1396" s="50"/>
      <c r="C1396" s="51"/>
      <c r="D1396" s="51"/>
      <c r="E1396" s="22"/>
      <c r="F1396" s="23"/>
      <c r="G1396" s="24"/>
      <c r="H1396" s="23"/>
      <c r="I1396" s="24"/>
      <c r="J1396" s="23"/>
      <c r="K1396" s="24"/>
      <c r="L1396" s="23"/>
      <c r="M1396" s="24"/>
    </row>
    <row r="1397" spans="2:13" ht="12.95" customHeight="1" x14ac:dyDescent="0.3">
      <c r="B1397" s="59" t="s">
        <v>2</v>
      </c>
      <c r="C1397" s="59" t="s">
        <v>14</v>
      </c>
      <c r="D1397" s="61" t="s">
        <v>17</v>
      </c>
      <c r="E1397" s="78">
        <v>11117</v>
      </c>
      <c r="F1397" s="25">
        <v>0.41</v>
      </c>
      <c r="G1397" s="3">
        <f t="shared" ref="G1397" si="501">TRUNC($E1397*F1397,1)</f>
        <v>4557.8999999999996</v>
      </c>
      <c r="H1397" s="25">
        <v>0.44</v>
      </c>
      <c r="I1397" s="3">
        <f t="shared" ref="I1397" si="502">TRUNC($E1397*H1397,1)</f>
        <v>4891.3999999999996</v>
      </c>
      <c r="J1397" s="25">
        <v>0.51</v>
      </c>
      <c r="K1397" s="3">
        <f t="shared" ref="K1397" si="503">TRUNC($E1397*J1397,1)</f>
        <v>5669.6</v>
      </c>
      <c r="L1397" s="25">
        <v>0.57999999999999996</v>
      </c>
      <c r="M1397" s="3">
        <f t="shared" ref="M1397" si="504">TRUNC($E1397*L1397,1)</f>
        <v>6447.8</v>
      </c>
    </row>
    <row r="1398" spans="2:13" ht="12.95" customHeight="1" x14ac:dyDescent="0.3">
      <c r="B1398" s="46" t="s">
        <v>12</v>
      </c>
      <c r="C1398" s="51"/>
      <c r="D1398" s="51"/>
      <c r="E1398" s="62"/>
      <c r="F1398" s="15"/>
      <c r="G1398" s="16">
        <f>TRUNC(SUM(G1397:G1397))</f>
        <v>4557</v>
      </c>
      <c r="H1398" s="15"/>
      <c r="I1398" s="16">
        <f>TRUNC(SUM(I1397:I1397))</f>
        <v>4891</v>
      </c>
      <c r="J1398" s="15"/>
      <c r="K1398" s="16">
        <f>TRUNC(SUM(K1397:K1397))</f>
        <v>5669</v>
      </c>
      <c r="L1398" s="15"/>
      <c r="M1398" s="16">
        <f>TRUNC(SUM(M1397:M1397))</f>
        <v>6447</v>
      </c>
    </row>
    <row r="1399" spans="2:13" ht="12.95" customHeight="1" x14ac:dyDescent="0.3">
      <c r="B1399" s="63"/>
      <c r="C1399" s="59"/>
      <c r="D1399" s="59"/>
      <c r="E1399" s="64"/>
      <c r="F1399" s="25"/>
      <c r="G1399" s="27"/>
      <c r="H1399" s="25"/>
      <c r="I1399" s="27"/>
      <c r="J1399" s="25"/>
      <c r="K1399" s="27"/>
      <c r="L1399" s="25"/>
      <c r="M1399" s="27"/>
    </row>
    <row r="1400" spans="2:13" ht="12.95" customHeight="1" x14ac:dyDescent="0.3">
      <c r="B1400" s="66" t="s">
        <v>13</v>
      </c>
      <c r="C1400" s="76"/>
      <c r="D1400" s="76"/>
      <c r="E1400" s="77"/>
      <c r="F1400" s="77"/>
      <c r="G1400" s="26">
        <f>SUM(G1390+G1395+G1398)</f>
        <v>115042</v>
      </c>
      <c r="H1400" s="77"/>
      <c r="I1400" s="26">
        <f>SUM(I1390+I1395+I1398)</f>
        <v>133880</v>
      </c>
      <c r="J1400" s="77"/>
      <c r="K1400" s="26">
        <f>SUM(K1390+K1395+K1398)</f>
        <v>169601</v>
      </c>
      <c r="L1400" s="77"/>
      <c r="M1400" s="26">
        <f>SUM(M1390+M1395+M1398)</f>
        <v>203585</v>
      </c>
    </row>
    <row r="1401" spans="2:13" ht="12.95" customHeight="1" x14ac:dyDescent="0.3">
      <c r="B1401" s="110" t="s">
        <v>3</v>
      </c>
      <c r="C1401" s="113" t="s">
        <v>7</v>
      </c>
      <c r="D1401" s="116" t="s">
        <v>8</v>
      </c>
      <c r="E1401" s="119" t="s">
        <v>4</v>
      </c>
      <c r="F1401" s="95" t="s">
        <v>120</v>
      </c>
      <c r="G1401" s="96"/>
      <c r="H1401" s="96"/>
      <c r="I1401" s="96"/>
    </row>
    <row r="1402" spans="2:13" ht="12.95" customHeight="1" x14ac:dyDescent="0.3">
      <c r="B1402" s="111"/>
      <c r="C1402" s="114"/>
      <c r="D1402" s="117"/>
      <c r="E1402" s="120"/>
      <c r="F1402" s="105" t="s">
        <v>48</v>
      </c>
      <c r="G1402" s="95"/>
      <c r="H1402" s="105" t="s">
        <v>49</v>
      </c>
      <c r="I1402" s="95"/>
    </row>
    <row r="1403" spans="2:13" ht="12.95" customHeight="1" x14ac:dyDescent="0.3">
      <c r="B1403" s="112"/>
      <c r="C1403" s="115"/>
      <c r="D1403" s="118"/>
      <c r="E1403" s="121"/>
      <c r="F1403" s="74" t="s">
        <v>5</v>
      </c>
      <c r="G1403" s="75" t="s">
        <v>6</v>
      </c>
      <c r="H1403" s="74" t="s">
        <v>5</v>
      </c>
      <c r="I1403" s="75" t="s">
        <v>6</v>
      </c>
    </row>
    <row r="1404" spans="2:13" ht="12.95" customHeight="1" x14ac:dyDescent="0.3">
      <c r="B1404" s="59" t="s">
        <v>2</v>
      </c>
      <c r="C1404" s="59" t="s">
        <v>14</v>
      </c>
      <c r="D1404" s="61" t="s">
        <v>17</v>
      </c>
      <c r="E1404" s="78">
        <v>9213</v>
      </c>
      <c r="F1404" s="25">
        <v>0.65</v>
      </c>
      <c r="G1404" s="3">
        <f>TRUNC($E1404*F1404,1)</f>
        <v>5988.4</v>
      </c>
      <c r="H1404" s="25">
        <v>0.72</v>
      </c>
      <c r="I1404" s="3">
        <f t="shared" ref="I1404" si="505">TRUNC($E1404*H1404,1)</f>
        <v>6633.3</v>
      </c>
    </row>
    <row r="1405" spans="2:13" ht="12.95" customHeight="1" x14ac:dyDescent="0.3">
      <c r="B1405" s="42" t="s">
        <v>53</v>
      </c>
      <c r="C1405" s="43" t="s">
        <v>54</v>
      </c>
      <c r="D1405" s="44" t="s">
        <v>15</v>
      </c>
      <c r="E1405" s="45"/>
      <c r="F1405" s="21">
        <v>1</v>
      </c>
      <c r="G1405" s="5">
        <f>TRUNC(SUM(G1408:G1409)*0.01,1)</f>
        <v>1918.7</v>
      </c>
      <c r="H1405" s="21">
        <v>1</v>
      </c>
      <c r="I1405" s="5">
        <f>TRUNC(SUM(I1408:I1409)*0.01,1)</f>
        <v>2197.6</v>
      </c>
    </row>
    <row r="1406" spans="2:13" ht="12.95" customHeight="1" x14ac:dyDescent="0.3">
      <c r="B1406" s="46" t="s">
        <v>10</v>
      </c>
      <c r="C1406" s="51"/>
      <c r="D1406" s="51"/>
      <c r="E1406" s="22"/>
      <c r="F1406" s="23"/>
      <c r="G1406" s="16">
        <f>TRUNC(SUM(G1404:G1405))</f>
        <v>7907</v>
      </c>
      <c r="H1406" s="23"/>
      <c r="I1406" s="16">
        <f>TRUNC(SUM(I1404:I1405))</f>
        <v>8830</v>
      </c>
    </row>
    <row r="1407" spans="2:13" ht="12.95" customHeight="1" x14ac:dyDescent="0.3">
      <c r="B1407" s="50"/>
      <c r="C1407" s="51"/>
      <c r="D1407" s="51"/>
      <c r="E1407" s="22"/>
      <c r="F1407" s="23"/>
      <c r="G1407" s="24"/>
      <c r="H1407" s="23"/>
      <c r="I1407" s="24"/>
    </row>
    <row r="1408" spans="2:13" ht="12.95" customHeight="1" x14ac:dyDescent="0.3">
      <c r="B1408" s="52" t="s">
        <v>29</v>
      </c>
      <c r="C1408" s="53"/>
      <c r="D1408" s="54" t="s">
        <v>9</v>
      </c>
      <c r="E1408" s="55">
        <v>262580</v>
      </c>
      <c r="F1408" s="25">
        <v>0.57999999999999996</v>
      </c>
      <c r="G1408" s="3">
        <f t="shared" ref="G1408:G1410" si="506">TRUNC($E1408*F1408,1)</f>
        <v>152296.4</v>
      </c>
      <c r="H1408" s="25">
        <v>0.66</v>
      </c>
      <c r="I1408" s="3">
        <f t="shared" ref="I1408:I1410" si="507">TRUNC($E1408*H1408,1)</f>
        <v>173302.8</v>
      </c>
    </row>
    <row r="1409" spans="2:9" ht="12.95" customHeight="1" x14ac:dyDescent="0.3">
      <c r="B1409" s="52" t="s">
        <v>1</v>
      </c>
      <c r="C1409" s="53"/>
      <c r="D1409" s="54" t="s">
        <v>9</v>
      </c>
      <c r="E1409" s="57">
        <v>172068</v>
      </c>
      <c r="F1409" s="25">
        <v>0.23</v>
      </c>
      <c r="G1409" s="3">
        <f t="shared" si="506"/>
        <v>39575.599999999999</v>
      </c>
      <c r="H1409" s="25">
        <v>0.27</v>
      </c>
      <c r="I1409" s="3">
        <f t="shared" si="507"/>
        <v>46458.3</v>
      </c>
    </row>
    <row r="1410" spans="2:9" ht="12.95" customHeight="1" x14ac:dyDescent="0.3">
      <c r="B1410" s="59" t="s">
        <v>2</v>
      </c>
      <c r="C1410" s="59" t="s">
        <v>14</v>
      </c>
      <c r="D1410" s="61" t="s">
        <v>17</v>
      </c>
      <c r="E1410" s="78">
        <v>49698</v>
      </c>
      <c r="F1410" s="25">
        <v>0.65</v>
      </c>
      <c r="G1410" s="3">
        <f t="shared" si="506"/>
        <v>32303.7</v>
      </c>
      <c r="H1410" s="25">
        <v>0.72</v>
      </c>
      <c r="I1410" s="3">
        <f t="shared" si="507"/>
        <v>35782.5</v>
      </c>
    </row>
    <row r="1411" spans="2:9" ht="12.95" customHeight="1" x14ac:dyDescent="0.3">
      <c r="B1411" s="58" t="s">
        <v>11</v>
      </c>
      <c r="C1411" s="51"/>
      <c r="D1411" s="51"/>
      <c r="E1411" s="22"/>
      <c r="F1411" s="23"/>
      <c r="G1411" s="16">
        <f>TRUNC(SUM(G1408:G1410))</f>
        <v>224175</v>
      </c>
      <c r="H1411" s="23"/>
      <c r="I1411" s="16">
        <f>TRUNC(SUM(I1408:I1410))</f>
        <v>255543</v>
      </c>
    </row>
    <row r="1412" spans="2:9" ht="12.95" customHeight="1" x14ac:dyDescent="0.3">
      <c r="B1412" s="50"/>
      <c r="C1412" s="51"/>
      <c r="D1412" s="51"/>
      <c r="E1412" s="22"/>
      <c r="F1412" s="23"/>
      <c r="G1412" s="24"/>
      <c r="H1412" s="23"/>
      <c r="I1412" s="24"/>
    </row>
    <row r="1413" spans="2:9" ht="12.95" customHeight="1" x14ac:dyDescent="0.3">
      <c r="B1413" s="59" t="s">
        <v>2</v>
      </c>
      <c r="C1413" s="59" t="s">
        <v>14</v>
      </c>
      <c r="D1413" s="61" t="s">
        <v>17</v>
      </c>
      <c r="E1413" s="78">
        <v>11117</v>
      </c>
      <c r="F1413" s="25">
        <v>0.65</v>
      </c>
      <c r="G1413" s="3">
        <f t="shared" ref="G1413" si="508">TRUNC($E1413*F1413,1)</f>
        <v>7226</v>
      </c>
      <c r="H1413" s="25">
        <v>0.72</v>
      </c>
      <c r="I1413" s="3">
        <f t="shared" ref="I1413" si="509">TRUNC($E1413*H1413,1)</f>
        <v>8004.2</v>
      </c>
    </row>
    <row r="1414" spans="2:9" ht="12.95" customHeight="1" x14ac:dyDescent="0.3">
      <c r="B1414" s="46" t="s">
        <v>12</v>
      </c>
      <c r="C1414" s="51"/>
      <c r="D1414" s="51"/>
      <c r="E1414" s="62"/>
      <c r="F1414" s="15"/>
      <c r="G1414" s="16">
        <f>TRUNC(SUM(G1413:G1413))</f>
        <v>7226</v>
      </c>
      <c r="H1414" s="15"/>
      <c r="I1414" s="16">
        <f>TRUNC(SUM(I1413:I1413))</f>
        <v>8004</v>
      </c>
    </row>
    <row r="1415" spans="2:9" ht="12.95" customHeight="1" x14ac:dyDescent="0.3">
      <c r="B1415" s="63"/>
      <c r="C1415" s="59"/>
      <c r="D1415" s="59"/>
      <c r="E1415" s="64"/>
      <c r="F1415" s="25"/>
      <c r="G1415" s="27"/>
      <c r="H1415" s="25"/>
      <c r="I1415" s="27"/>
    </row>
    <row r="1416" spans="2:9" ht="12.95" customHeight="1" x14ac:dyDescent="0.3">
      <c r="B1416" s="66" t="s">
        <v>13</v>
      </c>
      <c r="C1416" s="76"/>
      <c r="D1416" s="76"/>
      <c r="E1416" s="77"/>
      <c r="F1416" s="77"/>
      <c r="G1416" s="26">
        <f>SUM(G1406+G1411+G1414)</f>
        <v>239308</v>
      </c>
      <c r="H1416" s="77"/>
      <c r="I1416" s="26">
        <f>SUM(I1406+I1411+I1414)</f>
        <v>272377</v>
      </c>
    </row>
    <row r="1417" spans="2:9" ht="12.95" customHeight="1" x14ac:dyDescent="0.3">
      <c r="B1417" s="110" t="s">
        <v>3</v>
      </c>
      <c r="C1417" s="113" t="s">
        <v>7</v>
      </c>
      <c r="D1417" s="116" t="s">
        <v>8</v>
      </c>
      <c r="E1417" s="119" t="s">
        <v>4</v>
      </c>
      <c r="F1417" s="95" t="s">
        <v>120</v>
      </c>
      <c r="G1417" s="96"/>
      <c r="H1417" s="96"/>
      <c r="I1417" s="96"/>
    </row>
    <row r="1418" spans="2:9" ht="12.95" customHeight="1" x14ac:dyDescent="0.3">
      <c r="B1418" s="111"/>
      <c r="C1418" s="114"/>
      <c r="D1418" s="117"/>
      <c r="E1418" s="120"/>
      <c r="F1418" s="105" t="s">
        <v>107</v>
      </c>
      <c r="G1418" s="95"/>
      <c r="H1418" s="105" t="s">
        <v>108</v>
      </c>
      <c r="I1418" s="95"/>
    </row>
    <row r="1419" spans="2:9" ht="12.95" customHeight="1" x14ac:dyDescent="0.3">
      <c r="B1419" s="112"/>
      <c r="C1419" s="115"/>
      <c r="D1419" s="118"/>
      <c r="E1419" s="121"/>
      <c r="F1419" s="74" t="s">
        <v>5</v>
      </c>
      <c r="G1419" s="75" t="s">
        <v>6</v>
      </c>
      <c r="H1419" s="74" t="s">
        <v>5</v>
      </c>
      <c r="I1419" s="75" t="s">
        <v>6</v>
      </c>
    </row>
    <row r="1420" spans="2:9" ht="12.95" customHeight="1" x14ac:dyDescent="0.3">
      <c r="B1420" s="59" t="s">
        <v>2</v>
      </c>
      <c r="C1420" s="59" t="s">
        <v>33</v>
      </c>
      <c r="D1420" s="61" t="s">
        <v>17</v>
      </c>
      <c r="E1420" s="17">
        <v>18607</v>
      </c>
      <c r="F1420" s="25">
        <v>0.79</v>
      </c>
      <c r="G1420" s="3">
        <f t="shared" ref="G1420" si="510">TRUNC($E1420*F1420,1)</f>
        <v>14699.5</v>
      </c>
      <c r="H1420" s="25">
        <v>0.86</v>
      </c>
      <c r="I1420" s="3">
        <f t="shared" ref="I1420" si="511">TRUNC($E1420*H1420,1)</f>
        <v>16002</v>
      </c>
    </row>
    <row r="1421" spans="2:9" ht="12.95" customHeight="1" x14ac:dyDescent="0.3">
      <c r="B1421" s="42" t="s">
        <v>53</v>
      </c>
      <c r="C1421" s="43" t="s">
        <v>54</v>
      </c>
      <c r="D1421" s="44" t="s">
        <v>15</v>
      </c>
      <c r="E1421" s="45"/>
      <c r="F1421" s="21">
        <v>1</v>
      </c>
      <c r="G1421" s="5">
        <f>TRUNC(SUM(G1424:G1425)*0.01,1)</f>
        <v>2485.5</v>
      </c>
      <c r="H1421" s="21">
        <v>1</v>
      </c>
      <c r="I1421" s="5">
        <f>TRUNC(SUM(I1424:I1425)*0.01,1)</f>
        <v>2790.7</v>
      </c>
    </row>
    <row r="1422" spans="2:9" ht="12.95" customHeight="1" x14ac:dyDescent="0.3">
      <c r="B1422" s="46" t="s">
        <v>10</v>
      </c>
      <c r="C1422" s="51"/>
      <c r="D1422" s="51"/>
      <c r="E1422" s="22"/>
      <c r="F1422" s="23"/>
      <c r="G1422" s="16">
        <f>TRUNC(SUM(G1420:G1421))</f>
        <v>17185</v>
      </c>
      <c r="H1422" s="23"/>
      <c r="I1422" s="16">
        <f>TRUNC(SUM(I1420:I1421))</f>
        <v>18792</v>
      </c>
    </row>
    <row r="1423" spans="2:9" ht="12.95" customHeight="1" x14ac:dyDescent="0.3">
      <c r="B1423" s="50"/>
      <c r="C1423" s="51"/>
      <c r="D1423" s="51"/>
      <c r="E1423" s="22"/>
      <c r="F1423" s="23"/>
      <c r="G1423" s="24"/>
      <c r="H1423" s="23"/>
      <c r="I1423" s="24"/>
    </row>
    <row r="1424" spans="2:9" ht="12.95" customHeight="1" x14ac:dyDescent="0.3">
      <c r="B1424" s="52" t="s">
        <v>29</v>
      </c>
      <c r="C1424" s="53"/>
      <c r="D1424" s="54" t="s">
        <v>9</v>
      </c>
      <c r="E1424" s="55">
        <v>262580</v>
      </c>
      <c r="F1424" s="25">
        <v>0.75</v>
      </c>
      <c r="G1424" s="3">
        <f t="shared" ref="G1424:G1426" si="512">TRUNC($E1424*F1424,1)</f>
        <v>196935</v>
      </c>
      <c r="H1424" s="25">
        <v>0.84</v>
      </c>
      <c r="I1424" s="3">
        <f t="shared" ref="I1424:I1426" si="513">TRUNC($E1424*H1424,1)</f>
        <v>220567.2</v>
      </c>
    </row>
    <row r="1425" spans="2:11" ht="12.95" customHeight="1" x14ac:dyDescent="0.3">
      <c r="B1425" s="52" t="s">
        <v>1</v>
      </c>
      <c r="C1425" s="53"/>
      <c r="D1425" s="54" t="s">
        <v>9</v>
      </c>
      <c r="E1425" s="57">
        <v>172068</v>
      </c>
      <c r="F1425" s="25">
        <v>0.3</v>
      </c>
      <c r="G1425" s="3">
        <f t="shared" si="512"/>
        <v>51620.4</v>
      </c>
      <c r="H1425" s="25">
        <v>0.34</v>
      </c>
      <c r="I1425" s="3">
        <f t="shared" si="513"/>
        <v>58503.1</v>
      </c>
    </row>
    <row r="1426" spans="2:11" ht="12.95" customHeight="1" x14ac:dyDescent="0.3">
      <c r="B1426" s="59" t="s">
        <v>2</v>
      </c>
      <c r="C1426" s="59" t="s">
        <v>33</v>
      </c>
      <c r="D1426" s="61" t="s">
        <v>17</v>
      </c>
      <c r="E1426" s="17">
        <v>49698</v>
      </c>
      <c r="F1426" s="25">
        <v>0.79</v>
      </c>
      <c r="G1426" s="3">
        <f t="shared" si="512"/>
        <v>39261.4</v>
      </c>
      <c r="H1426" s="25">
        <v>0.86</v>
      </c>
      <c r="I1426" s="3">
        <f t="shared" si="513"/>
        <v>42740.2</v>
      </c>
    </row>
    <row r="1427" spans="2:11" ht="12.95" customHeight="1" x14ac:dyDescent="0.3">
      <c r="B1427" s="58" t="s">
        <v>11</v>
      </c>
      <c r="C1427" s="51"/>
      <c r="D1427" s="51"/>
      <c r="E1427" s="22"/>
      <c r="F1427" s="23"/>
      <c r="G1427" s="16">
        <f>TRUNC(SUM(G1424:G1426))</f>
        <v>287816</v>
      </c>
      <c r="H1427" s="23"/>
      <c r="I1427" s="16">
        <f>TRUNC(SUM(I1424:I1426))</f>
        <v>321810</v>
      </c>
    </row>
    <row r="1428" spans="2:11" ht="12.95" customHeight="1" x14ac:dyDescent="0.3">
      <c r="B1428" s="50"/>
      <c r="C1428" s="51"/>
      <c r="D1428" s="51"/>
      <c r="E1428" s="22"/>
      <c r="F1428" s="23"/>
      <c r="G1428" s="24"/>
      <c r="H1428" s="23"/>
      <c r="I1428" s="24"/>
    </row>
    <row r="1429" spans="2:11" ht="12.95" customHeight="1" x14ac:dyDescent="0.3">
      <c r="B1429" s="59" t="s">
        <v>2</v>
      </c>
      <c r="C1429" s="59" t="s">
        <v>33</v>
      </c>
      <c r="D1429" s="61" t="s">
        <v>17</v>
      </c>
      <c r="E1429" s="17">
        <v>23795</v>
      </c>
      <c r="F1429" s="25">
        <v>0.79</v>
      </c>
      <c r="G1429" s="3">
        <f t="shared" ref="G1429" si="514">TRUNC($E1429*F1429,1)</f>
        <v>18798</v>
      </c>
      <c r="H1429" s="25">
        <v>0.86</v>
      </c>
      <c r="I1429" s="3">
        <f t="shared" ref="I1429" si="515">TRUNC($E1429*H1429,1)</f>
        <v>20463.7</v>
      </c>
    </row>
    <row r="1430" spans="2:11" ht="12.95" customHeight="1" x14ac:dyDescent="0.3">
      <c r="B1430" s="46" t="s">
        <v>12</v>
      </c>
      <c r="C1430" s="51"/>
      <c r="D1430" s="51"/>
      <c r="E1430" s="62"/>
      <c r="F1430" s="15"/>
      <c r="G1430" s="16">
        <f>TRUNC(SUM(G1429:G1429))</f>
        <v>18798</v>
      </c>
      <c r="H1430" s="15"/>
      <c r="I1430" s="16">
        <f>TRUNC(SUM(I1429:I1429))</f>
        <v>20463</v>
      </c>
      <c r="K1430" s="9"/>
    </row>
    <row r="1431" spans="2:11" ht="12.95" customHeight="1" x14ac:dyDescent="0.3">
      <c r="B1431" s="63"/>
      <c r="C1431" s="59"/>
      <c r="D1431" s="59"/>
      <c r="E1431" s="64"/>
      <c r="F1431" s="25"/>
      <c r="G1431" s="27"/>
      <c r="H1431" s="25"/>
      <c r="I1431" s="27"/>
      <c r="J1431" s="9"/>
      <c r="K1431" s="9"/>
    </row>
    <row r="1432" spans="2:11" ht="12.95" customHeight="1" x14ac:dyDescent="0.3">
      <c r="B1432" s="66" t="s">
        <v>13</v>
      </c>
      <c r="C1432" s="76"/>
      <c r="D1432" s="76"/>
      <c r="E1432" s="77"/>
      <c r="F1432" s="77"/>
      <c r="G1432" s="26">
        <f>SUM(G1422+G1427+G1430)</f>
        <v>323799</v>
      </c>
      <c r="H1432" s="77"/>
      <c r="I1432" s="26">
        <f>SUM(I1422+I1427+I1430)</f>
        <v>361065</v>
      </c>
      <c r="J1432" s="9"/>
    </row>
    <row r="1433" spans="2:11" ht="12.95" customHeight="1" x14ac:dyDescent="0.3">
      <c r="B1433" s="110" t="s">
        <v>3</v>
      </c>
      <c r="C1433" s="113" t="s">
        <v>7</v>
      </c>
      <c r="D1433" s="116" t="s">
        <v>8</v>
      </c>
      <c r="E1433" s="119" t="s">
        <v>4</v>
      </c>
      <c r="F1433" s="95" t="s">
        <v>120</v>
      </c>
      <c r="G1433" s="96"/>
      <c r="H1433" s="96"/>
      <c r="I1433" s="96"/>
      <c r="J1433" s="96"/>
      <c r="K1433" s="96"/>
    </row>
    <row r="1434" spans="2:11" ht="12.95" customHeight="1" x14ac:dyDescent="0.3">
      <c r="B1434" s="111"/>
      <c r="C1434" s="114"/>
      <c r="D1434" s="117"/>
      <c r="E1434" s="120"/>
      <c r="F1434" s="105" t="s">
        <v>109</v>
      </c>
      <c r="G1434" s="95"/>
      <c r="H1434" s="105" t="s">
        <v>110</v>
      </c>
      <c r="I1434" s="95"/>
      <c r="J1434" s="95" t="s">
        <v>111</v>
      </c>
      <c r="K1434" s="96"/>
    </row>
    <row r="1435" spans="2:11" ht="12.95" customHeight="1" x14ac:dyDescent="0.3">
      <c r="B1435" s="112"/>
      <c r="C1435" s="115"/>
      <c r="D1435" s="118"/>
      <c r="E1435" s="121"/>
      <c r="F1435" s="74" t="s">
        <v>5</v>
      </c>
      <c r="G1435" s="75" t="s">
        <v>6</v>
      </c>
      <c r="H1435" s="74" t="s">
        <v>5</v>
      </c>
      <c r="I1435" s="75" t="s">
        <v>6</v>
      </c>
      <c r="J1435" s="74" t="s">
        <v>5</v>
      </c>
      <c r="K1435" s="75" t="s">
        <v>6</v>
      </c>
    </row>
    <row r="1436" spans="2:11" ht="12.95" customHeight="1" x14ac:dyDescent="0.3">
      <c r="B1436" s="59" t="s">
        <v>2</v>
      </c>
      <c r="C1436" s="59" t="s">
        <v>45</v>
      </c>
      <c r="D1436" s="61" t="s">
        <v>17</v>
      </c>
      <c r="E1436" s="17">
        <v>19871</v>
      </c>
      <c r="F1436" s="25">
        <v>0.93</v>
      </c>
      <c r="G1436" s="3">
        <f t="shared" ref="G1436" si="516">TRUNC($E1436*F1436,1)</f>
        <v>18480</v>
      </c>
      <c r="H1436" s="25">
        <v>1.04</v>
      </c>
      <c r="I1436" s="3">
        <f t="shared" ref="I1436" si="517">TRUNC($E1436*H1436,1)</f>
        <v>20665.8</v>
      </c>
      <c r="J1436" s="25">
        <v>1.1399999999999999</v>
      </c>
      <c r="K1436" s="3">
        <f t="shared" ref="K1436" si="518">TRUNC($E1436*J1436,1)</f>
        <v>22652.9</v>
      </c>
    </row>
    <row r="1437" spans="2:11" ht="12.95" customHeight="1" x14ac:dyDescent="0.3">
      <c r="B1437" s="42" t="s">
        <v>53</v>
      </c>
      <c r="C1437" s="43" t="s">
        <v>54</v>
      </c>
      <c r="D1437" s="44" t="s">
        <v>15</v>
      </c>
      <c r="E1437" s="45"/>
      <c r="F1437" s="21">
        <v>1</v>
      </c>
      <c r="G1437" s="5">
        <f>TRUNC(SUM(G1440:G1441)*0.01,1)</f>
        <v>3078.6</v>
      </c>
      <c r="H1437" s="21">
        <v>1</v>
      </c>
      <c r="I1437" s="5">
        <f>TRUNC(SUM(I1440:I1441)*0.01,1)</f>
        <v>3506</v>
      </c>
      <c r="J1437" s="21">
        <v>1</v>
      </c>
      <c r="K1437" s="5">
        <f>TRUNC(SUM(K1440:K1441)*0.01,1)</f>
        <v>3976.8</v>
      </c>
    </row>
    <row r="1438" spans="2:11" ht="12.95" customHeight="1" x14ac:dyDescent="0.3">
      <c r="B1438" s="46" t="s">
        <v>10</v>
      </c>
      <c r="C1438" s="51"/>
      <c r="D1438" s="51"/>
      <c r="E1438" s="22"/>
      <c r="F1438" s="23"/>
      <c r="G1438" s="16">
        <f>TRUNC(SUM(G1436:G1437))</f>
        <v>21558</v>
      </c>
      <c r="H1438" s="23"/>
      <c r="I1438" s="16">
        <f>TRUNC(SUM(I1436:I1437))</f>
        <v>24171</v>
      </c>
      <c r="J1438" s="23"/>
      <c r="K1438" s="16">
        <f>TRUNC(SUM(K1436:K1437))</f>
        <v>26629</v>
      </c>
    </row>
    <row r="1439" spans="2:11" ht="12.95" customHeight="1" x14ac:dyDescent="0.3">
      <c r="B1439" s="50"/>
      <c r="C1439" s="51"/>
      <c r="D1439" s="51"/>
      <c r="E1439" s="22"/>
      <c r="F1439" s="23"/>
      <c r="G1439" s="24"/>
      <c r="H1439" s="23"/>
      <c r="I1439" s="24"/>
      <c r="J1439" s="23"/>
      <c r="K1439" s="24"/>
    </row>
    <row r="1440" spans="2:11" ht="12.95" customHeight="1" x14ac:dyDescent="0.3">
      <c r="B1440" s="52" t="s">
        <v>29</v>
      </c>
      <c r="C1440" s="53"/>
      <c r="D1440" s="54" t="s">
        <v>9</v>
      </c>
      <c r="E1440" s="55">
        <v>262580</v>
      </c>
      <c r="F1440" s="25">
        <v>0.93</v>
      </c>
      <c r="G1440" s="3">
        <f t="shared" ref="G1440:G1442" si="519">TRUNC($E1440*F1440,1)</f>
        <v>244199.4</v>
      </c>
      <c r="H1440" s="25">
        <v>1.06</v>
      </c>
      <c r="I1440" s="3">
        <f t="shared" ref="I1440:I1442" si="520">TRUNC($E1440*H1440,1)</f>
        <v>278334.8</v>
      </c>
      <c r="J1440" s="25">
        <v>1.2</v>
      </c>
      <c r="K1440" s="3">
        <f t="shared" ref="K1440:K1442" si="521">TRUNC($E1440*J1440,1)</f>
        <v>315096</v>
      </c>
    </row>
    <row r="1441" spans="2:11" ht="12.95" customHeight="1" x14ac:dyDescent="0.3">
      <c r="B1441" s="52" t="s">
        <v>1</v>
      </c>
      <c r="C1441" s="53"/>
      <c r="D1441" s="54" t="s">
        <v>9</v>
      </c>
      <c r="E1441" s="57">
        <v>172068</v>
      </c>
      <c r="F1441" s="25">
        <v>0.37</v>
      </c>
      <c r="G1441" s="3">
        <f t="shared" si="519"/>
        <v>63665.1</v>
      </c>
      <c r="H1441" s="25">
        <v>0.42</v>
      </c>
      <c r="I1441" s="3">
        <f t="shared" si="520"/>
        <v>72268.5</v>
      </c>
      <c r="J1441" s="25">
        <v>0.48</v>
      </c>
      <c r="K1441" s="3">
        <f t="shared" si="521"/>
        <v>82592.600000000006</v>
      </c>
    </row>
    <row r="1442" spans="2:11" ht="12.95" customHeight="1" x14ac:dyDescent="0.3">
      <c r="B1442" s="59" t="s">
        <v>2</v>
      </c>
      <c r="C1442" s="59" t="s">
        <v>45</v>
      </c>
      <c r="D1442" s="61" t="s">
        <v>17</v>
      </c>
      <c r="E1442" s="17">
        <v>49698</v>
      </c>
      <c r="F1442" s="25">
        <v>0.93</v>
      </c>
      <c r="G1442" s="3">
        <f t="shared" si="519"/>
        <v>46219.1</v>
      </c>
      <c r="H1442" s="25">
        <v>1.04</v>
      </c>
      <c r="I1442" s="3">
        <f t="shared" si="520"/>
        <v>51685.9</v>
      </c>
      <c r="J1442" s="25">
        <v>1.1399999999999999</v>
      </c>
      <c r="K1442" s="3">
        <f t="shared" si="521"/>
        <v>56655.7</v>
      </c>
    </row>
    <row r="1443" spans="2:11" ht="12.95" customHeight="1" x14ac:dyDescent="0.3">
      <c r="B1443" s="58" t="s">
        <v>11</v>
      </c>
      <c r="C1443" s="51"/>
      <c r="D1443" s="51"/>
      <c r="E1443" s="22"/>
      <c r="F1443" s="23"/>
      <c r="G1443" s="16">
        <f>TRUNC(SUM(G1440:G1442))</f>
        <v>354083</v>
      </c>
      <c r="H1443" s="23" t="s">
        <v>58</v>
      </c>
      <c r="I1443" s="16">
        <f>TRUNC(SUM(I1440:I1442))</f>
        <v>402289</v>
      </c>
      <c r="J1443" s="23"/>
      <c r="K1443" s="16">
        <f>TRUNC(SUM(K1440:K1442))</f>
        <v>454344</v>
      </c>
    </row>
    <row r="1444" spans="2:11" ht="12.95" customHeight="1" x14ac:dyDescent="0.3">
      <c r="B1444" s="50"/>
      <c r="C1444" s="51"/>
      <c r="D1444" s="51"/>
      <c r="E1444" s="22"/>
      <c r="F1444" s="23"/>
      <c r="G1444" s="24"/>
      <c r="H1444" s="23"/>
      <c r="I1444" s="24"/>
      <c r="J1444" s="23"/>
      <c r="K1444" s="24"/>
    </row>
    <row r="1445" spans="2:11" ht="12.95" customHeight="1" x14ac:dyDescent="0.3">
      <c r="B1445" s="59" t="s">
        <v>2</v>
      </c>
      <c r="C1445" s="59" t="s">
        <v>45</v>
      </c>
      <c r="D1445" s="61" t="s">
        <v>17</v>
      </c>
      <c r="E1445" s="17">
        <v>31327</v>
      </c>
      <c r="F1445" s="25">
        <v>0.93</v>
      </c>
      <c r="G1445" s="3">
        <f t="shared" ref="G1445" si="522">TRUNC($E1445*F1445,1)</f>
        <v>29134.1</v>
      </c>
      <c r="H1445" s="25">
        <v>1.04</v>
      </c>
      <c r="I1445" s="3">
        <f t="shared" ref="I1445" si="523">TRUNC($E1445*H1445,1)</f>
        <v>32580</v>
      </c>
      <c r="J1445" s="25">
        <v>1.1399999999999999</v>
      </c>
      <c r="K1445" s="3">
        <f t="shared" ref="K1445" si="524">TRUNC($E1445*J1445,1)</f>
        <v>35712.699999999997</v>
      </c>
    </row>
    <row r="1446" spans="2:11" ht="12.95" customHeight="1" x14ac:dyDescent="0.3">
      <c r="B1446" s="46" t="s">
        <v>12</v>
      </c>
      <c r="C1446" s="51"/>
      <c r="D1446" s="51"/>
      <c r="E1446" s="62"/>
      <c r="F1446" s="15"/>
      <c r="G1446" s="16">
        <f>TRUNC(SUM(G1445:G1445))</f>
        <v>29134</v>
      </c>
      <c r="H1446" s="15"/>
      <c r="I1446" s="16">
        <f>TRUNC(SUM(I1445:I1445))</f>
        <v>32580</v>
      </c>
      <c r="J1446" s="15"/>
      <c r="K1446" s="16">
        <f>TRUNC(SUM(K1445:K1445))</f>
        <v>35712</v>
      </c>
    </row>
    <row r="1447" spans="2:11" ht="12.95" customHeight="1" x14ac:dyDescent="0.3">
      <c r="B1447" s="63"/>
      <c r="C1447" s="59"/>
      <c r="D1447" s="59"/>
      <c r="E1447" s="64"/>
      <c r="F1447" s="25"/>
      <c r="G1447" s="27"/>
      <c r="H1447" s="25"/>
      <c r="I1447" s="27"/>
      <c r="J1447" s="25"/>
      <c r="K1447" s="27"/>
    </row>
    <row r="1448" spans="2:11" ht="12.95" customHeight="1" x14ac:dyDescent="0.3">
      <c r="B1448" s="66" t="s">
        <v>13</v>
      </c>
      <c r="C1448" s="76"/>
      <c r="D1448" s="76"/>
      <c r="E1448" s="77"/>
      <c r="F1448" s="77"/>
      <c r="G1448" s="26">
        <f>SUM(G1438+G1443+G1446)</f>
        <v>404775</v>
      </c>
      <c r="H1448" s="77"/>
      <c r="I1448" s="26">
        <f>SUM(I1438+I1443+I1446)</f>
        <v>459040</v>
      </c>
      <c r="J1448" s="77"/>
      <c r="K1448" s="26">
        <f>SUM(K1438+K1443+K1446)</f>
        <v>516685</v>
      </c>
    </row>
    <row r="1449" spans="2:11" ht="12.95" customHeight="1" x14ac:dyDescent="0.3">
      <c r="B1449" s="110" t="s">
        <v>3</v>
      </c>
      <c r="C1449" s="113" t="s">
        <v>7</v>
      </c>
      <c r="D1449" s="116" t="s">
        <v>8</v>
      </c>
      <c r="E1449" s="119" t="s">
        <v>4</v>
      </c>
      <c r="F1449" s="95" t="s">
        <v>120</v>
      </c>
      <c r="G1449" s="96"/>
      <c r="H1449" s="96"/>
      <c r="I1449" s="96"/>
      <c r="J1449" s="96"/>
      <c r="K1449" s="96"/>
    </row>
    <row r="1450" spans="2:11" ht="12.95" customHeight="1" x14ac:dyDescent="0.3">
      <c r="B1450" s="111"/>
      <c r="C1450" s="114"/>
      <c r="D1450" s="117"/>
      <c r="E1450" s="120"/>
      <c r="F1450" s="105" t="s">
        <v>115</v>
      </c>
      <c r="G1450" s="95"/>
      <c r="H1450" s="105" t="s">
        <v>116</v>
      </c>
      <c r="I1450" s="95"/>
      <c r="J1450" s="95" t="s">
        <v>117</v>
      </c>
      <c r="K1450" s="96"/>
    </row>
    <row r="1451" spans="2:11" ht="12.95" customHeight="1" x14ac:dyDescent="0.3">
      <c r="B1451" s="112"/>
      <c r="C1451" s="115"/>
      <c r="D1451" s="118"/>
      <c r="E1451" s="121"/>
      <c r="F1451" s="74" t="s">
        <v>5</v>
      </c>
      <c r="G1451" s="75" t="s">
        <v>6</v>
      </c>
      <c r="H1451" s="74" t="s">
        <v>5</v>
      </c>
      <c r="I1451" s="75" t="s">
        <v>6</v>
      </c>
      <c r="J1451" s="74" t="s">
        <v>5</v>
      </c>
      <c r="K1451" s="75" t="s">
        <v>6</v>
      </c>
    </row>
    <row r="1452" spans="2:11" ht="12.95" customHeight="1" x14ac:dyDescent="0.3">
      <c r="B1452" s="59" t="s">
        <v>2</v>
      </c>
      <c r="C1452" s="59" t="s">
        <v>45</v>
      </c>
      <c r="D1452" s="61" t="s">
        <v>17</v>
      </c>
      <c r="E1452" s="17">
        <v>19871</v>
      </c>
      <c r="F1452" s="25">
        <v>1.25</v>
      </c>
      <c r="G1452" s="3">
        <f t="shared" ref="G1452" si="525">TRUNC($E1452*F1452,1)</f>
        <v>24838.7</v>
      </c>
      <c r="H1452" s="25">
        <v>1.35</v>
      </c>
      <c r="I1452" s="3">
        <f t="shared" ref="I1452" si="526">TRUNC($E1452*H1452,1)</f>
        <v>26825.8</v>
      </c>
      <c r="J1452" s="25">
        <v>1.49</v>
      </c>
      <c r="K1452" s="3">
        <f t="shared" ref="K1452" si="527">TRUNC($E1452*J1452,1)</f>
        <v>29607.7</v>
      </c>
    </row>
    <row r="1453" spans="2:11" ht="12.95" customHeight="1" x14ac:dyDescent="0.3">
      <c r="B1453" s="42" t="s">
        <v>53</v>
      </c>
      <c r="C1453" s="43" t="s">
        <v>54</v>
      </c>
      <c r="D1453" s="44" t="s">
        <v>15</v>
      </c>
      <c r="E1453" s="45"/>
      <c r="F1453" s="21">
        <v>1</v>
      </c>
      <c r="G1453" s="5">
        <f>TRUNC(SUM(G1456:G1457)*0.01,1)</f>
        <v>4404.2</v>
      </c>
      <c r="H1453" s="21">
        <v>1</v>
      </c>
      <c r="I1453" s="5">
        <f>TRUNC(SUM(I1456:I1457)*0.01,1)</f>
        <v>4848.8</v>
      </c>
      <c r="J1453" s="21">
        <v>1</v>
      </c>
      <c r="K1453" s="5">
        <f>TRUNC(SUM(K1456:K1457)*0.01,1)</f>
        <v>5441.9</v>
      </c>
    </row>
    <row r="1454" spans="2:11" ht="12.95" customHeight="1" x14ac:dyDescent="0.3">
      <c r="B1454" s="46" t="s">
        <v>10</v>
      </c>
      <c r="C1454" s="51"/>
      <c r="D1454" s="51"/>
      <c r="E1454" s="22"/>
      <c r="F1454" s="23"/>
      <c r="G1454" s="16">
        <f>TRUNC(SUM(G1452:G1453))</f>
        <v>29242</v>
      </c>
      <c r="H1454" s="23"/>
      <c r="I1454" s="16">
        <f>TRUNC(SUM(I1452:I1453))</f>
        <v>31674</v>
      </c>
      <c r="J1454" s="23"/>
      <c r="K1454" s="16">
        <f>TRUNC(SUM(K1452:K1453))</f>
        <v>35049</v>
      </c>
    </row>
    <row r="1455" spans="2:11" ht="12.95" customHeight="1" x14ac:dyDescent="0.3">
      <c r="B1455" s="50"/>
      <c r="C1455" s="51"/>
      <c r="D1455" s="51"/>
      <c r="E1455" s="22"/>
      <c r="F1455" s="23"/>
      <c r="G1455" s="24"/>
      <c r="H1455" s="23"/>
      <c r="I1455" s="24"/>
      <c r="J1455" s="23"/>
      <c r="K1455" s="24"/>
    </row>
    <row r="1456" spans="2:11" ht="12.95" customHeight="1" x14ac:dyDescent="0.3">
      <c r="B1456" s="52" t="s">
        <v>29</v>
      </c>
      <c r="C1456" s="53"/>
      <c r="D1456" s="54" t="s">
        <v>9</v>
      </c>
      <c r="E1456" s="55">
        <v>262580</v>
      </c>
      <c r="F1456" s="25">
        <v>1.33</v>
      </c>
      <c r="G1456" s="3">
        <f t="shared" ref="G1456:G1458" si="528">TRUNC($E1456*F1456,1)</f>
        <v>349231.4</v>
      </c>
      <c r="H1456" s="25">
        <v>1.46</v>
      </c>
      <c r="I1456" s="3">
        <f t="shared" ref="I1456:I1458" si="529">TRUNC($E1456*H1456,1)</f>
        <v>383366.8</v>
      </c>
      <c r="J1456" s="25">
        <v>1.64</v>
      </c>
      <c r="K1456" s="3">
        <f t="shared" ref="K1456:K1458" si="530">TRUNC($E1456*J1456,1)</f>
        <v>430631.2</v>
      </c>
    </row>
    <row r="1457" spans="2:11" ht="12.95" customHeight="1" x14ac:dyDescent="0.3">
      <c r="B1457" s="52" t="s">
        <v>1</v>
      </c>
      <c r="C1457" s="53"/>
      <c r="D1457" s="54" t="s">
        <v>9</v>
      </c>
      <c r="E1457" s="57">
        <v>172068</v>
      </c>
      <c r="F1457" s="25">
        <v>0.53</v>
      </c>
      <c r="G1457" s="3">
        <f t="shared" si="528"/>
        <v>91196</v>
      </c>
      <c r="H1457" s="25">
        <v>0.59</v>
      </c>
      <c r="I1457" s="3">
        <f t="shared" si="529"/>
        <v>101520.1</v>
      </c>
      <c r="J1457" s="25">
        <v>0.66</v>
      </c>
      <c r="K1457" s="3">
        <f t="shared" si="530"/>
        <v>113564.8</v>
      </c>
    </row>
    <row r="1458" spans="2:11" ht="12.95" customHeight="1" x14ac:dyDescent="0.3">
      <c r="B1458" s="59" t="s">
        <v>2</v>
      </c>
      <c r="C1458" s="59" t="s">
        <v>45</v>
      </c>
      <c r="D1458" s="61" t="s">
        <v>17</v>
      </c>
      <c r="E1458" s="17">
        <v>49698</v>
      </c>
      <c r="F1458" s="25">
        <v>1.25</v>
      </c>
      <c r="G1458" s="3">
        <f t="shared" si="528"/>
        <v>62122.5</v>
      </c>
      <c r="H1458" s="25">
        <v>1.35</v>
      </c>
      <c r="I1458" s="3">
        <f t="shared" si="529"/>
        <v>67092.3</v>
      </c>
      <c r="J1458" s="25">
        <v>1.49</v>
      </c>
      <c r="K1458" s="3">
        <f t="shared" si="530"/>
        <v>74050</v>
      </c>
    </row>
    <row r="1459" spans="2:11" ht="12.95" customHeight="1" x14ac:dyDescent="0.3">
      <c r="B1459" s="58" t="s">
        <v>11</v>
      </c>
      <c r="C1459" s="51"/>
      <c r="D1459" s="51"/>
      <c r="E1459" s="22"/>
      <c r="F1459" s="23"/>
      <c r="G1459" s="16">
        <f>TRUNC(SUM(G1456:G1458))</f>
        <v>502549</v>
      </c>
      <c r="H1459" s="23" t="s">
        <v>58</v>
      </c>
      <c r="I1459" s="16">
        <f>TRUNC(SUM(I1456:I1458))</f>
        <v>551979</v>
      </c>
      <c r="J1459" s="23"/>
      <c r="K1459" s="16">
        <f>TRUNC(SUM(K1456:K1458))</f>
        <v>618246</v>
      </c>
    </row>
    <row r="1460" spans="2:11" ht="12.95" customHeight="1" x14ac:dyDescent="0.3">
      <c r="B1460" s="50"/>
      <c r="C1460" s="51"/>
      <c r="D1460" s="51"/>
      <c r="E1460" s="22"/>
      <c r="F1460" s="23"/>
      <c r="G1460" s="24"/>
      <c r="H1460" s="23"/>
      <c r="I1460" s="24"/>
      <c r="J1460" s="23"/>
      <c r="K1460" s="24"/>
    </row>
    <row r="1461" spans="2:11" ht="12.95" customHeight="1" x14ac:dyDescent="0.3">
      <c r="B1461" s="59" t="s">
        <v>2</v>
      </c>
      <c r="C1461" s="59" t="s">
        <v>45</v>
      </c>
      <c r="D1461" s="61" t="s">
        <v>17</v>
      </c>
      <c r="E1461" s="17">
        <v>31327</v>
      </c>
      <c r="F1461" s="25">
        <v>1.25</v>
      </c>
      <c r="G1461" s="3">
        <f t="shared" ref="G1461" si="531">TRUNC($E1461*F1461,1)</f>
        <v>39158.699999999997</v>
      </c>
      <c r="H1461" s="25">
        <v>1.35</v>
      </c>
      <c r="I1461" s="3">
        <f t="shared" ref="I1461" si="532">TRUNC($E1461*H1461,1)</f>
        <v>42291.4</v>
      </c>
      <c r="J1461" s="25">
        <v>1.49</v>
      </c>
      <c r="K1461" s="3">
        <f t="shared" ref="K1461" si="533">TRUNC($E1461*J1461,1)</f>
        <v>46677.2</v>
      </c>
    </row>
    <row r="1462" spans="2:11" ht="12.95" customHeight="1" x14ac:dyDescent="0.3">
      <c r="B1462" s="46" t="s">
        <v>12</v>
      </c>
      <c r="C1462" s="51"/>
      <c r="D1462" s="51"/>
      <c r="E1462" s="62"/>
      <c r="F1462" s="15"/>
      <c r="G1462" s="16">
        <f>TRUNC(SUM(G1461:G1461))</f>
        <v>39158</v>
      </c>
      <c r="H1462" s="15"/>
      <c r="I1462" s="16">
        <f>TRUNC(SUM(I1461:I1461))</f>
        <v>42291</v>
      </c>
      <c r="J1462" s="15"/>
      <c r="K1462" s="16">
        <f>TRUNC(SUM(K1461:K1461))</f>
        <v>46677</v>
      </c>
    </row>
    <row r="1463" spans="2:11" ht="12.95" customHeight="1" x14ac:dyDescent="0.3">
      <c r="B1463" s="63"/>
      <c r="C1463" s="59"/>
      <c r="D1463" s="59"/>
      <c r="E1463" s="64"/>
      <c r="F1463" s="25"/>
      <c r="G1463" s="27"/>
      <c r="H1463" s="25"/>
      <c r="I1463" s="27"/>
      <c r="J1463" s="25"/>
      <c r="K1463" s="27"/>
    </row>
    <row r="1464" spans="2:11" ht="12.95" customHeight="1" x14ac:dyDescent="0.3">
      <c r="B1464" s="66" t="s">
        <v>13</v>
      </c>
      <c r="C1464" s="76"/>
      <c r="D1464" s="76"/>
      <c r="E1464" s="77"/>
      <c r="F1464" s="77"/>
      <c r="G1464" s="26">
        <f>SUM(G1454+G1459+G1462)</f>
        <v>570949</v>
      </c>
      <c r="H1464" s="77"/>
      <c r="I1464" s="26">
        <f>SUM(I1454+I1459+I1462)</f>
        <v>625944</v>
      </c>
      <c r="J1464" s="77"/>
      <c r="K1464" s="26">
        <f>SUM(K1454+K1459+K1462)</f>
        <v>699972</v>
      </c>
    </row>
    <row r="1465" spans="2:11" ht="12.95" customHeight="1" x14ac:dyDescent="0.3">
      <c r="B1465" s="110" t="s">
        <v>3</v>
      </c>
      <c r="C1465" s="113" t="s">
        <v>7</v>
      </c>
      <c r="D1465" s="116" t="s">
        <v>8</v>
      </c>
      <c r="E1465" s="119" t="s">
        <v>4</v>
      </c>
      <c r="F1465" s="95" t="s">
        <v>120</v>
      </c>
      <c r="G1465" s="96"/>
      <c r="H1465" s="96"/>
      <c r="I1465" s="96"/>
    </row>
    <row r="1466" spans="2:11" ht="12.95" customHeight="1" x14ac:dyDescent="0.3">
      <c r="B1466" s="111"/>
      <c r="C1466" s="114"/>
      <c r="D1466" s="117"/>
      <c r="E1466" s="120"/>
      <c r="F1466" s="95" t="s">
        <v>118</v>
      </c>
      <c r="G1466" s="96"/>
      <c r="H1466" s="95" t="s">
        <v>119</v>
      </c>
      <c r="I1466" s="96"/>
    </row>
    <row r="1467" spans="2:11" ht="12.95" customHeight="1" x14ac:dyDescent="0.3">
      <c r="B1467" s="112"/>
      <c r="C1467" s="115"/>
      <c r="D1467" s="118"/>
      <c r="E1467" s="121"/>
      <c r="F1467" s="74" t="s">
        <v>5</v>
      </c>
      <c r="G1467" s="75" t="s">
        <v>6</v>
      </c>
      <c r="H1467" s="74" t="s">
        <v>5</v>
      </c>
      <c r="I1467" s="75" t="s">
        <v>6</v>
      </c>
    </row>
    <row r="1468" spans="2:11" ht="12.95" customHeight="1" x14ac:dyDescent="0.3">
      <c r="B1468" s="59" t="s">
        <v>102</v>
      </c>
      <c r="C1468" s="59" t="s">
        <v>101</v>
      </c>
      <c r="D1468" s="61" t="s">
        <v>17</v>
      </c>
      <c r="E1468" s="17">
        <v>11299</v>
      </c>
      <c r="F1468" s="25">
        <v>1.63</v>
      </c>
      <c r="G1468" s="3">
        <f t="shared" ref="G1468" si="534">TRUNC($E1468*F1468,1)</f>
        <v>18417.3</v>
      </c>
      <c r="H1468" s="25">
        <v>1.77</v>
      </c>
      <c r="I1468" s="3">
        <f t="shared" ref="I1468" si="535">TRUNC($E1468*H1468,1)</f>
        <v>19999.2</v>
      </c>
    </row>
    <row r="1469" spans="2:11" ht="12.95" customHeight="1" x14ac:dyDescent="0.3">
      <c r="B1469" s="42" t="s">
        <v>53</v>
      </c>
      <c r="C1469" s="43" t="s">
        <v>54</v>
      </c>
      <c r="D1469" s="44" t="s">
        <v>15</v>
      </c>
      <c r="E1469" s="45"/>
      <c r="F1469" s="21">
        <v>1</v>
      </c>
      <c r="G1469" s="5">
        <f>TRUNC(SUM(G1472:G1473)*0.01,1)</f>
        <v>6035</v>
      </c>
      <c r="H1469" s="21">
        <v>1</v>
      </c>
      <c r="I1469" s="5">
        <f>TRUNC(SUM(I1472:I1473)*0.01,1)</f>
        <v>6628.1</v>
      </c>
    </row>
    <row r="1470" spans="2:11" ht="12.95" customHeight="1" x14ac:dyDescent="0.3">
      <c r="B1470" s="46" t="s">
        <v>10</v>
      </c>
      <c r="C1470" s="51"/>
      <c r="D1470" s="51"/>
      <c r="E1470" s="22"/>
      <c r="F1470" s="23"/>
      <c r="G1470" s="16">
        <f>TRUNC(SUM(G1468:G1469))</f>
        <v>24452</v>
      </c>
      <c r="H1470" s="23"/>
      <c r="I1470" s="16">
        <f>TRUNC(SUM(I1468:I1469))</f>
        <v>26627</v>
      </c>
    </row>
    <row r="1471" spans="2:11" ht="12.95" customHeight="1" x14ac:dyDescent="0.3">
      <c r="B1471" s="50"/>
      <c r="C1471" s="51"/>
      <c r="D1471" s="51"/>
      <c r="E1471" s="22"/>
      <c r="F1471" s="23"/>
      <c r="G1471" s="24"/>
      <c r="H1471" s="23"/>
      <c r="I1471" s="24"/>
    </row>
    <row r="1472" spans="2:11" ht="12.95" customHeight="1" x14ac:dyDescent="0.3">
      <c r="B1472" s="52" t="s">
        <v>29</v>
      </c>
      <c r="C1472" s="53"/>
      <c r="D1472" s="54" t="s">
        <v>9</v>
      </c>
      <c r="E1472" s="55">
        <v>262580</v>
      </c>
      <c r="F1472" s="25">
        <v>1.82</v>
      </c>
      <c r="G1472" s="3">
        <f t="shared" ref="G1472:G1474" si="536">TRUNC($E1472*F1472,1)</f>
        <v>477895.6</v>
      </c>
      <c r="H1472" s="25">
        <v>2</v>
      </c>
      <c r="I1472" s="3">
        <f t="shared" ref="I1472:I1474" si="537">TRUNC($E1472*H1472,1)</f>
        <v>525160</v>
      </c>
    </row>
    <row r="1473" spans="2:9" ht="12.95" customHeight="1" x14ac:dyDescent="0.3">
      <c r="B1473" s="52" t="s">
        <v>1</v>
      </c>
      <c r="C1473" s="53"/>
      <c r="D1473" s="54" t="s">
        <v>9</v>
      </c>
      <c r="E1473" s="57">
        <v>172068</v>
      </c>
      <c r="F1473" s="25">
        <v>0.73</v>
      </c>
      <c r="G1473" s="3">
        <f t="shared" si="536"/>
        <v>125609.60000000001</v>
      </c>
      <c r="H1473" s="25">
        <v>0.8</v>
      </c>
      <c r="I1473" s="3">
        <f t="shared" si="537"/>
        <v>137654.39999999999</v>
      </c>
    </row>
    <row r="1474" spans="2:9" ht="12.95" customHeight="1" x14ac:dyDescent="0.3">
      <c r="B1474" s="59" t="s">
        <v>102</v>
      </c>
      <c r="C1474" s="59" t="s">
        <v>101</v>
      </c>
      <c r="D1474" s="61" t="s">
        <v>17</v>
      </c>
      <c r="E1474" s="17">
        <v>58925</v>
      </c>
      <c r="F1474" s="25">
        <v>1.63</v>
      </c>
      <c r="G1474" s="3">
        <f t="shared" si="536"/>
        <v>96047.7</v>
      </c>
      <c r="H1474" s="25">
        <v>1.77</v>
      </c>
      <c r="I1474" s="3">
        <f t="shared" si="537"/>
        <v>104297.2</v>
      </c>
    </row>
    <row r="1475" spans="2:9" ht="12.95" customHeight="1" x14ac:dyDescent="0.3">
      <c r="B1475" s="58" t="s">
        <v>11</v>
      </c>
      <c r="C1475" s="51"/>
      <c r="D1475" s="51"/>
      <c r="E1475" s="22"/>
      <c r="F1475" s="23"/>
      <c r="G1475" s="16">
        <f>TRUNC(SUM(G1472:G1474))</f>
        <v>699552</v>
      </c>
      <c r="H1475" s="23"/>
      <c r="I1475" s="16">
        <f>TRUNC(SUM(I1472:I1474))</f>
        <v>767111</v>
      </c>
    </row>
    <row r="1476" spans="2:9" ht="12.95" customHeight="1" x14ac:dyDescent="0.3">
      <c r="B1476" s="50"/>
      <c r="C1476" s="51"/>
      <c r="D1476" s="51"/>
      <c r="E1476" s="22"/>
      <c r="F1476" s="23"/>
      <c r="G1476" s="24"/>
      <c r="H1476" s="23"/>
      <c r="I1476" s="24"/>
    </row>
    <row r="1477" spans="2:9" ht="12.95" customHeight="1" x14ac:dyDescent="0.3">
      <c r="B1477" s="59" t="s">
        <v>102</v>
      </c>
      <c r="C1477" s="59" t="s">
        <v>101</v>
      </c>
      <c r="D1477" s="61" t="s">
        <v>17</v>
      </c>
      <c r="E1477" s="17">
        <v>53629</v>
      </c>
      <c r="F1477" s="25">
        <v>1.63</v>
      </c>
      <c r="G1477" s="3">
        <f t="shared" ref="G1477" si="538">TRUNC($E1477*F1477,1)</f>
        <v>87415.2</v>
      </c>
      <c r="H1477" s="25">
        <v>1.77</v>
      </c>
      <c r="I1477" s="3">
        <f t="shared" ref="I1477" si="539">TRUNC($E1477*H1477,1)</f>
        <v>94923.3</v>
      </c>
    </row>
    <row r="1478" spans="2:9" ht="12.95" customHeight="1" x14ac:dyDescent="0.3">
      <c r="B1478" s="46" t="s">
        <v>12</v>
      </c>
      <c r="C1478" s="51"/>
      <c r="D1478" s="51"/>
      <c r="E1478" s="62"/>
      <c r="F1478" s="15"/>
      <c r="G1478" s="16">
        <f>TRUNC(SUM(G1477:G1477))</f>
        <v>87415</v>
      </c>
      <c r="H1478" s="15"/>
      <c r="I1478" s="16">
        <f>TRUNC(SUM(I1477:I1477))</f>
        <v>94923</v>
      </c>
    </row>
    <row r="1479" spans="2:9" ht="12.95" customHeight="1" x14ac:dyDescent="0.3">
      <c r="B1479" s="63"/>
      <c r="C1479" s="59"/>
      <c r="D1479" s="59"/>
      <c r="E1479" s="64"/>
      <c r="F1479" s="25"/>
      <c r="G1479" s="27"/>
      <c r="H1479" s="25"/>
      <c r="I1479" s="27"/>
    </row>
    <row r="1480" spans="2:9" ht="12.95" customHeight="1" x14ac:dyDescent="0.3">
      <c r="B1480" s="66" t="s">
        <v>13</v>
      </c>
      <c r="C1480" s="76"/>
      <c r="D1480" s="76"/>
      <c r="E1480" s="77"/>
      <c r="F1480" s="77"/>
      <c r="G1480" s="26">
        <f>SUM(G1470+G1475+G1478)</f>
        <v>811419</v>
      </c>
      <c r="H1480" s="77"/>
      <c r="I1480" s="26">
        <f>SUM(I1470+I1475+I1478)</f>
        <v>888661</v>
      </c>
    </row>
    <row r="1481" spans="2:9" ht="12.95" customHeight="1" x14ac:dyDescent="0.3">
      <c r="B1481" s="110" t="s">
        <v>3</v>
      </c>
      <c r="C1481" s="113" t="s">
        <v>7</v>
      </c>
      <c r="D1481" s="116" t="s">
        <v>8</v>
      </c>
      <c r="E1481" s="119" t="s">
        <v>4</v>
      </c>
      <c r="F1481" s="95" t="s">
        <v>122</v>
      </c>
      <c r="G1481" s="96"/>
      <c r="H1481" s="96"/>
      <c r="I1481" s="96"/>
    </row>
    <row r="1482" spans="2:9" ht="12.95" customHeight="1" x14ac:dyDescent="0.3">
      <c r="B1482" s="111"/>
      <c r="C1482" s="114"/>
      <c r="D1482" s="117"/>
      <c r="E1482" s="120"/>
      <c r="F1482" s="95" t="s">
        <v>114</v>
      </c>
      <c r="G1482" s="102"/>
      <c r="H1482" s="95" t="s">
        <v>35</v>
      </c>
      <c r="I1482" s="96"/>
    </row>
    <row r="1483" spans="2:9" ht="12.95" customHeight="1" x14ac:dyDescent="0.3">
      <c r="B1483" s="112"/>
      <c r="C1483" s="115"/>
      <c r="D1483" s="118"/>
      <c r="E1483" s="121"/>
      <c r="F1483" s="74" t="s">
        <v>5</v>
      </c>
      <c r="G1483" s="75" t="s">
        <v>6</v>
      </c>
      <c r="H1483" s="74" t="s">
        <v>5</v>
      </c>
      <c r="I1483" s="75" t="s">
        <v>6</v>
      </c>
    </row>
    <row r="1484" spans="2:9" ht="12.95" customHeight="1" x14ac:dyDescent="0.3">
      <c r="B1484" s="42" t="s">
        <v>53</v>
      </c>
      <c r="C1484" s="43" t="s">
        <v>54</v>
      </c>
      <c r="D1484" s="44" t="s">
        <v>15</v>
      </c>
      <c r="E1484" s="45"/>
      <c r="F1484" s="21">
        <v>1</v>
      </c>
      <c r="G1484" s="5">
        <f>TRUNC(SUM(G1487:G1488)*0.01,1)</f>
        <v>854.7</v>
      </c>
      <c r="H1484" s="21">
        <v>1</v>
      </c>
      <c r="I1484" s="5">
        <f>TRUNC(SUM(I1487:I1488)*0.01,1)</f>
        <v>1090.2</v>
      </c>
    </row>
    <row r="1485" spans="2:9" ht="12.95" customHeight="1" x14ac:dyDescent="0.3">
      <c r="B1485" s="46" t="s">
        <v>10</v>
      </c>
      <c r="C1485" s="47"/>
      <c r="D1485" s="48"/>
      <c r="E1485" s="49"/>
      <c r="F1485" s="25"/>
      <c r="G1485" s="12">
        <f>TRUNC(SUM(G1484))</f>
        <v>854</v>
      </c>
      <c r="H1485" s="25"/>
      <c r="I1485" s="12">
        <f>TRUNC(SUM(I1484))</f>
        <v>1090</v>
      </c>
    </row>
    <row r="1486" spans="2:9" ht="12.95" customHeight="1" x14ac:dyDescent="0.3">
      <c r="B1486" s="50"/>
      <c r="C1486" s="51"/>
      <c r="D1486" s="51"/>
      <c r="E1486" s="22"/>
      <c r="F1486" s="15"/>
      <c r="G1486" s="24"/>
      <c r="H1486" s="15"/>
      <c r="I1486" s="24"/>
    </row>
    <row r="1487" spans="2:9" ht="12.95" customHeight="1" x14ac:dyDescent="0.3">
      <c r="B1487" s="52" t="s">
        <v>29</v>
      </c>
      <c r="C1487" s="53"/>
      <c r="D1487" s="54" t="s">
        <v>9</v>
      </c>
      <c r="E1487" s="55">
        <v>262580</v>
      </c>
      <c r="F1487" s="28">
        <v>0.26</v>
      </c>
      <c r="G1487" s="2">
        <f t="shared" ref="G1487:G1488" si="540">TRUNC($E1487*F1487,1)</f>
        <v>68270.8</v>
      </c>
      <c r="H1487" s="28">
        <v>0.33</v>
      </c>
      <c r="I1487" s="3">
        <f t="shared" ref="I1487:I1488" si="541">TRUNC($E1487*H1487,1)</f>
        <v>86651.4</v>
      </c>
    </row>
    <row r="1488" spans="2:9" ht="12.95" customHeight="1" x14ac:dyDescent="0.3">
      <c r="B1488" s="52" t="s">
        <v>1</v>
      </c>
      <c r="C1488" s="53"/>
      <c r="D1488" s="54" t="s">
        <v>9</v>
      </c>
      <c r="E1488" s="57">
        <v>172068</v>
      </c>
      <c r="F1488" s="28">
        <v>0.1</v>
      </c>
      <c r="G1488" s="2">
        <f t="shared" si="540"/>
        <v>17206.8</v>
      </c>
      <c r="H1488" s="28">
        <v>0.13</v>
      </c>
      <c r="I1488" s="3">
        <f t="shared" si="541"/>
        <v>22368.799999999999</v>
      </c>
    </row>
    <row r="1489" spans="2:13" ht="12.95" customHeight="1" x14ac:dyDescent="0.3">
      <c r="B1489" s="58" t="s">
        <v>11</v>
      </c>
      <c r="C1489" s="80"/>
      <c r="D1489" s="81"/>
      <c r="E1489" s="82"/>
      <c r="F1489" s="82"/>
      <c r="G1489" s="10">
        <f>TRUNC(SUM(G1487:G1488))</f>
        <v>85477</v>
      </c>
      <c r="H1489" s="82"/>
      <c r="I1489" s="11">
        <f>TRUNC(SUM(I1487:I1488))</f>
        <v>109020</v>
      </c>
    </row>
    <row r="1490" spans="2:13" ht="12.95" customHeight="1" x14ac:dyDescent="0.3">
      <c r="B1490" s="83"/>
      <c r="C1490" s="53"/>
      <c r="D1490" s="54"/>
      <c r="E1490" s="84"/>
      <c r="F1490" s="84"/>
      <c r="G1490" s="6"/>
      <c r="H1490" s="84"/>
      <c r="I1490" s="7"/>
    </row>
    <row r="1491" spans="2:13" ht="12.95" customHeight="1" x14ac:dyDescent="0.3">
      <c r="B1491" s="66" t="s">
        <v>13</v>
      </c>
      <c r="C1491" s="85"/>
      <c r="D1491" s="86"/>
      <c r="E1491" s="87"/>
      <c r="F1491" s="87"/>
      <c r="G1491" s="26">
        <f>SUM(G1485+G1489)</f>
        <v>86331</v>
      </c>
      <c r="H1491" s="87"/>
      <c r="I1491" s="26">
        <f>SUM(I1485+I1489)</f>
        <v>110110</v>
      </c>
    </row>
    <row r="1492" spans="2:13" ht="12.95" customHeight="1" x14ac:dyDescent="0.3">
      <c r="B1492" s="110" t="s">
        <v>3</v>
      </c>
      <c r="C1492" s="113" t="s">
        <v>7</v>
      </c>
      <c r="D1492" s="116" t="s">
        <v>8</v>
      </c>
      <c r="E1492" s="119" t="s">
        <v>4</v>
      </c>
      <c r="F1492" s="95" t="s">
        <v>122</v>
      </c>
      <c r="G1492" s="96"/>
      <c r="H1492" s="96"/>
      <c r="I1492" s="96"/>
      <c r="J1492" s="96"/>
      <c r="K1492" s="96"/>
      <c r="L1492" s="96"/>
      <c r="M1492" s="96"/>
    </row>
    <row r="1493" spans="2:13" ht="12.95" customHeight="1" x14ac:dyDescent="0.3">
      <c r="B1493" s="111"/>
      <c r="C1493" s="114"/>
      <c r="D1493" s="117"/>
      <c r="E1493" s="120"/>
      <c r="F1493" s="105" t="s">
        <v>36</v>
      </c>
      <c r="G1493" s="95"/>
      <c r="H1493" s="105" t="s">
        <v>37</v>
      </c>
      <c r="I1493" s="95"/>
      <c r="J1493" s="105" t="s">
        <v>39</v>
      </c>
      <c r="K1493" s="95"/>
      <c r="L1493" s="105" t="s">
        <v>40</v>
      </c>
      <c r="M1493" s="95"/>
    </row>
    <row r="1494" spans="2:13" ht="12.95" customHeight="1" x14ac:dyDescent="0.3">
      <c r="B1494" s="112"/>
      <c r="C1494" s="115"/>
      <c r="D1494" s="118"/>
      <c r="E1494" s="121"/>
      <c r="F1494" s="74" t="s">
        <v>5</v>
      </c>
      <c r="G1494" s="75" t="s">
        <v>6</v>
      </c>
      <c r="H1494" s="74" t="s">
        <v>5</v>
      </c>
      <c r="I1494" s="75" t="s">
        <v>6</v>
      </c>
      <c r="J1494" s="74" t="s">
        <v>5</v>
      </c>
      <c r="K1494" s="75" t="s">
        <v>6</v>
      </c>
      <c r="L1494" s="74" t="s">
        <v>5</v>
      </c>
      <c r="M1494" s="75" t="s">
        <v>6</v>
      </c>
    </row>
    <row r="1495" spans="2:13" ht="12.95" customHeight="1" x14ac:dyDescent="0.3">
      <c r="B1495" s="59" t="s">
        <v>2</v>
      </c>
      <c r="C1495" s="59" t="s">
        <v>14</v>
      </c>
      <c r="D1495" s="61" t="s">
        <v>17</v>
      </c>
      <c r="E1495" s="78">
        <v>9213</v>
      </c>
      <c r="F1495" s="25">
        <v>0.3</v>
      </c>
      <c r="G1495" s="3">
        <f t="shared" ref="G1495" si="542">TRUNC($E1495*F1495,1)</f>
        <v>2763.9</v>
      </c>
      <c r="H1495" s="25">
        <v>0.33</v>
      </c>
      <c r="I1495" s="3">
        <f t="shared" ref="I1495" si="543">TRUNC($E1495*H1495,1)</f>
        <v>3040.2</v>
      </c>
      <c r="J1495" s="25">
        <v>0.37</v>
      </c>
      <c r="K1495" s="3">
        <f t="shared" ref="K1495" si="544">TRUNC($E1495*J1495,1)</f>
        <v>3408.8</v>
      </c>
      <c r="L1495" s="25">
        <v>0.41</v>
      </c>
      <c r="M1495" s="3">
        <f t="shared" ref="M1495" si="545">TRUNC($E1495*L1495,1)</f>
        <v>3777.3</v>
      </c>
    </row>
    <row r="1496" spans="2:13" ht="12.95" customHeight="1" x14ac:dyDescent="0.3">
      <c r="B1496" s="42" t="s">
        <v>53</v>
      </c>
      <c r="C1496" s="43" t="s">
        <v>54</v>
      </c>
      <c r="D1496" s="44" t="s">
        <v>15</v>
      </c>
      <c r="E1496" s="45"/>
      <c r="F1496" s="21">
        <v>1</v>
      </c>
      <c r="G1496" s="5">
        <f>TRUNC(SUM(G1499:G1500)*0.01,1)</f>
        <v>523.29999999999995</v>
      </c>
      <c r="H1496" s="21">
        <v>1</v>
      </c>
      <c r="I1496" s="5">
        <f>TRUNC(SUM(I1499:I1500)*0.01,1)</f>
        <v>593</v>
      </c>
      <c r="J1496" s="21">
        <v>1</v>
      </c>
      <c r="K1496" s="5">
        <f>TRUNC(SUM(K1499:K1500)*0.01,1)</f>
        <v>662.8</v>
      </c>
      <c r="L1496" s="21">
        <v>1</v>
      </c>
      <c r="M1496" s="5">
        <f>TRUNC(SUM(M1499:M1500)*0.01,1)</f>
        <v>785</v>
      </c>
    </row>
    <row r="1497" spans="2:13" ht="12.95" customHeight="1" x14ac:dyDescent="0.3">
      <c r="B1497" s="46" t="s">
        <v>10</v>
      </c>
      <c r="C1497" s="51"/>
      <c r="D1497" s="51"/>
      <c r="E1497" s="22"/>
      <c r="F1497" s="23"/>
      <c r="G1497" s="16">
        <f>TRUNC(SUM(G1495:G1496))</f>
        <v>3287</v>
      </c>
      <c r="H1497" s="23"/>
      <c r="I1497" s="16">
        <f>TRUNC(SUM(I1495:I1496))</f>
        <v>3633</v>
      </c>
      <c r="J1497" s="23"/>
      <c r="K1497" s="16">
        <f>TRUNC(SUM(K1495:K1496))</f>
        <v>4071</v>
      </c>
      <c r="L1497" s="23"/>
      <c r="M1497" s="16">
        <f>TRUNC(SUM(M1495:M1496))</f>
        <v>4562</v>
      </c>
    </row>
    <row r="1498" spans="2:13" ht="12.95" customHeight="1" x14ac:dyDescent="0.3">
      <c r="B1498" s="50"/>
      <c r="C1498" s="51"/>
      <c r="D1498" s="51"/>
      <c r="E1498" s="22"/>
      <c r="F1498" s="23"/>
      <c r="G1498" s="24"/>
      <c r="H1498" s="23"/>
      <c r="I1498" s="24"/>
      <c r="J1498" s="23"/>
      <c r="K1498" s="24"/>
      <c r="L1498" s="23"/>
      <c r="M1498" s="24"/>
    </row>
    <row r="1499" spans="2:13" ht="12.95" customHeight="1" x14ac:dyDescent="0.3">
      <c r="B1499" s="52" t="s">
        <v>29</v>
      </c>
      <c r="C1499" s="53"/>
      <c r="D1499" s="54" t="s">
        <v>9</v>
      </c>
      <c r="E1499" s="55">
        <v>262580</v>
      </c>
      <c r="F1499" s="25">
        <v>0.16</v>
      </c>
      <c r="G1499" s="3">
        <f t="shared" ref="G1499:G1501" si="546">TRUNC($E1499*F1499,1)</f>
        <v>42012.800000000003</v>
      </c>
      <c r="H1499" s="25">
        <v>0.18</v>
      </c>
      <c r="I1499" s="3">
        <f t="shared" ref="I1499:I1501" si="547">TRUNC($E1499*H1499,1)</f>
        <v>47264.4</v>
      </c>
      <c r="J1499" s="25">
        <v>0.2</v>
      </c>
      <c r="K1499" s="3">
        <f t="shared" ref="K1499:K1501" si="548">TRUNC($E1499*J1499,1)</f>
        <v>52516</v>
      </c>
      <c r="L1499" s="25">
        <v>0.24</v>
      </c>
      <c r="M1499" s="3">
        <f t="shared" ref="M1499:M1501" si="549">TRUNC($E1499*L1499,1)</f>
        <v>63019.199999999997</v>
      </c>
    </row>
    <row r="1500" spans="2:13" ht="12.95" customHeight="1" x14ac:dyDescent="0.3">
      <c r="B1500" s="52" t="s">
        <v>1</v>
      </c>
      <c r="C1500" s="53"/>
      <c r="D1500" s="54" t="s">
        <v>9</v>
      </c>
      <c r="E1500" s="57">
        <v>172068</v>
      </c>
      <c r="F1500" s="25">
        <v>0.06</v>
      </c>
      <c r="G1500" s="3">
        <f t="shared" si="546"/>
        <v>10324</v>
      </c>
      <c r="H1500" s="25">
        <v>7.0000000000000007E-2</v>
      </c>
      <c r="I1500" s="3">
        <f t="shared" si="547"/>
        <v>12044.7</v>
      </c>
      <c r="J1500" s="25">
        <v>0.08</v>
      </c>
      <c r="K1500" s="3">
        <f t="shared" si="548"/>
        <v>13765.4</v>
      </c>
      <c r="L1500" s="25">
        <v>0.09</v>
      </c>
      <c r="M1500" s="3">
        <f t="shared" si="549"/>
        <v>15486.1</v>
      </c>
    </row>
    <row r="1501" spans="2:13" ht="12.95" customHeight="1" x14ac:dyDescent="0.3">
      <c r="B1501" s="59" t="s">
        <v>2</v>
      </c>
      <c r="C1501" s="59" t="s">
        <v>14</v>
      </c>
      <c r="D1501" s="61" t="s">
        <v>17</v>
      </c>
      <c r="E1501" s="78">
        <v>49698</v>
      </c>
      <c r="F1501" s="25">
        <v>0.3</v>
      </c>
      <c r="G1501" s="3">
        <f t="shared" si="546"/>
        <v>14909.4</v>
      </c>
      <c r="H1501" s="25">
        <v>0.33</v>
      </c>
      <c r="I1501" s="3">
        <f t="shared" si="547"/>
        <v>16400.3</v>
      </c>
      <c r="J1501" s="25">
        <v>0.37</v>
      </c>
      <c r="K1501" s="3">
        <f t="shared" si="548"/>
        <v>18388.2</v>
      </c>
      <c r="L1501" s="25">
        <v>0.41</v>
      </c>
      <c r="M1501" s="3">
        <f t="shared" si="549"/>
        <v>20376.099999999999</v>
      </c>
    </row>
    <row r="1502" spans="2:13" ht="12.95" customHeight="1" x14ac:dyDescent="0.3">
      <c r="B1502" s="58" t="s">
        <v>11</v>
      </c>
      <c r="C1502" s="51"/>
      <c r="D1502" s="51"/>
      <c r="E1502" s="22"/>
      <c r="F1502" s="23"/>
      <c r="G1502" s="16">
        <f>TRUNC(SUM(G1499:G1501))</f>
        <v>67246</v>
      </c>
      <c r="H1502" s="23"/>
      <c r="I1502" s="16">
        <f>TRUNC(SUM(I1499:I1501))</f>
        <v>75709</v>
      </c>
      <c r="J1502" s="23"/>
      <c r="K1502" s="16">
        <f>TRUNC(SUM(K1499:K1501))</f>
        <v>84669</v>
      </c>
      <c r="L1502" s="23"/>
      <c r="M1502" s="16">
        <f>TRUNC(SUM(M1499:M1501))</f>
        <v>98881</v>
      </c>
    </row>
    <row r="1503" spans="2:13" ht="12.95" customHeight="1" x14ac:dyDescent="0.3">
      <c r="B1503" s="50"/>
      <c r="C1503" s="51"/>
      <c r="D1503" s="51"/>
      <c r="E1503" s="22"/>
      <c r="F1503" s="23"/>
      <c r="G1503" s="24"/>
      <c r="H1503" s="23"/>
      <c r="I1503" s="24"/>
      <c r="J1503" s="23"/>
      <c r="K1503" s="24"/>
      <c r="L1503" s="23"/>
      <c r="M1503" s="24"/>
    </row>
    <row r="1504" spans="2:13" ht="12.95" customHeight="1" x14ac:dyDescent="0.3">
      <c r="B1504" s="59" t="s">
        <v>2</v>
      </c>
      <c r="C1504" s="59" t="s">
        <v>14</v>
      </c>
      <c r="D1504" s="61" t="s">
        <v>17</v>
      </c>
      <c r="E1504" s="78">
        <v>11117</v>
      </c>
      <c r="F1504" s="25">
        <v>0.3</v>
      </c>
      <c r="G1504" s="3">
        <f t="shared" ref="G1504" si="550">TRUNC($E1504*F1504,1)</f>
        <v>3335.1</v>
      </c>
      <c r="H1504" s="25">
        <v>0.33</v>
      </c>
      <c r="I1504" s="3">
        <f t="shared" ref="I1504" si="551">TRUNC($E1504*H1504,1)</f>
        <v>3668.6</v>
      </c>
      <c r="J1504" s="25">
        <v>0.37</v>
      </c>
      <c r="K1504" s="3">
        <f t="shared" ref="K1504" si="552">TRUNC($E1504*J1504,1)</f>
        <v>4113.2</v>
      </c>
      <c r="L1504" s="25">
        <v>0.41</v>
      </c>
      <c r="M1504" s="3">
        <f t="shared" ref="M1504" si="553">TRUNC($E1504*L1504,1)</f>
        <v>4557.8999999999996</v>
      </c>
    </row>
    <row r="1505" spans="2:13" ht="12.95" customHeight="1" x14ac:dyDescent="0.3">
      <c r="B1505" s="46" t="s">
        <v>12</v>
      </c>
      <c r="C1505" s="51"/>
      <c r="D1505" s="51"/>
      <c r="E1505" s="62"/>
      <c r="F1505" s="15"/>
      <c r="G1505" s="16">
        <f>TRUNC(SUM(G1504:G1504))</f>
        <v>3335</v>
      </c>
      <c r="H1505" s="15"/>
      <c r="I1505" s="16">
        <f>TRUNC(SUM(I1504:I1504))</f>
        <v>3668</v>
      </c>
      <c r="J1505" s="15"/>
      <c r="K1505" s="16">
        <f>TRUNC(SUM(K1504:K1504))</f>
        <v>4113</v>
      </c>
      <c r="L1505" s="15"/>
      <c r="M1505" s="16">
        <f>TRUNC(SUM(M1504:M1504))</f>
        <v>4557</v>
      </c>
    </row>
    <row r="1506" spans="2:13" ht="12.95" customHeight="1" x14ac:dyDescent="0.3">
      <c r="B1506" s="63"/>
      <c r="C1506" s="59"/>
      <c r="D1506" s="59"/>
      <c r="E1506" s="64"/>
      <c r="F1506" s="25"/>
      <c r="G1506" s="27"/>
      <c r="H1506" s="25"/>
      <c r="I1506" s="27"/>
      <c r="J1506" s="25"/>
      <c r="K1506" s="27"/>
      <c r="L1506" s="25"/>
      <c r="M1506" s="27"/>
    </row>
    <row r="1507" spans="2:13" ht="12.95" customHeight="1" x14ac:dyDescent="0.3">
      <c r="B1507" s="66" t="s">
        <v>13</v>
      </c>
      <c r="C1507" s="76"/>
      <c r="D1507" s="76"/>
      <c r="E1507" s="77"/>
      <c r="F1507" s="77"/>
      <c r="G1507" s="26">
        <f>SUM(G1497+G1502+G1505)</f>
        <v>73868</v>
      </c>
      <c r="H1507" s="77"/>
      <c r="I1507" s="26">
        <f>SUM(I1497+I1502+I1505)</f>
        <v>83010</v>
      </c>
      <c r="J1507" s="77"/>
      <c r="K1507" s="26">
        <f>SUM(K1497+K1502+K1505)</f>
        <v>92853</v>
      </c>
      <c r="L1507" s="77"/>
      <c r="M1507" s="26">
        <f>SUM(M1497+M1502+M1505)</f>
        <v>108000</v>
      </c>
    </row>
    <row r="1508" spans="2:13" ht="12.95" customHeight="1" x14ac:dyDescent="0.3">
      <c r="B1508" s="110" t="s">
        <v>3</v>
      </c>
      <c r="C1508" s="113" t="s">
        <v>7</v>
      </c>
      <c r="D1508" s="116" t="s">
        <v>8</v>
      </c>
      <c r="E1508" s="119" t="s">
        <v>4</v>
      </c>
      <c r="F1508" s="95" t="s">
        <v>122</v>
      </c>
      <c r="G1508" s="96"/>
      <c r="H1508" s="96"/>
      <c r="I1508" s="96"/>
      <c r="J1508" s="96"/>
      <c r="K1508" s="96"/>
      <c r="L1508" s="96"/>
      <c r="M1508" s="96"/>
    </row>
    <row r="1509" spans="2:13" ht="12.95" customHeight="1" x14ac:dyDescent="0.3">
      <c r="B1509" s="111"/>
      <c r="C1509" s="114"/>
      <c r="D1509" s="117"/>
      <c r="E1509" s="120"/>
      <c r="F1509" s="105" t="s">
        <v>41</v>
      </c>
      <c r="G1509" s="95"/>
      <c r="H1509" s="105" t="s">
        <v>43</v>
      </c>
      <c r="I1509" s="95"/>
      <c r="J1509" s="105" t="s">
        <v>44</v>
      </c>
      <c r="K1509" s="95"/>
      <c r="L1509" s="105" t="s">
        <v>46</v>
      </c>
      <c r="M1509" s="95"/>
    </row>
    <row r="1510" spans="2:13" ht="12.95" customHeight="1" x14ac:dyDescent="0.3">
      <c r="B1510" s="112"/>
      <c r="C1510" s="115"/>
      <c r="D1510" s="118"/>
      <c r="E1510" s="121"/>
      <c r="F1510" s="74" t="s">
        <v>5</v>
      </c>
      <c r="G1510" s="75" t="s">
        <v>6</v>
      </c>
      <c r="H1510" s="74" t="s">
        <v>5</v>
      </c>
      <c r="I1510" s="75" t="s">
        <v>6</v>
      </c>
      <c r="J1510" s="74" t="s">
        <v>5</v>
      </c>
      <c r="K1510" s="75" t="s">
        <v>6</v>
      </c>
      <c r="L1510" s="74" t="s">
        <v>5</v>
      </c>
      <c r="M1510" s="75" t="s">
        <v>6</v>
      </c>
    </row>
    <row r="1511" spans="2:13" ht="12.95" customHeight="1" x14ac:dyDescent="0.3">
      <c r="B1511" s="59" t="s">
        <v>2</v>
      </c>
      <c r="C1511" s="59" t="s">
        <v>14</v>
      </c>
      <c r="D1511" s="61" t="s">
        <v>17</v>
      </c>
      <c r="E1511" s="78">
        <v>9213</v>
      </c>
      <c r="F1511" s="25">
        <v>0.45</v>
      </c>
      <c r="G1511" s="3">
        <f t="shared" ref="G1511" si="554">TRUNC($E1511*F1511,1)</f>
        <v>4145.8</v>
      </c>
      <c r="H1511" s="25">
        <v>0.48</v>
      </c>
      <c r="I1511" s="3">
        <f t="shared" ref="I1511" si="555">TRUNC($E1511*H1511,1)</f>
        <v>4422.2</v>
      </c>
      <c r="J1511" s="25">
        <v>0.56000000000000005</v>
      </c>
      <c r="K1511" s="3">
        <f t="shared" ref="K1511" si="556">TRUNC($E1511*J1511,1)</f>
        <v>5159.2</v>
      </c>
      <c r="L1511" s="25">
        <v>0.64</v>
      </c>
      <c r="M1511" s="3">
        <f t="shared" ref="M1511" si="557">TRUNC($E1511*L1511,1)</f>
        <v>5896.3</v>
      </c>
    </row>
    <row r="1512" spans="2:13" ht="12.95" customHeight="1" x14ac:dyDescent="0.3">
      <c r="B1512" s="42" t="s">
        <v>53</v>
      </c>
      <c r="C1512" s="43" t="s">
        <v>54</v>
      </c>
      <c r="D1512" s="44" t="s">
        <v>15</v>
      </c>
      <c r="E1512" s="45"/>
      <c r="F1512" s="21">
        <v>1</v>
      </c>
      <c r="G1512" s="5">
        <f>TRUNC(SUM(G1515:G1516)*0.01,1)</f>
        <v>924.4</v>
      </c>
      <c r="H1512" s="21">
        <v>1</v>
      </c>
      <c r="I1512" s="5">
        <f>TRUNC(SUM(I1515:I1516)*0.01,1)</f>
        <v>1133.5999999999999</v>
      </c>
      <c r="J1512" s="21">
        <v>1</v>
      </c>
      <c r="K1512" s="5">
        <f>TRUNC(SUM(K1515:K1516)*0.01,1)</f>
        <v>1465</v>
      </c>
      <c r="L1512" s="21">
        <v>1</v>
      </c>
      <c r="M1512" s="5">
        <f>TRUNC(SUM(M1515:M1516)*0.01,1)</f>
        <v>1753</v>
      </c>
    </row>
    <row r="1513" spans="2:13" ht="12.95" customHeight="1" x14ac:dyDescent="0.3">
      <c r="B1513" s="46" t="s">
        <v>10</v>
      </c>
      <c r="C1513" s="51"/>
      <c r="D1513" s="51"/>
      <c r="E1513" s="22"/>
      <c r="F1513" s="23"/>
      <c r="G1513" s="16">
        <f>TRUNC(SUM(G1511:G1512))</f>
        <v>5070</v>
      </c>
      <c r="H1513" s="23"/>
      <c r="I1513" s="16">
        <f>TRUNC(SUM(I1511:I1512))</f>
        <v>5555</v>
      </c>
      <c r="J1513" s="23"/>
      <c r="K1513" s="16">
        <f>TRUNC(SUM(K1511:K1512))</f>
        <v>6624</v>
      </c>
      <c r="L1513" s="23"/>
      <c r="M1513" s="16">
        <f>TRUNC(SUM(M1511:M1512))</f>
        <v>7649</v>
      </c>
    </row>
    <row r="1514" spans="2:13" ht="12.95" customHeight="1" x14ac:dyDescent="0.3">
      <c r="B1514" s="50"/>
      <c r="C1514" s="51"/>
      <c r="D1514" s="51"/>
      <c r="E1514" s="22"/>
      <c r="F1514" s="23"/>
      <c r="G1514" s="24"/>
      <c r="H1514" s="23"/>
      <c r="I1514" s="24"/>
      <c r="J1514" s="23"/>
      <c r="K1514" s="24"/>
      <c r="L1514" s="23"/>
      <c r="M1514" s="24"/>
    </row>
    <row r="1515" spans="2:13" ht="12.95" customHeight="1" x14ac:dyDescent="0.3">
      <c r="B1515" s="52" t="s">
        <v>29</v>
      </c>
      <c r="C1515" s="53"/>
      <c r="D1515" s="54" t="s">
        <v>9</v>
      </c>
      <c r="E1515" s="55">
        <v>262580</v>
      </c>
      <c r="F1515" s="25">
        <v>0.28000000000000003</v>
      </c>
      <c r="G1515" s="3">
        <f t="shared" ref="G1515:G1517" si="558">TRUNC($E1515*F1515,1)</f>
        <v>73522.399999999994</v>
      </c>
      <c r="H1515" s="25">
        <v>0.34</v>
      </c>
      <c r="I1515" s="3">
        <f t="shared" ref="I1515:I1517" si="559">TRUNC($E1515*H1515,1)</f>
        <v>89277.2</v>
      </c>
      <c r="J1515" s="25">
        <v>0.44</v>
      </c>
      <c r="K1515" s="3">
        <f t="shared" ref="K1515:K1517" si="560">TRUNC($E1515*J1515,1)</f>
        <v>115535.2</v>
      </c>
      <c r="L1515" s="25">
        <v>0.53</v>
      </c>
      <c r="M1515" s="3">
        <f t="shared" ref="M1515:M1517" si="561">TRUNC($E1515*L1515,1)</f>
        <v>139167.4</v>
      </c>
    </row>
    <row r="1516" spans="2:13" ht="12.95" customHeight="1" x14ac:dyDescent="0.3">
      <c r="B1516" s="52" t="s">
        <v>1</v>
      </c>
      <c r="C1516" s="53"/>
      <c r="D1516" s="54" t="s">
        <v>9</v>
      </c>
      <c r="E1516" s="57">
        <v>172068</v>
      </c>
      <c r="F1516" s="25">
        <v>0.11</v>
      </c>
      <c r="G1516" s="3">
        <f t="shared" si="558"/>
        <v>18927.400000000001</v>
      </c>
      <c r="H1516" s="25">
        <v>0.14000000000000001</v>
      </c>
      <c r="I1516" s="3">
        <f t="shared" si="559"/>
        <v>24089.5</v>
      </c>
      <c r="J1516" s="25">
        <v>0.18</v>
      </c>
      <c r="K1516" s="3">
        <f t="shared" si="560"/>
        <v>30972.2</v>
      </c>
      <c r="L1516" s="25">
        <v>0.21</v>
      </c>
      <c r="M1516" s="3">
        <f t="shared" si="561"/>
        <v>36134.199999999997</v>
      </c>
    </row>
    <row r="1517" spans="2:13" ht="12.95" customHeight="1" x14ac:dyDescent="0.3">
      <c r="B1517" s="59" t="s">
        <v>2</v>
      </c>
      <c r="C1517" s="59" t="s">
        <v>14</v>
      </c>
      <c r="D1517" s="61" t="s">
        <v>17</v>
      </c>
      <c r="E1517" s="78">
        <v>49698</v>
      </c>
      <c r="F1517" s="25">
        <v>0.45</v>
      </c>
      <c r="G1517" s="3">
        <f t="shared" si="558"/>
        <v>22364.1</v>
      </c>
      <c r="H1517" s="25">
        <v>0.48</v>
      </c>
      <c r="I1517" s="3">
        <f t="shared" si="559"/>
        <v>23855</v>
      </c>
      <c r="J1517" s="25">
        <v>0.56000000000000005</v>
      </c>
      <c r="K1517" s="3">
        <f t="shared" si="560"/>
        <v>27830.799999999999</v>
      </c>
      <c r="L1517" s="25">
        <v>0.64</v>
      </c>
      <c r="M1517" s="3">
        <f t="shared" si="561"/>
        <v>31806.7</v>
      </c>
    </row>
    <row r="1518" spans="2:13" ht="12.95" customHeight="1" x14ac:dyDescent="0.3">
      <c r="B1518" s="58" t="s">
        <v>11</v>
      </c>
      <c r="C1518" s="51"/>
      <c r="D1518" s="51"/>
      <c r="E1518" s="22"/>
      <c r="F1518" s="23"/>
      <c r="G1518" s="16">
        <f>TRUNC(SUM(G1515:G1517))</f>
        <v>114813</v>
      </c>
      <c r="H1518" s="23"/>
      <c r="I1518" s="16">
        <f>TRUNC(SUM(I1515:I1517))</f>
        <v>137221</v>
      </c>
      <c r="J1518" s="23"/>
      <c r="K1518" s="16">
        <f>TRUNC(SUM(K1515:K1517))</f>
        <v>174338</v>
      </c>
      <c r="L1518" s="23"/>
      <c r="M1518" s="16">
        <f>TRUNC(SUM(M1515:M1517))</f>
        <v>207108</v>
      </c>
    </row>
    <row r="1519" spans="2:13" ht="12.95" customHeight="1" x14ac:dyDescent="0.3">
      <c r="B1519" s="50"/>
      <c r="C1519" s="51"/>
      <c r="D1519" s="51"/>
      <c r="E1519" s="22"/>
      <c r="F1519" s="23"/>
      <c r="G1519" s="24"/>
      <c r="H1519" s="23"/>
      <c r="I1519" s="24"/>
      <c r="J1519" s="23"/>
      <c r="K1519" s="24"/>
      <c r="L1519" s="23"/>
      <c r="M1519" s="24"/>
    </row>
    <row r="1520" spans="2:13" ht="12.95" customHeight="1" x14ac:dyDescent="0.3">
      <c r="B1520" s="59" t="s">
        <v>2</v>
      </c>
      <c r="C1520" s="59" t="s">
        <v>14</v>
      </c>
      <c r="D1520" s="61" t="s">
        <v>17</v>
      </c>
      <c r="E1520" s="78">
        <v>11117</v>
      </c>
      <c r="F1520" s="25">
        <v>0.45</v>
      </c>
      <c r="G1520" s="3">
        <f t="shared" ref="G1520" si="562">TRUNC($E1520*F1520,1)</f>
        <v>5002.6000000000004</v>
      </c>
      <c r="H1520" s="25">
        <v>0.48</v>
      </c>
      <c r="I1520" s="3">
        <f t="shared" ref="I1520" si="563">TRUNC($E1520*H1520,1)</f>
        <v>5336.1</v>
      </c>
      <c r="J1520" s="25">
        <v>0.56000000000000005</v>
      </c>
      <c r="K1520" s="3">
        <f t="shared" ref="K1520" si="564">TRUNC($E1520*J1520,1)</f>
        <v>6225.5</v>
      </c>
      <c r="L1520" s="25">
        <v>0.64</v>
      </c>
      <c r="M1520" s="3">
        <f t="shared" ref="M1520" si="565">TRUNC($E1520*L1520,1)</f>
        <v>7114.8</v>
      </c>
    </row>
    <row r="1521" spans="2:13" ht="12.95" customHeight="1" x14ac:dyDescent="0.3">
      <c r="B1521" s="46" t="s">
        <v>12</v>
      </c>
      <c r="C1521" s="51"/>
      <c r="D1521" s="51"/>
      <c r="E1521" s="62"/>
      <c r="F1521" s="15"/>
      <c r="G1521" s="16">
        <f>TRUNC(SUM(G1520:G1520))</f>
        <v>5002</v>
      </c>
      <c r="H1521" s="15"/>
      <c r="I1521" s="16">
        <f>TRUNC(SUM(I1520:I1520))</f>
        <v>5336</v>
      </c>
      <c r="J1521" s="15"/>
      <c r="K1521" s="16">
        <f>TRUNC(SUM(K1520:K1520))</f>
        <v>6225</v>
      </c>
      <c r="L1521" s="15"/>
      <c r="M1521" s="16">
        <f>TRUNC(SUM(M1520:M1520))</f>
        <v>7114</v>
      </c>
    </row>
    <row r="1522" spans="2:13" ht="12.95" customHeight="1" x14ac:dyDescent="0.3">
      <c r="B1522" s="63"/>
      <c r="C1522" s="59"/>
      <c r="D1522" s="59"/>
      <c r="E1522" s="64"/>
      <c r="F1522" s="25"/>
      <c r="G1522" s="27"/>
      <c r="H1522" s="25"/>
      <c r="I1522" s="27"/>
      <c r="J1522" s="25"/>
      <c r="K1522" s="27"/>
      <c r="L1522" s="25"/>
      <c r="M1522" s="27"/>
    </row>
    <row r="1523" spans="2:13" ht="12.95" customHeight="1" x14ac:dyDescent="0.3">
      <c r="B1523" s="66" t="s">
        <v>13</v>
      </c>
      <c r="C1523" s="76"/>
      <c r="D1523" s="76"/>
      <c r="E1523" s="77"/>
      <c r="F1523" s="77"/>
      <c r="G1523" s="26">
        <f>SUM(G1513+G1518+G1521)</f>
        <v>124885</v>
      </c>
      <c r="H1523" s="77"/>
      <c r="I1523" s="26">
        <f>SUM(I1513+I1518+I1521)</f>
        <v>148112</v>
      </c>
      <c r="J1523" s="77"/>
      <c r="K1523" s="26">
        <f>SUM(K1513+K1518+K1521)</f>
        <v>187187</v>
      </c>
      <c r="L1523" s="77"/>
      <c r="M1523" s="26">
        <f>SUM(M1513+M1518+M1521)</f>
        <v>221871</v>
      </c>
    </row>
    <row r="1524" spans="2:13" ht="12.95" customHeight="1" x14ac:dyDescent="0.3">
      <c r="B1524" s="110" t="s">
        <v>3</v>
      </c>
      <c r="C1524" s="113" t="s">
        <v>7</v>
      </c>
      <c r="D1524" s="116" t="s">
        <v>8</v>
      </c>
      <c r="E1524" s="119" t="s">
        <v>4</v>
      </c>
      <c r="F1524" s="95" t="s">
        <v>122</v>
      </c>
      <c r="G1524" s="96"/>
      <c r="H1524" s="96"/>
      <c r="I1524" s="96"/>
    </row>
    <row r="1525" spans="2:13" ht="12.95" customHeight="1" x14ac:dyDescent="0.3">
      <c r="B1525" s="111"/>
      <c r="C1525" s="114"/>
      <c r="D1525" s="117"/>
      <c r="E1525" s="120"/>
      <c r="F1525" s="105" t="s">
        <v>48</v>
      </c>
      <c r="G1525" s="95"/>
      <c r="H1525" s="105" t="s">
        <v>49</v>
      </c>
      <c r="I1525" s="95"/>
    </row>
    <row r="1526" spans="2:13" ht="12.95" customHeight="1" x14ac:dyDescent="0.3">
      <c r="B1526" s="112"/>
      <c r="C1526" s="115"/>
      <c r="D1526" s="118"/>
      <c r="E1526" s="121"/>
      <c r="F1526" s="74" t="s">
        <v>5</v>
      </c>
      <c r="G1526" s="75" t="s">
        <v>6</v>
      </c>
      <c r="H1526" s="74" t="s">
        <v>5</v>
      </c>
      <c r="I1526" s="75" t="s">
        <v>6</v>
      </c>
    </row>
    <row r="1527" spans="2:13" ht="12.95" customHeight="1" x14ac:dyDescent="0.3">
      <c r="B1527" s="59" t="s">
        <v>2</v>
      </c>
      <c r="C1527" s="59" t="s">
        <v>14</v>
      </c>
      <c r="D1527" s="61" t="s">
        <v>17</v>
      </c>
      <c r="E1527" s="78">
        <v>9213</v>
      </c>
      <c r="F1527" s="25">
        <v>0.72</v>
      </c>
      <c r="G1527" s="3">
        <f>TRUNC($E1527*F1527,1)</f>
        <v>6633.3</v>
      </c>
      <c r="H1527" s="25">
        <v>0.79</v>
      </c>
      <c r="I1527" s="3">
        <f t="shared" ref="I1527" si="566">TRUNC($E1527*H1527,1)</f>
        <v>7278.2</v>
      </c>
    </row>
    <row r="1528" spans="2:13" ht="12.95" customHeight="1" x14ac:dyDescent="0.3">
      <c r="B1528" s="42" t="s">
        <v>53</v>
      </c>
      <c r="C1528" s="43" t="s">
        <v>54</v>
      </c>
      <c r="D1528" s="44" t="s">
        <v>15</v>
      </c>
      <c r="E1528" s="45"/>
      <c r="F1528" s="21">
        <v>1</v>
      </c>
      <c r="G1528" s="5">
        <f>TRUNC(SUM(G1531:G1532)*0.01,1)</f>
        <v>2084.4</v>
      </c>
      <c r="H1528" s="21">
        <v>1</v>
      </c>
      <c r="I1528" s="5">
        <f>TRUNC(SUM(I1531:I1532)*0.01,1)</f>
        <v>2415.8000000000002</v>
      </c>
    </row>
    <row r="1529" spans="2:13" ht="12.95" customHeight="1" x14ac:dyDescent="0.3">
      <c r="B1529" s="46" t="s">
        <v>10</v>
      </c>
      <c r="C1529" s="51"/>
      <c r="D1529" s="51"/>
      <c r="E1529" s="22"/>
      <c r="F1529" s="23"/>
      <c r="G1529" s="16">
        <f>TRUNC(SUM(G1527:G1528))</f>
        <v>8717</v>
      </c>
      <c r="H1529" s="23"/>
      <c r="I1529" s="16">
        <f>TRUNC(SUM(I1527:I1528))</f>
        <v>9694</v>
      </c>
    </row>
    <row r="1530" spans="2:13" ht="12.95" customHeight="1" x14ac:dyDescent="0.3">
      <c r="B1530" s="50"/>
      <c r="C1530" s="51"/>
      <c r="D1530" s="51"/>
      <c r="E1530" s="22"/>
      <c r="F1530" s="23"/>
      <c r="G1530" s="24"/>
      <c r="H1530" s="23"/>
      <c r="I1530" s="24"/>
    </row>
    <row r="1531" spans="2:13" ht="12.95" customHeight="1" x14ac:dyDescent="0.3">
      <c r="B1531" s="52" t="s">
        <v>29</v>
      </c>
      <c r="C1531" s="53"/>
      <c r="D1531" s="54" t="s">
        <v>9</v>
      </c>
      <c r="E1531" s="55">
        <v>262580</v>
      </c>
      <c r="F1531" s="25">
        <v>0.63</v>
      </c>
      <c r="G1531" s="3">
        <f t="shared" ref="G1531:G1533" si="567">TRUNC($E1531*F1531,1)</f>
        <v>165425.4</v>
      </c>
      <c r="H1531" s="25">
        <v>0.73</v>
      </c>
      <c r="I1531" s="3">
        <f t="shared" ref="I1531:I1533" si="568">TRUNC($E1531*H1531,1)</f>
        <v>191683.4</v>
      </c>
    </row>
    <row r="1532" spans="2:13" ht="12.95" customHeight="1" x14ac:dyDescent="0.3">
      <c r="B1532" s="52" t="s">
        <v>1</v>
      </c>
      <c r="C1532" s="53"/>
      <c r="D1532" s="54" t="s">
        <v>9</v>
      </c>
      <c r="E1532" s="57">
        <v>172068</v>
      </c>
      <c r="F1532" s="25">
        <v>0.25</v>
      </c>
      <c r="G1532" s="3">
        <f t="shared" si="567"/>
        <v>43017</v>
      </c>
      <c r="H1532" s="25">
        <v>0.28999999999999998</v>
      </c>
      <c r="I1532" s="3">
        <f t="shared" si="568"/>
        <v>49899.7</v>
      </c>
    </row>
    <row r="1533" spans="2:13" ht="12.95" customHeight="1" x14ac:dyDescent="0.3">
      <c r="B1533" s="59" t="s">
        <v>2</v>
      </c>
      <c r="C1533" s="59" t="s">
        <v>14</v>
      </c>
      <c r="D1533" s="61" t="s">
        <v>17</v>
      </c>
      <c r="E1533" s="78">
        <v>49698</v>
      </c>
      <c r="F1533" s="25">
        <v>0.72</v>
      </c>
      <c r="G1533" s="3">
        <f t="shared" si="567"/>
        <v>35782.5</v>
      </c>
      <c r="H1533" s="25">
        <v>0.79</v>
      </c>
      <c r="I1533" s="3">
        <f t="shared" si="568"/>
        <v>39261.4</v>
      </c>
    </row>
    <row r="1534" spans="2:13" ht="12.95" customHeight="1" x14ac:dyDescent="0.3">
      <c r="B1534" s="58" t="s">
        <v>11</v>
      </c>
      <c r="C1534" s="51"/>
      <c r="D1534" s="51"/>
      <c r="E1534" s="22"/>
      <c r="F1534" s="23"/>
      <c r="G1534" s="16">
        <f>TRUNC(SUM(G1531:G1533))</f>
        <v>244224</v>
      </c>
      <c r="H1534" s="23"/>
      <c r="I1534" s="16">
        <f>TRUNC(SUM(I1531:I1533))</f>
        <v>280844</v>
      </c>
    </row>
    <row r="1535" spans="2:13" ht="12.95" customHeight="1" x14ac:dyDescent="0.3">
      <c r="B1535" s="50"/>
      <c r="C1535" s="51"/>
      <c r="D1535" s="51"/>
      <c r="E1535" s="22"/>
      <c r="F1535" s="23"/>
      <c r="G1535" s="24"/>
      <c r="H1535" s="23"/>
      <c r="I1535" s="24"/>
    </row>
    <row r="1536" spans="2:13" ht="12.95" customHeight="1" x14ac:dyDescent="0.3">
      <c r="B1536" s="59" t="s">
        <v>2</v>
      </c>
      <c r="C1536" s="59" t="s">
        <v>14</v>
      </c>
      <c r="D1536" s="61" t="s">
        <v>17</v>
      </c>
      <c r="E1536" s="78">
        <v>11117</v>
      </c>
      <c r="F1536" s="25">
        <v>0.72</v>
      </c>
      <c r="G1536" s="3">
        <f t="shared" ref="G1536" si="569">TRUNC($E1536*F1536,1)</f>
        <v>8004.2</v>
      </c>
      <c r="H1536" s="25">
        <v>0.79</v>
      </c>
      <c r="I1536" s="3">
        <f t="shared" ref="I1536" si="570">TRUNC($E1536*H1536,1)</f>
        <v>8782.4</v>
      </c>
    </row>
    <row r="1537" spans="2:9" ht="12.95" customHeight="1" x14ac:dyDescent="0.3">
      <c r="B1537" s="46" t="s">
        <v>12</v>
      </c>
      <c r="C1537" s="51"/>
      <c r="D1537" s="51"/>
      <c r="E1537" s="62"/>
      <c r="F1537" s="15"/>
      <c r="G1537" s="16">
        <f>TRUNC(SUM(G1536:G1536))</f>
        <v>8004</v>
      </c>
      <c r="H1537" s="15"/>
      <c r="I1537" s="16">
        <f>TRUNC(SUM(I1536:I1536))</f>
        <v>8782</v>
      </c>
    </row>
    <row r="1538" spans="2:9" ht="12.95" customHeight="1" x14ac:dyDescent="0.3">
      <c r="B1538" s="63"/>
      <c r="C1538" s="59"/>
      <c r="D1538" s="59"/>
      <c r="E1538" s="64"/>
      <c r="F1538" s="25"/>
      <c r="G1538" s="27"/>
      <c r="H1538" s="25"/>
      <c r="I1538" s="27"/>
    </row>
    <row r="1539" spans="2:9" ht="12.95" customHeight="1" x14ac:dyDescent="0.3">
      <c r="B1539" s="66" t="s">
        <v>13</v>
      </c>
      <c r="C1539" s="76"/>
      <c r="D1539" s="76"/>
      <c r="E1539" s="77"/>
      <c r="F1539" s="77"/>
      <c r="G1539" s="26">
        <f>SUM(G1529+G1534+G1537)</f>
        <v>260945</v>
      </c>
      <c r="H1539" s="77"/>
      <c r="I1539" s="26">
        <f>SUM(I1529+I1534+I1537)</f>
        <v>299320</v>
      </c>
    </row>
    <row r="1540" spans="2:9" ht="12.95" customHeight="1" x14ac:dyDescent="0.3">
      <c r="B1540" s="110" t="s">
        <v>3</v>
      </c>
      <c r="C1540" s="113" t="s">
        <v>7</v>
      </c>
      <c r="D1540" s="116" t="s">
        <v>8</v>
      </c>
      <c r="E1540" s="119" t="s">
        <v>4</v>
      </c>
      <c r="F1540" s="95" t="s">
        <v>122</v>
      </c>
      <c r="G1540" s="96"/>
      <c r="H1540" s="96"/>
      <c r="I1540" s="96"/>
    </row>
    <row r="1541" spans="2:9" ht="12.95" customHeight="1" x14ac:dyDescent="0.3">
      <c r="B1541" s="111"/>
      <c r="C1541" s="114"/>
      <c r="D1541" s="117"/>
      <c r="E1541" s="120"/>
      <c r="F1541" s="105" t="s">
        <v>107</v>
      </c>
      <c r="G1541" s="95"/>
      <c r="H1541" s="105" t="s">
        <v>108</v>
      </c>
      <c r="I1541" s="95"/>
    </row>
    <row r="1542" spans="2:9" ht="12.95" customHeight="1" x14ac:dyDescent="0.3">
      <c r="B1542" s="112"/>
      <c r="C1542" s="115"/>
      <c r="D1542" s="118"/>
      <c r="E1542" s="121"/>
      <c r="F1542" s="74" t="s">
        <v>5</v>
      </c>
      <c r="G1542" s="75" t="s">
        <v>6</v>
      </c>
      <c r="H1542" s="74" t="s">
        <v>5</v>
      </c>
      <c r="I1542" s="75" t="s">
        <v>6</v>
      </c>
    </row>
    <row r="1543" spans="2:9" ht="12.95" customHeight="1" x14ac:dyDescent="0.3">
      <c r="B1543" s="59" t="s">
        <v>2</v>
      </c>
      <c r="C1543" s="59" t="s">
        <v>33</v>
      </c>
      <c r="D1543" s="61" t="s">
        <v>17</v>
      </c>
      <c r="E1543" s="17">
        <v>18607</v>
      </c>
      <c r="F1543" s="25">
        <v>0.87</v>
      </c>
      <c r="G1543" s="3">
        <f t="shared" ref="G1543" si="571">TRUNC($E1543*F1543,1)</f>
        <v>16188</v>
      </c>
      <c r="H1543" s="25">
        <v>0.95</v>
      </c>
      <c r="I1543" s="3">
        <f t="shared" ref="I1543" si="572">TRUNC($E1543*H1543,1)</f>
        <v>17676.599999999999</v>
      </c>
    </row>
    <row r="1544" spans="2:9" ht="12.95" customHeight="1" x14ac:dyDescent="0.3">
      <c r="B1544" s="42" t="s">
        <v>53</v>
      </c>
      <c r="C1544" s="43" t="s">
        <v>54</v>
      </c>
      <c r="D1544" s="44" t="s">
        <v>15</v>
      </c>
      <c r="E1544" s="45"/>
      <c r="F1544" s="21">
        <v>1</v>
      </c>
      <c r="G1544" s="5">
        <f>TRUNC(SUM(G1547:G1548)*0.01,1)</f>
        <v>2747.2</v>
      </c>
      <c r="H1544" s="21">
        <v>1</v>
      </c>
      <c r="I1544" s="5">
        <f>TRUNC(SUM(I1547:I1548)*0.01,1)</f>
        <v>3052.3</v>
      </c>
    </row>
    <row r="1545" spans="2:9" ht="12.95" customHeight="1" x14ac:dyDescent="0.3">
      <c r="B1545" s="46" t="s">
        <v>10</v>
      </c>
      <c r="C1545" s="51"/>
      <c r="D1545" s="51"/>
      <c r="E1545" s="22"/>
      <c r="F1545" s="23"/>
      <c r="G1545" s="16">
        <f>TRUNC(SUM(G1543:G1544))</f>
        <v>18935</v>
      </c>
      <c r="H1545" s="23"/>
      <c r="I1545" s="16">
        <f>TRUNC(SUM(I1543:I1544))</f>
        <v>20728</v>
      </c>
    </row>
    <row r="1546" spans="2:9" ht="12.95" customHeight="1" x14ac:dyDescent="0.3">
      <c r="B1546" s="50"/>
      <c r="C1546" s="51"/>
      <c r="D1546" s="51"/>
      <c r="E1546" s="22"/>
      <c r="F1546" s="23"/>
      <c r="G1546" s="24"/>
      <c r="H1546" s="23"/>
      <c r="I1546" s="24"/>
    </row>
    <row r="1547" spans="2:9" ht="12.95" customHeight="1" x14ac:dyDescent="0.3">
      <c r="B1547" s="52" t="s">
        <v>29</v>
      </c>
      <c r="C1547" s="53"/>
      <c r="D1547" s="54" t="s">
        <v>9</v>
      </c>
      <c r="E1547" s="55">
        <v>262580</v>
      </c>
      <c r="F1547" s="25">
        <v>0.83</v>
      </c>
      <c r="G1547" s="3">
        <f t="shared" ref="G1547:G1549" si="573">TRUNC($E1547*F1547,1)</f>
        <v>217941.4</v>
      </c>
      <c r="H1547" s="25">
        <v>0.92</v>
      </c>
      <c r="I1547" s="3">
        <f t="shared" ref="I1547:I1549" si="574">TRUNC($E1547*H1547,1)</f>
        <v>241573.6</v>
      </c>
    </row>
    <row r="1548" spans="2:9" ht="12.95" customHeight="1" x14ac:dyDescent="0.3">
      <c r="B1548" s="52" t="s">
        <v>1</v>
      </c>
      <c r="C1548" s="53"/>
      <c r="D1548" s="54" t="s">
        <v>9</v>
      </c>
      <c r="E1548" s="57">
        <v>172068</v>
      </c>
      <c r="F1548" s="25">
        <v>0.33</v>
      </c>
      <c r="G1548" s="3">
        <f t="shared" si="573"/>
        <v>56782.400000000001</v>
      </c>
      <c r="H1548" s="25">
        <v>0.37</v>
      </c>
      <c r="I1548" s="3">
        <f t="shared" si="574"/>
        <v>63665.1</v>
      </c>
    </row>
    <row r="1549" spans="2:9" ht="12.95" customHeight="1" x14ac:dyDescent="0.3">
      <c r="B1549" s="59" t="s">
        <v>2</v>
      </c>
      <c r="C1549" s="59" t="s">
        <v>33</v>
      </c>
      <c r="D1549" s="61" t="s">
        <v>17</v>
      </c>
      <c r="E1549" s="17">
        <v>49698</v>
      </c>
      <c r="F1549" s="25">
        <v>0.87</v>
      </c>
      <c r="G1549" s="3">
        <f t="shared" si="573"/>
        <v>43237.2</v>
      </c>
      <c r="H1549" s="25">
        <v>0.95</v>
      </c>
      <c r="I1549" s="3">
        <f t="shared" si="574"/>
        <v>47213.1</v>
      </c>
    </row>
    <row r="1550" spans="2:9" ht="12.95" customHeight="1" x14ac:dyDescent="0.3">
      <c r="B1550" s="58" t="s">
        <v>11</v>
      </c>
      <c r="C1550" s="51"/>
      <c r="D1550" s="51"/>
      <c r="E1550" s="22"/>
      <c r="F1550" s="23"/>
      <c r="G1550" s="16">
        <f>TRUNC(SUM(G1547:G1549))</f>
        <v>317961</v>
      </c>
      <c r="H1550" s="23"/>
      <c r="I1550" s="16">
        <f>TRUNC(SUM(I1547:I1549))</f>
        <v>352451</v>
      </c>
    </row>
    <row r="1551" spans="2:9" ht="12.95" customHeight="1" x14ac:dyDescent="0.3">
      <c r="B1551" s="50"/>
      <c r="C1551" s="51"/>
      <c r="D1551" s="51"/>
      <c r="E1551" s="22"/>
      <c r="F1551" s="23"/>
      <c r="G1551" s="24"/>
      <c r="H1551" s="23"/>
      <c r="I1551" s="24"/>
    </row>
    <row r="1552" spans="2:9" ht="12.95" customHeight="1" x14ac:dyDescent="0.3">
      <c r="B1552" s="59" t="s">
        <v>2</v>
      </c>
      <c r="C1552" s="59" t="s">
        <v>33</v>
      </c>
      <c r="D1552" s="61" t="s">
        <v>17</v>
      </c>
      <c r="E1552" s="17">
        <v>23795</v>
      </c>
      <c r="F1552" s="25">
        <v>0.87</v>
      </c>
      <c r="G1552" s="3">
        <f t="shared" ref="G1552" si="575">TRUNC($E1552*F1552,1)</f>
        <v>20701.599999999999</v>
      </c>
      <c r="H1552" s="25">
        <v>0.95</v>
      </c>
      <c r="I1552" s="3">
        <f t="shared" ref="I1552" si="576">TRUNC($E1552*H1552,1)</f>
        <v>22605.200000000001</v>
      </c>
    </row>
    <row r="1553" spans="2:11" ht="12.95" customHeight="1" x14ac:dyDescent="0.3">
      <c r="B1553" s="46" t="s">
        <v>12</v>
      </c>
      <c r="C1553" s="51"/>
      <c r="D1553" s="51"/>
      <c r="E1553" s="62"/>
      <c r="F1553" s="15"/>
      <c r="G1553" s="16">
        <f>TRUNC(SUM(G1552:G1552))</f>
        <v>20701</v>
      </c>
      <c r="H1553" s="15"/>
      <c r="I1553" s="16">
        <f>TRUNC(SUM(I1552:I1552))</f>
        <v>22605</v>
      </c>
      <c r="K1553" s="9"/>
    </row>
    <row r="1554" spans="2:11" ht="12.95" customHeight="1" x14ac:dyDescent="0.3">
      <c r="B1554" s="63"/>
      <c r="C1554" s="59"/>
      <c r="D1554" s="59"/>
      <c r="E1554" s="64"/>
      <c r="F1554" s="25"/>
      <c r="G1554" s="27"/>
      <c r="H1554" s="25"/>
      <c r="I1554" s="27"/>
      <c r="J1554" s="9"/>
      <c r="K1554" s="9"/>
    </row>
    <row r="1555" spans="2:11" ht="12.95" customHeight="1" x14ac:dyDescent="0.3">
      <c r="B1555" s="66" t="s">
        <v>13</v>
      </c>
      <c r="C1555" s="76"/>
      <c r="D1555" s="76"/>
      <c r="E1555" s="77"/>
      <c r="F1555" s="77"/>
      <c r="G1555" s="26">
        <f>SUM(G1545+G1550+G1553)</f>
        <v>357597</v>
      </c>
      <c r="H1555" s="77"/>
      <c r="I1555" s="26">
        <f>SUM(I1545+I1550+I1553)</f>
        <v>395784</v>
      </c>
      <c r="J1555" s="9"/>
    </row>
    <row r="1556" spans="2:11" ht="12.95" customHeight="1" x14ac:dyDescent="0.3">
      <c r="B1556" s="110" t="s">
        <v>3</v>
      </c>
      <c r="C1556" s="113" t="s">
        <v>7</v>
      </c>
      <c r="D1556" s="116" t="s">
        <v>8</v>
      </c>
      <c r="E1556" s="119" t="s">
        <v>4</v>
      </c>
      <c r="F1556" s="95" t="s">
        <v>122</v>
      </c>
      <c r="G1556" s="96"/>
      <c r="H1556" s="96"/>
      <c r="I1556" s="96"/>
      <c r="J1556" s="96"/>
      <c r="K1556" s="96"/>
    </row>
    <row r="1557" spans="2:11" ht="12.95" customHeight="1" x14ac:dyDescent="0.3">
      <c r="B1557" s="111"/>
      <c r="C1557" s="114"/>
      <c r="D1557" s="117"/>
      <c r="E1557" s="120"/>
      <c r="F1557" s="105" t="s">
        <v>109</v>
      </c>
      <c r="G1557" s="95"/>
      <c r="H1557" s="105" t="s">
        <v>110</v>
      </c>
      <c r="I1557" s="95"/>
      <c r="J1557" s="95" t="s">
        <v>111</v>
      </c>
      <c r="K1557" s="96"/>
    </row>
    <row r="1558" spans="2:11" ht="12.95" customHeight="1" x14ac:dyDescent="0.3">
      <c r="B1558" s="112"/>
      <c r="C1558" s="115"/>
      <c r="D1558" s="118"/>
      <c r="E1558" s="121"/>
      <c r="F1558" s="74" t="s">
        <v>5</v>
      </c>
      <c r="G1558" s="75" t="s">
        <v>6</v>
      </c>
      <c r="H1558" s="74" t="s">
        <v>5</v>
      </c>
      <c r="I1558" s="75" t="s">
        <v>6</v>
      </c>
      <c r="J1558" s="74" t="s">
        <v>5</v>
      </c>
      <c r="K1558" s="75" t="s">
        <v>6</v>
      </c>
    </row>
    <row r="1559" spans="2:11" ht="12.95" customHeight="1" x14ac:dyDescent="0.3">
      <c r="B1559" s="59" t="s">
        <v>2</v>
      </c>
      <c r="C1559" s="59" t="s">
        <v>45</v>
      </c>
      <c r="D1559" s="61" t="s">
        <v>17</v>
      </c>
      <c r="E1559" s="17">
        <v>19871</v>
      </c>
      <c r="F1559" s="25">
        <v>1.02</v>
      </c>
      <c r="G1559" s="3">
        <f t="shared" ref="G1559" si="577">TRUNC($E1559*F1559,1)</f>
        <v>20268.400000000001</v>
      </c>
      <c r="H1559" s="25">
        <v>1.1399999999999999</v>
      </c>
      <c r="I1559" s="3">
        <f t="shared" ref="I1559" si="578">TRUNC($E1559*H1559,1)</f>
        <v>22652.9</v>
      </c>
      <c r="J1559" s="25">
        <v>1.25</v>
      </c>
      <c r="K1559" s="3">
        <f t="shared" ref="K1559" si="579">TRUNC($E1559*J1559,1)</f>
        <v>24838.7</v>
      </c>
    </row>
    <row r="1560" spans="2:11" ht="12.95" customHeight="1" x14ac:dyDescent="0.3">
      <c r="B1560" s="42" t="s">
        <v>53</v>
      </c>
      <c r="C1560" s="43" t="s">
        <v>54</v>
      </c>
      <c r="D1560" s="44" t="s">
        <v>15</v>
      </c>
      <c r="E1560" s="45"/>
      <c r="F1560" s="21">
        <v>1</v>
      </c>
      <c r="G1560" s="5">
        <f>TRUNC(SUM(G1563:G1564)*0.01,1)</f>
        <v>3410</v>
      </c>
      <c r="H1560" s="21">
        <v>1</v>
      </c>
      <c r="I1560" s="5">
        <f>TRUNC(SUM(I1563:I1564)*0.01,1)</f>
        <v>3880.9</v>
      </c>
      <c r="J1560" s="21">
        <v>1</v>
      </c>
      <c r="K1560" s="5">
        <f>TRUNC(SUM(K1563:K1564)*0.01,1)</f>
        <v>4378</v>
      </c>
    </row>
    <row r="1561" spans="2:11" ht="12.95" customHeight="1" x14ac:dyDescent="0.3">
      <c r="B1561" s="46" t="s">
        <v>10</v>
      </c>
      <c r="C1561" s="51"/>
      <c r="D1561" s="51"/>
      <c r="E1561" s="22"/>
      <c r="F1561" s="23"/>
      <c r="G1561" s="16">
        <f>TRUNC(SUM(G1559:G1560))</f>
        <v>23678</v>
      </c>
      <c r="H1561" s="23"/>
      <c r="I1561" s="16">
        <f>TRUNC(SUM(I1559:I1560))</f>
        <v>26533</v>
      </c>
      <c r="J1561" s="23"/>
      <c r="K1561" s="16">
        <f>TRUNC(SUM(K1559:K1560))</f>
        <v>29216</v>
      </c>
    </row>
    <row r="1562" spans="2:11" ht="12.95" customHeight="1" x14ac:dyDescent="0.3">
      <c r="B1562" s="50"/>
      <c r="C1562" s="51"/>
      <c r="D1562" s="51"/>
      <c r="E1562" s="22"/>
      <c r="F1562" s="23"/>
      <c r="G1562" s="24"/>
      <c r="H1562" s="23"/>
      <c r="I1562" s="24"/>
      <c r="J1562" s="23"/>
      <c r="K1562" s="24"/>
    </row>
    <row r="1563" spans="2:11" ht="12.95" customHeight="1" x14ac:dyDescent="0.3">
      <c r="B1563" s="52" t="s">
        <v>29</v>
      </c>
      <c r="C1563" s="53"/>
      <c r="D1563" s="54" t="s">
        <v>9</v>
      </c>
      <c r="E1563" s="55">
        <v>262580</v>
      </c>
      <c r="F1563" s="25">
        <v>1.03</v>
      </c>
      <c r="G1563" s="3">
        <f t="shared" ref="G1563:G1565" si="580">TRUNC($E1563*F1563,1)</f>
        <v>270457.40000000002</v>
      </c>
      <c r="H1563" s="25">
        <v>1.17</v>
      </c>
      <c r="I1563" s="3">
        <f t="shared" ref="I1563:I1565" si="581">TRUNC($E1563*H1563,1)</f>
        <v>307218.59999999998</v>
      </c>
      <c r="J1563" s="25">
        <v>1.32</v>
      </c>
      <c r="K1563" s="3">
        <f t="shared" ref="K1563:K1565" si="582">TRUNC($E1563*J1563,1)</f>
        <v>346605.6</v>
      </c>
    </row>
    <row r="1564" spans="2:11" ht="12.95" customHeight="1" x14ac:dyDescent="0.3">
      <c r="B1564" s="52" t="s">
        <v>1</v>
      </c>
      <c r="C1564" s="53"/>
      <c r="D1564" s="54" t="s">
        <v>9</v>
      </c>
      <c r="E1564" s="57">
        <v>172068</v>
      </c>
      <c r="F1564" s="25">
        <v>0.41</v>
      </c>
      <c r="G1564" s="3">
        <f t="shared" si="580"/>
        <v>70547.8</v>
      </c>
      <c r="H1564" s="25">
        <v>0.47</v>
      </c>
      <c r="I1564" s="3">
        <f t="shared" si="581"/>
        <v>80871.899999999994</v>
      </c>
      <c r="J1564" s="25">
        <v>0.53</v>
      </c>
      <c r="K1564" s="3">
        <f t="shared" si="582"/>
        <v>91196</v>
      </c>
    </row>
    <row r="1565" spans="2:11" ht="12.95" customHeight="1" x14ac:dyDescent="0.3">
      <c r="B1565" s="59" t="s">
        <v>2</v>
      </c>
      <c r="C1565" s="59" t="s">
        <v>45</v>
      </c>
      <c r="D1565" s="61" t="s">
        <v>17</v>
      </c>
      <c r="E1565" s="17">
        <v>49698</v>
      </c>
      <c r="F1565" s="25">
        <v>1.02</v>
      </c>
      <c r="G1565" s="3">
        <f t="shared" si="580"/>
        <v>50691.9</v>
      </c>
      <c r="H1565" s="25">
        <v>1.1399999999999999</v>
      </c>
      <c r="I1565" s="3">
        <f t="shared" si="581"/>
        <v>56655.7</v>
      </c>
      <c r="J1565" s="25">
        <v>1.25</v>
      </c>
      <c r="K1565" s="3">
        <f t="shared" si="582"/>
        <v>62122.5</v>
      </c>
    </row>
    <row r="1566" spans="2:11" ht="12.95" customHeight="1" x14ac:dyDescent="0.3">
      <c r="B1566" s="58" t="s">
        <v>11</v>
      </c>
      <c r="C1566" s="51"/>
      <c r="D1566" s="51"/>
      <c r="E1566" s="22"/>
      <c r="F1566" s="23"/>
      <c r="G1566" s="16">
        <f>TRUNC(SUM(G1563:G1565))</f>
        <v>391697</v>
      </c>
      <c r="H1566" s="23" t="s">
        <v>58</v>
      </c>
      <c r="I1566" s="16">
        <f>TRUNC(SUM(I1563:I1565))</f>
        <v>444746</v>
      </c>
      <c r="J1566" s="23"/>
      <c r="K1566" s="16">
        <f>TRUNC(SUM(K1563:K1565))</f>
        <v>499924</v>
      </c>
    </row>
    <row r="1567" spans="2:11" ht="12.95" customHeight="1" x14ac:dyDescent="0.3">
      <c r="B1567" s="50"/>
      <c r="C1567" s="51"/>
      <c r="D1567" s="51"/>
      <c r="E1567" s="22"/>
      <c r="F1567" s="23"/>
      <c r="G1567" s="24"/>
      <c r="H1567" s="23"/>
      <c r="I1567" s="24"/>
      <c r="J1567" s="23"/>
      <c r="K1567" s="24"/>
    </row>
    <row r="1568" spans="2:11" ht="12.95" customHeight="1" x14ac:dyDescent="0.3">
      <c r="B1568" s="59" t="s">
        <v>2</v>
      </c>
      <c r="C1568" s="59" t="s">
        <v>45</v>
      </c>
      <c r="D1568" s="61" t="s">
        <v>17</v>
      </c>
      <c r="E1568" s="17">
        <v>31327</v>
      </c>
      <c r="F1568" s="25">
        <v>1.02</v>
      </c>
      <c r="G1568" s="3">
        <f t="shared" ref="G1568" si="583">TRUNC($E1568*F1568,1)</f>
        <v>31953.5</v>
      </c>
      <c r="H1568" s="25">
        <v>1.1399999999999999</v>
      </c>
      <c r="I1568" s="3">
        <f t="shared" ref="I1568" si="584">TRUNC($E1568*H1568,1)</f>
        <v>35712.699999999997</v>
      </c>
      <c r="J1568" s="25">
        <v>1.25</v>
      </c>
      <c r="K1568" s="3">
        <f t="shared" ref="K1568" si="585">TRUNC($E1568*J1568,1)</f>
        <v>39158.699999999997</v>
      </c>
    </row>
    <row r="1569" spans="2:11" ht="12.95" customHeight="1" x14ac:dyDescent="0.3">
      <c r="B1569" s="46" t="s">
        <v>12</v>
      </c>
      <c r="C1569" s="51"/>
      <c r="D1569" s="51"/>
      <c r="E1569" s="62"/>
      <c r="F1569" s="15"/>
      <c r="G1569" s="16">
        <f>TRUNC(SUM(G1568:G1568))</f>
        <v>31953</v>
      </c>
      <c r="H1569" s="15"/>
      <c r="I1569" s="16">
        <f>TRUNC(SUM(I1568:I1568))</f>
        <v>35712</v>
      </c>
      <c r="J1569" s="15"/>
      <c r="K1569" s="16">
        <f>TRUNC(SUM(K1568:K1568))</f>
        <v>39158</v>
      </c>
    </row>
    <row r="1570" spans="2:11" ht="12.95" customHeight="1" x14ac:dyDescent="0.3">
      <c r="B1570" s="63"/>
      <c r="C1570" s="59"/>
      <c r="D1570" s="59"/>
      <c r="E1570" s="64"/>
      <c r="F1570" s="25"/>
      <c r="G1570" s="27"/>
      <c r="H1570" s="25"/>
      <c r="I1570" s="27"/>
      <c r="J1570" s="25"/>
      <c r="K1570" s="27"/>
    </row>
    <row r="1571" spans="2:11" ht="12.95" customHeight="1" x14ac:dyDescent="0.3">
      <c r="B1571" s="66" t="s">
        <v>13</v>
      </c>
      <c r="C1571" s="76"/>
      <c r="D1571" s="76"/>
      <c r="E1571" s="77"/>
      <c r="F1571" s="77"/>
      <c r="G1571" s="26">
        <f>SUM(G1561+G1566+G1569)</f>
        <v>447328</v>
      </c>
      <c r="H1571" s="77"/>
      <c r="I1571" s="26">
        <f>SUM(I1561+I1566+I1569)</f>
        <v>506991</v>
      </c>
      <c r="J1571" s="77"/>
      <c r="K1571" s="26">
        <f>SUM(K1561+K1566+K1569)</f>
        <v>568298</v>
      </c>
    </row>
    <row r="1572" spans="2:11" ht="12.95" customHeight="1" x14ac:dyDescent="0.3">
      <c r="B1572" s="110" t="s">
        <v>3</v>
      </c>
      <c r="C1572" s="113" t="s">
        <v>7</v>
      </c>
      <c r="D1572" s="116" t="s">
        <v>8</v>
      </c>
      <c r="E1572" s="119" t="s">
        <v>4</v>
      </c>
      <c r="F1572" s="95" t="s">
        <v>122</v>
      </c>
      <c r="G1572" s="96"/>
      <c r="H1572" s="96"/>
      <c r="I1572" s="96"/>
      <c r="J1572" s="96"/>
      <c r="K1572" s="96"/>
    </row>
    <row r="1573" spans="2:11" ht="12.95" customHeight="1" x14ac:dyDescent="0.3">
      <c r="B1573" s="111"/>
      <c r="C1573" s="114"/>
      <c r="D1573" s="117"/>
      <c r="E1573" s="120"/>
      <c r="F1573" s="105" t="s">
        <v>115</v>
      </c>
      <c r="G1573" s="95"/>
      <c r="H1573" s="105" t="s">
        <v>116</v>
      </c>
      <c r="I1573" s="95"/>
      <c r="J1573" s="95" t="s">
        <v>117</v>
      </c>
      <c r="K1573" s="96"/>
    </row>
    <row r="1574" spans="2:11" ht="12.95" customHeight="1" x14ac:dyDescent="0.3">
      <c r="B1574" s="112"/>
      <c r="C1574" s="115"/>
      <c r="D1574" s="118"/>
      <c r="E1574" s="121"/>
      <c r="F1574" s="74" t="s">
        <v>5</v>
      </c>
      <c r="G1574" s="75" t="s">
        <v>6</v>
      </c>
      <c r="H1574" s="74" t="s">
        <v>5</v>
      </c>
      <c r="I1574" s="75" t="s">
        <v>6</v>
      </c>
      <c r="J1574" s="74" t="s">
        <v>5</v>
      </c>
      <c r="K1574" s="75" t="s">
        <v>6</v>
      </c>
    </row>
    <row r="1575" spans="2:11" ht="12.95" customHeight="1" x14ac:dyDescent="0.3">
      <c r="B1575" s="59" t="s">
        <v>2</v>
      </c>
      <c r="C1575" s="59" t="s">
        <v>45</v>
      </c>
      <c r="D1575" s="61" t="s">
        <v>17</v>
      </c>
      <c r="E1575" s="17">
        <v>19871</v>
      </c>
      <c r="F1575" s="25">
        <v>1.38</v>
      </c>
      <c r="G1575" s="3">
        <f t="shared" ref="G1575" si="586">TRUNC($E1575*F1575,1)</f>
        <v>27421.9</v>
      </c>
      <c r="H1575" s="25">
        <v>1.49</v>
      </c>
      <c r="I1575" s="3">
        <f t="shared" ref="I1575" si="587">TRUNC($E1575*H1575,1)</f>
        <v>29607.7</v>
      </c>
      <c r="J1575" s="25">
        <v>1.64</v>
      </c>
      <c r="K1575" s="3">
        <f t="shared" ref="K1575" si="588">TRUNC($E1575*J1575,1)</f>
        <v>32588.400000000001</v>
      </c>
    </row>
    <row r="1576" spans="2:11" ht="12.95" customHeight="1" x14ac:dyDescent="0.3">
      <c r="B1576" s="42" t="s">
        <v>53</v>
      </c>
      <c r="C1576" s="43" t="s">
        <v>54</v>
      </c>
      <c r="D1576" s="44" t="s">
        <v>15</v>
      </c>
      <c r="E1576" s="45"/>
      <c r="F1576" s="21">
        <v>1</v>
      </c>
      <c r="G1576" s="5">
        <f>TRUNC(SUM(G1579:G1580)*0.01,1)</f>
        <v>4831.6000000000004</v>
      </c>
      <c r="H1576" s="21">
        <v>1</v>
      </c>
      <c r="I1576" s="5">
        <f>TRUNC(SUM(I1579:I1580)*0.01,1)</f>
        <v>5345.9</v>
      </c>
      <c r="J1576" s="21">
        <v>1</v>
      </c>
      <c r="K1576" s="5">
        <f>TRUNC(SUM(K1579:K1580)*0.01,1)</f>
        <v>5991.5</v>
      </c>
    </row>
    <row r="1577" spans="2:11" ht="12.95" customHeight="1" x14ac:dyDescent="0.3">
      <c r="B1577" s="46" t="s">
        <v>10</v>
      </c>
      <c r="C1577" s="51"/>
      <c r="D1577" s="51"/>
      <c r="E1577" s="22"/>
      <c r="F1577" s="23"/>
      <c r="G1577" s="16">
        <f>TRUNC(SUM(G1575:G1576))</f>
        <v>32253</v>
      </c>
      <c r="H1577" s="23"/>
      <c r="I1577" s="16">
        <f>TRUNC(SUM(I1575:I1576))</f>
        <v>34953</v>
      </c>
      <c r="J1577" s="23"/>
      <c r="K1577" s="16">
        <f>TRUNC(SUM(K1575:K1576))</f>
        <v>38579</v>
      </c>
    </row>
    <row r="1578" spans="2:11" ht="12.95" customHeight="1" x14ac:dyDescent="0.3">
      <c r="B1578" s="50"/>
      <c r="C1578" s="51"/>
      <c r="D1578" s="51"/>
      <c r="E1578" s="22"/>
      <c r="F1578" s="23"/>
      <c r="G1578" s="24"/>
      <c r="H1578" s="23"/>
      <c r="I1578" s="24"/>
      <c r="J1578" s="23"/>
      <c r="K1578" s="24"/>
    </row>
    <row r="1579" spans="2:11" ht="12.95" customHeight="1" x14ac:dyDescent="0.3">
      <c r="B1579" s="52" t="s">
        <v>29</v>
      </c>
      <c r="C1579" s="53"/>
      <c r="D1579" s="54" t="s">
        <v>9</v>
      </c>
      <c r="E1579" s="55">
        <v>262580</v>
      </c>
      <c r="F1579" s="25">
        <v>1.46</v>
      </c>
      <c r="G1579" s="3">
        <f t="shared" ref="G1579:G1581" si="589">TRUNC($E1579*F1579,1)</f>
        <v>383366.8</v>
      </c>
      <c r="H1579" s="25">
        <v>1.61</v>
      </c>
      <c r="I1579" s="3">
        <f t="shared" ref="I1579:I1581" si="590">TRUNC($E1579*H1579,1)</f>
        <v>422753.8</v>
      </c>
      <c r="J1579" s="25">
        <v>1.81</v>
      </c>
      <c r="K1579" s="3">
        <f t="shared" ref="K1579:K1581" si="591">TRUNC($E1579*J1579,1)</f>
        <v>475269.8</v>
      </c>
    </row>
    <row r="1580" spans="2:11" ht="12.95" customHeight="1" x14ac:dyDescent="0.3">
      <c r="B1580" s="52" t="s">
        <v>1</v>
      </c>
      <c r="C1580" s="53"/>
      <c r="D1580" s="54" t="s">
        <v>9</v>
      </c>
      <c r="E1580" s="57">
        <v>172068</v>
      </c>
      <c r="F1580" s="25">
        <v>0.57999999999999996</v>
      </c>
      <c r="G1580" s="3">
        <f t="shared" si="589"/>
        <v>99799.4</v>
      </c>
      <c r="H1580" s="25">
        <v>0.65</v>
      </c>
      <c r="I1580" s="3">
        <f t="shared" si="590"/>
        <v>111844.2</v>
      </c>
      <c r="J1580" s="25">
        <v>0.72</v>
      </c>
      <c r="K1580" s="3">
        <f t="shared" si="591"/>
        <v>123888.9</v>
      </c>
    </row>
    <row r="1581" spans="2:11" ht="12.95" customHeight="1" x14ac:dyDescent="0.3">
      <c r="B1581" s="59" t="s">
        <v>2</v>
      </c>
      <c r="C1581" s="59" t="s">
        <v>45</v>
      </c>
      <c r="D1581" s="61" t="s">
        <v>17</v>
      </c>
      <c r="E1581" s="17">
        <v>49698</v>
      </c>
      <c r="F1581" s="25">
        <v>1.38</v>
      </c>
      <c r="G1581" s="3">
        <f t="shared" si="589"/>
        <v>68583.199999999997</v>
      </c>
      <c r="H1581" s="25">
        <v>1.49</v>
      </c>
      <c r="I1581" s="3">
        <f t="shared" si="590"/>
        <v>74050</v>
      </c>
      <c r="J1581" s="25">
        <v>1.64</v>
      </c>
      <c r="K1581" s="3">
        <f t="shared" si="591"/>
        <v>81504.7</v>
      </c>
    </row>
    <row r="1582" spans="2:11" ht="12.95" customHeight="1" x14ac:dyDescent="0.3">
      <c r="B1582" s="58" t="s">
        <v>11</v>
      </c>
      <c r="C1582" s="51"/>
      <c r="D1582" s="51"/>
      <c r="E1582" s="22"/>
      <c r="F1582" s="23"/>
      <c r="G1582" s="16">
        <f>TRUNC(SUM(G1579:G1581))</f>
        <v>551749</v>
      </c>
      <c r="H1582" s="23" t="s">
        <v>58</v>
      </c>
      <c r="I1582" s="16">
        <f>TRUNC(SUM(I1579:I1581))</f>
        <v>608648</v>
      </c>
      <c r="J1582" s="23"/>
      <c r="K1582" s="16">
        <f>TRUNC(SUM(K1579:K1581))</f>
        <v>680663</v>
      </c>
    </row>
    <row r="1583" spans="2:11" ht="12.95" customHeight="1" x14ac:dyDescent="0.3">
      <c r="B1583" s="50"/>
      <c r="C1583" s="51"/>
      <c r="D1583" s="51"/>
      <c r="E1583" s="22"/>
      <c r="F1583" s="23"/>
      <c r="G1583" s="24"/>
      <c r="H1583" s="23"/>
      <c r="I1583" s="24"/>
      <c r="J1583" s="23"/>
      <c r="K1583" s="24"/>
    </row>
    <row r="1584" spans="2:11" ht="12.95" customHeight="1" x14ac:dyDescent="0.3">
      <c r="B1584" s="59" t="s">
        <v>2</v>
      </c>
      <c r="C1584" s="59" t="s">
        <v>45</v>
      </c>
      <c r="D1584" s="61" t="s">
        <v>17</v>
      </c>
      <c r="E1584" s="17">
        <v>31327</v>
      </c>
      <c r="F1584" s="25">
        <v>1.38</v>
      </c>
      <c r="G1584" s="3">
        <f t="shared" ref="G1584" si="592">TRUNC($E1584*F1584,1)</f>
        <v>43231.199999999997</v>
      </c>
      <c r="H1584" s="25">
        <v>1.49</v>
      </c>
      <c r="I1584" s="3">
        <f t="shared" ref="I1584" si="593">TRUNC($E1584*H1584,1)</f>
        <v>46677.2</v>
      </c>
      <c r="J1584" s="25">
        <v>1.64</v>
      </c>
      <c r="K1584" s="3">
        <f t="shared" ref="K1584" si="594">TRUNC($E1584*J1584,1)</f>
        <v>51376.2</v>
      </c>
    </row>
    <row r="1585" spans="2:11" ht="12.95" customHeight="1" x14ac:dyDescent="0.3">
      <c r="B1585" s="46" t="s">
        <v>12</v>
      </c>
      <c r="C1585" s="51"/>
      <c r="D1585" s="51"/>
      <c r="E1585" s="62"/>
      <c r="F1585" s="15"/>
      <c r="G1585" s="16">
        <f>TRUNC(SUM(G1584:G1584))</f>
        <v>43231</v>
      </c>
      <c r="H1585" s="15"/>
      <c r="I1585" s="16">
        <f>TRUNC(SUM(I1584:I1584))</f>
        <v>46677</v>
      </c>
      <c r="J1585" s="15"/>
      <c r="K1585" s="16">
        <f>TRUNC(SUM(K1584:K1584))</f>
        <v>51376</v>
      </c>
    </row>
    <row r="1586" spans="2:11" ht="12.95" customHeight="1" x14ac:dyDescent="0.3">
      <c r="B1586" s="63"/>
      <c r="C1586" s="59"/>
      <c r="D1586" s="59"/>
      <c r="E1586" s="64"/>
      <c r="F1586" s="25"/>
      <c r="G1586" s="27"/>
      <c r="H1586" s="25"/>
      <c r="I1586" s="27"/>
      <c r="J1586" s="25"/>
      <c r="K1586" s="27"/>
    </row>
    <row r="1587" spans="2:11" ht="12.95" customHeight="1" x14ac:dyDescent="0.3">
      <c r="B1587" s="66" t="s">
        <v>13</v>
      </c>
      <c r="C1587" s="76"/>
      <c r="D1587" s="76"/>
      <c r="E1587" s="77"/>
      <c r="F1587" s="77"/>
      <c r="G1587" s="26">
        <f>SUM(G1577+G1582+G1585)</f>
        <v>627233</v>
      </c>
      <c r="H1587" s="77"/>
      <c r="I1587" s="26">
        <f>SUM(I1577+I1582+I1585)</f>
        <v>690278</v>
      </c>
      <c r="J1587" s="77"/>
      <c r="K1587" s="26">
        <f>SUM(K1577+K1582+K1585)</f>
        <v>770618</v>
      </c>
    </row>
    <row r="1588" spans="2:11" ht="12.95" customHeight="1" x14ac:dyDescent="0.3">
      <c r="B1588" s="110" t="s">
        <v>3</v>
      </c>
      <c r="C1588" s="113" t="s">
        <v>7</v>
      </c>
      <c r="D1588" s="116" t="s">
        <v>8</v>
      </c>
      <c r="E1588" s="119" t="s">
        <v>4</v>
      </c>
      <c r="F1588" s="95" t="s">
        <v>122</v>
      </c>
      <c r="G1588" s="96"/>
      <c r="H1588" s="96"/>
      <c r="I1588" s="96"/>
    </row>
    <row r="1589" spans="2:11" ht="12.95" customHeight="1" x14ac:dyDescent="0.3">
      <c r="B1589" s="111"/>
      <c r="C1589" s="114"/>
      <c r="D1589" s="117"/>
      <c r="E1589" s="120"/>
      <c r="F1589" s="95" t="s">
        <v>118</v>
      </c>
      <c r="G1589" s="96"/>
      <c r="H1589" s="95" t="s">
        <v>119</v>
      </c>
      <c r="I1589" s="96"/>
    </row>
    <row r="1590" spans="2:11" ht="12.95" customHeight="1" x14ac:dyDescent="0.3">
      <c r="B1590" s="112"/>
      <c r="C1590" s="115"/>
      <c r="D1590" s="118"/>
      <c r="E1590" s="121"/>
      <c r="F1590" s="74" t="s">
        <v>5</v>
      </c>
      <c r="G1590" s="75" t="s">
        <v>6</v>
      </c>
      <c r="H1590" s="74" t="s">
        <v>5</v>
      </c>
      <c r="I1590" s="75" t="s">
        <v>6</v>
      </c>
    </row>
    <row r="1591" spans="2:11" ht="12.95" customHeight="1" x14ac:dyDescent="0.3">
      <c r="B1591" s="59" t="s">
        <v>102</v>
      </c>
      <c r="C1591" s="59" t="s">
        <v>101</v>
      </c>
      <c r="D1591" s="61" t="s">
        <v>17</v>
      </c>
      <c r="E1591" s="17">
        <v>11299</v>
      </c>
      <c r="F1591" s="25">
        <v>1.79</v>
      </c>
      <c r="G1591" s="3">
        <f t="shared" ref="G1591" si="595">TRUNC($E1591*F1591,1)</f>
        <v>20225.2</v>
      </c>
      <c r="H1591" s="25">
        <v>1.95</v>
      </c>
      <c r="I1591" s="3">
        <f t="shared" ref="I1591" si="596">TRUNC($E1591*H1591,1)</f>
        <v>22033</v>
      </c>
    </row>
    <row r="1592" spans="2:11" ht="12.95" customHeight="1" x14ac:dyDescent="0.3">
      <c r="B1592" s="42" t="s">
        <v>53</v>
      </c>
      <c r="C1592" s="43" t="s">
        <v>54</v>
      </c>
      <c r="D1592" s="44" t="s">
        <v>15</v>
      </c>
      <c r="E1592" s="45"/>
      <c r="F1592" s="21">
        <v>1</v>
      </c>
      <c r="G1592" s="5">
        <f>TRUNC(SUM(G1595:G1596)*0.01,1)</f>
        <v>6628.1</v>
      </c>
      <c r="H1592" s="21">
        <v>1</v>
      </c>
      <c r="I1592" s="5">
        <f>TRUNC(SUM(I1595:I1596)*0.01,1)</f>
        <v>7264.7</v>
      </c>
    </row>
    <row r="1593" spans="2:11" ht="12.95" customHeight="1" x14ac:dyDescent="0.3">
      <c r="B1593" s="46" t="s">
        <v>10</v>
      </c>
      <c r="C1593" s="51"/>
      <c r="D1593" s="51"/>
      <c r="E1593" s="22"/>
      <c r="F1593" s="23"/>
      <c r="G1593" s="16">
        <f>TRUNC(SUM(G1591:G1592))</f>
        <v>26853</v>
      </c>
      <c r="H1593" s="23"/>
      <c r="I1593" s="16">
        <f>TRUNC(SUM(I1591:I1592))</f>
        <v>29297</v>
      </c>
    </row>
    <row r="1594" spans="2:11" ht="12.95" customHeight="1" x14ac:dyDescent="0.3">
      <c r="B1594" s="50"/>
      <c r="C1594" s="51"/>
      <c r="D1594" s="51"/>
      <c r="E1594" s="22"/>
      <c r="F1594" s="23"/>
      <c r="G1594" s="24"/>
      <c r="H1594" s="23"/>
      <c r="I1594" s="24"/>
    </row>
    <row r="1595" spans="2:11" ht="12.95" customHeight="1" x14ac:dyDescent="0.3">
      <c r="B1595" s="52" t="s">
        <v>29</v>
      </c>
      <c r="C1595" s="53"/>
      <c r="D1595" s="54" t="s">
        <v>9</v>
      </c>
      <c r="E1595" s="55">
        <v>262580</v>
      </c>
      <c r="F1595" s="25">
        <v>2</v>
      </c>
      <c r="G1595" s="3">
        <f t="shared" ref="G1595:G1597" si="597">TRUNC($E1595*F1595,1)</f>
        <v>525160</v>
      </c>
      <c r="H1595" s="25">
        <v>2.19</v>
      </c>
      <c r="I1595" s="3">
        <f t="shared" ref="I1595:I1597" si="598">TRUNC($E1595*H1595,1)</f>
        <v>575050.19999999995</v>
      </c>
    </row>
    <row r="1596" spans="2:11" ht="12.95" customHeight="1" x14ac:dyDescent="0.3">
      <c r="B1596" s="52" t="s">
        <v>1</v>
      </c>
      <c r="C1596" s="53"/>
      <c r="D1596" s="54" t="s">
        <v>9</v>
      </c>
      <c r="E1596" s="57">
        <v>172068</v>
      </c>
      <c r="F1596" s="25">
        <v>0.8</v>
      </c>
      <c r="G1596" s="3">
        <f t="shared" si="597"/>
        <v>137654.39999999999</v>
      </c>
      <c r="H1596" s="25">
        <v>0.88</v>
      </c>
      <c r="I1596" s="3">
        <f t="shared" si="598"/>
        <v>151419.79999999999</v>
      </c>
    </row>
    <row r="1597" spans="2:11" ht="12.95" customHeight="1" x14ac:dyDescent="0.3">
      <c r="B1597" s="59" t="s">
        <v>102</v>
      </c>
      <c r="C1597" s="59" t="s">
        <v>101</v>
      </c>
      <c r="D1597" s="61" t="s">
        <v>17</v>
      </c>
      <c r="E1597" s="17">
        <v>58925</v>
      </c>
      <c r="F1597" s="25">
        <v>1.79</v>
      </c>
      <c r="G1597" s="3">
        <f t="shared" si="597"/>
        <v>105475.7</v>
      </c>
      <c r="H1597" s="25">
        <v>1.95</v>
      </c>
      <c r="I1597" s="3">
        <f t="shared" si="598"/>
        <v>114903.7</v>
      </c>
    </row>
    <row r="1598" spans="2:11" ht="12.95" customHeight="1" x14ac:dyDescent="0.3">
      <c r="B1598" s="58" t="s">
        <v>11</v>
      </c>
      <c r="C1598" s="51"/>
      <c r="D1598" s="51"/>
      <c r="E1598" s="22"/>
      <c r="F1598" s="23"/>
      <c r="G1598" s="16">
        <f>TRUNC(SUM(G1595:G1597))</f>
        <v>768290</v>
      </c>
      <c r="H1598" s="23"/>
      <c r="I1598" s="16">
        <f>TRUNC(SUM(I1595:I1597))</f>
        <v>841373</v>
      </c>
    </row>
    <row r="1599" spans="2:11" ht="12.95" customHeight="1" x14ac:dyDescent="0.3">
      <c r="B1599" s="50"/>
      <c r="C1599" s="51"/>
      <c r="D1599" s="51"/>
      <c r="E1599" s="22"/>
      <c r="F1599" s="23"/>
      <c r="G1599" s="24"/>
      <c r="H1599" s="23"/>
      <c r="I1599" s="24"/>
    </row>
    <row r="1600" spans="2:11" ht="12.95" customHeight="1" x14ac:dyDescent="0.3">
      <c r="B1600" s="59" t="s">
        <v>102</v>
      </c>
      <c r="C1600" s="59" t="s">
        <v>101</v>
      </c>
      <c r="D1600" s="61" t="s">
        <v>17</v>
      </c>
      <c r="E1600" s="17">
        <v>53629</v>
      </c>
      <c r="F1600" s="25">
        <v>1.79</v>
      </c>
      <c r="G1600" s="3">
        <f t="shared" ref="G1600" si="599">TRUNC($E1600*F1600,1)</f>
        <v>95995.9</v>
      </c>
      <c r="H1600" s="25">
        <v>1.95</v>
      </c>
      <c r="I1600" s="3">
        <f t="shared" ref="I1600" si="600">TRUNC($E1600*H1600,1)</f>
        <v>104576.5</v>
      </c>
    </row>
    <row r="1601" spans="2:13" ht="12.95" customHeight="1" x14ac:dyDescent="0.3">
      <c r="B1601" s="46" t="s">
        <v>12</v>
      </c>
      <c r="C1601" s="51"/>
      <c r="D1601" s="51"/>
      <c r="E1601" s="62"/>
      <c r="F1601" s="15"/>
      <c r="G1601" s="16">
        <f>TRUNC(SUM(G1600:G1600))</f>
        <v>95995</v>
      </c>
      <c r="H1601" s="15"/>
      <c r="I1601" s="16">
        <f>TRUNC(SUM(I1600:I1600))</f>
        <v>104576</v>
      </c>
    </row>
    <row r="1602" spans="2:13" ht="12.95" customHeight="1" x14ac:dyDescent="0.3">
      <c r="B1602" s="63"/>
      <c r="C1602" s="59"/>
      <c r="D1602" s="59"/>
      <c r="E1602" s="64"/>
      <c r="F1602" s="25"/>
      <c r="G1602" s="27"/>
      <c r="H1602" s="25"/>
      <c r="I1602" s="27"/>
    </row>
    <row r="1603" spans="2:13" ht="12.95" customHeight="1" x14ac:dyDescent="0.3">
      <c r="B1603" s="66" t="s">
        <v>13</v>
      </c>
      <c r="C1603" s="76"/>
      <c r="D1603" s="76"/>
      <c r="E1603" s="77"/>
      <c r="F1603" s="77"/>
      <c r="G1603" s="26">
        <f>SUM(G1593+G1598+G1601)</f>
        <v>891138</v>
      </c>
      <c r="H1603" s="77"/>
      <c r="I1603" s="26">
        <f>SUM(I1593+I1598+I1601)</f>
        <v>975246</v>
      </c>
    </row>
    <row r="1605" spans="2:13" ht="12.95" customHeight="1" x14ac:dyDescent="0.3">
      <c r="B1605" s="1" t="s">
        <v>168</v>
      </c>
      <c r="M1605" s="37" t="s">
        <v>25</v>
      </c>
    </row>
    <row r="1606" spans="2:13" ht="12.95" customHeight="1" x14ac:dyDescent="0.3">
      <c r="B1606" s="106" t="s">
        <v>3</v>
      </c>
      <c r="C1606" s="107" t="s">
        <v>7</v>
      </c>
      <c r="D1606" s="108" t="s">
        <v>8</v>
      </c>
      <c r="E1606" s="109" t="s">
        <v>4</v>
      </c>
      <c r="F1606" s="105" t="s">
        <v>75</v>
      </c>
      <c r="G1606" s="95"/>
      <c r="H1606" s="105" t="s">
        <v>76</v>
      </c>
      <c r="I1606" s="95"/>
      <c r="J1606" s="105" t="s">
        <v>27</v>
      </c>
      <c r="K1606" s="95"/>
      <c r="L1606" s="95" t="s">
        <v>28</v>
      </c>
      <c r="M1606" s="96"/>
    </row>
    <row r="1607" spans="2:13" ht="12.95" customHeight="1" x14ac:dyDescent="0.3">
      <c r="B1607" s="106"/>
      <c r="C1607" s="107"/>
      <c r="D1607" s="108"/>
      <c r="E1607" s="109"/>
      <c r="F1607" s="74" t="s">
        <v>5</v>
      </c>
      <c r="G1607" s="75" t="s">
        <v>6</v>
      </c>
      <c r="H1607" s="74" t="s">
        <v>5</v>
      </c>
      <c r="I1607" s="75" t="s">
        <v>6</v>
      </c>
      <c r="J1607" s="74" t="s">
        <v>5</v>
      </c>
      <c r="K1607" s="75" t="s">
        <v>6</v>
      </c>
      <c r="L1607" s="74" t="s">
        <v>5</v>
      </c>
      <c r="M1607" s="75" t="s">
        <v>6</v>
      </c>
    </row>
    <row r="1608" spans="2:13" ht="12.95" customHeight="1" x14ac:dyDescent="0.3">
      <c r="B1608" s="42" t="s">
        <v>53</v>
      </c>
      <c r="C1608" s="43" t="s">
        <v>56</v>
      </c>
      <c r="D1608" s="44" t="s">
        <v>15</v>
      </c>
      <c r="E1608" s="45"/>
      <c r="F1608" s="21">
        <v>1</v>
      </c>
      <c r="G1608" s="5">
        <f>TRUNC(SUM(G1611:G1612)*0.02,1)</f>
        <v>505.2</v>
      </c>
      <c r="H1608" s="21">
        <v>1</v>
      </c>
      <c r="I1608" s="5">
        <f>TRUNC(SUM(I1611:I1612)*0.02,1)</f>
        <v>644.70000000000005</v>
      </c>
      <c r="J1608" s="21">
        <v>1</v>
      </c>
      <c r="K1608" s="5">
        <f>TRUNC(SUM(K1611:K1612)*0.02,1)</f>
        <v>784.1</v>
      </c>
      <c r="L1608" s="21">
        <v>1</v>
      </c>
      <c r="M1608" s="5">
        <f>TRUNC(SUM(M1611:M1612)*0.02,1)</f>
        <v>1063</v>
      </c>
    </row>
    <row r="1609" spans="2:13" ht="12.95" customHeight="1" x14ac:dyDescent="0.3">
      <c r="B1609" s="46" t="s">
        <v>10</v>
      </c>
      <c r="C1609" s="47"/>
      <c r="D1609" s="48"/>
      <c r="E1609" s="49"/>
      <c r="F1609" s="25"/>
      <c r="G1609" s="12">
        <f>TRUNC(SUM(G1608))</f>
        <v>505</v>
      </c>
      <c r="H1609" s="25"/>
      <c r="I1609" s="12">
        <f>TRUNC(SUM(I1608))</f>
        <v>644</v>
      </c>
      <c r="J1609" s="25"/>
      <c r="K1609" s="12">
        <f>TRUNC(SUM(K1608))</f>
        <v>784</v>
      </c>
      <c r="L1609" s="25"/>
      <c r="M1609" s="12">
        <f>TRUNC(SUM(M1608))</f>
        <v>1063</v>
      </c>
    </row>
    <row r="1610" spans="2:13" ht="12.95" customHeight="1" x14ac:dyDescent="0.3">
      <c r="B1610" s="50"/>
      <c r="C1610" s="51"/>
      <c r="D1610" s="51"/>
      <c r="E1610" s="22"/>
      <c r="F1610" s="15"/>
      <c r="G1610" s="24"/>
      <c r="H1610" s="15"/>
      <c r="I1610" s="24"/>
      <c r="J1610" s="15"/>
      <c r="K1610" s="24"/>
      <c r="L1610" s="15"/>
      <c r="M1610" s="24"/>
    </row>
    <row r="1611" spans="2:13" ht="12.95" customHeight="1" x14ac:dyDescent="0.3">
      <c r="B1611" s="52" t="s">
        <v>29</v>
      </c>
      <c r="C1611" s="53"/>
      <c r="D1611" s="54" t="s">
        <v>9</v>
      </c>
      <c r="E1611" s="55">
        <v>262580</v>
      </c>
      <c r="F1611" s="28">
        <v>7.0000000000000007E-2</v>
      </c>
      <c r="G1611" s="2">
        <f t="shared" ref="G1611:G1612" si="601">TRUNC($E1611*F1611,1)</f>
        <v>18380.599999999999</v>
      </c>
      <c r="H1611" s="28">
        <v>0.09</v>
      </c>
      <c r="I1611" s="3">
        <f t="shared" ref="I1611:I1612" si="602">TRUNC($E1611*H1611,1)</f>
        <v>23632.2</v>
      </c>
      <c r="J1611" s="28">
        <v>0.11</v>
      </c>
      <c r="K1611" s="3">
        <f t="shared" ref="K1611:K1612" si="603">TRUNC($E1611*J1611,1)</f>
        <v>28883.8</v>
      </c>
      <c r="L1611" s="28">
        <v>0.15</v>
      </c>
      <c r="M1611" s="3">
        <f t="shared" ref="M1611:M1612" si="604">TRUNC($E1611*L1611,1)</f>
        <v>39387</v>
      </c>
    </row>
    <row r="1612" spans="2:13" ht="12.95" customHeight="1" x14ac:dyDescent="0.3">
      <c r="B1612" s="52" t="s">
        <v>1</v>
      </c>
      <c r="C1612" s="53"/>
      <c r="D1612" s="54" t="s">
        <v>9</v>
      </c>
      <c r="E1612" s="57">
        <v>172068</v>
      </c>
      <c r="F1612" s="28">
        <v>0.04</v>
      </c>
      <c r="G1612" s="2">
        <f t="shared" si="601"/>
        <v>6882.7</v>
      </c>
      <c r="H1612" s="28">
        <v>0.05</v>
      </c>
      <c r="I1612" s="3">
        <f t="shared" si="602"/>
        <v>8603.4</v>
      </c>
      <c r="J1612" s="28">
        <v>0.06</v>
      </c>
      <c r="K1612" s="3">
        <f t="shared" si="603"/>
        <v>10324</v>
      </c>
      <c r="L1612" s="28">
        <v>0.08</v>
      </c>
      <c r="M1612" s="3">
        <f t="shared" si="604"/>
        <v>13765.4</v>
      </c>
    </row>
    <row r="1613" spans="2:13" ht="12.95" customHeight="1" x14ac:dyDescent="0.3">
      <c r="B1613" s="58" t="s">
        <v>11</v>
      </c>
      <c r="C1613" s="80"/>
      <c r="D1613" s="81"/>
      <c r="E1613" s="82"/>
      <c r="F1613" s="82"/>
      <c r="G1613" s="10">
        <f>TRUNC(SUM(G1611:G1612))</f>
        <v>25263</v>
      </c>
      <c r="H1613" s="82"/>
      <c r="I1613" s="11">
        <f>TRUNC(SUM(I1611:I1612))</f>
        <v>32235</v>
      </c>
      <c r="J1613" s="82"/>
      <c r="K1613" s="11">
        <f>TRUNC(SUM(K1611:K1612))</f>
        <v>39207</v>
      </c>
      <c r="L1613" s="82"/>
      <c r="M1613" s="11">
        <f>TRUNC(SUM(M1611:M1612))</f>
        <v>53152</v>
      </c>
    </row>
    <row r="1614" spans="2:13" ht="12.95" customHeight="1" x14ac:dyDescent="0.3">
      <c r="B1614" s="83"/>
      <c r="C1614" s="53"/>
      <c r="D1614" s="54"/>
      <c r="E1614" s="84"/>
      <c r="F1614" s="84"/>
      <c r="G1614" s="6"/>
      <c r="H1614" s="84"/>
      <c r="I1614" s="7"/>
      <c r="J1614" s="84"/>
      <c r="K1614" s="7"/>
      <c r="L1614" s="84"/>
      <c r="M1614" s="7"/>
    </row>
    <row r="1615" spans="2:13" ht="12.95" customHeight="1" x14ac:dyDescent="0.3">
      <c r="B1615" s="66" t="s">
        <v>13</v>
      </c>
      <c r="C1615" s="85"/>
      <c r="D1615" s="86"/>
      <c r="E1615" s="87"/>
      <c r="F1615" s="87"/>
      <c r="G1615" s="26">
        <f>SUM(G1609+G1613)</f>
        <v>25768</v>
      </c>
      <c r="H1615" s="87"/>
      <c r="I1615" s="26">
        <f>SUM(I1609+I1613)</f>
        <v>32879</v>
      </c>
      <c r="J1615" s="87"/>
      <c r="K1615" s="26">
        <f>SUM(K1609+K1613)</f>
        <v>39991</v>
      </c>
      <c r="L1615" s="87"/>
      <c r="M1615" s="26">
        <f>SUM(M1609+M1613)</f>
        <v>54215</v>
      </c>
    </row>
    <row r="1616" spans="2:13" ht="12.95" customHeight="1" x14ac:dyDescent="0.3">
      <c r="B1616" s="106" t="s">
        <v>3</v>
      </c>
      <c r="C1616" s="107" t="s">
        <v>7</v>
      </c>
      <c r="D1616" s="108" t="s">
        <v>8</v>
      </c>
      <c r="E1616" s="109" t="s">
        <v>4</v>
      </c>
      <c r="F1616" s="105" t="s">
        <v>35</v>
      </c>
      <c r="G1616" s="95"/>
      <c r="H1616" s="105" t="s">
        <v>36</v>
      </c>
      <c r="I1616" s="95"/>
      <c r="J1616" s="105" t="s">
        <v>37</v>
      </c>
      <c r="K1616" s="95"/>
    </row>
    <row r="1617" spans="2:13" ht="12.95" customHeight="1" x14ac:dyDescent="0.3">
      <c r="B1617" s="106"/>
      <c r="C1617" s="107"/>
      <c r="D1617" s="108"/>
      <c r="E1617" s="109"/>
      <c r="F1617" s="74" t="s">
        <v>5</v>
      </c>
      <c r="G1617" s="75" t="s">
        <v>6</v>
      </c>
      <c r="H1617" s="74" t="s">
        <v>5</v>
      </c>
      <c r="I1617" s="75" t="s">
        <v>6</v>
      </c>
      <c r="J1617" s="74" t="s">
        <v>5</v>
      </c>
      <c r="K1617" s="75" t="s">
        <v>6</v>
      </c>
    </row>
    <row r="1618" spans="2:13" ht="12.95" customHeight="1" x14ac:dyDescent="0.3">
      <c r="B1618" s="42" t="s">
        <v>53</v>
      </c>
      <c r="C1618" s="43" t="s">
        <v>56</v>
      </c>
      <c r="D1618" s="44" t="s">
        <v>15</v>
      </c>
      <c r="E1618" s="45"/>
      <c r="F1618" s="21">
        <v>1</v>
      </c>
      <c r="G1618" s="5">
        <f>TRUNC(SUM(G1621:G1622)*0.02,1)</f>
        <v>1341.9</v>
      </c>
      <c r="H1618" s="21">
        <v>1</v>
      </c>
      <c r="I1618" s="5">
        <f>TRUNC(SUM(I1621:I1622)*0.02,1)</f>
        <v>1620.8</v>
      </c>
      <c r="J1618" s="21">
        <v>1</v>
      </c>
      <c r="K1618" s="5">
        <f>TRUNC(SUM(K1621:K1622)*0.02,1)</f>
        <v>1899.7</v>
      </c>
    </row>
    <row r="1619" spans="2:13" ht="12.95" customHeight="1" x14ac:dyDescent="0.3">
      <c r="B1619" s="46" t="s">
        <v>10</v>
      </c>
      <c r="C1619" s="47"/>
      <c r="D1619" s="48"/>
      <c r="E1619" s="49"/>
      <c r="F1619" s="25"/>
      <c r="G1619" s="12">
        <f>TRUNC(SUM(G1618))</f>
        <v>1341</v>
      </c>
      <c r="H1619" s="25"/>
      <c r="I1619" s="12">
        <f>TRUNC(SUM(I1618))</f>
        <v>1620</v>
      </c>
      <c r="J1619" s="25"/>
      <c r="K1619" s="12">
        <f>TRUNC(SUM(K1618))</f>
        <v>1899</v>
      </c>
    </row>
    <row r="1620" spans="2:13" ht="12.95" customHeight="1" x14ac:dyDescent="0.3">
      <c r="B1620" s="50"/>
      <c r="C1620" s="51"/>
      <c r="D1620" s="51"/>
      <c r="E1620" s="22"/>
      <c r="F1620" s="15"/>
      <c r="G1620" s="24"/>
      <c r="H1620" s="15"/>
      <c r="I1620" s="24"/>
      <c r="J1620" s="15"/>
      <c r="K1620" s="24"/>
    </row>
    <row r="1621" spans="2:13" ht="12.95" customHeight="1" x14ac:dyDescent="0.3">
      <c r="B1621" s="52" t="s">
        <v>29</v>
      </c>
      <c r="C1621" s="53"/>
      <c r="D1621" s="54" t="s">
        <v>9</v>
      </c>
      <c r="E1621" s="55">
        <v>262580</v>
      </c>
      <c r="F1621" s="28">
        <v>0.19</v>
      </c>
      <c r="G1621" s="2">
        <f t="shared" ref="G1621:G1622" si="605">TRUNC($E1621*F1621,1)</f>
        <v>49890.2</v>
      </c>
      <c r="H1621" s="28">
        <v>0.23</v>
      </c>
      <c r="I1621" s="3">
        <f t="shared" ref="I1621:I1622" si="606">TRUNC($E1621*H1621,1)</f>
        <v>60393.4</v>
      </c>
      <c r="J1621" s="28">
        <v>0.27</v>
      </c>
      <c r="K1621" s="3">
        <f t="shared" ref="K1621:K1622" si="607">TRUNC($E1621*J1621,1)</f>
        <v>70896.600000000006</v>
      </c>
    </row>
    <row r="1622" spans="2:13" ht="12.95" customHeight="1" x14ac:dyDescent="0.3">
      <c r="B1622" s="52" t="s">
        <v>1</v>
      </c>
      <c r="C1622" s="53"/>
      <c r="D1622" s="54" t="s">
        <v>9</v>
      </c>
      <c r="E1622" s="57">
        <v>172068</v>
      </c>
      <c r="F1622" s="28">
        <v>0.1</v>
      </c>
      <c r="G1622" s="2">
        <f t="shared" si="605"/>
        <v>17206.8</v>
      </c>
      <c r="H1622" s="28">
        <v>0.12</v>
      </c>
      <c r="I1622" s="3">
        <f t="shared" si="606"/>
        <v>20648.099999999999</v>
      </c>
      <c r="J1622" s="28">
        <v>0.14000000000000001</v>
      </c>
      <c r="K1622" s="3">
        <f t="shared" si="607"/>
        <v>24089.5</v>
      </c>
    </row>
    <row r="1623" spans="2:13" ht="12.95" customHeight="1" x14ac:dyDescent="0.3">
      <c r="B1623" s="58" t="s">
        <v>11</v>
      </c>
      <c r="C1623" s="80"/>
      <c r="D1623" s="81"/>
      <c r="E1623" s="82"/>
      <c r="F1623" s="82"/>
      <c r="G1623" s="10">
        <f>TRUNC(SUM(G1621:G1622))</f>
        <v>67097</v>
      </c>
      <c r="H1623" s="82"/>
      <c r="I1623" s="11">
        <f>TRUNC(SUM(I1621:I1622))</f>
        <v>81041</v>
      </c>
      <c r="J1623" s="82"/>
      <c r="K1623" s="11">
        <f>TRUNC(SUM(K1621:K1622))</f>
        <v>94986</v>
      </c>
    </row>
    <row r="1624" spans="2:13" ht="12.95" customHeight="1" x14ac:dyDescent="0.3">
      <c r="B1624" s="83"/>
      <c r="C1624" s="53"/>
      <c r="D1624" s="54"/>
      <c r="E1624" s="84"/>
      <c r="F1624" s="84"/>
      <c r="G1624" s="6"/>
      <c r="H1624" s="84"/>
      <c r="I1624" s="7"/>
      <c r="J1624" s="84"/>
      <c r="K1624" s="7"/>
    </row>
    <row r="1625" spans="2:13" ht="12.95" customHeight="1" x14ac:dyDescent="0.3">
      <c r="B1625" s="66" t="s">
        <v>13</v>
      </c>
      <c r="C1625" s="85"/>
      <c r="D1625" s="86"/>
      <c r="E1625" s="87"/>
      <c r="F1625" s="87"/>
      <c r="G1625" s="26">
        <f>SUM(G1619+G1623)</f>
        <v>68438</v>
      </c>
      <c r="H1625" s="87"/>
      <c r="I1625" s="26">
        <f>SUM(I1619+I1623)</f>
        <v>82661</v>
      </c>
      <c r="J1625" s="87"/>
      <c r="K1625" s="26">
        <f>SUM(K1619+K1623)</f>
        <v>96885</v>
      </c>
    </row>
    <row r="1627" spans="2:13" ht="12.95" customHeight="1" x14ac:dyDescent="0.3">
      <c r="B1627" s="32" t="s">
        <v>125</v>
      </c>
    </row>
    <row r="1628" spans="2:13" ht="12.95" customHeight="1" x14ac:dyDescent="0.3">
      <c r="B1628" s="1" t="s">
        <v>124</v>
      </c>
      <c r="M1628" s="37" t="s">
        <v>123</v>
      </c>
    </row>
    <row r="1629" spans="2:13" ht="12.95" customHeight="1" x14ac:dyDescent="0.3">
      <c r="B1629" s="106" t="s">
        <v>3</v>
      </c>
      <c r="C1629" s="107" t="s">
        <v>7</v>
      </c>
      <c r="D1629" s="108" t="s">
        <v>8</v>
      </c>
      <c r="E1629" s="109" t="s">
        <v>4</v>
      </c>
      <c r="F1629" s="105" t="s">
        <v>75</v>
      </c>
      <c r="G1629" s="95"/>
      <c r="H1629" s="105" t="s">
        <v>26</v>
      </c>
      <c r="I1629" s="95"/>
      <c r="J1629" s="105" t="s">
        <v>27</v>
      </c>
      <c r="K1629" s="95"/>
      <c r="L1629" s="105" t="s">
        <v>55</v>
      </c>
      <c r="M1629" s="95"/>
    </row>
    <row r="1630" spans="2:13" ht="12.95" customHeight="1" x14ac:dyDescent="0.3">
      <c r="B1630" s="106"/>
      <c r="C1630" s="107"/>
      <c r="D1630" s="108"/>
      <c r="E1630" s="109"/>
      <c r="F1630" s="74" t="s">
        <v>5</v>
      </c>
      <c r="G1630" s="75" t="s">
        <v>6</v>
      </c>
      <c r="H1630" s="74" t="s">
        <v>5</v>
      </c>
      <c r="I1630" s="75" t="s">
        <v>6</v>
      </c>
      <c r="J1630" s="74" t="s">
        <v>5</v>
      </c>
      <c r="K1630" s="75" t="s">
        <v>6</v>
      </c>
      <c r="L1630" s="74" t="s">
        <v>5</v>
      </c>
      <c r="M1630" s="75" t="s">
        <v>6</v>
      </c>
    </row>
    <row r="1631" spans="2:13" ht="12.95" customHeight="1" x14ac:dyDescent="0.3">
      <c r="B1631" s="59" t="s">
        <v>2</v>
      </c>
      <c r="C1631" s="59" t="s">
        <v>14</v>
      </c>
      <c r="D1631" s="61" t="s">
        <v>17</v>
      </c>
      <c r="E1631" s="78">
        <v>9213</v>
      </c>
      <c r="F1631" s="25">
        <v>0.32</v>
      </c>
      <c r="G1631" s="3">
        <f t="shared" ref="G1631" si="608">TRUNC($E1631*F1631,1)</f>
        <v>2948.1</v>
      </c>
      <c r="H1631" s="25">
        <v>0.38</v>
      </c>
      <c r="I1631" s="3">
        <f t="shared" ref="I1631" si="609">TRUNC($E1631*H1631,1)</f>
        <v>3500.9</v>
      </c>
      <c r="J1631" s="25">
        <v>0.45</v>
      </c>
      <c r="K1631" s="3">
        <f t="shared" ref="K1631" si="610">TRUNC($E1631*J1631,1)</f>
        <v>4145.8</v>
      </c>
      <c r="L1631" s="25">
        <v>0.47</v>
      </c>
      <c r="M1631" s="3">
        <f t="shared" ref="M1631" si="611">TRUNC($E1631*L1631,1)</f>
        <v>4330.1000000000004</v>
      </c>
    </row>
    <row r="1632" spans="2:13" ht="12.95" customHeight="1" x14ac:dyDescent="0.3">
      <c r="B1632" s="42" t="s">
        <v>53</v>
      </c>
      <c r="C1632" s="43" t="s">
        <v>56</v>
      </c>
      <c r="D1632" s="44" t="s">
        <v>15</v>
      </c>
      <c r="E1632" s="45"/>
      <c r="F1632" s="21">
        <v>1</v>
      </c>
      <c r="G1632" s="5">
        <f>TRUNC(SUM(G1635:G1636)*0.02,1)</f>
        <v>418.3</v>
      </c>
      <c r="H1632" s="21">
        <v>1</v>
      </c>
      <c r="I1632" s="5">
        <f>TRUNC(SUM(I1635:I1636)*0.02,1)</f>
        <v>610.20000000000005</v>
      </c>
      <c r="J1632" s="21">
        <v>1</v>
      </c>
      <c r="K1632" s="5">
        <f>TRUNC(SUM(K1635:K1636)*0.02,1)</f>
        <v>697.2</v>
      </c>
      <c r="L1632" s="21">
        <v>1</v>
      </c>
      <c r="M1632" s="5">
        <f>TRUNC(SUM(M1635:M1636)*0.02,1)</f>
        <v>784.1</v>
      </c>
    </row>
    <row r="1633" spans="2:13" ht="12.95" customHeight="1" x14ac:dyDescent="0.3">
      <c r="B1633" s="46" t="s">
        <v>10</v>
      </c>
      <c r="C1633" s="51"/>
      <c r="D1633" s="51"/>
      <c r="E1633" s="22"/>
      <c r="F1633" s="23"/>
      <c r="G1633" s="16">
        <f>TRUNC(SUM(G1631:G1632))</f>
        <v>3366</v>
      </c>
      <c r="H1633" s="23"/>
      <c r="I1633" s="16">
        <f>TRUNC(SUM(I1631:I1632))</f>
        <v>4111</v>
      </c>
      <c r="J1633" s="23"/>
      <c r="K1633" s="16">
        <f>TRUNC(SUM(K1631:K1632))</f>
        <v>4843</v>
      </c>
      <c r="L1633" s="23"/>
      <c r="M1633" s="16">
        <f>TRUNC(SUM(M1631:M1632))</f>
        <v>5114</v>
      </c>
    </row>
    <row r="1634" spans="2:13" ht="12.95" customHeight="1" x14ac:dyDescent="0.3">
      <c r="B1634" s="50"/>
      <c r="C1634" s="51"/>
      <c r="D1634" s="51"/>
      <c r="E1634" s="22"/>
      <c r="F1634" s="23"/>
      <c r="G1634" s="24"/>
      <c r="H1634" s="23"/>
      <c r="I1634" s="24"/>
      <c r="J1634" s="23"/>
      <c r="K1634" s="24"/>
      <c r="L1634" s="23"/>
      <c r="M1634" s="24"/>
    </row>
    <row r="1635" spans="2:13" ht="12.95" customHeight="1" x14ac:dyDescent="0.3">
      <c r="B1635" s="52" t="s">
        <v>29</v>
      </c>
      <c r="C1635" s="53"/>
      <c r="D1635" s="54" t="s">
        <v>9</v>
      </c>
      <c r="E1635" s="55">
        <v>262580</v>
      </c>
      <c r="F1635" s="25">
        <v>0.06</v>
      </c>
      <c r="G1635" s="3">
        <f t="shared" ref="G1635:G1637" si="612">TRUNC($E1635*F1635,1)</f>
        <v>15754.8</v>
      </c>
      <c r="H1635" s="25">
        <v>0.09</v>
      </c>
      <c r="I1635" s="3">
        <f t="shared" ref="I1635:I1637" si="613">TRUNC($E1635*H1635,1)</f>
        <v>23632.2</v>
      </c>
      <c r="J1635" s="25">
        <v>0.1</v>
      </c>
      <c r="K1635" s="3">
        <f t="shared" ref="K1635:K1637" si="614">TRUNC($E1635*J1635,1)</f>
        <v>26258</v>
      </c>
      <c r="L1635" s="25">
        <v>0.11</v>
      </c>
      <c r="M1635" s="3">
        <f t="shared" ref="M1635:M1637" si="615">TRUNC($E1635*L1635,1)</f>
        <v>28883.8</v>
      </c>
    </row>
    <row r="1636" spans="2:13" ht="12.95" customHeight="1" x14ac:dyDescent="0.3">
      <c r="B1636" s="52" t="s">
        <v>1</v>
      </c>
      <c r="C1636" s="53"/>
      <c r="D1636" s="54" t="s">
        <v>9</v>
      </c>
      <c r="E1636" s="57">
        <v>172068</v>
      </c>
      <c r="F1636" s="25">
        <v>0.03</v>
      </c>
      <c r="G1636" s="3">
        <f t="shared" si="612"/>
        <v>5162</v>
      </c>
      <c r="H1636" s="25">
        <v>0.04</v>
      </c>
      <c r="I1636" s="3">
        <f t="shared" si="613"/>
        <v>6882.7</v>
      </c>
      <c r="J1636" s="25">
        <v>0.05</v>
      </c>
      <c r="K1636" s="3">
        <f t="shared" si="614"/>
        <v>8603.4</v>
      </c>
      <c r="L1636" s="25">
        <v>0.06</v>
      </c>
      <c r="M1636" s="3">
        <f t="shared" si="615"/>
        <v>10324</v>
      </c>
    </row>
    <row r="1637" spans="2:13" ht="12.95" customHeight="1" x14ac:dyDescent="0.3">
      <c r="B1637" s="59" t="s">
        <v>2</v>
      </c>
      <c r="C1637" s="59" t="s">
        <v>14</v>
      </c>
      <c r="D1637" s="61" t="s">
        <v>17</v>
      </c>
      <c r="E1637" s="78">
        <v>49698</v>
      </c>
      <c r="F1637" s="25">
        <v>0.32</v>
      </c>
      <c r="G1637" s="3">
        <f t="shared" si="612"/>
        <v>15903.3</v>
      </c>
      <c r="H1637" s="25">
        <v>0.38</v>
      </c>
      <c r="I1637" s="3">
        <f t="shared" si="613"/>
        <v>18885.2</v>
      </c>
      <c r="J1637" s="25">
        <v>0.45</v>
      </c>
      <c r="K1637" s="3">
        <f t="shared" si="614"/>
        <v>22364.1</v>
      </c>
      <c r="L1637" s="25">
        <v>0.47</v>
      </c>
      <c r="M1637" s="3">
        <f t="shared" si="615"/>
        <v>23358</v>
      </c>
    </row>
    <row r="1638" spans="2:13" ht="12.95" customHeight="1" x14ac:dyDescent="0.3">
      <c r="B1638" s="58" t="s">
        <v>11</v>
      </c>
      <c r="C1638" s="51"/>
      <c r="D1638" s="51"/>
      <c r="E1638" s="22"/>
      <c r="F1638" s="23"/>
      <c r="G1638" s="16">
        <f>TRUNC(SUM(G1635:G1637))</f>
        <v>36820</v>
      </c>
      <c r="H1638" s="23"/>
      <c r="I1638" s="16">
        <f>TRUNC(SUM(I1635:I1637))</f>
        <v>49400</v>
      </c>
      <c r="J1638" s="23"/>
      <c r="K1638" s="16">
        <f>TRUNC(SUM(K1635:K1637))</f>
        <v>57225</v>
      </c>
      <c r="L1638" s="23" t="s">
        <v>58</v>
      </c>
      <c r="M1638" s="16">
        <f>TRUNC(SUM(M1635:M1637))</f>
        <v>62565</v>
      </c>
    </row>
    <row r="1639" spans="2:13" ht="12.95" customHeight="1" x14ac:dyDescent="0.3">
      <c r="B1639" s="50"/>
      <c r="C1639" s="51"/>
      <c r="D1639" s="51"/>
      <c r="E1639" s="22"/>
      <c r="F1639" s="23"/>
      <c r="G1639" s="24"/>
      <c r="H1639" s="23"/>
      <c r="I1639" s="24"/>
      <c r="J1639" s="23"/>
      <c r="K1639" s="24"/>
      <c r="L1639" s="23"/>
      <c r="M1639" s="24"/>
    </row>
    <row r="1640" spans="2:13" ht="12.95" customHeight="1" x14ac:dyDescent="0.3">
      <c r="B1640" s="59" t="s">
        <v>2</v>
      </c>
      <c r="C1640" s="59" t="s">
        <v>14</v>
      </c>
      <c r="D1640" s="61" t="s">
        <v>17</v>
      </c>
      <c r="E1640" s="78">
        <v>11117</v>
      </c>
      <c r="F1640" s="25">
        <v>0.32</v>
      </c>
      <c r="G1640" s="3">
        <f t="shared" ref="G1640" si="616">TRUNC($E1640*F1640,1)</f>
        <v>3557.4</v>
      </c>
      <c r="H1640" s="25">
        <v>0.38</v>
      </c>
      <c r="I1640" s="3">
        <f t="shared" ref="I1640" si="617">TRUNC($E1640*H1640,1)</f>
        <v>4224.3999999999996</v>
      </c>
      <c r="J1640" s="25">
        <v>0.45</v>
      </c>
      <c r="K1640" s="3">
        <f t="shared" ref="K1640" si="618">TRUNC($E1640*J1640,1)</f>
        <v>5002.6000000000004</v>
      </c>
      <c r="L1640" s="25">
        <v>0.47</v>
      </c>
      <c r="M1640" s="3">
        <f t="shared" ref="M1640" si="619">TRUNC($E1640*L1640,1)</f>
        <v>5224.8999999999996</v>
      </c>
    </row>
    <row r="1641" spans="2:13" ht="12.95" customHeight="1" x14ac:dyDescent="0.3">
      <c r="B1641" s="46" t="s">
        <v>12</v>
      </c>
      <c r="C1641" s="51"/>
      <c r="D1641" s="51"/>
      <c r="E1641" s="62"/>
      <c r="F1641" s="15"/>
      <c r="G1641" s="16">
        <f>TRUNC(SUM(G1640:G1640))</f>
        <v>3557</v>
      </c>
      <c r="H1641" s="15"/>
      <c r="I1641" s="16">
        <f>TRUNC(SUM(I1640:I1640))</f>
        <v>4224</v>
      </c>
      <c r="J1641" s="15"/>
      <c r="K1641" s="16">
        <f>TRUNC(SUM(K1640:K1640))</f>
        <v>5002</v>
      </c>
      <c r="L1641" s="15"/>
      <c r="M1641" s="16">
        <f>TRUNC(SUM(M1640:M1640))</f>
        <v>5224</v>
      </c>
    </row>
    <row r="1642" spans="2:13" ht="12.95" customHeight="1" x14ac:dyDescent="0.3">
      <c r="B1642" s="63"/>
      <c r="C1642" s="59"/>
      <c r="D1642" s="59"/>
      <c r="E1642" s="64"/>
      <c r="F1642" s="25"/>
      <c r="G1642" s="27"/>
      <c r="H1642" s="25"/>
      <c r="I1642" s="27"/>
      <c r="J1642" s="25"/>
      <c r="K1642" s="27"/>
      <c r="L1642" s="25"/>
      <c r="M1642" s="27"/>
    </row>
    <row r="1643" spans="2:13" ht="12.95" customHeight="1" x14ac:dyDescent="0.3">
      <c r="B1643" s="66" t="s">
        <v>13</v>
      </c>
      <c r="C1643" s="76"/>
      <c r="D1643" s="76"/>
      <c r="E1643" s="77"/>
      <c r="F1643" s="77"/>
      <c r="G1643" s="26">
        <f>SUM(G1633+G1638+G1641)</f>
        <v>43743</v>
      </c>
      <c r="H1643" s="77"/>
      <c r="I1643" s="26">
        <f>SUM(I1633+I1638+I1641)</f>
        <v>57735</v>
      </c>
      <c r="J1643" s="77"/>
      <c r="K1643" s="26">
        <f>SUM(K1633+K1638+K1641)</f>
        <v>67070</v>
      </c>
      <c r="L1643" s="77"/>
      <c r="M1643" s="26">
        <f>SUM(M1633+M1638+M1641)</f>
        <v>72903</v>
      </c>
    </row>
    <row r="1644" spans="2:13" ht="12.95" customHeight="1" x14ac:dyDescent="0.3">
      <c r="B1644" s="106" t="s">
        <v>3</v>
      </c>
      <c r="C1644" s="107" t="s">
        <v>7</v>
      </c>
      <c r="D1644" s="108" t="s">
        <v>8</v>
      </c>
      <c r="E1644" s="109" t="s">
        <v>4</v>
      </c>
      <c r="F1644" s="105" t="s">
        <v>28</v>
      </c>
      <c r="G1644" s="95"/>
      <c r="H1644" s="105" t="s">
        <v>35</v>
      </c>
      <c r="I1644" s="95"/>
      <c r="J1644" s="105" t="s">
        <v>36</v>
      </c>
      <c r="K1644" s="95"/>
    </row>
    <row r="1645" spans="2:13" ht="12.95" customHeight="1" x14ac:dyDescent="0.3">
      <c r="B1645" s="106"/>
      <c r="C1645" s="107"/>
      <c r="D1645" s="108"/>
      <c r="E1645" s="109"/>
      <c r="F1645" s="74" t="s">
        <v>5</v>
      </c>
      <c r="G1645" s="75" t="s">
        <v>6</v>
      </c>
      <c r="H1645" s="74" t="s">
        <v>5</v>
      </c>
      <c r="I1645" s="75" t="s">
        <v>6</v>
      </c>
      <c r="J1645" s="74" t="s">
        <v>5</v>
      </c>
      <c r="K1645" s="75" t="s">
        <v>6</v>
      </c>
    </row>
    <row r="1646" spans="2:13" ht="12.95" customHeight="1" x14ac:dyDescent="0.3">
      <c r="B1646" s="59" t="s">
        <v>2</v>
      </c>
      <c r="C1646" s="59" t="s">
        <v>14</v>
      </c>
      <c r="D1646" s="61" t="s">
        <v>17</v>
      </c>
      <c r="E1646" s="78">
        <v>9213</v>
      </c>
      <c r="F1646" s="25">
        <v>0.49</v>
      </c>
      <c r="G1646" s="3">
        <f t="shared" ref="G1646" si="620">TRUNC($E1646*F1646,1)</f>
        <v>4514.3</v>
      </c>
      <c r="H1646" s="25">
        <v>0.64</v>
      </c>
      <c r="I1646" s="3">
        <f t="shared" ref="I1646" si="621">TRUNC($E1646*H1646,1)</f>
        <v>5896.3</v>
      </c>
      <c r="J1646" s="25">
        <v>0.67</v>
      </c>
      <c r="K1646" s="3">
        <f t="shared" ref="K1646" si="622">TRUNC($E1646*J1646,1)</f>
        <v>6172.7</v>
      </c>
    </row>
    <row r="1647" spans="2:13" ht="12.95" customHeight="1" x14ac:dyDescent="0.3">
      <c r="B1647" s="42" t="s">
        <v>53</v>
      </c>
      <c r="C1647" s="43" t="s">
        <v>56</v>
      </c>
      <c r="D1647" s="44" t="s">
        <v>15</v>
      </c>
      <c r="E1647" s="45"/>
      <c r="F1647" s="21">
        <v>1</v>
      </c>
      <c r="G1647" s="5">
        <f>TRUNC(SUM(G1650:G1651)*0.02,1)</f>
        <v>889.1</v>
      </c>
      <c r="H1647" s="21">
        <v>1</v>
      </c>
      <c r="I1647" s="5">
        <f>TRUNC(SUM(I1650:I1651)*0.02,1)</f>
        <v>1394.4</v>
      </c>
      <c r="J1647" s="21">
        <v>1</v>
      </c>
      <c r="K1647" s="5">
        <f>TRUNC(SUM(K1650:K1651)*0.02,1)</f>
        <v>1481.3</v>
      </c>
    </row>
    <row r="1648" spans="2:13" ht="12.95" customHeight="1" x14ac:dyDescent="0.3">
      <c r="B1648" s="46" t="s">
        <v>10</v>
      </c>
      <c r="C1648" s="51"/>
      <c r="D1648" s="51"/>
      <c r="E1648" s="22"/>
      <c r="F1648" s="23"/>
      <c r="G1648" s="16">
        <f>TRUNC(SUM(G1646:G1647))</f>
        <v>5403</v>
      </c>
      <c r="H1648" s="23"/>
      <c r="I1648" s="16">
        <f>TRUNC(SUM(I1646:I1647))</f>
        <v>7290</v>
      </c>
      <c r="J1648" s="23"/>
      <c r="K1648" s="16">
        <f>TRUNC(SUM(K1646:K1647))</f>
        <v>7654</v>
      </c>
    </row>
    <row r="1649" spans="2:11" ht="12.95" customHeight="1" x14ac:dyDescent="0.3">
      <c r="B1649" s="50"/>
      <c r="C1649" s="51"/>
      <c r="D1649" s="51"/>
      <c r="E1649" s="22"/>
      <c r="F1649" s="23"/>
      <c r="G1649" s="24"/>
      <c r="H1649" s="23"/>
      <c r="I1649" s="24"/>
      <c r="J1649" s="23"/>
      <c r="K1649" s="24"/>
    </row>
    <row r="1650" spans="2:11" ht="12.95" customHeight="1" x14ac:dyDescent="0.3">
      <c r="B1650" s="52" t="s">
        <v>29</v>
      </c>
      <c r="C1650" s="53"/>
      <c r="D1650" s="54" t="s">
        <v>9</v>
      </c>
      <c r="E1650" s="55">
        <v>262580</v>
      </c>
      <c r="F1650" s="25">
        <v>0.13</v>
      </c>
      <c r="G1650" s="3">
        <f t="shared" ref="G1650:G1652" si="623">TRUNC($E1650*F1650,1)</f>
        <v>34135.4</v>
      </c>
      <c r="H1650" s="25">
        <v>0.2</v>
      </c>
      <c r="I1650" s="3">
        <f t="shared" ref="I1650:I1652" si="624">TRUNC($E1650*H1650,1)</f>
        <v>52516</v>
      </c>
      <c r="J1650" s="25">
        <v>0.21</v>
      </c>
      <c r="K1650" s="3">
        <f t="shared" ref="K1650:K1652" si="625">TRUNC($E1650*J1650,1)</f>
        <v>55141.8</v>
      </c>
    </row>
    <row r="1651" spans="2:11" ht="12.95" customHeight="1" x14ac:dyDescent="0.3">
      <c r="B1651" s="52" t="s">
        <v>1</v>
      </c>
      <c r="C1651" s="53"/>
      <c r="D1651" s="54" t="s">
        <v>9</v>
      </c>
      <c r="E1651" s="57">
        <v>172068</v>
      </c>
      <c r="F1651" s="25">
        <v>0.06</v>
      </c>
      <c r="G1651" s="3">
        <f t="shared" si="623"/>
        <v>10324</v>
      </c>
      <c r="H1651" s="25">
        <v>0.1</v>
      </c>
      <c r="I1651" s="3">
        <f t="shared" si="624"/>
        <v>17206.8</v>
      </c>
      <c r="J1651" s="25">
        <v>0.11</v>
      </c>
      <c r="K1651" s="3">
        <f t="shared" si="625"/>
        <v>18927.400000000001</v>
      </c>
    </row>
    <row r="1652" spans="2:11" ht="12.95" customHeight="1" x14ac:dyDescent="0.3">
      <c r="B1652" s="59" t="s">
        <v>2</v>
      </c>
      <c r="C1652" s="59" t="s">
        <v>14</v>
      </c>
      <c r="D1652" s="61" t="s">
        <v>17</v>
      </c>
      <c r="E1652" s="78">
        <v>49698</v>
      </c>
      <c r="F1652" s="25">
        <v>0.49</v>
      </c>
      <c r="G1652" s="3">
        <f t="shared" si="623"/>
        <v>24352</v>
      </c>
      <c r="H1652" s="25">
        <v>0.64</v>
      </c>
      <c r="I1652" s="3">
        <f t="shared" si="624"/>
        <v>31806.7</v>
      </c>
      <c r="J1652" s="25">
        <v>0.67</v>
      </c>
      <c r="K1652" s="3">
        <f t="shared" si="625"/>
        <v>33297.599999999999</v>
      </c>
    </row>
    <row r="1653" spans="2:11" ht="12.95" customHeight="1" x14ac:dyDescent="0.3">
      <c r="B1653" s="58" t="s">
        <v>11</v>
      </c>
      <c r="C1653" s="51"/>
      <c r="D1653" s="51"/>
      <c r="E1653" s="22"/>
      <c r="F1653" s="23"/>
      <c r="G1653" s="16">
        <f>TRUNC(SUM(G1650:G1652))</f>
        <v>68811</v>
      </c>
      <c r="H1653" s="23"/>
      <c r="I1653" s="16">
        <f>TRUNC(SUM(I1650:I1652))</f>
        <v>101529</v>
      </c>
      <c r="J1653" s="23"/>
      <c r="K1653" s="16">
        <f>TRUNC(SUM(K1650:K1652))</f>
        <v>107366</v>
      </c>
    </row>
    <row r="1654" spans="2:11" ht="12.95" customHeight="1" x14ac:dyDescent="0.3">
      <c r="B1654" s="50"/>
      <c r="C1654" s="51"/>
      <c r="D1654" s="51"/>
      <c r="E1654" s="22"/>
      <c r="F1654" s="23"/>
      <c r="G1654" s="24"/>
      <c r="H1654" s="23"/>
      <c r="I1654" s="24"/>
      <c r="J1654" s="23"/>
      <c r="K1654" s="24"/>
    </row>
    <row r="1655" spans="2:11" ht="12.95" customHeight="1" x14ac:dyDescent="0.3">
      <c r="B1655" s="59" t="s">
        <v>2</v>
      </c>
      <c r="C1655" s="59" t="s">
        <v>14</v>
      </c>
      <c r="D1655" s="61" t="s">
        <v>17</v>
      </c>
      <c r="E1655" s="78">
        <v>11117</v>
      </c>
      <c r="F1655" s="25">
        <v>0.49</v>
      </c>
      <c r="G1655" s="3">
        <f t="shared" ref="G1655" si="626">TRUNC($E1655*F1655,1)</f>
        <v>5447.3</v>
      </c>
      <c r="H1655" s="25">
        <v>0.64</v>
      </c>
      <c r="I1655" s="3">
        <f t="shared" ref="I1655" si="627">TRUNC($E1655*H1655,1)</f>
        <v>7114.8</v>
      </c>
      <c r="J1655" s="25">
        <v>0.67</v>
      </c>
      <c r="K1655" s="3">
        <f t="shared" ref="K1655" si="628">TRUNC($E1655*J1655,1)</f>
        <v>7448.3</v>
      </c>
    </row>
    <row r="1656" spans="2:11" ht="12.95" customHeight="1" x14ac:dyDescent="0.3">
      <c r="B1656" s="46" t="s">
        <v>12</v>
      </c>
      <c r="C1656" s="51"/>
      <c r="D1656" s="51"/>
      <c r="E1656" s="62"/>
      <c r="F1656" s="15"/>
      <c r="G1656" s="16">
        <f>TRUNC(SUM(G1655:G1655))</f>
        <v>5447</v>
      </c>
      <c r="H1656" s="15"/>
      <c r="I1656" s="16">
        <f>TRUNC(SUM(I1655:I1655))</f>
        <v>7114</v>
      </c>
      <c r="J1656" s="15"/>
      <c r="K1656" s="16">
        <f>TRUNC(SUM(K1655:K1655))</f>
        <v>7448</v>
      </c>
    </row>
    <row r="1657" spans="2:11" ht="12.95" customHeight="1" x14ac:dyDescent="0.3">
      <c r="B1657" s="63"/>
      <c r="C1657" s="59"/>
      <c r="D1657" s="59"/>
      <c r="E1657" s="64"/>
      <c r="F1657" s="25"/>
      <c r="G1657" s="27"/>
      <c r="H1657" s="25"/>
      <c r="I1657" s="27"/>
      <c r="J1657" s="25"/>
      <c r="K1657" s="27"/>
    </row>
    <row r="1658" spans="2:11" ht="12.95" customHeight="1" x14ac:dyDescent="0.3">
      <c r="B1658" s="66" t="s">
        <v>13</v>
      </c>
      <c r="C1658" s="76"/>
      <c r="D1658" s="76"/>
      <c r="E1658" s="77"/>
      <c r="F1658" s="77"/>
      <c r="G1658" s="26">
        <f>SUM(G1648+G1653+G1656)</f>
        <v>79661</v>
      </c>
      <c r="H1658" s="77"/>
      <c r="I1658" s="26">
        <f>SUM(I1648+I1653+I1656)</f>
        <v>115933</v>
      </c>
      <c r="J1658" s="77"/>
      <c r="K1658" s="26">
        <f>SUM(K1648+K1653+K1656)</f>
        <v>122468</v>
      </c>
    </row>
    <row r="1659" spans="2:11" ht="12.95" customHeight="1" x14ac:dyDescent="0.3">
      <c r="B1659" s="106" t="s">
        <v>3</v>
      </c>
      <c r="C1659" s="107" t="s">
        <v>7</v>
      </c>
      <c r="D1659" s="108" t="s">
        <v>8</v>
      </c>
      <c r="E1659" s="109" t="s">
        <v>4</v>
      </c>
      <c r="F1659" s="105" t="s">
        <v>37</v>
      </c>
      <c r="G1659" s="95"/>
      <c r="H1659" s="105" t="s">
        <v>39</v>
      </c>
      <c r="I1659" s="95"/>
      <c r="J1659" s="105" t="s">
        <v>40</v>
      </c>
      <c r="K1659" s="95"/>
    </row>
    <row r="1660" spans="2:11" ht="12.95" customHeight="1" x14ac:dyDescent="0.3">
      <c r="B1660" s="106"/>
      <c r="C1660" s="107"/>
      <c r="D1660" s="108"/>
      <c r="E1660" s="109"/>
      <c r="F1660" s="74" t="s">
        <v>5</v>
      </c>
      <c r="G1660" s="75" t="s">
        <v>6</v>
      </c>
      <c r="H1660" s="74" t="s">
        <v>5</v>
      </c>
      <c r="I1660" s="75" t="s">
        <v>6</v>
      </c>
      <c r="J1660" s="74" t="s">
        <v>5</v>
      </c>
      <c r="K1660" s="75" t="s">
        <v>6</v>
      </c>
    </row>
    <row r="1661" spans="2:11" ht="12.95" customHeight="1" x14ac:dyDescent="0.3">
      <c r="B1661" s="59" t="s">
        <v>2</v>
      </c>
      <c r="C1661" s="59" t="s">
        <v>14</v>
      </c>
      <c r="D1661" s="61" t="s">
        <v>17</v>
      </c>
      <c r="E1661" s="78">
        <v>9213</v>
      </c>
      <c r="F1661" s="25">
        <v>0.69</v>
      </c>
      <c r="G1661" s="3">
        <f t="shared" ref="G1661" si="629">TRUNC($E1661*F1661,1)</f>
        <v>6356.9</v>
      </c>
      <c r="H1661" s="25">
        <v>0.72</v>
      </c>
      <c r="I1661" s="3">
        <f t="shared" ref="I1661" si="630">TRUNC($E1661*H1661,1)</f>
        <v>6633.3</v>
      </c>
      <c r="J1661" s="25">
        <v>0.75</v>
      </c>
      <c r="K1661" s="3">
        <f t="shared" ref="K1661" si="631">TRUNC($E1661*J1661,1)</f>
        <v>6909.7</v>
      </c>
    </row>
    <row r="1662" spans="2:11" ht="12.95" customHeight="1" x14ac:dyDescent="0.3">
      <c r="B1662" s="42" t="s">
        <v>53</v>
      </c>
      <c r="C1662" s="43" t="s">
        <v>56</v>
      </c>
      <c r="D1662" s="44" t="s">
        <v>15</v>
      </c>
      <c r="E1662" s="45"/>
      <c r="F1662" s="21">
        <v>1</v>
      </c>
      <c r="G1662" s="5">
        <f>TRUNC(SUM(G1665:G1666)*0.02,1)</f>
        <v>1620.8</v>
      </c>
      <c r="H1662" s="21">
        <v>1</v>
      </c>
      <c r="I1662" s="5">
        <f>TRUNC(SUM(I1665:I1666)*0.02,1)</f>
        <v>2736.3</v>
      </c>
      <c r="J1662" s="21">
        <v>1</v>
      </c>
      <c r="K1662" s="5">
        <f>TRUNC(SUM(K1665:K1666)*0.02,1)</f>
        <v>3573</v>
      </c>
    </row>
    <row r="1663" spans="2:11" ht="12.95" customHeight="1" x14ac:dyDescent="0.3">
      <c r="B1663" s="46" t="s">
        <v>10</v>
      </c>
      <c r="C1663" s="51"/>
      <c r="D1663" s="51"/>
      <c r="E1663" s="22"/>
      <c r="F1663" s="23"/>
      <c r="G1663" s="16">
        <f>TRUNC(SUM(G1661:G1662))</f>
        <v>7977</v>
      </c>
      <c r="H1663" s="23"/>
      <c r="I1663" s="16">
        <f>TRUNC(SUM(I1661:I1662))</f>
        <v>9369</v>
      </c>
      <c r="J1663" s="23"/>
      <c r="K1663" s="16">
        <f>TRUNC(SUM(K1661:K1662))</f>
        <v>10482</v>
      </c>
    </row>
    <row r="1664" spans="2:11" ht="12.95" customHeight="1" x14ac:dyDescent="0.3">
      <c r="B1664" s="50"/>
      <c r="C1664" s="51"/>
      <c r="D1664" s="51"/>
      <c r="E1664" s="22"/>
      <c r="F1664" s="23"/>
      <c r="G1664" s="24"/>
      <c r="H1664" s="23"/>
      <c r="I1664" s="24"/>
      <c r="J1664" s="23"/>
      <c r="K1664" s="24"/>
    </row>
    <row r="1665" spans="2:11" ht="12.95" customHeight="1" x14ac:dyDescent="0.3">
      <c r="B1665" s="52" t="s">
        <v>29</v>
      </c>
      <c r="C1665" s="53"/>
      <c r="D1665" s="54" t="s">
        <v>9</v>
      </c>
      <c r="E1665" s="55">
        <v>262580</v>
      </c>
      <c r="F1665" s="25">
        <v>0.23</v>
      </c>
      <c r="G1665" s="3">
        <f t="shared" ref="G1665:G1667" si="632">TRUNC($E1665*F1665,1)</f>
        <v>60393.4</v>
      </c>
      <c r="H1665" s="25">
        <v>0.39</v>
      </c>
      <c r="I1665" s="3">
        <f t="shared" ref="I1665:I1667" si="633">TRUNC($E1665*H1665,1)</f>
        <v>102406.2</v>
      </c>
      <c r="J1665" s="25">
        <v>0.51</v>
      </c>
      <c r="K1665" s="3">
        <f t="shared" ref="K1665:K1667" si="634">TRUNC($E1665*J1665,1)</f>
        <v>133915.79999999999</v>
      </c>
    </row>
    <row r="1666" spans="2:11" ht="12.95" customHeight="1" x14ac:dyDescent="0.3">
      <c r="B1666" s="52" t="s">
        <v>1</v>
      </c>
      <c r="C1666" s="53"/>
      <c r="D1666" s="54" t="s">
        <v>9</v>
      </c>
      <c r="E1666" s="57">
        <v>172068</v>
      </c>
      <c r="F1666" s="25">
        <v>0.12</v>
      </c>
      <c r="G1666" s="3">
        <f t="shared" si="632"/>
        <v>20648.099999999999</v>
      </c>
      <c r="H1666" s="25">
        <v>0.2</v>
      </c>
      <c r="I1666" s="3">
        <f t="shared" si="633"/>
        <v>34413.599999999999</v>
      </c>
      <c r="J1666" s="25">
        <v>0.26</v>
      </c>
      <c r="K1666" s="3">
        <f t="shared" si="634"/>
        <v>44737.599999999999</v>
      </c>
    </row>
    <row r="1667" spans="2:11" ht="12.95" customHeight="1" x14ac:dyDescent="0.3">
      <c r="B1667" s="59" t="s">
        <v>2</v>
      </c>
      <c r="C1667" s="59" t="s">
        <v>14</v>
      </c>
      <c r="D1667" s="61" t="s">
        <v>17</v>
      </c>
      <c r="E1667" s="78">
        <v>49698</v>
      </c>
      <c r="F1667" s="25">
        <v>0.69</v>
      </c>
      <c r="G1667" s="3">
        <f t="shared" si="632"/>
        <v>34291.599999999999</v>
      </c>
      <c r="H1667" s="25">
        <v>0.72</v>
      </c>
      <c r="I1667" s="3">
        <f t="shared" si="633"/>
        <v>35782.5</v>
      </c>
      <c r="J1667" s="25">
        <v>0.75</v>
      </c>
      <c r="K1667" s="3">
        <f t="shared" si="634"/>
        <v>37273.5</v>
      </c>
    </row>
    <row r="1668" spans="2:11" ht="12.95" customHeight="1" x14ac:dyDescent="0.3">
      <c r="B1668" s="58" t="s">
        <v>11</v>
      </c>
      <c r="C1668" s="51"/>
      <c r="D1668" s="51"/>
      <c r="E1668" s="22"/>
      <c r="F1668" s="23"/>
      <c r="G1668" s="16">
        <f>TRUNC(SUM(G1665:G1667))</f>
        <v>115333</v>
      </c>
      <c r="H1668" s="23"/>
      <c r="I1668" s="16">
        <f>TRUNC(SUM(I1665:I1667))</f>
        <v>172602</v>
      </c>
      <c r="J1668" s="23"/>
      <c r="K1668" s="16">
        <f>TRUNC(SUM(K1665:K1667))</f>
        <v>215926</v>
      </c>
    </row>
    <row r="1669" spans="2:11" ht="12.95" customHeight="1" x14ac:dyDescent="0.3">
      <c r="B1669" s="50"/>
      <c r="C1669" s="51"/>
      <c r="D1669" s="51"/>
      <c r="E1669" s="22"/>
      <c r="F1669" s="23"/>
      <c r="G1669" s="24"/>
      <c r="H1669" s="23"/>
      <c r="I1669" s="24"/>
      <c r="J1669" s="23"/>
      <c r="K1669" s="24"/>
    </row>
    <row r="1670" spans="2:11" ht="12.95" customHeight="1" x14ac:dyDescent="0.3">
      <c r="B1670" s="59" t="s">
        <v>2</v>
      </c>
      <c r="C1670" s="59" t="s">
        <v>14</v>
      </c>
      <c r="D1670" s="61" t="s">
        <v>17</v>
      </c>
      <c r="E1670" s="78">
        <v>11117</v>
      </c>
      <c r="F1670" s="25">
        <v>0.69</v>
      </c>
      <c r="G1670" s="3">
        <f t="shared" ref="G1670" si="635">TRUNC($E1670*F1670,1)</f>
        <v>7670.7</v>
      </c>
      <c r="H1670" s="25">
        <v>0.72</v>
      </c>
      <c r="I1670" s="3">
        <f t="shared" ref="I1670" si="636">TRUNC($E1670*H1670,1)</f>
        <v>8004.2</v>
      </c>
      <c r="J1670" s="25">
        <v>0.75</v>
      </c>
      <c r="K1670" s="3">
        <f t="shared" ref="K1670" si="637">TRUNC($E1670*J1670,1)</f>
        <v>8337.7000000000007</v>
      </c>
    </row>
    <row r="1671" spans="2:11" ht="12.95" customHeight="1" x14ac:dyDescent="0.3">
      <c r="B1671" s="46" t="s">
        <v>12</v>
      </c>
      <c r="C1671" s="51"/>
      <c r="D1671" s="51"/>
      <c r="E1671" s="62"/>
      <c r="F1671" s="15"/>
      <c r="G1671" s="16">
        <f>TRUNC(SUM(G1670:G1670))</f>
        <v>7670</v>
      </c>
      <c r="H1671" s="15"/>
      <c r="I1671" s="16">
        <f>TRUNC(SUM(I1670:I1670))</f>
        <v>8004</v>
      </c>
      <c r="J1671" s="15"/>
      <c r="K1671" s="16">
        <f>TRUNC(SUM(K1670:K1670))</f>
        <v>8337</v>
      </c>
    </row>
    <row r="1672" spans="2:11" ht="12.95" customHeight="1" x14ac:dyDescent="0.3">
      <c r="B1672" s="63"/>
      <c r="C1672" s="59"/>
      <c r="D1672" s="59"/>
      <c r="E1672" s="64"/>
      <c r="F1672" s="25"/>
      <c r="G1672" s="27"/>
      <c r="H1672" s="25"/>
      <c r="I1672" s="27"/>
      <c r="J1672" s="25"/>
      <c r="K1672" s="27"/>
    </row>
    <row r="1673" spans="2:11" ht="12.95" customHeight="1" x14ac:dyDescent="0.3">
      <c r="B1673" s="66" t="s">
        <v>13</v>
      </c>
      <c r="C1673" s="76"/>
      <c r="D1673" s="76"/>
      <c r="E1673" s="77"/>
      <c r="F1673" s="77"/>
      <c r="G1673" s="26">
        <f>SUM(G1663+G1668+G1671)</f>
        <v>130980</v>
      </c>
      <c r="H1673" s="77"/>
      <c r="I1673" s="26">
        <f>SUM(I1663+I1668+I1671)</f>
        <v>189975</v>
      </c>
      <c r="J1673" s="77"/>
      <c r="K1673" s="26">
        <f>SUM(K1663+K1668+K1671)</f>
        <v>234745</v>
      </c>
    </row>
    <row r="1674" spans="2:11" ht="12.95" customHeight="1" x14ac:dyDescent="0.3">
      <c r="B1674" s="106" t="s">
        <v>3</v>
      </c>
      <c r="C1674" s="107" t="s">
        <v>7</v>
      </c>
      <c r="D1674" s="108" t="s">
        <v>8</v>
      </c>
      <c r="E1674" s="109" t="s">
        <v>4</v>
      </c>
      <c r="F1674" s="105" t="s">
        <v>41</v>
      </c>
      <c r="G1674" s="95"/>
      <c r="H1674" s="105" t="s">
        <v>43</v>
      </c>
      <c r="I1674" s="95"/>
      <c r="J1674" s="105" t="s">
        <v>44</v>
      </c>
      <c r="K1674" s="95"/>
    </row>
    <row r="1675" spans="2:11" ht="12.95" customHeight="1" x14ac:dyDescent="0.3">
      <c r="B1675" s="106"/>
      <c r="C1675" s="107"/>
      <c r="D1675" s="108"/>
      <c r="E1675" s="109"/>
      <c r="F1675" s="74" t="s">
        <v>5</v>
      </c>
      <c r="G1675" s="75" t="s">
        <v>6</v>
      </c>
      <c r="H1675" s="74" t="s">
        <v>5</v>
      </c>
      <c r="I1675" s="75" t="s">
        <v>6</v>
      </c>
      <c r="J1675" s="74" t="s">
        <v>5</v>
      </c>
      <c r="K1675" s="75" t="s">
        <v>6</v>
      </c>
    </row>
    <row r="1676" spans="2:11" ht="12.95" customHeight="1" x14ac:dyDescent="0.3">
      <c r="B1676" s="59" t="s">
        <v>2</v>
      </c>
      <c r="C1676" s="59" t="s">
        <v>14</v>
      </c>
      <c r="D1676" s="61" t="s">
        <v>17</v>
      </c>
      <c r="E1676" s="78">
        <v>9213</v>
      </c>
      <c r="F1676" s="25">
        <v>0.78</v>
      </c>
      <c r="G1676" s="3">
        <f t="shared" ref="G1676" si="638">TRUNC($E1676*F1676,1)</f>
        <v>7186.1</v>
      </c>
      <c r="H1676" s="25">
        <v>0.81</v>
      </c>
      <c r="I1676" s="3">
        <f t="shared" ref="I1676" si="639">TRUNC($E1676*H1676,1)</f>
        <v>7462.5</v>
      </c>
      <c r="J1676" s="25">
        <v>0.88</v>
      </c>
      <c r="K1676" s="3">
        <f t="shared" ref="K1676" si="640">TRUNC($E1676*J1676,1)</f>
        <v>8107.4</v>
      </c>
    </row>
    <row r="1677" spans="2:11" ht="12.95" customHeight="1" x14ac:dyDescent="0.3">
      <c r="B1677" s="42" t="s">
        <v>53</v>
      </c>
      <c r="C1677" s="43" t="s">
        <v>56</v>
      </c>
      <c r="D1677" s="44" t="s">
        <v>15</v>
      </c>
      <c r="E1677" s="45"/>
      <c r="F1677" s="21">
        <v>1</v>
      </c>
      <c r="G1677" s="5">
        <f>TRUNC(SUM(G1680:G1681)*0.02,1)</f>
        <v>4409.7</v>
      </c>
      <c r="H1677" s="21">
        <v>1</v>
      </c>
      <c r="I1677" s="5">
        <f>TRUNC(SUM(I1680:I1681)*0.02,1)</f>
        <v>5106.8999999999996</v>
      </c>
      <c r="J1677" s="21">
        <v>1</v>
      </c>
      <c r="K1677" s="5">
        <f>TRUNC(SUM(K1680:K1681)*0.02,1)</f>
        <v>6361.9</v>
      </c>
    </row>
    <row r="1678" spans="2:11" ht="12.95" customHeight="1" x14ac:dyDescent="0.3">
      <c r="B1678" s="46" t="s">
        <v>10</v>
      </c>
      <c r="C1678" s="51"/>
      <c r="D1678" s="51"/>
      <c r="E1678" s="22"/>
      <c r="F1678" s="23"/>
      <c r="G1678" s="16">
        <f>TRUNC(SUM(G1676:G1677))</f>
        <v>11595</v>
      </c>
      <c r="H1678" s="23"/>
      <c r="I1678" s="16">
        <f>TRUNC(SUM(I1676:I1677))</f>
        <v>12569</v>
      </c>
      <c r="J1678" s="23"/>
      <c r="K1678" s="16">
        <f>TRUNC(SUM(K1676:K1677))</f>
        <v>14469</v>
      </c>
    </row>
    <row r="1679" spans="2:11" ht="12.95" customHeight="1" x14ac:dyDescent="0.3">
      <c r="B1679" s="50"/>
      <c r="C1679" s="51"/>
      <c r="D1679" s="51"/>
      <c r="E1679" s="22"/>
      <c r="F1679" s="23"/>
      <c r="G1679" s="24"/>
      <c r="H1679" s="23"/>
      <c r="I1679" s="24"/>
      <c r="J1679" s="23"/>
      <c r="K1679" s="24"/>
    </row>
    <row r="1680" spans="2:11" ht="12.95" customHeight="1" x14ac:dyDescent="0.3">
      <c r="B1680" s="52" t="s">
        <v>29</v>
      </c>
      <c r="C1680" s="53"/>
      <c r="D1680" s="54" t="s">
        <v>9</v>
      </c>
      <c r="E1680" s="55">
        <v>262580</v>
      </c>
      <c r="F1680" s="25">
        <v>0.63</v>
      </c>
      <c r="G1680" s="3">
        <f t="shared" ref="G1680:G1682" si="641">TRUNC($E1680*F1680,1)</f>
        <v>165425.4</v>
      </c>
      <c r="H1680" s="25">
        <v>0.73</v>
      </c>
      <c r="I1680" s="3">
        <f t="shared" ref="I1680:I1682" si="642">TRUNC($E1680*H1680,1)</f>
        <v>191683.4</v>
      </c>
      <c r="J1680" s="25">
        <v>0.91</v>
      </c>
      <c r="K1680" s="3">
        <f t="shared" ref="K1680:K1682" si="643">TRUNC($E1680*J1680,1)</f>
        <v>238947.8</v>
      </c>
    </row>
    <row r="1681" spans="2:11" ht="12.95" customHeight="1" x14ac:dyDescent="0.3">
      <c r="B1681" s="52" t="s">
        <v>1</v>
      </c>
      <c r="C1681" s="53"/>
      <c r="D1681" s="54" t="s">
        <v>9</v>
      </c>
      <c r="E1681" s="57">
        <v>172068</v>
      </c>
      <c r="F1681" s="25">
        <v>0.32</v>
      </c>
      <c r="G1681" s="3">
        <f t="shared" si="641"/>
        <v>55061.7</v>
      </c>
      <c r="H1681" s="25">
        <v>0.37</v>
      </c>
      <c r="I1681" s="3">
        <f t="shared" si="642"/>
        <v>63665.1</v>
      </c>
      <c r="J1681" s="25">
        <v>0.46</v>
      </c>
      <c r="K1681" s="3">
        <f t="shared" si="643"/>
        <v>79151.199999999997</v>
      </c>
    </row>
    <row r="1682" spans="2:11" ht="12.95" customHeight="1" x14ac:dyDescent="0.3">
      <c r="B1682" s="59" t="s">
        <v>2</v>
      </c>
      <c r="C1682" s="59" t="s">
        <v>14</v>
      </c>
      <c r="D1682" s="61" t="s">
        <v>17</v>
      </c>
      <c r="E1682" s="78">
        <v>49698</v>
      </c>
      <c r="F1682" s="25">
        <v>0.78</v>
      </c>
      <c r="G1682" s="3">
        <f t="shared" si="641"/>
        <v>38764.400000000001</v>
      </c>
      <c r="H1682" s="25">
        <v>0.81</v>
      </c>
      <c r="I1682" s="3">
        <f t="shared" si="642"/>
        <v>40255.300000000003</v>
      </c>
      <c r="J1682" s="25">
        <v>0.88</v>
      </c>
      <c r="K1682" s="3">
        <f t="shared" si="643"/>
        <v>43734.2</v>
      </c>
    </row>
    <row r="1683" spans="2:11" ht="12.95" customHeight="1" x14ac:dyDescent="0.3">
      <c r="B1683" s="58" t="s">
        <v>11</v>
      </c>
      <c r="C1683" s="51"/>
      <c r="D1683" s="51"/>
      <c r="E1683" s="22"/>
      <c r="F1683" s="23"/>
      <c r="G1683" s="16">
        <f>TRUNC(SUM(G1680:G1682))</f>
        <v>259251</v>
      </c>
      <c r="H1683" s="23"/>
      <c r="I1683" s="16">
        <f>TRUNC(SUM(I1680:I1682))</f>
        <v>295603</v>
      </c>
      <c r="J1683" s="23"/>
      <c r="K1683" s="16">
        <f>TRUNC(SUM(K1680:K1682))</f>
        <v>361833</v>
      </c>
    </row>
    <row r="1684" spans="2:11" ht="12.95" customHeight="1" x14ac:dyDescent="0.3">
      <c r="B1684" s="50"/>
      <c r="C1684" s="51"/>
      <c r="D1684" s="51"/>
      <c r="E1684" s="22"/>
      <c r="F1684" s="23"/>
      <c r="G1684" s="24"/>
      <c r="H1684" s="23"/>
      <c r="I1684" s="24"/>
      <c r="J1684" s="23"/>
      <c r="K1684" s="24"/>
    </row>
    <row r="1685" spans="2:11" ht="12.95" customHeight="1" x14ac:dyDescent="0.3">
      <c r="B1685" s="59" t="s">
        <v>2</v>
      </c>
      <c r="C1685" s="59" t="s">
        <v>14</v>
      </c>
      <c r="D1685" s="61" t="s">
        <v>17</v>
      </c>
      <c r="E1685" s="78">
        <v>11117</v>
      </c>
      <c r="F1685" s="25">
        <v>0.78</v>
      </c>
      <c r="G1685" s="3">
        <f t="shared" ref="G1685" si="644">TRUNC($E1685*F1685,1)</f>
        <v>8671.2000000000007</v>
      </c>
      <c r="H1685" s="25">
        <v>0.81</v>
      </c>
      <c r="I1685" s="3">
        <f t="shared" ref="I1685" si="645">TRUNC($E1685*H1685,1)</f>
        <v>9004.7000000000007</v>
      </c>
      <c r="J1685" s="25">
        <v>0.88</v>
      </c>
      <c r="K1685" s="3">
        <f t="shared" ref="K1685" si="646">TRUNC($E1685*J1685,1)</f>
        <v>9782.9</v>
      </c>
    </row>
    <row r="1686" spans="2:11" ht="12.95" customHeight="1" x14ac:dyDescent="0.3">
      <c r="B1686" s="46" t="s">
        <v>12</v>
      </c>
      <c r="C1686" s="51"/>
      <c r="D1686" s="51"/>
      <c r="E1686" s="62"/>
      <c r="F1686" s="15"/>
      <c r="G1686" s="16">
        <f>TRUNC(SUM(G1685:G1685))</f>
        <v>8671</v>
      </c>
      <c r="H1686" s="15"/>
      <c r="I1686" s="16">
        <f>TRUNC(SUM(I1685:I1685))</f>
        <v>9004</v>
      </c>
      <c r="J1686" s="15"/>
      <c r="K1686" s="16">
        <f>TRUNC(SUM(K1685:K1685))</f>
        <v>9782</v>
      </c>
    </row>
    <row r="1687" spans="2:11" ht="12.95" customHeight="1" x14ac:dyDescent="0.3">
      <c r="B1687" s="63"/>
      <c r="C1687" s="59"/>
      <c r="D1687" s="59"/>
      <c r="E1687" s="64"/>
      <c r="F1687" s="25"/>
      <c r="G1687" s="27"/>
      <c r="H1687" s="25"/>
      <c r="I1687" s="27"/>
      <c r="J1687" s="25"/>
      <c r="K1687" s="27"/>
    </row>
    <row r="1688" spans="2:11" ht="12.95" customHeight="1" x14ac:dyDescent="0.3">
      <c r="B1688" s="66" t="s">
        <v>13</v>
      </c>
      <c r="C1688" s="76"/>
      <c r="D1688" s="76"/>
      <c r="E1688" s="77"/>
      <c r="F1688" s="77"/>
      <c r="G1688" s="26">
        <f>SUM(G1678+G1683+G1686)</f>
        <v>279517</v>
      </c>
      <c r="H1688" s="77"/>
      <c r="I1688" s="26">
        <f>SUM(I1678+I1683+I1686)</f>
        <v>317176</v>
      </c>
      <c r="J1688" s="77"/>
      <c r="K1688" s="26">
        <f>SUM(K1678+K1683+K1686)</f>
        <v>386084</v>
      </c>
    </row>
    <row r="1689" spans="2:11" ht="12.95" customHeight="1" x14ac:dyDescent="0.3">
      <c r="B1689" s="106" t="s">
        <v>3</v>
      </c>
      <c r="C1689" s="107" t="s">
        <v>7</v>
      </c>
      <c r="D1689" s="108" t="s">
        <v>8</v>
      </c>
      <c r="E1689" s="109" t="s">
        <v>4</v>
      </c>
      <c r="F1689" s="105" t="s">
        <v>46</v>
      </c>
      <c r="G1689" s="95"/>
      <c r="H1689" s="105" t="s">
        <v>48</v>
      </c>
      <c r="I1689" s="95"/>
    </row>
    <row r="1690" spans="2:11" ht="12.95" customHeight="1" x14ac:dyDescent="0.3">
      <c r="B1690" s="106"/>
      <c r="C1690" s="107"/>
      <c r="D1690" s="108"/>
      <c r="E1690" s="109"/>
      <c r="F1690" s="74" t="s">
        <v>5</v>
      </c>
      <c r="G1690" s="75" t="s">
        <v>6</v>
      </c>
      <c r="H1690" s="74" t="s">
        <v>5</v>
      </c>
      <c r="I1690" s="75" t="s">
        <v>6</v>
      </c>
    </row>
    <row r="1691" spans="2:11" ht="12.95" customHeight="1" x14ac:dyDescent="0.3">
      <c r="B1691" s="59" t="s">
        <v>2</v>
      </c>
      <c r="C1691" s="59" t="s">
        <v>33</v>
      </c>
      <c r="D1691" s="61" t="s">
        <v>17</v>
      </c>
      <c r="E1691" s="17">
        <v>18607</v>
      </c>
      <c r="F1691" s="25">
        <v>0.93</v>
      </c>
      <c r="G1691" s="3">
        <f t="shared" ref="G1691" si="647">TRUNC($E1691*F1691,1)</f>
        <v>17304.5</v>
      </c>
      <c r="H1691" s="25">
        <v>1.02</v>
      </c>
      <c r="I1691" s="3">
        <f t="shared" ref="I1691" si="648">TRUNC($E1691*H1691,1)</f>
        <v>18979.099999999999</v>
      </c>
    </row>
    <row r="1692" spans="2:11" ht="12.95" customHeight="1" x14ac:dyDescent="0.3">
      <c r="B1692" s="42" t="s">
        <v>53</v>
      </c>
      <c r="C1692" s="43" t="s">
        <v>56</v>
      </c>
      <c r="D1692" s="44" t="s">
        <v>15</v>
      </c>
      <c r="E1692" s="45"/>
      <c r="F1692" s="21">
        <v>1</v>
      </c>
      <c r="G1692" s="5">
        <f>TRUNC(SUM(G1695:G1696)*0.02,1)</f>
        <v>7390.6</v>
      </c>
      <c r="H1692" s="21">
        <v>1</v>
      </c>
      <c r="I1692" s="5">
        <f>TRUNC(SUM(I1695:I1696)*0.02,1)</f>
        <v>8366.7000000000007</v>
      </c>
    </row>
    <row r="1693" spans="2:11" ht="12.95" customHeight="1" x14ac:dyDescent="0.3">
      <c r="B1693" s="46" t="s">
        <v>10</v>
      </c>
      <c r="C1693" s="51"/>
      <c r="D1693" s="51"/>
      <c r="E1693" s="22"/>
      <c r="F1693" s="23"/>
      <c r="G1693" s="16">
        <f>TRUNC(SUM(G1691:G1692))</f>
        <v>24695</v>
      </c>
      <c r="H1693" s="23"/>
      <c r="I1693" s="16">
        <f>TRUNC(SUM(I1691:I1692))</f>
        <v>27345</v>
      </c>
    </row>
    <row r="1694" spans="2:11" ht="12.95" customHeight="1" x14ac:dyDescent="0.3">
      <c r="B1694" s="50"/>
      <c r="C1694" s="51"/>
      <c r="D1694" s="51"/>
      <c r="E1694" s="22"/>
      <c r="F1694" s="23"/>
      <c r="G1694" s="24"/>
      <c r="H1694" s="23"/>
      <c r="I1694" s="24"/>
    </row>
    <row r="1695" spans="2:11" ht="12.95" customHeight="1" x14ac:dyDescent="0.3">
      <c r="B1695" s="52" t="s">
        <v>29</v>
      </c>
      <c r="C1695" s="53"/>
      <c r="D1695" s="54" t="s">
        <v>9</v>
      </c>
      <c r="E1695" s="55">
        <v>262580</v>
      </c>
      <c r="F1695" s="25">
        <v>1.06</v>
      </c>
      <c r="G1695" s="3">
        <f t="shared" ref="G1695:G1697" si="649">TRUNC($E1695*F1695,1)</f>
        <v>278334.8</v>
      </c>
      <c r="H1695" s="25">
        <v>1.2</v>
      </c>
      <c r="I1695" s="3">
        <f t="shared" ref="I1695:I1697" si="650">TRUNC($E1695*H1695,1)</f>
        <v>315096</v>
      </c>
    </row>
    <row r="1696" spans="2:11" ht="12.95" customHeight="1" x14ac:dyDescent="0.3">
      <c r="B1696" s="52" t="s">
        <v>1</v>
      </c>
      <c r="C1696" s="53"/>
      <c r="D1696" s="54" t="s">
        <v>9</v>
      </c>
      <c r="E1696" s="57">
        <v>172068</v>
      </c>
      <c r="F1696" s="25">
        <v>0.53</v>
      </c>
      <c r="G1696" s="3">
        <f t="shared" si="649"/>
        <v>91196</v>
      </c>
      <c r="H1696" s="25">
        <v>0.6</v>
      </c>
      <c r="I1696" s="3">
        <f t="shared" si="650"/>
        <v>103240.8</v>
      </c>
    </row>
    <row r="1697" spans="2:11" ht="12.95" customHeight="1" x14ac:dyDescent="0.3">
      <c r="B1697" s="59" t="s">
        <v>2</v>
      </c>
      <c r="C1697" s="59" t="s">
        <v>33</v>
      </c>
      <c r="D1697" s="61" t="s">
        <v>17</v>
      </c>
      <c r="E1697" s="17">
        <v>49698</v>
      </c>
      <c r="F1697" s="25">
        <v>0.93</v>
      </c>
      <c r="G1697" s="3">
        <f t="shared" si="649"/>
        <v>46219.1</v>
      </c>
      <c r="H1697" s="25">
        <v>1.02</v>
      </c>
      <c r="I1697" s="3">
        <f t="shared" si="650"/>
        <v>50691.9</v>
      </c>
    </row>
    <row r="1698" spans="2:11" ht="12.95" customHeight="1" x14ac:dyDescent="0.3">
      <c r="B1698" s="58" t="s">
        <v>11</v>
      </c>
      <c r="C1698" s="51"/>
      <c r="D1698" s="51"/>
      <c r="E1698" s="22"/>
      <c r="F1698" s="23"/>
      <c r="G1698" s="16">
        <f>TRUNC(SUM(G1695:G1697))</f>
        <v>415749</v>
      </c>
      <c r="H1698" s="23"/>
      <c r="I1698" s="16">
        <f>TRUNC(SUM(I1695:I1697))</f>
        <v>469028</v>
      </c>
    </row>
    <row r="1699" spans="2:11" ht="12.95" customHeight="1" x14ac:dyDescent="0.3">
      <c r="B1699" s="50"/>
      <c r="C1699" s="51"/>
      <c r="D1699" s="51"/>
      <c r="E1699" s="22"/>
      <c r="F1699" s="23"/>
      <c r="G1699" s="24"/>
      <c r="H1699" s="23"/>
      <c r="I1699" s="24"/>
    </row>
    <row r="1700" spans="2:11" ht="12.95" customHeight="1" x14ac:dyDescent="0.3">
      <c r="B1700" s="59" t="s">
        <v>2</v>
      </c>
      <c r="C1700" s="59" t="s">
        <v>33</v>
      </c>
      <c r="D1700" s="61" t="s">
        <v>17</v>
      </c>
      <c r="E1700" s="17">
        <v>23795</v>
      </c>
      <c r="F1700" s="25">
        <v>0.93</v>
      </c>
      <c r="G1700" s="3">
        <f t="shared" ref="G1700" si="651">TRUNC($E1700*F1700,1)</f>
        <v>22129.3</v>
      </c>
      <c r="H1700" s="25">
        <v>1.02</v>
      </c>
      <c r="I1700" s="3">
        <f t="shared" ref="I1700" si="652">TRUNC($E1700*H1700,1)</f>
        <v>24270.9</v>
      </c>
    </row>
    <row r="1701" spans="2:11" ht="12.95" customHeight="1" x14ac:dyDescent="0.3">
      <c r="B1701" s="46" t="s">
        <v>12</v>
      </c>
      <c r="C1701" s="51"/>
      <c r="D1701" s="51"/>
      <c r="E1701" s="62"/>
      <c r="F1701" s="15"/>
      <c r="G1701" s="16">
        <f>TRUNC(SUM(G1700:G1700))</f>
        <v>22129</v>
      </c>
      <c r="H1701" s="15"/>
      <c r="I1701" s="16">
        <f>TRUNC(SUM(I1700:I1700))</f>
        <v>24270</v>
      </c>
      <c r="K1701" s="9"/>
    </row>
    <row r="1702" spans="2:11" ht="12.95" customHeight="1" x14ac:dyDescent="0.3">
      <c r="B1702" s="63"/>
      <c r="C1702" s="59"/>
      <c r="D1702" s="59"/>
      <c r="E1702" s="64"/>
      <c r="F1702" s="25"/>
      <c r="G1702" s="27"/>
      <c r="H1702" s="25"/>
      <c r="I1702" s="27"/>
      <c r="J1702" s="9"/>
      <c r="K1702" s="9"/>
    </row>
    <row r="1703" spans="2:11" ht="12.95" customHeight="1" x14ac:dyDescent="0.3">
      <c r="B1703" s="66" t="s">
        <v>13</v>
      </c>
      <c r="C1703" s="76"/>
      <c r="D1703" s="76"/>
      <c r="E1703" s="77"/>
      <c r="F1703" s="77"/>
      <c r="G1703" s="26">
        <f>SUM(G1693+G1698+G1701)</f>
        <v>462573</v>
      </c>
      <c r="H1703" s="77"/>
      <c r="I1703" s="26">
        <f>SUM(I1693+I1698+I1701)</f>
        <v>520643</v>
      </c>
      <c r="J1703" s="9"/>
    </row>
    <row r="1704" spans="2:11" ht="12.95" customHeight="1" x14ac:dyDescent="0.3">
      <c r="B1704" s="106" t="s">
        <v>3</v>
      </c>
      <c r="C1704" s="107" t="s">
        <v>7</v>
      </c>
      <c r="D1704" s="108" t="s">
        <v>8</v>
      </c>
      <c r="E1704" s="109" t="s">
        <v>4</v>
      </c>
      <c r="F1704" s="105" t="s">
        <v>49</v>
      </c>
      <c r="G1704" s="95"/>
      <c r="H1704" s="105" t="s">
        <v>50</v>
      </c>
      <c r="I1704" s="95"/>
      <c r="J1704" s="105" t="s">
        <v>51</v>
      </c>
      <c r="K1704" s="95"/>
    </row>
    <row r="1705" spans="2:11" ht="12.95" customHeight="1" x14ac:dyDescent="0.3">
      <c r="B1705" s="106"/>
      <c r="C1705" s="107"/>
      <c r="D1705" s="108"/>
      <c r="E1705" s="109"/>
      <c r="F1705" s="74" t="s">
        <v>5</v>
      </c>
      <c r="G1705" s="75" t="s">
        <v>6</v>
      </c>
      <c r="H1705" s="74" t="s">
        <v>5</v>
      </c>
      <c r="I1705" s="75" t="s">
        <v>6</v>
      </c>
      <c r="J1705" s="74" t="s">
        <v>5</v>
      </c>
      <c r="K1705" s="75" t="s">
        <v>6</v>
      </c>
    </row>
    <row r="1706" spans="2:11" ht="12.95" customHeight="1" x14ac:dyDescent="0.3">
      <c r="B1706" s="59" t="s">
        <v>2</v>
      </c>
      <c r="C1706" s="59" t="s">
        <v>45</v>
      </c>
      <c r="D1706" s="61" t="s">
        <v>17</v>
      </c>
      <c r="E1706" s="17">
        <v>19871</v>
      </c>
      <c r="F1706" s="25">
        <v>1.1100000000000001</v>
      </c>
      <c r="G1706" s="3">
        <f t="shared" ref="G1706" si="653">TRUNC($E1706*F1706,1)</f>
        <v>22056.799999999999</v>
      </c>
      <c r="H1706" s="25">
        <v>1.1399999999999999</v>
      </c>
      <c r="I1706" s="3">
        <f t="shared" ref="I1706" si="654">TRUNC($E1706*H1706,1)</f>
        <v>22652.9</v>
      </c>
      <c r="J1706" s="25">
        <v>1.32</v>
      </c>
      <c r="K1706" s="3">
        <f t="shared" ref="K1706" si="655">TRUNC($E1706*J1706,1)</f>
        <v>26229.7</v>
      </c>
    </row>
    <row r="1707" spans="2:11" ht="12.95" customHeight="1" x14ac:dyDescent="0.3">
      <c r="B1707" s="42" t="s">
        <v>53</v>
      </c>
      <c r="C1707" s="43" t="s">
        <v>56</v>
      </c>
      <c r="D1707" s="44" t="s">
        <v>15</v>
      </c>
      <c r="E1707" s="45"/>
      <c r="F1707" s="21">
        <v>1</v>
      </c>
      <c r="G1707" s="5">
        <f>TRUNC(SUM(G1710:G1711)*0.02,1)</f>
        <v>9150.7999999999993</v>
      </c>
      <c r="H1707" s="21">
        <v>1</v>
      </c>
      <c r="I1707" s="5">
        <f>TRUNC(SUM(I1710:I1711)*0.02,1)</f>
        <v>9848.1</v>
      </c>
      <c r="J1707" s="21">
        <v>1</v>
      </c>
      <c r="K1707" s="5">
        <f>TRUNC(SUM(K1710:K1711)*0.02,1)</f>
        <v>10545.3</v>
      </c>
    </row>
    <row r="1708" spans="2:11" ht="12.95" customHeight="1" x14ac:dyDescent="0.3">
      <c r="B1708" s="46" t="s">
        <v>10</v>
      </c>
      <c r="C1708" s="51"/>
      <c r="D1708" s="51"/>
      <c r="E1708" s="22"/>
      <c r="F1708" s="23"/>
      <c r="G1708" s="16">
        <f>TRUNC(SUM(G1706:G1707))</f>
        <v>31207</v>
      </c>
      <c r="H1708" s="23"/>
      <c r="I1708" s="16">
        <f>TRUNC(SUM(I1706:I1707))</f>
        <v>32501</v>
      </c>
      <c r="J1708" s="23"/>
      <c r="K1708" s="16">
        <f>TRUNC(SUM(K1706:K1707))</f>
        <v>36775</v>
      </c>
    </row>
    <row r="1709" spans="2:11" ht="12.95" customHeight="1" x14ac:dyDescent="0.3">
      <c r="B1709" s="50"/>
      <c r="C1709" s="51"/>
      <c r="D1709" s="51"/>
      <c r="E1709" s="22"/>
      <c r="F1709" s="23"/>
      <c r="G1709" s="24"/>
      <c r="H1709" s="23"/>
      <c r="I1709" s="24"/>
      <c r="J1709" s="23"/>
      <c r="K1709" s="24"/>
    </row>
    <row r="1710" spans="2:11" ht="12.95" customHeight="1" x14ac:dyDescent="0.3">
      <c r="B1710" s="52" t="s">
        <v>29</v>
      </c>
      <c r="C1710" s="53"/>
      <c r="D1710" s="54" t="s">
        <v>9</v>
      </c>
      <c r="E1710" s="55">
        <v>262580</v>
      </c>
      <c r="F1710" s="25">
        <v>1.31</v>
      </c>
      <c r="G1710" s="3">
        <f t="shared" ref="G1710:G1712" si="656">TRUNC($E1710*F1710,1)</f>
        <v>343979.8</v>
      </c>
      <c r="H1710" s="25">
        <v>1.41</v>
      </c>
      <c r="I1710" s="3">
        <f t="shared" ref="I1710:I1712" si="657">TRUNC($E1710*H1710,1)</f>
        <v>370237.8</v>
      </c>
      <c r="J1710" s="25">
        <v>1.51</v>
      </c>
      <c r="K1710" s="3">
        <f t="shared" ref="K1710:K1712" si="658">TRUNC($E1710*J1710,1)</f>
        <v>396495.8</v>
      </c>
    </row>
    <row r="1711" spans="2:11" ht="12.95" customHeight="1" x14ac:dyDescent="0.3">
      <c r="B1711" s="52" t="s">
        <v>1</v>
      </c>
      <c r="C1711" s="53"/>
      <c r="D1711" s="54" t="s">
        <v>9</v>
      </c>
      <c r="E1711" s="57">
        <v>172068</v>
      </c>
      <c r="F1711" s="25">
        <v>0.66</v>
      </c>
      <c r="G1711" s="3">
        <f t="shared" si="656"/>
        <v>113564.8</v>
      </c>
      <c r="H1711" s="25">
        <v>0.71</v>
      </c>
      <c r="I1711" s="3">
        <f t="shared" si="657"/>
        <v>122168.2</v>
      </c>
      <c r="J1711" s="25">
        <v>0.76</v>
      </c>
      <c r="K1711" s="3">
        <f t="shared" si="658"/>
        <v>130771.6</v>
      </c>
    </row>
    <row r="1712" spans="2:11" ht="12.95" customHeight="1" x14ac:dyDescent="0.3">
      <c r="B1712" s="59" t="s">
        <v>2</v>
      </c>
      <c r="C1712" s="59" t="s">
        <v>45</v>
      </c>
      <c r="D1712" s="61" t="s">
        <v>17</v>
      </c>
      <c r="E1712" s="17">
        <v>49698</v>
      </c>
      <c r="F1712" s="25">
        <v>1.1100000000000001</v>
      </c>
      <c r="G1712" s="3">
        <f t="shared" si="656"/>
        <v>55164.7</v>
      </c>
      <c r="H1712" s="25">
        <v>1.1399999999999999</v>
      </c>
      <c r="I1712" s="3">
        <f t="shared" si="657"/>
        <v>56655.7</v>
      </c>
      <c r="J1712" s="25">
        <v>1.32</v>
      </c>
      <c r="K1712" s="3">
        <f t="shared" si="658"/>
        <v>65601.3</v>
      </c>
    </row>
    <row r="1713" spans="2:11" ht="12.95" customHeight="1" x14ac:dyDescent="0.3">
      <c r="B1713" s="58" t="s">
        <v>11</v>
      </c>
      <c r="C1713" s="51"/>
      <c r="D1713" s="51"/>
      <c r="E1713" s="22"/>
      <c r="F1713" s="23"/>
      <c r="G1713" s="16">
        <f>TRUNC(SUM(G1710:G1712))</f>
        <v>512709</v>
      </c>
      <c r="H1713" s="23" t="s">
        <v>58</v>
      </c>
      <c r="I1713" s="16">
        <f>TRUNC(SUM(I1710:I1712))</f>
        <v>549061</v>
      </c>
      <c r="J1713" s="23"/>
      <c r="K1713" s="16">
        <f>TRUNC(SUM(K1710:K1712))</f>
        <v>592868</v>
      </c>
    </row>
    <row r="1714" spans="2:11" ht="12.95" customHeight="1" x14ac:dyDescent="0.3">
      <c r="B1714" s="50"/>
      <c r="C1714" s="51"/>
      <c r="D1714" s="51"/>
      <c r="E1714" s="22"/>
      <c r="F1714" s="23"/>
      <c r="G1714" s="24"/>
      <c r="H1714" s="23"/>
      <c r="I1714" s="24"/>
      <c r="J1714" s="23"/>
      <c r="K1714" s="24"/>
    </row>
    <row r="1715" spans="2:11" ht="12.95" customHeight="1" x14ac:dyDescent="0.3">
      <c r="B1715" s="59" t="s">
        <v>2</v>
      </c>
      <c r="C1715" s="59" t="s">
        <v>45</v>
      </c>
      <c r="D1715" s="61" t="s">
        <v>17</v>
      </c>
      <c r="E1715" s="17">
        <v>31327</v>
      </c>
      <c r="F1715" s="25">
        <v>1.1100000000000001</v>
      </c>
      <c r="G1715" s="3">
        <f t="shared" ref="G1715" si="659">TRUNC($E1715*F1715,1)</f>
        <v>34772.9</v>
      </c>
      <c r="H1715" s="25">
        <v>1.1399999999999999</v>
      </c>
      <c r="I1715" s="3">
        <f t="shared" ref="I1715" si="660">TRUNC($E1715*H1715,1)</f>
        <v>35712.699999999997</v>
      </c>
      <c r="J1715" s="25">
        <v>1.32</v>
      </c>
      <c r="K1715" s="3">
        <f t="shared" ref="K1715" si="661">TRUNC($E1715*J1715,1)</f>
        <v>41351.599999999999</v>
      </c>
    </row>
    <row r="1716" spans="2:11" ht="12.95" customHeight="1" x14ac:dyDescent="0.3">
      <c r="B1716" s="46" t="s">
        <v>12</v>
      </c>
      <c r="C1716" s="51"/>
      <c r="D1716" s="51"/>
      <c r="E1716" s="62"/>
      <c r="F1716" s="15"/>
      <c r="G1716" s="16">
        <f>TRUNC(SUM(G1715:G1715))</f>
        <v>34772</v>
      </c>
      <c r="H1716" s="15"/>
      <c r="I1716" s="16">
        <f>TRUNC(SUM(I1715:I1715))</f>
        <v>35712</v>
      </c>
      <c r="J1716" s="15"/>
      <c r="K1716" s="16">
        <f>TRUNC(SUM(K1715:K1715))</f>
        <v>41351</v>
      </c>
    </row>
    <row r="1717" spans="2:11" ht="12.95" customHeight="1" x14ac:dyDescent="0.3">
      <c r="B1717" s="63"/>
      <c r="C1717" s="59"/>
      <c r="D1717" s="59"/>
      <c r="E1717" s="64"/>
      <c r="F1717" s="25"/>
      <c r="G1717" s="27"/>
      <c r="H1717" s="25"/>
      <c r="I1717" s="27"/>
      <c r="J1717" s="25"/>
      <c r="K1717" s="27"/>
    </row>
    <row r="1718" spans="2:11" ht="12.95" customHeight="1" x14ac:dyDescent="0.3">
      <c r="B1718" s="66" t="s">
        <v>13</v>
      </c>
      <c r="C1718" s="76"/>
      <c r="D1718" s="76"/>
      <c r="E1718" s="77"/>
      <c r="F1718" s="77"/>
      <c r="G1718" s="26">
        <f>SUM(G1708+G1713+G1716)</f>
        <v>578688</v>
      </c>
      <c r="H1718" s="77"/>
      <c r="I1718" s="26">
        <f>SUM(I1708+I1713+I1716)</f>
        <v>617274</v>
      </c>
      <c r="J1718" s="77"/>
      <c r="K1718" s="26">
        <f>SUM(K1708+K1713+K1716)</f>
        <v>670994</v>
      </c>
    </row>
    <row r="1719" spans="2:11" ht="12.95" customHeight="1" x14ac:dyDescent="0.3">
      <c r="B1719" s="106" t="s">
        <v>3</v>
      </c>
      <c r="C1719" s="107" t="s">
        <v>7</v>
      </c>
      <c r="D1719" s="108" t="s">
        <v>8</v>
      </c>
      <c r="E1719" s="109" t="s">
        <v>4</v>
      </c>
      <c r="F1719" s="105" t="s">
        <v>52</v>
      </c>
      <c r="G1719" s="95"/>
      <c r="H1719" s="105" t="s">
        <v>60</v>
      </c>
      <c r="I1719" s="95"/>
      <c r="J1719" s="105" t="s">
        <v>61</v>
      </c>
      <c r="K1719" s="95"/>
    </row>
    <row r="1720" spans="2:11" ht="12.95" customHeight="1" x14ac:dyDescent="0.3">
      <c r="B1720" s="106"/>
      <c r="C1720" s="107"/>
      <c r="D1720" s="108"/>
      <c r="E1720" s="109"/>
      <c r="F1720" s="74" t="s">
        <v>5</v>
      </c>
      <c r="G1720" s="75" t="s">
        <v>6</v>
      </c>
      <c r="H1720" s="74" t="s">
        <v>5</v>
      </c>
      <c r="I1720" s="75" t="s">
        <v>6</v>
      </c>
      <c r="J1720" s="74" t="s">
        <v>5</v>
      </c>
      <c r="K1720" s="75" t="s">
        <v>6</v>
      </c>
    </row>
    <row r="1721" spans="2:11" ht="12.95" customHeight="1" x14ac:dyDescent="0.3">
      <c r="B1721" s="59" t="s">
        <v>2</v>
      </c>
      <c r="C1721" s="59" t="s">
        <v>45</v>
      </c>
      <c r="D1721" s="61" t="s">
        <v>17</v>
      </c>
      <c r="E1721" s="17">
        <v>19871</v>
      </c>
      <c r="F1721" s="25">
        <v>1.35</v>
      </c>
      <c r="G1721" s="3">
        <f t="shared" ref="G1721" si="662">TRUNC($E1721*F1721,1)</f>
        <v>26825.8</v>
      </c>
      <c r="H1721" s="25">
        <v>1.51</v>
      </c>
      <c r="I1721" s="3">
        <f t="shared" ref="I1721" si="663">TRUNC($E1721*H1721,1)</f>
        <v>30005.200000000001</v>
      </c>
      <c r="J1721" s="25">
        <v>1.81</v>
      </c>
      <c r="K1721" s="3">
        <f t="shared" ref="K1721" si="664">TRUNC($E1721*J1721,1)</f>
        <v>35966.5</v>
      </c>
    </row>
    <row r="1722" spans="2:11" ht="12.95" customHeight="1" x14ac:dyDescent="0.3">
      <c r="B1722" s="42" t="s">
        <v>53</v>
      </c>
      <c r="C1722" s="43" t="s">
        <v>56</v>
      </c>
      <c r="D1722" s="44" t="s">
        <v>15</v>
      </c>
      <c r="E1722" s="45"/>
      <c r="F1722" s="21">
        <v>1</v>
      </c>
      <c r="G1722" s="5">
        <f>TRUNC(SUM(G1725:G1726)*0.02,1)</f>
        <v>11155.6</v>
      </c>
      <c r="H1722" s="21">
        <v>1</v>
      </c>
      <c r="I1722" s="5">
        <f>TRUNC(SUM(I1725:I1726)*0.02,1)</f>
        <v>11939.8</v>
      </c>
      <c r="J1722" s="21">
        <v>1</v>
      </c>
      <c r="K1722" s="5">
        <f>TRUNC(SUM(K1725:K1726)*0.02,1)</f>
        <v>12637</v>
      </c>
    </row>
    <row r="1723" spans="2:11" ht="12.95" customHeight="1" x14ac:dyDescent="0.3">
      <c r="B1723" s="46" t="s">
        <v>10</v>
      </c>
      <c r="C1723" s="51"/>
      <c r="D1723" s="51"/>
      <c r="E1723" s="22"/>
      <c r="F1723" s="23"/>
      <c r="G1723" s="16">
        <f>TRUNC(SUM(G1721:G1722))</f>
        <v>37981</v>
      </c>
      <c r="H1723" s="23"/>
      <c r="I1723" s="16">
        <f>TRUNC(SUM(I1721:I1722))</f>
        <v>41945</v>
      </c>
      <c r="J1723" s="23"/>
      <c r="K1723" s="16">
        <f>TRUNC(SUM(K1721:K1722))</f>
        <v>48603</v>
      </c>
    </row>
    <row r="1724" spans="2:11" ht="12.95" customHeight="1" x14ac:dyDescent="0.3">
      <c r="B1724" s="50"/>
      <c r="C1724" s="51"/>
      <c r="D1724" s="51"/>
      <c r="E1724" s="22"/>
      <c r="F1724" s="23"/>
      <c r="G1724" s="24"/>
      <c r="H1724" s="23"/>
      <c r="I1724" s="24"/>
      <c r="J1724" s="23"/>
      <c r="K1724" s="24"/>
    </row>
    <row r="1725" spans="2:11" ht="12.95" customHeight="1" x14ac:dyDescent="0.3">
      <c r="B1725" s="52" t="s">
        <v>29</v>
      </c>
      <c r="C1725" s="53"/>
      <c r="D1725" s="54" t="s">
        <v>9</v>
      </c>
      <c r="E1725" s="55">
        <v>262580</v>
      </c>
      <c r="F1725" s="25">
        <v>1.6</v>
      </c>
      <c r="G1725" s="3">
        <f t="shared" ref="G1725:G1727" si="665">TRUNC($E1725*F1725,1)</f>
        <v>420128</v>
      </c>
      <c r="H1725" s="25">
        <v>1.71</v>
      </c>
      <c r="I1725" s="3">
        <f t="shared" ref="I1725:I1727" si="666">TRUNC($E1725*H1725,1)</f>
        <v>449011.8</v>
      </c>
      <c r="J1725" s="25">
        <v>1.81</v>
      </c>
      <c r="K1725" s="3">
        <f t="shared" ref="K1725:K1727" si="667">TRUNC($E1725*J1725,1)</f>
        <v>475269.8</v>
      </c>
    </row>
    <row r="1726" spans="2:11" ht="12.95" customHeight="1" x14ac:dyDescent="0.3">
      <c r="B1726" s="52" t="s">
        <v>1</v>
      </c>
      <c r="C1726" s="53"/>
      <c r="D1726" s="54" t="s">
        <v>9</v>
      </c>
      <c r="E1726" s="57">
        <v>172068</v>
      </c>
      <c r="F1726" s="25">
        <v>0.8</v>
      </c>
      <c r="G1726" s="3">
        <f t="shared" si="665"/>
        <v>137654.39999999999</v>
      </c>
      <c r="H1726" s="25">
        <v>0.86</v>
      </c>
      <c r="I1726" s="3">
        <f t="shared" si="666"/>
        <v>147978.4</v>
      </c>
      <c r="J1726" s="25">
        <v>0.91</v>
      </c>
      <c r="K1726" s="3">
        <f t="shared" si="667"/>
        <v>156581.79999999999</v>
      </c>
    </row>
    <row r="1727" spans="2:11" ht="12.95" customHeight="1" x14ac:dyDescent="0.3">
      <c r="B1727" s="59" t="s">
        <v>2</v>
      </c>
      <c r="C1727" s="59" t="s">
        <v>45</v>
      </c>
      <c r="D1727" s="61" t="s">
        <v>17</v>
      </c>
      <c r="E1727" s="17">
        <v>49698</v>
      </c>
      <c r="F1727" s="25">
        <v>1.35</v>
      </c>
      <c r="G1727" s="3">
        <f t="shared" si="665"/>
        <v>67092.3</v>
      </c>
      <c r="H1727" s="25">
        <v>1.51</v>
      </c>
      <c r="I1727" s="3">
        <f t="shared" si="666"/>
        <v>75043.899999999994</v>
      </c>
      <c r="J1727" s="25">
        <v>1.81</v>
      </c>
      <c r="K1727" s="3">
        <f t="shared" si="667"/>
        <v>89953.3</v>
      </c>
    </row>
    <row r="1728" spans="2:11" ht="12.95" customHeight="1" x14ac:dyDescent="0.3">
      <c r="B1728" s="58" t="s">
        <v>11</v>
      </c>
      <c r="C1728" s="51"/>
      <c r="D1728" s="51"/>
      <c r="E1728" s="22"/>
      <c r="F1728" s="23"/>
      <c r="G1728" s="16">
        <f>TRUNC(SUM(G1725:G1727))</f>
        <v>624874</v>
      </c>
      <c r="H1728" s="23" t="s">
        <v>58</v>
      </c>
      <c r="I1728" s="16">
        <f>TRUNC(SUM(I1725:I1727))</f>
        <v>672034</v>
      </c>
      <c r="J1728" s="23"/>
      <c r="K1728" s="16">
        <f>TRUNC(SUM(K1725:K1727))</f>
        <v>721804</v>
      </c>
    </row>
    <row r="1729" spans="2:11" ht="12.95" customHeight="1" x14ac:dyDescent="0.3">
      <c r="B1729" s="50"/>
      <c r="C1729" s="51"/>
      <c r="D1729" s="51"/>
      <c r="E1729" s="22"/>
      <c r="F1729" s="23"/>
      <c r="G1729" s="24"/>
      <c r="H1729" s="23"/>
      <c r="I1729" s="24"/>
      <c r="J1729" s="23"/>
      <c r="K1729" s="24"/>
    </row>
    <row r="1730" spans="2:11" ht="12.95" customHeight="1" x14ac:dyDescent="0.3">
      <c r="B1730" s="59" t="s">
        <v>2</v>
      </c>
      <c r="C1730" s="59" t="s">
        <v>45</v>
      </c>
      <c r="D1730" s="61" t="s">
        <v>17</v>
      </c>
      <c r="E1730" s="17">
        <v>31327</v>
      </c>
      <c r="F1730" s="25">
        <v>1.35</v>
      </c>
      <c r="G1730" s="3">
        <f t="shared" ref="G1730" si="668">TRUNC($E1730*F1730,1)</f>
        <v>42291.4</v>
      </c>
      <c r="H1730" s="25">
        <v>1.51</v>
      </c>
      <c r="I1730" s="3">
        <f t="shared" ref="I1730" si="669">TRUNC($E1730*H1730,1)</f>
        <v>47303.7</v>
      </c>
      <c r="J1730" s="25">
        <v>1.81</v>
      </c>
      <c r="K1730" s="3">
        <f t="shared" ref="K1730" si="670">TRUNC($E1730*J1730,1)</f>
        <v>56701.8</v>
      </c>
    </row>
    <row r="1731" spans="2:11" ht="12.95" customHeight="1" x14ac:dyDescent="0.3">
      <c r="B1731" s="46" t="s">
        <v>12</v>
      </c>
      <c r="C1731" s="51"/>
      <c r="D1731" s="51"/>
      <c r="E1731" s="62"/>
      <c r="F1731" s="15"/>
      <c r="G1731" s="16">
        <f>TRUNC(SUM(G1730:G1730))</f>
        <v>42291</v>
      </c>
      <c r="H1731" s="15"/>
      <c r="I1731" s="16">
        <f>TRUNC(SUM(I1730:I1730))</f>
        <v>47303</v>
      </c>
      <c r="J1731" s="15"/>
      <c r="K1731" s="16">
        <f>TRUNC(SUM(K1730:K1730))</f>
        <v>56701</v>
      </c>
    </row>
    <row r="1732" spans="2:11" ht="12.95" customHeight="1" x14ac:dyDescent="0.3">
      <c r="B1732" s="63"/>
      <c r="C1732" s="59"/>
      <c r="D1732" s="59"/>
      <c r="E1732" s="64"/>
      <c r="F1732" s="25"/>
      <c r="G1732" s="27"/>
      <c r="H1732" s="25"/>
      <c r="I1732" s="27"/>
      <c r="J1732" s="25"/>
      <c r="K1732" s="27"/>
    </row>
    <row r="1733" spans="2:11" ht="12.95" customHeight="1" x14ac:dyDescent="0.3">
      <c r="B1733" s="66" t="s">
        <v>13</v>
      </c>
      <c r="C1733" s="76"/>
      <c r="D1733" s="76"/>
      <c r="E1733" s="77"/>
      <c r="F1733" s="77"/>
      <c r="G1733" s="26">
        <f>SUM(G1723+G1728+G1731)</f>
        <v>705146</v>
      </c>
      <c r="H1733" s="77"/>
      <c r="I1733" s="26">
        <f>SUM(I1723+I1728+I1731)</f>
        <v>761282</v>
      </c>
      <c r="J1733" s="77"/>
      <c r="K1733" s="26">
        <f>SUM(K1723+K1728+K1731)</f>
        <v>827108</v>
      </c>
    </row>
    <row r="1734" spans="2:11" ht="12.95" customHeight="1" x14ac:dyDescent="0.3">
      <c r="B1734" s="106" t="s">
        <v>3</v>
      </c>
      <c r="C1734" s="107" t="s">
        <v>7</v>
      </c>
      <c r="D1734" s="108" t="s">
        <v>8</v>
      </c>
      <c r="E1734" s="109" t="s">
        <v>4</v>
      </c>
      <c r="F1734" s="105" t="s">
        <v>126</v>
      </c>
      <c r="G1734" s="95"/>
      <c r="H1734" s="105" t="s">
        <v>30</v>
      </c>
      <c r="I1734" s="95"/>
      <c r="J1734" s="105" t="s">
        <v>31</v>
      </c>
      <c r="K1734" s="95"/>
    </row>
    <row r="1735" spans="2:11" ht="12.95" customHeight="1" x14ac:dyDescent="0.3">
      <c r="B1735" s="106"/>
      <c r="C1735" s="107"/>
      <c r="D1735" s="108"/>
      <c r="E1735" s="109"/>
      <c r="F1735" s="74" t="s">
        <v>5</v>
      </c>
      <c r="G1735" s="75" t="s">
        <v>6</v>
      </c>
      <c r="H1735" s="74" t="s">
        <v>5</v>
      </c>
      <c r="I1735" s="75" t="s">
        <v>6</v>
      </c>
      <c r="J1735" s="74" t="s">
        <v>5</v>
      </c>
      <c r="K1735" s="75" t="s">
        <v>6</v>
      </c>
    </row>
    <row r="1736" spans="2:11" ht="12.95" customHeight="1" x14ac:dyDescent="0.3">
      <c r="B1736" s="42" t="s">
        <v>53</v>
      </c>
      <c r="C1736" s="43" t="s">
        <v>56</v>
      </c>
      <c r="D1736" s="44" t="s">
        <v>15</v>
      </c>
      <c r="E1736" s="45"/>
      <c r="F1736" s="21">
        <v>1</v>
      </c>
      <c r="G1736" s="5">
        <f>TRUNC(SUM(G1739:G1740)*0.02,1)</f>
        <v>606.70000000000005</v>
      </c>
      <c r="H1736" s="21">
        <v>1</v>
      </c>
      <c r="I1736" s="5">
        <f>TRUNC(SUM(I1739:I1740)*0.02,1)</f>
        <v>1041.3</v>
      </c>
      <c r="J1736" s="21">
        <v>1</v>
      </c>
      <c r="K1736" s="5">
        <f>TRUNC(SUM(K1739:K1740)*0.02,1)</f>
        <v>1249.5999999999999</v>
      </c>
    </row>
    <row r="1737" spans="2:11" ht="12.95" customHeight="1" x14ac:dyDescent="0.3">
      <c r="B1737" s="46" t="s">
        <v>10</v>
      </c>
      <c r="C1737" s="47"/>
      <c r="D1737" s="48"/>
      <c r="E1737" s="49"/>
      <c r="F1737" s="25"/>
      <c r="G1737" s="12">
        <f>TRUNC(SUM(G1736))</f>
        <v>606</v>
      </c>
      <c r="H1737" s="25"/>
      <c r="I1737" s="12">
        <f>TRUNC(SUM(I1736))</f>
        <v>1041</v>
      </c>
      <c r="J1737" s="25"/>
      <c r="K1737" s="12">
        <f>TRUNC(SUM(K1736))</f>
        <v>1249</v>
      </c>
    </row>
    <row r="1738" spans="2:11" ht="12.95" customHeight="1" x14ac:dyDescent="0.3">
      <c r="B1738" s="50"/>
      <c r="C1738" s="51"/>
      <c r="D1738" s="51"/>
      <c r="E1738" s="22"/>
      <c r="F1738" s="15"/>
      <c r="G1738" s="24"/>
      <c r="H1738" s="15"/>
      <c r="I1738" s="24"/>
      <c r="J1738" s="15"/>
      <c r="K1738" s="24"/>
    </row>
    <row r="1739" spans="2:11" ht="12.95" customHeight="1" x14ac:dyDescent="0.3">
      <c r="B1739" s="52" t="s">
        <v>29</v>
      </c>
      <c r="C1739" s="53"/>
      <c r="D1739" s="54" t="s">
        <v>9</v>
      </c>
      <c r="E1739" s="55">
        <v>262580</v>
      </c>
      <c r="F1739" s="28">
        <v>0.05</v>
      </c>
      <c r="G1739" s="2">
        <f t="shared" ref="G1739:G1740" si="671">TRUNC($E1739*F1739,1)</f>
        <v>13129</v>
      </c>
      <c r="H1739" s="28">
        <v>0.1</v>
      </c>
      <c r="I1739" s="3">
        <f t="shared" ref="I1739:I1740" si="672">TRUNC($E1739*H1739,1)</f>
        <v>26258</v>
      </c>
      <c r="J1739" s="28">
        <v>0.12</v>
      </c>
      <c r="K1739" s="3">
        <f t="shared" ref="K1739:K1740" si="673">TRUNC($E1739*J1739,1)</f>
        <v>31509.599999999999</v>
      </c>
    </row>
    <row r="1740" spans="2:11" ht="12.95" customHeight="1" x14ac:dyDescent="0.3">
      <c r="B1740" s="52" t="s">
        <v>1</v>
      </c>
      <c r="C1740" s="53"/>
      <c r="D1740" s="54" t="s">
        <v>9</v>
      </c>
      <c r="E1740" s="57">
        <v>172068</v>
      </c>
      <c r="F1740" s="28">
        <v>0.1</v>
      </c>
      <c r="G1740" s="2">
        <f t="shared" si="671"/>
        <v>17206.8</v>
      </c>
      <c r="H1740" s="28">
        <v>0.15</v>
      </c>
      <c r="I1740" s="3">
        <f t="shared" si="672"/>
        <v>25810.2</v>
      </c>
      <c r="J1740" s="28">
        <v>0.18</v>
      </c>
      <c r="K1740" s="3">
        <f t="shared" si="673"/>
        <v>30972.2</v>
      </c>
    </row>
    <row r="1741" spans="2:11" ht="12.95" customHeight="1" x14ac:dyDescent="0.3">
      <c r="B1741" s="58" t="s">
        <v>11</v>
      </c>
      <c r="C1741" s="80"/>
      <c r="D1741" s="81"/>
      <c r="E1741" s="82"/>
      <c r="F1741" s="82"/>
      <c r="G1741" s="10">
        <f>TRUNC(SUM(G1739:G1740))</f>
        <v>30335</v>
      </c>
      <c r="H1741" s="82"/>
      <c r="I1741" s="11">
        <f>TRUNC(SUM(I1739:I1740))</f>
        <v>52068</v>
      </c>
      <c r="J1741" s="82"/>
      <c r="K1741" s="11">
        <f>TRUNC(SUM(K1739:K1740))</f>
        <v>62481</v>
      </c>
    </row>
    <row r="1742" spans="2:11" ht="12.95" customHeight="1" x14ac:dyDescent="0.3">
      <c r="B1742" s="83"/>
      <c r="C1742" s="53"/>
      <c r="D1742" s="54"/>
      <c r="E1742" s="84"/>
      <c r="F1742" s="84"/>
      <c r="G1742" s="6"/>
      <c r="H1742" s="84"/>
      <c r="I1742" s="7"/>
      <c r="J1742" s="84"/>
      <c r="K1742" s="7"/>
    </row>
    <row r="1743" spans="2:11" ht="12.95" customHeight="1" x14ac:dyDescent="0.3">
      <c r="B1743" s="66" t="s">
        <v>13</v>
      </c>
      <c r="C1743" s="85"/>
      <c r="D1743" s="86"/>
      <c r="E1743" s="87"/>
      <c r="F1743" s="87"/>
      <c r="G1743" s="26">
        <f>SUM(G1737+G1741)</f>
        <v>30941</v>
      </c>
      <c r="H1743" s="87"/>
      <c r="I1743" s="26">
        <f>SUM(I1737+I1741)</f>
        <v>53109</v>
      </c>
      <c r="J1743" s="87"/>
      <c r="K1743" s="26">
        <f>SUM(K1737+K1741)</f>
        <v>63730</v>
      </c>
    </row>
    <row r="1744" spans="2:11" ht="12.95" customHeight="1" x14ac:dyDescent="0.3">
      <c r="B1744" s="106" t="s">
        <v>3</v>
      </c>
      <c r="C1744" s="107" t="s">
        <v>7</v>
      </c>
      <c r="D1744" s="108" t="s">
        <v>8</v>
      </c>
      <c r="E1744" s="109" t="s">
        <v>4</v>
      </c>
      <c r="F1744" s="105" t="s">
        <v>127</v>
      </c>
      <c r="G1744" s="95"/>
      <c r="H1744" s="105" t="s">
        <v>32</v>
      </c>
      <c r="I1744" s="95"/>
    </row>
    <row r="1745" spans="2:9" ht="12.95" customHeight="1" x14ac:dyDescent="0.3">
      <c r="B1745" s="106"/>
      <c r="C1745" s="107"/>
      <c r="D1745" s="108"/>
      <c r="E1745" s="109"/>
      <c r="F1745" s="74" t="s">
        <v>5</v>
      </c>
      <c r="G1745" s="75" t="s">
        <v>6</v>
      </c>
      <c r="H1745" s="74" t="s">
        <v>5</v>
      </c>
      <c r="I1745" s="75" t="s">
        <v>6</v>
      </c>
    </row>
    <row r="1746" spans="2:9" ht="12.95" customHeight="1" x14ac:dyDescent="0.3">
      <c r="B1746" s="42" t="s">
        <v>53</v>
      </c>
      <c r="C1746" s="43" t="s">
        <v>56</v>
      </c>
      <c r="D1746" s="44" t="s">
        <v>15</v>
      </c>
      <c r="E1746" s="45"/>
      <c r="F1746" s="21">
        <v>1</v>
      </c>
      <c r="G1746" s="5">
        <f>TRUNC(SUM(G1749:G1750)*0.02,1)</f>
        <v>1423.4</v>
      </c>
      <c r="H1746" s="21">
        <v>1</v>
      </c>
      <c r="I1746" s="5">
        <f>TRUNC(SUM(I1749:I1750)*0.02,1)</f>
        <v>1597.3</v>
      </c>
    </row>
    <row r="1747" spans="2:9" ht="12.95" customHeight="1" x14ac:dyDescent="0.3">
      <c r="B1747" s="46" t="s">
        <v>10</v>
      </c>
      <c r="C1747" s="47"/>
      <c r="D1747" s="48"/>
      <c r="E1747" s="49"/>
      <c r="F1747" s="25"/>
      <c r="G1747" s="12">
        <f>TRUNC(SUM(G1746))</f>
        <v>1423</v>
      </c>
      <c r="H1747" s="25"/>
      <c r="I1747" s="12">
        <f>TRUNC(SUM(I1746))</f>
        <v>1597</v>
      </c>
    </row>
    <row r="1748" spans="2:9" ht="12.95" customHeight="1" x14ac:dyDescent="0.3">
      <c r="B1748" s="50"/>
      <c r="C1748" s="51"/>
      <c r="D1748" s="51"/>
      <c r="E1748" s="22"/>
      <c r="F1748" s="15"/>
      <c r="G1748" s="24"/>
      <c r="H1748" s="15"/>
      <c r="I1748" s="24"/>
    </row>
    <row r="1749" spans="2:9" ht="12.95" customHeight="1" x14ac:dyDescent="0.3">
      <c r="B1749" s="52" t="s">
        <v>29</v>
      </c>
      <c r="C1749" s="53"/>
      <c r="D1749" s="54" t="s">
        <v>9</v>
      </c>
      <c r="E1749" s="55">
        <v>262580</v>
      </c>
      <c r="F1749" s="28">
        <v>0.14000000000000001</v>
      </c>
      <c r="G1749" s="2">
        <f t="shared" ref="G1749:G1750" si="674">TRUNC($E1749*F1749,1)</f>
        <v>36761.199999999997</v>
      </c>
      <c r="H1749" s="28">
        <v>0.16</v>
      </c>
      <c r="I1749" s="3">
        <f t="shared" ref="I1749:I1750" si="675">TRUNC($E1749*H1749,1)</f>
        <v>42012.800000000003</v>
      </c>
    </row>
    <row r="1750" spans="2:9" ht="12.95" customHeight="1" x14ac:dyDescent="0.3">
      <c r="B1750" s="52" t="s">
        <v>1</v>
      </c>
      <c r="C1750" s="53"/>
      <c r="D1750" s="54" t="s">
        <v>9</v>
      </c>
      <c r="E1750" s="57">
        <v>172068</v>
      </c>
      <c r="F1750" s="28">
        <v>0.2</v>
      </c>
      <c r="G1750" s="2">
        <f t="shared" si="674"/>
        <v>34413.599999999999</v>
      </c>
      <c r="H1750" s="28">
        <v>0.22</v>
      </c>
      <c r="I1750" s="3">
        <f t="shared" si="675"/>
        <v>37854.9</v>
      </c>
    </row>
    <row r="1751" spans="2:9" ht="12.95" customHeight="1" x14ac:dyDescent="0.3">
      <c r="B1751" s="58" t="s">
        <v>11</v>
      </c>
      <c r="C1751" s="80"/>
      <c r="D1751" s="81"/>
      <c r="E1751" s="82"/>
      <c r="F1751" s="82"/>
      <c r="G1751" s="10">
        <f>TRUNC(SUM(G1749:G1750))</f>
        <v>71174</v>
      </c>
      <c r="H1751" s="82"/>
      <c r="I1751" s="11">
        <f>TRUNC(SUM(I1749:I1750))</f>
        <v>79867</v>
      </c>
    </row>
    <row r="1752" spans="2:9" ht="12.95" customHeight="1" x14ac:dyDescent="0.3">
      <c r="B1752" s="83"/>
      <c r="C1752" s="53"/>
      <c r="D1752" s="54"/>
      <c r="E1752" s="84"/>
      <c r="F1752" s="84"/>
      <c r="G1752" s="6"/>
      <c r="H1752" s="84"/>
      <c r="I1752" s="7"/>
    </row>
    <row r="1753" spans="2:9" ht="12.95" customHeight="1" x14ac:dyDescent="0.3">
      <c r="B1753" s="66" t="s">
        <v>13</v>
      </c>
      <c r="C1753" s="85"/>
      <c r="D1753" s="86"/>
      <c r="E1753" s="87"/>
      <c r="F1753" s="87"/>
      <c r="G1753" s="26">
        <f>SUM(G1747+G1751)</f>
        <v>72597</v>
      </c>
      <c r="H1753" s="87"/>
      <c r="I1753" s="26">
        <f>SUM(I1747+I1751)</f>
        <v>81464</v>
      </c>
    </row>
    <row r="1755" spans="2:9" ht="12.95" customHeight="1" x14ac:dyDescent="0.3">
      <c r="B1755" s="1" t="s">
        <v>128</v>
      </c>
      <c r="I1755" s="37" t="s">
        <v>123</v>
      </c>
    </row>
    <row r="1756" spans="2:9" ht="12.95" customHeight="1" x14ac:dyDescent="0.3">
      <c r="B1756" s="106" t="s">
        <v>3</v>
      </c>
      <c r="C1756" s="107" t="s">
        <v>7</v>
      </c>
      <c r="D1756" s="108" t="s">
        <v>8</v>
      </c>
      <c r="E1756" s="109" t="s">
        <v>4</v>
      </c>
      <c r="F1756" s="105" t="s">
        <v>44</v>
      </c>
      <c r="G1756" s="95"/>
      <c r="H1756" s="105" t="s">
        <v>46</v>
      </c>
      <c r="I1756" s="95"/>
    </row>
    <row r="1757" spans="2:9" ht="12.95" customHeight="1" x14ac:dyDescent="0.3">
      <c r="B1757" s="106"/>
      <c r="C1757" s="107"/>
      <c r="D1757" s="108"/>
      <c r="E1757" s="109"/>
      <c r="F1757" s="74" t="s">
        <v>5</v>
      </c>
      <c r="G1757" s="75" t="s">
        <v>6</v>
      </c>
      <c r="H1757" s="74" t="s">
        <v>5</v>
      </c>
      <c r="I1757" s="75" t="s">
        <v>6</v>
      </c>
    </row>
    <row r="1758" spans="2:9" ht="12.95" customHeight="1" x14ac:dyDescent="0.3">
      <c r="B1758" s="59" t="s">
        <v>2</v>
      </c>
      <c r="C1758" s="59" t="s">
        <v>14</v>
      </c>
      <c r="D1758" s="61" t="s">
        <v>17</v>
      </c>
      <c r="E1758" s="78">
        <v>9213</v>
      </c>
      <c r="F1758" s="25">
        <v>1.23</v>
      </c>
      <c r="G1758" s="3">
        <f t="shared" ref="G1758" si="676">TRUNC($E1758*F1758,1)</f>
        <v>11331.9</v>
      </c>
      <c r="H1758" s="25">
        <v>1.31</v>
      </c>
      <c r="I1758" s="3">
        <f t="shared" ref="I1758" si="677">TRUNC($E1758*H1758,1)</f>
        <v>12069</v>
      </c>
    </row>
    <row r="1759" spans="2:9" ht="12.95" customHeight="1" x14ac:dyDescent="0.3">
      <c r="B1759" s="42" t="s">
        <v>53</v>
      </c>
      <c r="C1759" s="43" t="s">
        <v>56</v>
      </c>
      <c r="D1759" s="44" t="s">
        <v>15</v>
      </c>
      <c r="E1759" s="45"/>
      <c r="F1759" s="21">
        <v>1</v>
      </c>
      <c r="G1759" s="5">
        <f>TRUNC(SUM(G1762:G1763)*0.02,1)</f>
        <v>6535.8</v>
      </c>
      <c r="H1759" s="21">
        <v>1</v>
      </c>
      <c r="I1759" s="5">
        <f>TRUNC(SUM(I1762:I1763)*0.02,1)</f>
        <v>7667.7</v>
      </c>
    </row>
    <row r="1760" spans="2:9" ht="12.95" customHeight="1" x14ac:dyDescent="0.3">
      <c r="B1760" s="46" t="s">
        <v>10</v>
      </c>
      <c r="C1760" s="51"/>
      <c r="D1760" s="51"/>
      <c r="E1760" s="22"/>
      <c r="F1760" s="23"/>
      <c r="G1760" s="16">
        <f>TRUNC(SUM(G1758:G1759))</f>
        <v>17867</v>
      </c>
      <c r="H1760" s="23"/>
      <c r="I1760" s="16">
        <f>TRUNC(SUM(I1758:I1759))</f>
        <v>19736</v>
      </c>
    </row>
    <row r="1761" spans="2:9" ht="12.95" customHeight="1" x14ac:dyDescent="0.3">
      <c r="B1761" s="50"/>
      <c r="C1761" s="51"/>
      <c r="D1761" s="51"/>
      <c r="E1761" s="22"/>
      <c r="F1761" s="23"/>
      <c r="G1761" s="24"/>
      <c r="H1761" s="23"/>
      <c r="I1761" s="24"/>
    </row>
    <row r="1762" spans="2:9" ht="12.95" customHeight="1" x14ac:dyDescent="0.3">
      <c r="B1762" s="52" t="s">
        <v>29</v>
      </c>
      <c r="C1762" s="53"/>
      <c r="D1762" s="54" t="s">
        <v>9</v>
      </c>
      <c r="E1762" s="55">
        <v>262580</v>
      </c>
      <c r="F1762" s="25">
        <v>0.93</v>
      </c>
      <c r="G1762" s="3">
        <f t="shared" ref="G1762:G1764" si="678">TRUNC($E1762*F1762,1)</f>
        <v>244199.4</v>
      </c>
      <c r="H1762" s="25">
        <v>1.08</v>
      </c>
      <c r="I1762" s="3">
        <f t="shared" ref="I1762:I1764" si="679">TRUNC($E1762*H1762,1)</f>
        <v>283586.40000000002</v>
      </c>
    </row>
    <row r="1763" spans="2:9" ht="12.95" customHeight="1" x14ac:dyDescent="0.3">
      <c r="B1763" s="52" t="s">
        <v>1</v>
      </c>
      <c r="C1763" s="53"/>
      <c r="D1763" s="54" t="s">
        <v>9</v>
      </c>
      <c r="E1763" s="57">
        <v>172068</v>
      </c>
      <c r="F1763" s="25">
        <v>0.48</v>
      </c>
      <c r="G1763" s="3">
        <f t="shared" si="678"/>
        <v>82592.600000000006</v>
      </c>
      <c r="H1763" s="25">
        <v>0.57999999999999996</v>
      </c>
      <c r="I1763" s="3">
        <f t="shared" si="679"/>
        <v>99799.4</v>
      </c>
    </row>
    <row r="1764" spans="2:9" ht="12.95" customHeight="1" x14ac:dyDescent="0.3">
      <c r="B1764" s="59" t="s">
        <v>2</v>
      </c>
      <c r="C1764" s="59" t="s">
        <v>14</v>
      </c>
      <c r="D1764" s="61" t="s">
        <v>17</v>
      </c>
      <c r="E1764" s="78">
        <v>49698</v>
      </c>
      <c r="F1764" s="25">
        <v>1.23</v>
      </c>
      <c r="G1764" s="3">
        <f t="shared" si="678"/>
        <v>61128.5</v>
      </c>
      <c r="H1764" s="25">
        <v>1.31</v>
      </c>
      <c r="I1764" s="3">
        <f t="shared" si="679"/>
        <v>65104.3</v>
      </c>
    </row>
    <row r="1765" spans="2:9" ht="12.95" customHeight="1" x14ac:dyDescent="0.3">
      <c r="B1765" s="58" t="s">
        <v>11</v>
      </c>
      <c r="C1765" s="51"/>
      <c r="D1765" s="51"/>
      <c r="E1765" s="22"/>
      <c r="F1765" s="23"/>
      <c r="G1765" s="16">
        <f>TRUNC(SUM(G1762:G1764))</f>
        <v>387920</v>
      </c>
      <c r="H1765" s="23"/>
      <c r="I1765" s="16">
        <f>TRUNC(SUM(I1762:I1764))</f>
        <v>448490</v>
      </c>
    </row>
    <row r="1766" spans="2:9" ht="12.95" customHeight="1" x14ac:dyDescent="0.3">
      <c r="B1766" s="50"/>
      <c r="C1766" s="51"/>
      <c r="D1766" s="51"/>
      <c r="E1766" s="22"/>
      <c r="F1766" s="23"/>
      <c r="G1766" s="24"/>
      <c r="H1766" s="23"/>
      <c r="I1766" s="24"/>
    </row>
    <row r="1767" spans="2:9" ht="12.95" customHeight="1" x14ac:dyDescent="0.3">
      <c r="B1767" s="59" t="s">
        <v>2</v>
      </c>
      <c r="C1767" s="59" t="s">
        <v>14</v>
      </c>
      <c r="D1767" s="61" t="s">
        <v>17</v>
      </c>
      <c r="E1767" s="78">
        <v>11117</v>
      </c>
      <c r="F1767" s="25">
        <v>1.23</v>
      </c>
      <c r="G1767" s="3">
        <f t="shared" ref="G1767" si="680">TRUNC($E1767*F1767,1)</f>
        <v>13673.9</v>
      </c>
      <c r="H1767" s="25">
        <v>1.31</v>
      </c>
      <c r="I1767" s="3">
        <f t="shared" ref="I1767" si="681">TRUNC($E1767*H1767,1)</f>
        <v>14563.2</v>
      </c>
    </row>
    <row r="1768" spans="2:9" ht="12.95" customHeight="1" x14ac:dyDescent="0.3">
      <c r="B1768" s="46" t="s">
        <v>12</v>
      </c>
      <c r="C1768" s="51"/>
      <c r="D1768" s="51"/>
      <c r="E1768" s="62"/>
      <c r="F1768" s="15"/>
      <c r="G1768" s="16">
        <f>TRUNC(SUM(G1767:G1767))</f>
        <v>13673</v>
      </c>
      <c r="H1768" s="15"/>
      <c r="I1768" s="16">
        <f>TRUNC(SUM(I1767:I1767))</f>
        <v>14563</v>
      </c>
    </row>
    <row r="1769" spans="2:9" ht="12.95" customHeight="1" x14ac:dyDescent="0.3">
      <c r="B1769" s="63"/>
      <c r="C1769" s="59"/>
      <c r="D1769" s="59"/>
      <c r="E1769" s="64"/>
      <c r="F1769" s="25"/>
      <c r="G1769" s="27"/>
      <c r="H1769" s="25"/>
      <c r="I1769" s="27"/>
    </row>
    <row r="1770" spans="2:9" ht="12.95" customHeight="1" x14ac:dyDescent="0.3">
      <c r="B1770" s="66" t="s">
        <v>13</v>
      </c>
      <c r="C1770" s="76"/>
      <c r="D1770" s="76"/>
      <c r="E1770" s="77"/>
      <c r="F1770" s="77"/>
      <c r="G1770" s="26">
        <f>SUM(G1760+G1765+G1768)</f>
        <v>419460</v>
      </c>
      <c r="H1770" s="77"/>
      <c r="I1770" s="26">
        <f>SUM(I1760+I1765+I1768)</f>
        <v>482789</v>
      </c>
    </row>
    <row r="1771" spans="2:9" ht="12.95" customHeight="1" x14ac:dyDescent="0.3">
      <c r="B1771" s="106" t="s">
        <v>3</v>
      </c>
      <c r="C1771" s="107" t="s">
        <v>7</v>
      </c>
      <c r="D1771" s="108" t="s">
        <v>8</v>
      </c>
      <c r="E1771" s="109" t="s">
        <v>4</v>
      </c>
      <c r="F1771" s="105" t="s">
        <v>48</v>
      </c>
      <c r="G1771" s="95"/>
      <c r="H1771" s="105" t="s">
        <v>49</v>
      </c>
      <c r="I1771" s="95"/>
    </row>
    <row r="1772" spans="2:9" ht="12.95" customHeight="1" x14ac:dyDescent="0.3">
      <c r="B1772" s="106"/>
      <c r="C1772" s="107"/>
      <c r="D1772" s="108"/>
      <c r="E1772" s="109"/>
      <c r="F1772" s="74" t="s">
        <v>5</v>
      </c>
      <c r="G1772" s="75" t="s">
        <v>6</v>
      </c>
      <c r="H1772" s="74" t="s">
        <v>5</v>
      </c>
      <c r="I1772" s="75" t="s">
        <v>6</v>
      </c>
    </row>
    <row r="1773" spans="2:9" ht="12.95" customHeight="1" x14ac:dyDescent="0.3">
      <c r="B1773" s="59" t="s">
        <v>2</v>
      </c>
      <c r="C1773" s="59" t="s">
        <v>33</v>
      </c>
      <c r="D1773" s="61" t="s">
        <v>17</v>
      </c>
      <c r="E1773" s="17">
        <v>18607</v>
      </c>
      <c r="F1773" s="25">
        <v>1.44</v>
      </c>
      <c r="G1773" s="3">
        <f t="shared" ref="G1773" si="682">TRUNC($E1773*F1773,1)</f>
        <v>26794</v>
      </c>
      <c r="H1773" s="25">
        <v>1.57</v>
      </c>
      <c r="I1773" s="3">
        <f t="shared" ref="I1773" si="683">TRUNC($E1773*H1773,1)</f>
        <v>29212.9</v>
      </c>
    </row>
    <row r="1774" spans="2:9" ht="12.95" customHeight="1" x14ac:dyDescent="0.3">
      <c r="B1774" s="42" t="s">
        <v>53</v>
      </c>
      <c r="C1774" s="43" t="s">
        <v>56</v>
      </c>
      <c r="D1774" s="44" t="s">
        <v>15</v>
      </c>
      <c r="E1774" s="45"/>
      <c r="F1774" s="21">
        <v>1</v>
      </c>
      <c r="G1774" s="5">
        <f>TRUNC(SUM(G1777:G1778)*0.02,1)</f>
        <v>8781.4</v>
      </c>
      <c r="H1774" s="21">
        <v>1</v>
      </c>
      <c r="I1774" s="5">
        <f>TRUNC(SUM(I1777:I1778)*0.02,1)</f>
        <v>9755.7999999999993</v>
      </c>
    </row>
    <row r="1775" spans="2:9" ht="12.95" customHeight="1" x14ac:dyDescent="0.3">
      <c r="B1775" s="46" t="s">
        <v>10</v>
      </c>
      <c r="C1775" s="51"/>
      <c r="D1775" s="51"/>
      <c r="E1775" s="22"/>
      <c r="F1775" s="23"/>
      <c r="G1775" s="16">
        <f>TRUNC(SUM(G1773:G1774))</f>
        <v>35575</v>
      </c>
      <c r="H1775" s="23"/>
      <c r="I1775" s="16">
        <f>TRUNC(SUM(I1773:I1774))</f>
        <v>38968</v>
      </c>
    </row>
    <row r="1776" spans="2:9" ht="12.95" customHeight="1" x14ac:dyDescent="0.3">
      <c r="B1776" s="50"/>
      <c r="C1776" s="51"/>
      <c r="D1776" s="51"/>
      <c r="E1776" s="22"/>
      <c r="F1776" s="23"/>
      <c r="G1776" s="24"/>
      <c r="H1776" s="23"/>
      <c r="I1776" s="24"/>
    </row>
    <row r="1777" spans="2:11" ht="12.95" customHeight="1" x14ac:dyDescent="0.3">
      <c r="B1777" s="52" t="s">
        <v>29</v>
      </c>
      <c r="C1777" s="53"/>
      <c r="D1777" s="54" t="s">
        <v>9</v>
      </c>
      <c r="E1777" s="55">
        <v>262580</v>
      </c>
      <c r="F1777" s="25">
        <v>1.22</v>
      </c>
      <c r="G1777" s="3">
        <f t="shared" ref="G1777:G1779" si="684">TRUNC($E1777*F1777,1)</f>
        <v>320347.59999999998</v>
      </c>
      <c r="H1777" s="25">
        <v>1.34</v>
      </c>
      <c r="I1777" s="3">
        <f t="shared" ref="I1777:I1779" si="685">TRUNC($E1777*H1777,1)</f>
        <v>351857.2</v>
      </c>
    </row>
    <row r="1778" spans="2:11" ht="12.95" customHeight="1" x14ac:dyDescent="0.3">
      <c r="B1778" s="52" t="s">
        <v>1</v>
      </c>
      <c r="C1778" s="53"/>
      <c r="D1778" s="54" t="s">
        <v>9</v>
      </c>
      <c r="E1778" s="57">
        <v>172068</v>
      </c>
      <c r="F1778" s="25">
        <v>0.69</v>
      </c>
      <c r="G1778" s="3">
        <f t="shared" si="684"/>
        <v>118726.9</v>
      </c>
      <c r="H1778" s="25">
        <v>0.79</v>
      </c>
      <c r="I1778" s="3">
        <f t="shared" si="685"/>
        <v>135933.70000000001</v>
      </c>
    </row>
    <row r="1779" spans="2:11" ht="12.95" customHeight="1" x14ac:dyDescent="0.3">
      <c r="B1779" s="59" t="s">
        <v>2</v>
      </c>
      <c r="C1779" s="59" t="s">
        <v>33</v>
      </c>
      <c r="D1779" s="61" t="s">
        <v>17</v>
      </c>
      <c r="E1779" s="17">
        <v>49698</v>
      </c>
      <c r="F1779" s="25">
        <v>1.44</v>
      </c>
      <c r="G1779" s="3">
        <f t="shared" si="684"/>
        <v>71565.100000000006</v>
      </c>
      <c r="H1779" s="25">
        <v>1.57</v>
      </c>
      <c r="I1779" s="3">
        <f t="shared" si="685"/>
        <v>78025.8</v>
      </c>
    </row>
    <row r="1780" spans="2:11" ht="12.95" customHeight="1" x14ac:dyDescent="0.3">
      <c r="B1780" s="58" t="s">
        <v>11</v>
      </c>
      <c r="C1780" s="51"/>
      <c r="D1780" s="51"/>
      <c r="E1780" s="22"/>
      <c r="F1780" s="23"/>
      <c r="G1780" s="16">
        <f>TRUNC(SUM(G1777:G1779))</f>
        <v>510639</v>
      </c>
      <c r="H1780" s="23"/>
      <c r="I1780" s="16">
        <f>TRUNC(SUM(I1777:I1779))</f>
        <v>565816</v>
      </c>
    </row>
    <row r="1781" spans="2:11" ht="12.95" customHeight="1" x14ac:dyDescent="0.3">
      <c r="B1781" s="50"/>
      <c r="C1781" s="51"/>
      <c r="D1781" s="51"/>
      <c r="E1781" s="22"/>
      <c r="F1781" s="23"/>
      <c r="G1781" s="24"/>
      <c r="H1781" s="23"/>
      <c r="I1781" s="24"/>
    </row>
    <row r="1782" spans="2:11" ht="12.95" customHeight="1" x14ac:dyDescent="0.3">
      <c r="B1782" s="59" t="s">
        <v>2</v>
      </c>
      <c r="C1782" s="59" t="s">
        <v>33</v>
      </c>
      <c r="D1782" s="61" t="s">
        <v>17</v>
      </c>
      <c r="E1782" s="17">
        <v>23795</v>
      </c>
      <c r="F1782" s="25">
        <v>1.44</v>
      </c>
      <c r="G1782" s="3">
        <f t="shared" ref="G1782" si="686">TRUNC($E1782*F1782,1)</f>
        <v>34264.800000000003</v>
      </c>
      <c r="H1782" s="25">
        <v>1.57</v>
      </c>
      <c r="I1782" s="3">
        <f t="shared" ref="I1782" si="687">TRUNC($E1782*H1782,1)</f>
        <v>37358.1</v>
      </c>
    </row>
    <row r="1783" spans="2:11" ht="12.95" customHeight="1" x14ac:dyDescent="0.3">
      <c r="B1783" s="46" t="s">
        <v>12</v>
      </c>
      <c r="C1783" s="51"/>
      <c r="D1783" s="51"/>
      <c r="E1783" s="62"/>
      <c r="F1783" s="15"/>
      <c r="G1783" s="16">
        <f>TRUNC(SUM(G1782:G1782))</f>
        <v>34264</v>
      </c>
      <c r="H1783" s="15"/>
      <c r="I1783" s="16">
        <f>TRUNC(SUM(I1782:I1782))</f>
        <v>37358</v>
      </c>
      <c r="K1783" s="9"/>
    </row>
    <row r="1784" spans="2:11" ht="12.95" customHeight="1" x14ac:dyDescent="0.3">
      <c r="B1784" s="63"/>
      <c r="C1784" s="59"/>
      <c r="D1784" s="59"/>
      <c r="E1784" s="64"/>
      <c r="F1784" s="25"/>
      <c r="G1784" s="27"/>
      <c r="H1784" s="25"/>
      <c r="I1784" s="27"/>
      <c r="J1784" s="9"/>
      <c r="K1784" s="9"/>
    </row>
    <row r="1785" spans="2:11" ht="12.95" customHeight="1" x14ac:dyDescent="0.3">
      <c r="B1785" s="66" t="s">
        <v>13</v>
      </c>
      <c r="C1785" s="76"/>
      <c r="D1785" s="76"/>
      <c r="E1785" s="77"/>
      <c r="F1785" s="77"/>
      <c r="G1785" s="26">
        <f>SUM(G1775+G1780+G1783)</f>
        <v>580478</v>
      </c>
      <c r="H1785" s="77"/>
      <c r="I1785" s="26">
        <f>SUM(I1775+I1780+I1783)</f>
        <v>642142</v>
      </c>
      <c r="J1785" s="9"/>
    </row>
    <row r="1786" spans="2:11" ht="12.95" customHeight="1" x14ac:dyDescent="0.3">
      <c r="B1786" s="106" t="s">
        <v>3</v>
      </c>
      <c r="C1786" s="107" t="s">
        <v>7</v>
      </c>
      <c r="D1786" s="108" t="s">
        <v>8</v>
      </c>
      <c r="E1786" s="109" t="s">
        <v>4</v>
      </c>
      <c r="F1786" s="105" t="s">
        <v>50</v>
      </c>
      <c r="G1786" s="95"/>
      <c r="H1786" s="105" t="s">
        <v>51</v>
      </c>
      <c r="I1786" s="95"/>
      <c r="J1786" s="105" t="s">
        <v>52</v>
      </c>
      <c r="K1786" s="95"/>
    </row>
    <row r="1787" spans="2:11" ht="12.95" customHeight="1" x14ac:dyDescent="0.3">
      <c r="B1787" s="106"/>
      <c r="C1787" s="107"/>
      <c r="D1787" s="108"/>
      <c r="E1787" s="109"/>
      <c r="F1787" s="74" t="s">
        <v>5</v>
      </c>
      <c r="G1787" s="75" t="s">
        <v>6</v>
      </c>
      <c r="H1787" s="74" t="s">
        <v>5</v>
      </c>
      <c r="I1787" s="75" t="s">
        <v>6</v>
      </c>
      <c r="J1787" s="74" t="s">
        <v>5</v>
      </c>
      <c r="K1787" s="75" t="s">
        <v>6</v>
      </c>
    </row>
    <row r="1788" spans="2:11" ht="12.95" customHeight="1" x14ac:dyDescent="0.3">
      <c r="B1788" s="59" t="s">
        <v>2</v>
      </c>
      <c r="C1788" s="59" t="s">
        <v>45</v>
      </c>
      <c r="D1788" s="61" t="s">
        <v>17</v>
      </c>
      <c r="E1788" s="17">
        <v>19871</v>
      </c>
      <c r="F1788" s="25">
        <v>1.61</v>
      </c>
      <c r="G1788" s="3">
        <f t="shared" ref="G1788" si="688">TRUNC($E1788*F1788,1)</f>
        <v>31992.3</v>
      </c>
      <c r="H1788" s="25">
        <v>1.87</v>
      </c>
      <c r="I1788" s="3">
        <f t="shared" ref="I1788" si="689">TRUNC($E1788*H1788,1)</f>
        <v>37158.699999999997</v>
      </c>
      <c r="J1788" s="25">
        <v>1.91</v>
      </c>
      <c r="K1788" s="3">
        <f t="shared" ref="K1788" si="690">TRUNC($E1788*J1788,1)</f>
        <v>37953.599999999999</v>
      </c>
    </row>
    <row r="1789" spans="2:11" ht="12.95" customHeight="1" x14ac:dyDescent="0.3">
      <c r="B1789" s="42" t="s">
        <v>53</v>
      </c>
      <c r="C1789" s="43" t="s">
        <v>56</v>
      </c>
      <c r="D1789" s="44" t="s">
        <v>15</v>
      </c>
      <c r="E1789" s="45"/>
      <c r="F1789" s="21">
        <v>1</v>
      </c>
      <c r="G1789" s="5">
        <f>TRUNC(SUM(G1792:G1793)*0.02,1)</f>
        <v>10487.4</v>
      </c>
      <c r="H1789" s="21">
        <v>1</v>
      </c>
      <c r="I1789" s="5">
        <f>TRUNC(SUM(I1792:I1793)*0.02,1)</f>
        <v>11287.9</v>
      </c>
      <c r="J1789" s="21">
        <v>1</v>
      </c>
      <c r="K1789" s="5">
        <f>TRUNC(SUM(K1792:K1793)*0.02,1)</f>
        <v>12104.7</v>
      </c>
    </row>
    <row r="1790" spans="2:11" ht="12.95" customHeight="1" x14ac:dyDescent="0.3">
      <c r="B1790" s="46" t="s">
        <v>10</v>
      </c>
      <c r="C1790" s="51"/>
      <c r="D1790" s="51"/>
      <c r="E1790" s="22"/>
      <c r="F1790" s="23"/>
      <c r="G1790" s="16">
        <f>TRUNC(SUM(G1788:G1789))</f>
        <v>42479</v>
      </c>
      <c r="H1790" s="23"/>
      <c r="I1790" s="16">
        <f>TRUNC(SUM(I1788:I1789))</f>
        <v>48446</v>
      </c>
      <c r="J1790" s="23"/>
      <c r="K1790" s="16">
        <f>TRUNC(SUM(K1788:K1789))</f>
        <v>50058</v>
      </c>
    </row>
    <row r="1791" spans="2:11" ht="12.95" customHeight="1" x14ac:dyDescent="0.3">
      <c r="B1791" s="50"/>
      <c r="C1791" s="51"/>
      <c r="D1791" s="51"/>
      <c r="E1791" s="22"/>
      <c r="F1791" s="23"/>
      <c r="G1791" s="24"/>
      <c r="H1791" s="23"/>
      <c r="I1791" s="24"/>
      <c r="J1791" s="23"/>
      <c r="K1791" s="24"/>
    </row>
    <row r="1792" spans="2:11" ht="12.95" customHeight="1" x14ac:dyDescent="0.3">
      <c r="B1792" s="52" t="s">
        <v>29</v>
      </c>
      <c r="C1792" s="53"/>
      <c r="D1792" s="54" t="s">
        <v>9</v>
      </c>
      <c r="E1792" s="55">
        <v>262580</v>
      </c>
      <c r="F1792" s="25">
        <v>1.44</v>
      </c>
      <c r="G1792" s="3">
        <f t="shared" ref="G1792:G1794" si="691">TRUNC($E1792*F1792,1)</f>
        <v>378115.2</v>
      </c>
      <c r="H1792" s="25">
        <v>1.54</v>
      </c>
      <c r="I1792" s="3">
        <f t="shared" ref="I1792:I1794" si="692">TRUNC($E1792*H1792,1)</f>
        <v>404373.2</v>
      </c>
      <c r="J1792" s="25">
        <v>1.63</v>
      </c>
      <c r="K1792" s="3">
        <f t="shared" ref="K1792:K1794" si="693">TRUNC($E1792*J1792,1)</f>
        <v>428005.4</v>
      </c>
    </row>
    <row r="1793" spans="2:11" ht="12.95" customHeight="1" x14ac:dyDescent="0.3">
      <c r="B1793" s="52" t="s">
        <v>1</v>
      </c>
      <c r="C1793" s="53"/>
      <c r="D1793" s="54" t="s">
        <v>9</v>
      </c>
      <c r="E1793" s="57">
        <v>172068</v>
      </c>
      <c r="F1793" s="25">
        <v>0.85</v>
      </c>
      <c r="G1793" s="3">
        <f t="shared" si="691"/>
        <v>146257.79999999999</v>
      </c>
      <c r="H1793" s="25">
        <v>0.93</v>
      </c>
      <c r="I1793" s="3">
        <f t="shared" si="692"/>
        <v>160023.20000000001</v>
      </c>
      <c r="J1793" s="25">
        <v>1.03</v>
      </c>
      <c r="K1793" s="3">
        <f t="shared" si="693"/>
        <v>177230</v>
      </c>
    </row>
    <row r="1794" spans="2:11" ht="12.95" customHeight="1" x14ac:dyDescent="0.3">
      <c r="B1794" s="59" t="s">
        <v>2</v>
      </c>
      <c r="C1794" s="59" t="s">
        <v>45</v>
      </c>
      <c r="D1794" s="61" t="s">
        <v>17</v>
      </c>
      <c r="E1794" s="17">
        <v>49698</v>
      </c>
      <c r="F1794" s="25">
        <v>1.61</v>
      </c>
      <c r="G1794" s="3">
        <f t="shared" si="691"/>
        <v>80013.7</v>
      </c>
      <c r="H1794" s="25">
        <v>1.87</v>
      </c>
      <c r="I1794" s="3">
        <f t="shared" si="692"/>
        <v>92935.2</v>
      </c>
      <c r="J1794" s="25">
        <v>1.91</v>
      </c>
      <c r="K1794" s="3">
        <f t="shared" si="693"/>
        <v>94923.1</v>
      </c>
    </row>
    <row r="1795" spans="2:11" ht="12.95" customHeight="1" x14ac:dyDescent="0.3">
      <c r="B1795" s="58" t="s">
        <v>11</v>
      </c>
      <c r="C1795" s="51"/>
      <c r="D1795" s="51"/>
      <c r="E1795" s="22"/>
      <c r="F1795" s="23"/>
      <c r="G1795" s="16">
        <f>TRUNC(SUM(G1792:G1794))</f>
        <v>604386</v>
      </c>
      <c r="H1795" s="23" t="s">
        <v>58</v>
      </c>
      <c r="I1795" s="16">
        <f>TRUNC(SUM(I1792:I1794))</f>
        <v>657331</v>
      </c>
      <c r="J1795" s="23"/>
      <c r="K1795" s="16">
        <f>TRUNC(SUM(K1792:K1794))</f>
        <v>700158</v>
      </c>
    </row>
    <row r="1796" spans="2:11" ht="12.95" customHeight="1" x14ac:dyDescent="0.3">
      <c r="B1796" s="50"/>
      <c r="C1796" s="51"/>
      <c r="D1796" s="51"/>
      <c r="E1796" s="22"/>
      <c r="F1796" s="23"/>
      <c r="G1796" s="24"/>
      <c r="H1796" s="23"/>
      <c r="I1796" s="24"/>
      <c r="J1796" s="23"/>
      <c r="K1796" s="24"/>
    </row>
    <row r="1797" spans="2:11" ht="12.95" customHeight="1" x14ac:dyDescent="0.3">
      <c r="B1797" s="59" t="s">
        <v>2</v>
      </c>
      <c r="C1797" s="59" t="s">
        <v>45</v>
      </c>
      <c r="D1797" s="61" t="s">
        <v>17</v>
      </c>
      <c r="E1797" s="17">
        <v>31327</v>
      </c>
      <c r="F1797" s="25">
        <v>1.61</v>
      </c>
      <c r="G1797" s="3">
        <f t="shared" ref="G1797" si="694">TRUNC($E1797*F1797,1)</f>
        <v>50436.4</v>
      </c>
      <c r="H1797" s="25">
        <v>1.87</v>
      </c>
      <c r="I1797" s="3">
        <f t="shared" ref="I1797" si="695">TRUNC($E1797*H1797,1)</f>
        <v>58581.4</v>
      </c>
      <c r="J1797" s="25">
        <v>1.91</v>
      </c>
      <c r="K1797" s="3">
        <f t="shared" ref="K1797" si="696">TRUNC($E1797*J1797,1)</f>
        <v>59834.5</v>
      </c>
    </row>
    <row r="1798" spans="2:11" ht="12.95" customHeight="1" x14ac:dyDescent="0.3">
      <c r="B1798" s="46" t="s">
        <v>12</v>
      </c>
      <c r="C1798" s="51"/>
      <c r="D1798" s="51"/>
      <c r="E1798" s="62"/>
      <c r="F1798" s="15"/>
      <c r="G1798" s="16">
        <f>TRUNC(SUM(G1797:G1797))</f>
        <v>50436</v>
      </c>
      <c r="H1798" s="15"/>
      <c r="I1798" s="16">
        <f>TRUNC(SUM(I1797:I1797))</f>
        <v>58581</v>
      </c>
      <c r="J1798" s="15"/>
      <c r="K1798" s="16">
        <f>TRUNC(SUM(K1797:K1797))</f>
        <v>59834</v>
      </c>
    </row>
    <row r="1799" spans="2:11" ht="12.95" customHeight="1" x14ac:dyDescent="0.3">
      <c r="B1799" s="63"/>
      <c r="C1799" s="59"/>
      <c r="D1799" s="59"/>
      <c r="E1799" s="64"/>
      <c r="F1799" s="25"/>
      <c r="G1799" s="27"/>
      <c r="H1799" s="25"/>
      <c r="I1799" s="27"/>
      <c r="J1799" s="25"/>
      <c r="K1799" s="27"/>
    </row>
    <row r="1800" spans="2:11" ht="12.95" customHeight="1" x14ac:dyDescent="0.3">
      <c r="B1800" s="66" t="s">
        <v>13</v>
      </c>
      <c r="C1800" s="76"/>
      <c r="D1800" s="76"/>
      <c r="E1800" s="77"/>
      <c r="F1800" s="77"/>
      <c r="G1800" s="26">
        <f>SUM(G1790+G1795+G1798)</f>
        <v>697301</v>
      </c>
      <c r="H1800" s="77"/>
      <c r="I1800" s="26">
        <f>SUM(I1790+I1795+I1798)</f>
        <v>764358</v>
      </c>
      <c r="J1800" s="77"/>
      <c r="K1800" s="26">
        <f>SUM(K1790+K1795+K1798)</f>
        <v>810050</v>
      </c>
    </row>
    <row r="1801" spans="2:11" ht="12.95" customHeight="1" x14ac:dyDescent="0.3">
      <c r="B1801" s="106" t="s">
        <v>3</v>
      </c>
      <c r="C1801" s="107" t="s">
        <v>7</v>
      </c>
      <c r="D1801" s="108" t="s">
        <v>8</v>
      </c>
      <c r="E1801" s="109" t="s">
        <v>4</v>
      </c>
      <c r="F1801" s="105" t="s">
        <v>60</v>
      </c>
      <c r="G1801" s="95"/>
      <c r="H1801" s="105" t="s">
        <v>61</v>
      </c>
      <c r="I1801" s="95"/>
      <c r="J1801" s="105" t="s">
        <v>130</v>
      </c>
      <c r="K1801" s="95"/>
    </row>
    <row r="1802" spans="2:11" ht="12.95" customHeight="1" x14ac:dyDescent="0.3">
      <c r="B1802" s="106"/>
      <c r="C1802" s="107"/>
      <c r="D1802" s="108"/>
      <c r="E1802" s="109"/>
      <c r="F1802" s="74" t="s">
        <v>5</v>
      </c>
      <c r="G1802" s="75" t="s">
        <v>6</v>
      </c>
      <c r="H1802" s="74" t="s">
        <v>5</v>
      </c>
      <c r="I1802" s="75" t="s">
        <v>6</v>
      </c>
      <c r="J1802" s="74" t="s">
        <v>5</v>
      </c>
      <c r="K1802" s="75" t="s">
        <v>6</v>
      </c>
    </row>
    <row r="1803" spans="2:11" ht="12.95" customHeight="1" x14ac:dyDescent="0.3">
      <c r="B1803" s="59" t="s">
        <v>2</v>
      </c>
      <c r="C1803" s="59" t="s">
        <v>45</v>
      </c>
      <c r="D1803" s="61" t="s">
        <v>17</v>
      </c>
      <c r="E1803" s="17">
        <v>19871</v>
      </c>
      <c r="F1803" s="25">
        <v>2.12</v>
      </c>
      <c r="G1803" s="3">
        <f t="shared" ref="G1803" si="697">TRUNC($E1803*F1803,1)</f>
        <v>42126.5</v>
      </c>
      <c r="H1803" s="25">
        <v>2.54</v>
      </c>
      <c r="I1803" s="3">
        <f t="shared" ref="I1803" si="698">TRUNC($E1803*H1803,1)</f>
        <v>50472.3</v>
      </c>
      <c r="J1803" s="25">
        <v>2.5499999999999998</v>
      </c>
      <c r="K1803" s="3">
        <f t="shared" ref="K1803" si="699">TRUNC($E1803*J1803,1)</f>
        <v>50671</v>
      </c>
    </row>
    <row r="1804" spans="2:11" ht="12.95" customHeight="1" x14ac:dyDescent="0.3">
      <c r="B1804" s="42" t="s">
        <v>53</v>
      </c>
      <c r="C1804" s="43" t="s">
        <v>56</v>
      </c>
      <c r="D1804" s="44" t="s">
        <v>15</v>
      </c>
      <c r="E1804" s="45"/>
      <c r="F1804" s="21">
        <v>1</v>
      </c>
      <c r="G1804" s="5">
        <f>TRUNC(SUM(G1807:G1808)*0.02,1)</f>
        <v>13060.9</v>
      </c>
      <c r="H1804" s="21">
        <v>1</v>
      </c>
      <c r="I1804" s="5">
        <f>TRUNC(SUM(I1807:I1808)*0.02,1)</f>
        <v>14189.2</v>
      </c>
      <c r="J1804" s="21">
        <v>1</v>
      </c>
      <c r="K1804" s="5">
        <f>TRUNC(SUM(K1807:K1808)*0.02,1)</f>
        <v>15279.5</v>
      </c>
    </row>
    <row r="1805" spans="2:11" ht="12.95" customHeight="1" x14ac:dyDescent="0.3">
      <c r="B1805" s="46" t="s">
        <v>10</v>
      </c>
      <c r="C1805" s="51"/>
      <c r="D1805" s="51"/>
      <c r="E1805" s="22"/>
      <c r="F1805" s="23"/>
      <c r="G1805" s="16">
        <f>TRUNC(SUM(G1803:G1804))</f>
        <v>55187</v>
      </c>
      <c r="H1805" s="23"/>
      <c r="I1805" s="16">
        <f>TRUNC(SUM(I1803:I1804))</f>
        <v>64661</v>
      </c>
      <c r="J1805" s="23"/>
      <c r="K1805" s="16">
        <f>TRUNC(SUM(K1803:K1804))</f>
        <v>65950</v>
      </c>
    </row>
    <row r="1806" spans="2:11" ht="12.95" customHeight="1" x14ac:dyDescent="0.3">
      <c r="B1806" s="50"/>
      <c r="C1806" s="51"/>
      <c r="D1806" s="51"/>
      <c r="E1806" s="22"/>
      <c r="F1806" s="23"/>
      <c r="G1806" s="24"/>
      <c r="H1806" s="23"/>
      <c r="I1806" s="24"/>
      <c r="J1806" s="23"/>
      <c r="K1806" s="24"/>
    </row>
    <row r="1807" spans="2:11" ht="12.95" customHeight="1" x14ac:dyDescent="0.3">
      <c r="B1807" s="52" t="s">
        <v>29</v>
      </c>
      <c r="C1807" s="53"/>
      <c r="D1807" s="54" t="s">
        <v>9</v>
      </c>
      <c r="E1807" s="55">
        <v>262580</v>
      </c>
      <c r="F1807" s="25">
        <v>1.74</v>
      </c>
      <c r="G1807" s="3">
        <f t="shared" ref="G1807:G1809" si="700">TRUNC($E1807*F1807,1)</f>
        <v>456889.2</v>
      </c>
      <c r="H1807" s="25">
        <v>1.85</v>
      </c>
      <c r="I1807" s="3">
        <f t="shared" ref="I1807:I1809" si="701">TRUNC($E1807*H1807,1)</f>
        <v>485773</v>
      </c>
      <c r="J1807" s="25">
        <v>1.92</v>
      </c>
      <c r="K1807" s="3">
        <f t="shared" ref="K1807:K1809" si="702">TRUNC($E1807*J1807,1)</f>
        <v>504153.59999999998</v>
      </c>
    </row>
    <row r="1808" spans="2:11" ht="12.95" customHeight="1" x14ac:dyDescent="0.3">
      <c r="B1808" s="52" t="s">
        <v>1</v>
      </c>
      <c r="C1808" s="53"/>
      <c r="D1808" s="54" t="s">
        <v>9</v>
      </c>
      <c r="E1808" s="57">
        <v>172068</v>
      </c>
      <c r="F1808" s="25">
        <v>1.1399999999999999</v>
      </c>
      <c r="G1808" s="3">
        <f t="shared" si="700"/>
        <v>196157.5</v>
      </c>
      <c r="H1808" s="25">
        <v>1.3</v>
      </c>
      <c r="I1808" s="3">
        <f t="shared" si="701"/>
        <v>223688.4</v>
      </c>
      <c r="J1808" s="25">
        <v>1.51</v>
      </c>
      <c r="K1808" s="3">
        <f t="shared" si="702"/>
        <v>259822.6</v>
      </c>
    </row>
    <row r="1809" spans="2:11" ht="12.95" customHeight="1" x14ac:dyDescent="0.3">
      <c r="B1809" s="59" t="s">
        <v>2</v>
      </c>
      <c r="C1809" s="59" t="s">
        <v>45</v>
      </c>
      <c r="D1809" s="61" t="s">
        <v>17</v>
      </c>
      <c r="E1809" s="17">
        <v>49698</v>
      </c>
      <c r="F1809" s="25">
        <v>2.12</v>
      </c>
      <c r="G1809" s="3">
        <f t="shared" si="700"/>
        <v>105359.7</v>
      </c>
      <c r="H1809" s="25">
        <v>2.54</v>
      </c>
      <c r="I1809" s="3">
        <f t="shared" si="701"/>
        <v>126232.9</v>
      </c>
      <c r="J1809" s="25">
        <v>2.5499999999999998</v>
      </c>
      <c r="K1809" s="3">
        <f t="shared" si="702"/>
        <v>126729.9</v>
      </c>
    </row>
    <row r="1810" spans="2:11" ht="12.95" customHeight="1" x14ac:dyDescent="0.3">
      <c r="B1810" s="58" t="s">
        <v>11</v>
      </c>
      <c r="C1810" s="51"/>
      <c r="D1810" s="51"/>
      <c r="E1810" s="22"/>
      <c r="F1810" s="23"/>
      <c r="G1810" s="16">
        <f>TRUNC(SUM(G1807:G1809))</f>
        <v>758406</v>
      </c>
      <c r="H1810" s="23"/>
      <c r="I1810" s="16">
        <f>TRUNC(SUM(I1807:I1809))</f>
        <v>835694</v>
      </c>
      <c r="J1810" s="23"/>
      <c r="K1810" s="16">
        <f>TRUNC(SUM(K1807:K1809))</f>
        <v>890706</v>
      </c>
    </row>
    <row r="1811" spans="2:11" ht="12.95" customHeight="1" x14ac:dyDescent="0.3">
      <c r="B1811" s="50"/>
      <c r="C1811" s="51"/>
      <c r="D1811" s="51"/>
      <c r="E1811" s="22"/>
      <c r="F1811" s="23"/>
      <c r="G1811" s="24"/>
      <c r="H1811" s="23"/>
      <c r="I1811" s="24"/>
      <c r="J1811" s="23"/>
      <c r="K1811" s="24"/>
    </row>
    <row r="1812" spans="2:11" ht="12.95" customHeight="1" x14ac:dyDescent="0.3">
      <c r="B1812" s="59" t="s">
        <v>2</v>
      </c>
      <c r="C1812" s="59" t="s">
        <v>45</v>
      </c>
      <c r="D1812" s="61" t="s">
        <v>17</v>
      </c>
      <c r="E1812" s="17">
        <v>31327</v>
      </c>
      <c r="F1812" s="25">
        <v>2.12</v>
      </c>
      <c r="G1812" s="3">
        <f t="shared" ref="G1812" si="703">TRUNC($E1812*F1812,1)</f>
        <v>66413.2</v>
      </c>
      <c r="H1812" s="25">
        <v>2.54</v>
      </c>
      <c r="I1812" s="3">
        <f t="shared" ref="I1812" si="704">TRUNC($E1812*H1812,1)</f>
        <v>79570.5</v>
      </c>
      <c r="J1812" s="25">
        <v>2.5499999999999998</v>
      </c>
      <c r="K1812" s="3">
        <f t="shared" ref="K1812" si="705">TRUNC($E1812*J1812,1)</f>
        <v>79883.8</v>
      </c>
    </row>
    <row r="1813" spans="2:11" ht="12.95" customHeight="1" x14ac:dyDescent="0.3">
      <c r="B1813" s="46" t="s">
        <v>12</v>
      </c>
      <c r="C1813" s="51"/>
      <c r="D1813" s="51"/>
      <c r="E1813" s="62"/>
      <c r="F1813" s="15"/>
      <c r="G1813" s="16">
        <f>TRUNC(SUM(G1812:G1812))</f>
        <v>66413</v>
      </c>
      <c r="H1813" s="15"/>
      <c r="I1813" s="16">
        <f>TRUNC(SUM(I1812:I1812))</f>
        <v>79570</v>
      </c>
      <c r="J1813" s="15"/>
      <c r="K1813" s="16">
        <f>TRUNC(SUM(K1812:K1812))</f>
        <v>79883</v>
      </c>
    </row>
    <row r="1814" spans="2:11" ht="12.95" customHeight="1" x14ac:dyDescent="0.3">
      <c r="B1814" s="63"/>
      <c r="C1814" s="59"/>
      <c r="D1814" s="59"/>
      <c r="E1814" s="64"/>
      <c r="F1814" s="25"/>
      <c r="G1814" s="27"/>
      <c r="H1814" s="25"/>
      <c r="I1814" s="27"/>
      <c r="J1814" s="25"/>
      <c r="K1814" s="27"/>
    </row>
    <row r="1815" spans="2:11" ht="12.95" customHeight="1" x14ac:dyDescent="0.3">
      <c r="B1815" s="66" t="s">
        <v>13</v>
      </c>
      <c r="C1815" s="76"/>
      <c r="D1815" s="76"/>
      <c r="E1815" s="77"/>
      <c r="F1815" s="77"/>
      <c r="G1815" s="26">
        <f>SUM(G1805+G1810+G1813)</f>
        <v>880006</v>
      </c>
      <c r="H1815" s="77"/>
      <c r="I1815" s="26">
        <f>SUM(I1805+I1810+I1813)</f>
        <v>979925</v>
      </c>
      <c r="J1815" s="77"/>
      <c r="K1815" s="26">
        <f>SUM(K1805+K1810+K1813)</f>
        <v>1036539</v>
      </c>
    </row>
    <row r="1816" spans="2:11" ht="12.95" customHeight="1" x14ac:dyDescent="0.3">
      <c r="B1816" s="106" t="s">
        <v>3</v>
      </c>
      <c r="C1816" s="107" t="s">
        <v>7</v>
      </c>
      <c r="D1816" s="108" t="s">
        <v>8</v>
      </c>
      <c r="E1816" s="109" t="s">
        <v>4</v>
      </c>
      <c r="F1816" s="105" t="s">
        <v>62</v>
      </c>
      <c r="G1816" s="95"/>
      <c r="H1816" s="105" t="s">
        <v>63</v>
      </c>
      <c r="I1816" s="95"/>
      <c r="J1816" s="105" t="s">
        <v>64</v>
      </c>
      <c r="K1816" s="95"/>
    </row>
    <row r="1817" spans="2:11" ht="12.95" customHeight="1" x14ac:dyDescent="0.3">
      <c r="B1817" s="106"/>
      <c r="C1817" s="107"/>
      <c r="D1817" s="108"/>
      <c r="E1817" s="109"/>
      <c r="F1817" s="74" t="s">
        <v>5</v>
      </c>
      <c r="G1817" s="75" t="s">
        <v>6</v>
      </c>
      <c r="H1817" s="74" t="s">
        <v>5</v>
      </c>
      <c r="I1817" s="75" t="s">
        <v>6</v>
      </c>
      <c r="J1817" s="74" t="s">
        <v>5</v>
      </c>
      <c r="K1817" s="75" t="s">
        <v>6</v>
      </c>
    </row>
    <row r="1818" spans="2:11" ht="12.95" customHeight="1" x14ac:dyDescent="0.3">
      <c r="B1818" s="59" t="s">
        <v>2</v>
      </c>
      <c r="C1818" s="59" t="s">
        <v>129</v>
      </c>
      <c r="D1818" s="61" t="s">
        <v>17</v>
      </c>
      <c r="E1818" s="18">
        <v>20413</v>
      </c>
      <c r="F1818" s="25">
        <v>2.65</v>
      </c>
      <c r="G1818" s="3">
        <f t="shared" ref="G1818" si="706">TRUNC($E1818*F1818,1)</f>
        <v>54094.400000000001</v>
      </c>
      <c r="H1818" s="25">
        <v>2.98</v>
      </c>
      <c r="I1818" s="3">
        <f t="shared" ref="I1818" si="707">TRUNC($E1818*H1818,1)</f>
        <v>60830.7</v>
      </c>
      <c r="J1818" s="25">
        <v>3.48</v>
      </c>
      <c r="K1818" s="3">
        <f t="shared" ref="K1818" si="708">TRUNC($E1818*J1818,1)</f>
        <v>71037.2</v>
      </c>
    </row>
    <row r="1819" spans="2:11" ht="12.95" customHeight="1" x14ac:dyDescent="0.3">
      <c r="B1819" s="42" t="s">
        <v>53</v>
      </c>
      <c r="C1819" s="43" t="s">
        <v>56</v>
      </c>
      <c r="D1819" s="44" t="s">
        <v>15</v>
      </c>
      <c r="E1819" s="45"/>
      <c r="F1819" s="21">
        <v>1</v>
      </c>
      <c r="G1819" s="5">
        <f>TRUNC(SUM(G1822:G1823)*0.02,1)</f>
        <v>15540.3</v>
      </c>
      <c r="H1819" s="21">
        <v>1</v>
      </c>
      <c r="I1819" s="5">
        <f>TRUNC(SUM(I1822:I1823)*0.02,1)</f>
        <v>16235.7</v>
      </c>
      <c r="J1819" s="21">
        <v>1</v>
      </c>
      <c r="K1819" s="5">
        <f>TRUNC(SUM(K1822:K1823)*0.02,1)</f>
        <v>17123.099999999999</v>
      </c>
    </row>
    <row r="1820" spans="2:11" ht="12.95" customHeight="1" x14ac:dyDescent="0.3">
      <c r="B1820" s="46" t="s">
        <v>10</v>
      </c>
      <c r="C1820" s="51"/>
      <c r="D1820" s="51"/>
      <c r="E1820" s="22"/>
      <c r="F1820" s="23"/>
      <c r="G1820" s="16">
        <f>TRUNC(SUM(G1818:G1819))</f>
        <v>69634</v>
      </c>
      <c r="H1820" s="23"/>
      <c r="I1820" s="16">
        <f>TRUNC(SUM(I1818:I1819))</f>
        <v>77066</v>
      </c>
      <c r="J1820" s="23"/>
      <c r="K1820" s="16">
        <f>TRUNC(SUM(K1818:K1819))</f>
        <v>88160</v>
      </c>
    </row>
    <row r="1821" spans="2:11" ht="12.95" customHeight="1" x14ac:dyDescent="0.3">
      <c r="B1821" s="50"/>
      <c r="C1821" s="51"/>
      <c r="D1821" s="51"/>
      <c r="E1821" s="22"/>
      <c r="F1821" s="23"/>
      <c r="G1821" s="24"/>
      <c r="H1821" s="23"/>
      <c r="I1821" s="24"/>
      <c r="J1821" s="23"/>
      <c r="K1821" s="24"/>
    </row>
    <row r="1822" spans="2:11" ht="12.95" customHeight="1" x14ac:dyDescent="0.3">
      <c r="B1822" s="52" t="s">
        <v>29</v>
      </c>
      <c r="C1822" s="53"/>
      <c r="D1822" s="54" t="s">
        <v>9</v>
      </c>
      <c r="E1822" s="55">
        <v>262580</v>
      </c>
      <c r="F1822" s="25">
        <v>1.95</v>
      </c>
      <c r="G1822" s="3">
        <f t="shared" ref="G1822:G1824" si="709">TRUNC($E1822*F1822,1)</f>
        <v>512031</v>
      </c>
      <c r="H1822" s="25">
        <v>2.0299999999999998</v>
      </c>
      <c r="I1822" s="3">
        <f t="shared" ref="I1822:I1824" si="710">TRUNC($E1822*H1822,1)</f>
        <v>533037.4</v>
      </c>
      <c r="J1822" s="25">
        <v>2.14</v>
      </c>
      <c r="K1822" s="3">
        <f t="shared" ref="K1822:K1824" si="711">TRUNC($E1822*J1822,1)</f>
        <v>561921.19999999995</v>
      </c>
    </row>
    <row r="1823" spans="2:11" ht="12.95" customHeight="1" x14ac:dyDescent="0.3">
      <c r="B1823" s="52" t="s">
        <v>1</v>
      </c>
      <c r="C1823" s="53"/>
      <c r="D1823" s="54" t="s">
        <v>9</v>
      </c>
      <c r="E1823" s="57">
        <v>172068</v>
      </c>
      <c r="F1823" s="25">
        <v>1.54</v>
      </c>
      <c r="G1823" s="3">
        <f t="shared" si="709"/>
        <v>264984.7</v>
      </c>
      <c r="H1823" s="25">
        <v>1.62</v>
      </c>
      <c r="I1823" s="3">
        <f t="shared" si="710"/>
        <v>278750.09999999998</v>
      </c>
      <c r="J1823" s="25">
        <v>1.71</v>
      </c>
      <c r="K1823" s="3">
        <f t="shared" si="711"/>
        <v>294236.2</v>
      </c>
    </row>
    <row r="1824" spans="2:11" ht="12.95" customHeight="1" x14ac:dyDescent="0.3">
      <c r="B1824" s="59" t="s">
        <v>2</v>
      </c>
      <c r="C1824" s="59" t="s">
        <v>129</v>
      </c>
      <c r="D1824" s="61" t="s">
        <v>17</v>
      </c>
      <c r="E1824" s="18">
        <v>49698</v>
      </c>
      <c r="F1824" s="25">
        <v>2.65</v>
      </c>
      <c r="G1824" s="3">
        <f t="shared" si="709"/>
        <v>131699.70000000001</v>
      </c>
      <c r="H1824" s="25">
        <v>2.98</v>
      </c>
      <c r="I1824" s="3">
        <f t="shared" si="710"/>
        <v>148100</v>
      </c>
      <c r="J1824" s="25">
        <v>3.48</v>
      </c>
      <c r="K1824" s="3">
        <f t="shared" si="711"/>
        <v>172949</v>
      </c>
    </row>
    <row r="1825" spans="2:13" ht="12.95" customHeight="1" x14ac:dyDescent="0.3">
      <c r="B1825" s="58" t="s">
        <v>11</v>
      </c>
      <c r="C1825" s="51"/>
      <c r="D1825" s="51"/>
      <c r="E1825" s="22"/>
      <c r="F1825" s="23"/>
      <c r="G1825" s="16">
        <f>TRUNC(SUM(G1822:G1824))</f>
        <v>908715</v>
      </c>
      <c r="H1825" s="23" t="s">
        <v>58</v>
      </c>
      <c r="I1825" s="16">
        <f>TRUNC(SUM(I1822:I1824))</f>
        <v>959887</v>
      </c>
      <c r="J1825" s="23"/>
      <c r="K1825" s="16">
        <f>TRUNC(SUM(K1822:K1824))</f>
        <v>1029106</v>
      </c>
    </row>
    <row r="1826" spans="2:13" ht="12.95" customHeight="1" x14ac:dyDescent="0.3">
      <c r="B1826" s="50"/>
      <c r="C1826" s="51"/>
      <c r="D1826" s="51"/>
      <c r="E1826" s="22"/>
      <c r="F1826" s="23"/>
      <c r="G1826" s="24"/>
      <c r="H1826" s="23"/>
      <c r="I1826" s="24"/>
      <c r="J1826" s="23"/>
      <c r="K1826" s="24"/>
    </row>
    <row r="1827" spans="2:13" ht="12.95" customHeight="1" x14ac:dyDescent="0.3">
      <c r="B1827" s="59" t="s">
        <v>2</v>
      </c>
      <c r="C1827" s="59" t="s">
        <v>129</v>
      </c>
      <c r="D1827" s="61" t="s">
        <v>17</v>
      </c>
      <c r="E1827" s="18">
        <v>33328</v>
      </c>
      <c r="F1827" s="25">
        <v>2.65</v>
      </c>
      <c r="G1827" s="3">
        <f t="shared" ref="G1827" si="712">TRUNC($E1827*F1827,1)</f>
        <v>88319.2</v>
      </c>
      <c r="H1827" s="25">
        <v>2.98</v>
      </c>
      <c r="I1827" s="3">
        <f t="shared" ref="I1827" si="713">TRUNC($E1827*H1827,1)</f>
        <v>99317.4</v>
      </c>
      <c r="J1827" s="25">
        <v>3.48</v>
      </c>
      <c r="K1827" s="3">
        <f t="shared" ref="K1827" si="714">TRUNC($E1827*J1827,1)</f>
        <v>115981.4</v>
      </c>
    </row>
    <row r="1828" spans="2:13" ht="12.95" customHeight="1" x14ac:dyDescent="0.3">
      <c r="B1828" s="46" t="s">
        <v>12</v>
      </c>
      <c r="C1828" s="51"/>
      <c r="D1828" s="51"/>
      <c r="E1828" s="62"/>
      <c r="F1828" s="15"/>
      <c r="G1828" s="16">
        <f>TRUNC(SUM(G1827:G1827))</f>
        <v>88319</v>
      </c>
      <c r="H1828" s="15"/>
      <c r="I1828" s="16">
        <f>TRUNC(SUM(I1827:I1827))</f>
        <v>99317</v>
      </c>
      <c r="J1828" s="15"/>
      <c r="K1828" s="16">
        <f>TRUNC(SUM(K1827:K1827))</f>
        <v>115981</v>
      </c>
    </row>
    <row r="1829" spans="2:13" ht="12.95" customHeight="1" x14ac:dyDescent="0.3">
      <c r="B1829" s="63"/>
      <c r="C1829" s="59"/>
      <c r="D1829" s="59"/>
      <c r="E1829" s="64"/>
      <c r="F1829" s="25"/>
      <c r="G1829" s="27"/>
      <c r="H1829" s="25"/>
      <c r="I1829" s="27"/>
      <c r="J1829" s="25"/>
      <c r="K1829" s="27"/>
    </row>
    <row r="1830" spans="2:13" ht="12.95" customHeight="1" x14ac:dyDescent="0.3">
      <c r="B1830" s="66" t="s">
        <v>13</v>
      </c>
      <c r="C1830" s="76"/>
      <c r="D1830" s="76"/>
      <c r="E1830" s="77"/>
      <c r="F1830" s="77"/>
      <c r="G1830" s="26">
        <f>SUM(G1820+G1825+G1828)</f>
        <v>1066668</v>
      </c>
      <c r="H1830" s="77"/>
      <c r="I1830" s="26">
        <f>SUM(I1820+I1825+I1828)</f>
        <v>1136270</v>
      </c>
      <c r="J1830" s="77"/>
      <c r="K1830" s="26">
        <f>SUM(K1820+K1825+K1828)</f>
        <v>1233247</v>
      </c>
    </row>
    <row r="1832" spans="2:13" ht="12.95" customHeight="1" x14ac:dyDescent="0.3">
      <c r="B1832" s="1" t="s">
        <v>131</v>
      </c>
      <c r="M1832" s="37" t="s">
        <v>123</v>
      </c>
    </row>
    <row r="1833" spans="2:13" ht="12.95" customHeight="1" x14ac:dyDescent="0.3">
      <c r="B1833" s="110" t="s">
        <v>3</v>
      </c>
      <c r="C1833" s="113" t="s">
        <v>7</v>
      </c>
      <c r="D1833" s="116" t="s">
        <v>8</v>
      </c>
      <c r="E1833" s="119" t="s">
        <v>4</v>
      </c>
      <c r="F1833" s="95" t="s">
        <v>132</v>
      </c>
      <c r="G1833" s="96"/>
      <c r="H1833" s="96"/>
      <c r="I1833" s="96"/>
      <c r="J1833" s="96"/>
      <c r="K1833" s="96"/>
      <c r="L1833" s="96"/>
      <c r="M1833" s="96"/>
    </row>
    <row r="1834" spans="2:13" ht="12.95" customHeight="1" x14ac:dyDescent="0.3">
      <c r="B1834" s="111"/>
      <c r="C1834" s="114"/>
      <c r="D1834" s="117"/>
      <c r="E1834" s="120"/>
      <c r="F1834" s="95" t="s">
        <v>35</v>
      </c>
      <c r="G1834" s="96"/>
      <c r="H1834" s="95" t="s">
        <v>36</v>
      </c>
      <c r="I1834" s="96"/>
      <c r="J1834" s="95" t="s">
        <v>37</v>
      </c>
      <c r="K1834" s="96"/>
      <c r="L1834" s="95" t="s">
        <v>39</v>
      </c>
      <c r="M1834" s="96"/>
    </row>
    <row r="1835" spans="2:13" ht="12.95" customHeight="1" x14ac:dyDescent="0.3">
      <c r="B1835" s="112"/>
      <c r="C1835" s="115"/>
      <c r="D1835" s="118"/>
      <c r="E1835" s="121"/>
      <c r="F1835" s="74" t="s">
        <v>5</v>
      </c>
      <c r="G1835" s="75" t="s">
        <v>6</v>
      </c>
      <c r="H1835" s="74" t="s">
        <v>5</v>
      </c>
      <c r="I1835" s="75" t="s">
        <v>6</v>
      </c>
      <c r="J1835" s="74" t="s">
        <v>5</v>
      </c>
      <c r="K1835" s="75" t="s">
        <v>6</v>
      </c>
      <c r="L1835" s="74" t="s">
        <v>5</v>
      </c>
      <c r="M1835" s="75" t="s">
        <v>6</v>
      </c>
    </row>
    <row r="1836" spans="2:13" ht="12.95" customHeight="1" x14ac:dyDescent="0.3">
      <c r="B1836" s="59" t="s">
        <v>2</v>
      </c>
      <c r="C1836" s="59" t="s">
        <v>14</v>
      </c>
      <c r="D1836" s="61" t="s">
        <v>17</v>
      </c>
      <c r="E1836" s="78">
        <v>9213</v>
      </c>
      <c r="F1836" s="25">
        <v>0.86</v>
      </c>
      <c r="G1836" s="3">
        <f t="shared" ref="G1836" si="715">TRUNC($E1836*F1836,1)</f>
        <v>7923.1</v>
      </c>
      <c r="H1836" s="25">
        <v>0.9</v>
      </c>
      <c r="I1836" s="3">
        <f t="shared" ref="I1836" si="716">TRUNC($E1836*H1836,1)</f>
        <v>8291.7000000000007</v>
      </c>
      <c r="J1836" s="25">
        <v>0.93</v>
      </c>
      <c r="K1836" s="3">
        <f t="shared" ref="K1836" si="717">TRUNC($E1836*J1836,1)</f>
        <v>8568</v>
      </c>
      <c r="L1836" s="25">
        <v>0.97</v>
      </c>
      <c r="M1836" s="3">
        <f t="shared" ref="M1836" si="718">TRUNC($E1836*L1836,1)</f>
        <v>8936.6</v>
      </c>
    </row>
    <row r="1837" spans="2:13" ht="12.95" customHeight="1" x14ac:dyDescent="0.3">
      <c r="B1837" s="46" t="s">
        <v>10</v>
      </c>
      <c r="C1837" s="51"/>
      <c r="D1837" s="51"/>
      <c r="E1837" s="22"/>
      <c r="F1837" s="23"/>
      <c r="G1837" s="16">
        <f>TRUNC(SUM(G1836:G1836))</f>
        <v>7923</v>
      </c>
      <c r="H1837" s="23"/>
      <c r="I1837" s="16">
        <f>TRUNC(SUM(I1836:I1836))</f>
        <v>8291</v>
      </c>
      <c r="J1837" s="23"/>
      <c r="K1837" s="16">
        <f>TRUNC(SUM(K1836:K1836))</f>
        <v>8568</v>
      </c>
      <c r="L1837" s="23"/>
      <c r="M1837" s="16">
        <f>TRUNC(SUM(M1836:M1836))</f>
        <v>8936</v>
      </c>
    </row>
    <row r="1838" spans="2:13" ht="12.95" customHeight="1" x14ac:dyDescent="0.3">
      <c r="B1838" s="50"/>
      <c r="C1838" s="51"/>
      <c r="D1838" s="51"/>
      <c r="E1838" s="22"/>
      <c r="F1838" s="23"/>
      <c r="G1838" s="24"/>
      <c r="H1838" s="23"/>
      <c r="I1838" s="24"/>
      <c r="J1838" s="23"/>
      <c r="K1838" s="24"/>
      <c r="L1838" s="23"/>
      <c r="M1838" s="24"/>
    </row>
    <row r="1839" spans="2:13" ht="12.95" customHeight="1" x14ac:dyDescent="0.3">
      <c r="B1839" s="52" t="s">
        <v>29</v>
      </c>
      <c r="C1839" s="53"/>
      <c r="D1839" s="54" t="s">
        <v>9</v>
      </c>
      <c r="E1839" s="55">
        <v>262580</v>
      </c>
      <c r="F1839" s="25">
        <v>0.19</v>
      </c>
      <c r="G1839" s="3">
        <f t="shared" ref="G1839:G1841" si="719">TRUNC($E1839*F1839,1)</f>
        <v>49890.2</v>
      </c>
      <c r="H1839" s="25">
        <v>0.21</v>
      </c>
      <c r="I1839" s="3">
        <f t="shared" ref="I1839:I1841" si="720">TRUNC($E1839*H1839,1)</f>
        <v>55141.8</v>
      </c>
      <c r="J1839" s="25">
        <v>0.23</v>
      </c>
      <c r="K1839" s="3">
        <f t="shared" ref="K1839:K1841" si="721">TRUNC($E1839*J1839,1)</f>
        <v>60393.4</v>
      </c>
      <c r="L1839" s="25">
        <v>0.39</v>
      </c>
      <c r="M1839" s="3">
        <f t="shared" ref="M1839:M1841" si="722">TRUNC($E1839*L1839,1)</f>
        <v>102406.2</v>
      </c>
    </row>
    <row r="1840" spans="2:13" ht="12.95" customHeight="1" x14ac:dyDescent="0.3">
      <c r="B1840" s="52" t="s">
        <v>1</v>
      </c>
      <c r="C1840" s="53"/>
      <c r="D1840" s="54" t="s">
        <v>9</v>
      </c>
      <c r="E1840" s="57">
        <v>172068</v>
      </c>
      <c r="F1840" s="25">
        <v>0.1</v>
      </c>
      <c r="G1840" s="3">
        <f t="shared" si="719"/>
        <v>17206.8</v>
      </c>
      <c r="H1840" s="25">
        <v>0.11</v>
      </c>
      <c r="I1840" s="3">
        <f t="shared" si="720"/>
        <v>18927.400000000001</v>
      </c>
      <c r="J1840" s="25">
        <v>0.12</v>
      </c>
      <c r="K1840" s="3">
        <f t="shared" si="721"/>
        <v>20648.099999999999</v>
      </c>
      <c r="L1840" s="25">
        <v>0.2</v>
      </c>
      <c r="M1840" s="3">
        <f t="shared" si="722"/>
        <v>34413.599999999999</v>
      </c>
    </row>
    <row r="1841" spans="2:13" ht="12.95" customHeight="1" x14ac:dyDescent="0.3">
      <c r="B1841" s="59" t="s">
        <v>2</v>
      </c>
      <c r="C1841" s="59" t="s">
        <v>14</v>
      </c>
      <c r="D1841" s="61" t="s">
        <v>17</v>
      </c>
      <c r="E1841" s="78">
        <v>49698</v>
      </c>
      <c r="F1841" s="25">
        <v>0.86</v>
      </c>
      <c r="G1841" s="3">
        <f t="shared" si="719"/>
        <v>42740.2</v>
      </c>
      <c r="H1841" s="25">
        <v>0.9</v>
      </c>
      <c r="I1841" s="3">
        <f t="shared" si="720"/>
        <v>44728.2</v>
      </c>
      <c r="J1841" s="25">
        <v>0.93</v>
      </c>
      <c r="K1841" s="3">
        <f t="shared" si="721"/>
        <v>46219.1</v>
      </c>
      <c r="L1841" s="25">
        <v>0.97</v>
      </c>
      <c r="M1841" s="3">
        <f t="shared" si="722"/>
        <v>48207</v>
      </c>
    </row>
    <row r="1842" spans="2:13" ht="12.95" customHeight="1" x14ac:dyDescent="0.3">
      <c r="B1842" s="58" t="s">
        <v>11</v>
      </c>
      <c r="C1842" s="51"/>
      <c r="D1842" s="51"/>
      <c r="E1842" s="22"/>
      <c r="F1842" s="23"/>
      <c r="G1842" s="16">
        <f>TRUNC(SUM(G1839:G1841))</f>
        <v>109837</v>
      </c>
      <c r="H1842" s="23"/>
      <c r="I1842" s="16">
        <f>TRUNC(SUM(I1839:I1841))</f>
        <v>118797</v>
      </c>
      <c r="J1842" s="23"/>
      <c r="K1842" s="16">
        <f>TRUNC(SUM(K1839:K1841))</f>
        <v>127260</v>
      </c>
      <c r="L1842" s="23"/>
      <c r="M1842" s="16">
        <f>TRUNC(SUM(M1839:M1841))</f>
        <v>185026</v>
      </c>
    </row>
    <row r="1843" spans="2:13" ht="12.95" customHeight="1" x14ac:dyDescent="0.3">
      <c r="B1843" s="50"/>
      <c r="C1843" s="51"/>
      <c r="D1843" s="51"/>
      <c r="E1843" s="22"/>
      <c r="F1843" s="23"/>
      <c r="G1843" s="24"/>
      <c r="H1843" s="23"/>
      <c r="I1843" s="24"/>
      <c r="J1843" s="23"/>
      <c r="K1843" s="24"/>
      <c r="L1843" s="23"/>
      <c r="M1843" s="24"/>
    </row>
    <row r="1844" spans="2:13" ht="12.95" customHeight="1" x14ac:dyDescent="0.3">
      <c r="B1844" s="59" t="s">
        <v>2</v>
      </c>
      <c r="C1844" s="59" t="s">
        <v>14</v>
      </c>
      <c r="D1844" s="61" t="s">
        <v>17</v>
      </c>
      <c r="E1844" s="78">
        <v>11117</v>
      </c>
      <c r="F1844" s="25">
        <v>0.86</v>
      </c>
      <c r="G1844" s="3">
        <f t="shared" ref="G1844" si="723">TRUNC($E1844*F1844,1)</f>
        <v>9560.6</v>
      </c>
      <c r="H1844" s="25">
        <v>0.9</v>
      </c>
      <c r="I1844" s="3">
        <f t="shared" ref="I1844" si="724">TRUNC($E1844*H1844,1)</f>
        <v>10005.299999999999</v>
      </c>
      <c r="J1844" s="25">
        <v>0.93</v>
      </c>
      <c r="K1844" s="3">
        <f t="shared" ref="K1844" si="725">TRUNC($E1844*J1844,1)</f>
        <v>10338.799999999999</v>
      </c>
      <c r="L1844" s="25">
        <v>0.97</v>
      </c>
      <c r="M1844" s="3">
        <f t="shared" ref="M1844" si="726">TRUNC($E1844*L1844,1)</f>
        <v>10783.4</v>
      </c>
    </row>
    <row r="1845" spans="2:13" ht="12.95" customHeight="1" x14ac:dyDescent="0.3">
      <c r="B1845" s="46" t="s">
        <v>12</v>
      </c>
      <c r="C1845" s="51"/>
      <c r="D1845" s="51"/>
      <c r="E1845" s="62"/>
      <c r="F1845" s="15"/>
      <c r="G1845" s="16">
        <f>TRUNC(SUM(G1844:G1844))</f>
        <v>9560</v>
      </c>
      <c r="H1845" s="15"/>
      <c r="I1845" s="16">
        <f>TRUNC(SUM(I1844:I1844))</f>
        <v>10005</v>
      </c>
      <c r="J1845" s="15"/>
      <c r="K1845" s="16">
        <f>TRUNC(SUM(K1844:K1844))</f>
        <v>10338</v>
      </c>
      <c r="L1845" s="15"/>
      <c r="M1845" s="16">
        <f>TRUNC(SUM(M1844:M1844))</f>
        <v>10783</v>
      </c>
    </row>
    <row r="1846" spans="2:13" ht="12.95" customHeight="1" x14ac:dyDescent="0.3">
      <c r="B1846" s="63"/>
      <c r="C1846" s="59"/>
      <c r="D1846" s="59"/>
      <c r="E1846" s="64"/>
      <c r="F1846" s="25"/>
      <c r="G1846" s="27"/>
      <c r="H1846" s="25"/>
      <c r="I1846" s="27"/>
      <c r="J1846" s="25"/>
      <c r="K1846" s="27"/>
      <c r="L1846" s="25"/>
      <c r="M1846" s="27"/>
    </row>
    <row r="1847" spans="2:13" ht="12.95" customHeight="1" x14ac:dyDescent="0.3">
      <c r="B1847" s="66" t="s">
        <v>13</v>
      </c>
      <c r="C1847" s="76"/>
      <c r="D1847" s="76"/>
      <c r="E1847" s="77"/>
      <c r="F1847" s="77"/>
      <c r="G1847" s="26">
        <f>SUM(G1837+G1842+G1845)</f>
        <v>127320</v>
      </c>
      <c r="H1847" s="77"/>
      <c r="I1847" s="26">
        <f>SUM(I1837+I1842+I1845)</f>
        <v>137093</v>
      </c>
      <c r="J1847" s="77"/>
      <c r="K1847" s="26">
        <f>SUM(K1837+K1842+K1845)</f>
        <v>146166</v>
      </c>
      <c r="L1847" s="77"/>
      <c r="M1847" s="26">
        <f>SUM(M1837+M1842+M1845)</f>
        <v>204745</v>
      </c>
    </row>
    <row r="1848" spans="2:13" ht="12.95" customHeight="1" x14ac:dyDescent="0.3">
      <c r="B1848" s="110" t="s">
        <v>3</v>
      </c>
      <c r="C1848" s="113" t="s">
        <v>7</v>
      </c>
      <c r="D1848" s="116" t="s">
        <v>8</v>
      </c>
      <c r="E1848" s="119" t="s">
        <v>4</v>
      </c>
      <c r="F1848" s="95" t="s">
        <v>132</v>
      </c>
      <c r="G1848" s="96"/>
      <c r="H1848" s="96"/>
      <c r="I1848" s="96"/>
      <c r="J1848" s="96"/>
      <c r="K1848" s="96"/>
      <c r="L1848" s="96"/>
      <c r="M1848" s="96"/>
    </row>
    <row r="1849" spans="2:13" ht="12.95" customHeight="1" x14ac:dyDescent="0.3">
      <c r="B1849" s="111"/>
      <c r="C1849" s="114"/>
      <c r="D1849" s="117"/>
      <c r="E1849" s="120"/>
      <c r="F1849" s="95" t="s">
        <v>40</v>
      </c>
      <c r="G1849" s="96"/>
      <c r="H1849" s="95" t="s">
        <v>41</v>
      </c>
      <c r="I1849" s="96"/>
      <c r="J1849" s="95" t="s">
        <v>43</v>
      </c>
      <c r="K1849" s="96"/>
      <c r="L1849" s="95" t="s">
        <v>44</v>
      </c>
      <c r="M1849" s="96"/>
    </row>
    <row r="1850" spans="2:13" ht="12.95" customHeight="1" x14ac:dyDescent="0.3">
      <c r="B1850" s="112"/>
      <c r="C1850" s="115"/>
      <c r="D1850" s="118"/>
      <c r="E1850" s="121"/>
      <c r="F1850" s="74" t="s">
        <v>5</v>
      </c>
      <c r="G1850" s="75" t="s">
        <v>6</v>
      </c>
      <c r="H1850" s="74" t="s">
        <v>5</v>
      </c>
      <c r="I1850" s="75" t="s">
        <v>6</v>
      </c>
      <c r="J1850" s="74" t="s">
        <v>5</v>
      </c>
      <c r="K1850" s="75" t="s">
        <v>6</v>
      </c>
      <c r="L1850" s="74" t="s">
        <v>5</v>
      </c>
      <c r="M1850" s="75" t="s">
        <v>6</v>
      </c>
    </row>
    <row r="1851" spans="2:13" ht="12.95" customHeight="1" x14ac:dyDescent="0.3">
      <c r="B1851" s="59" t="s">
        <v>2</v>
      </c>
      <c r="C1851" s="59" t="s">
        <v>14</v>
      </c>
      <c r="D1851" s="61" t="s">
        <v>17</v>
      </c>
      <c r="E1851" s="78">
        <v>9213</v>
      </c>
      <c r="F1851" s="25">
        <v>1.01</v>
      </c>
      <c r="G1851" s="3">
        <f t="shared" ref="G1851" si="727">TRUNC($E1851*F1851,1)</f>
        <v>9305.1</v>
      </c>
      <c r="H1851" s="25">
        <v>1.05</v>
      </c>
      <c r="I1851" s="3">
        <f t="shared" ref="I1851" si="728">TRUNC($E1851*H1851,1)</f>
        <v>9673.6</v>
      </c>
      <c r="J1851" s="25">
        <v>1.0900000000000001</v>
      </c>
      <c r="K1851" s="3">
        <f t="shared" ref="K1851" si="729">TRUNC($E1851*J1851,1)</f>
        <v>10042.1</v>
      </c>
      <c r="L1851" s="25">
        <v>1.17</v>
      </c>
      <c r="M1851" s="3">
        <f t="shared" ref="M1851" si="730">TRUNC($E1851*L1851,1)</f>
        <v>10779.2</v>
      </c>
    </row>
    <row r="1852" spans="2:13" ht="12.95" customHeight="1" x14ac:dyDescent="0.3">
      <c r="B1852" s="46" t="s">
        <v>10</v>
      </c>
      <c r="C1852" s="51"/>
      <c r="D1852" s="51"/>
      <c r="E1852" s="22"/>
      <c r="F1852" s="23"/>
      <c r="G1852" s="16">
        <f>TRUNC(SUM(G1851:G1851))</f>
        <v>9305</v>
      </c>
      <c r="H1852" s="23"/>
      <c r="I1852" s="16">
        <f>TRUNC(SUM(I1851:I1851))</f>
        <v>9673</v>
      </c>
      <c r="J1852" s="23"/>
      <c r="K1852" s="16">
        <f>TRUNC(SUM(K1851:K1851))</f>
        <v>10042</v>
      </c>
      <c r="L1852" s="23"/>
      <c r="M1852" s="16">
        <f>TRUNC(SUM(M1851:M1851))</f>
        <v>10779</v>
      </c>
    </row>
    <row r="1853" spans="2:13" ht="12.95" customHeight="1" x14ac:dyDescent="0.3">
      <c r="B1853" s="50"/>
      <c r="C1853" s="51"/>
      <c r="D1853" s="51"/>
      <c r="E1853" s="22"/>
      <c r="F1853" s="23"/>
      <c r="G1853" s="24"/>
      <c r="H1853" s="23"/>
      <c r="I1853" s="24"/>
      <c r="J1853" s="23"/>
      <c r="K1853" s="24"/>
      <c r="L1853" s="23"/>
      <c r="M1853" s="24"/>
    </row>
    <row r="1854" spans="2:13" ht="12.95" customHeight="1" x14ac:dyDescent="0.3">
      <c r="B1854" s="52" t="s">
        <v>29</v>
      </c>
      <c r="C1854" s="53"/>
      <c r="D1854" s="54" t="s">
        <v>9</v>
      </c>
      <c r="E1854" s="55">
        <v>262580</v>
      </c>
      <c r="F1854" s="25">
        <v>0.52</v>
      </c>
      <c r="G1854" s="3">
        <f t="shared" ref="G1854:G1856" si="731">TRUNC($E1854*F1854,1)</f>
        <v>136541.6</v>
      </c>
      <c r="H1854" s="25">
        <v>0.64</v>
      </c>
      <c r="I1854" s="3">
        <f t="shared" ref="I1854:I1856" si="732">TRUNC($E1854*H1854,1)</f>
        <v>168051.20000000001</v>
      </c>
      <c r="J1854" s="25">
        <v>0.74</v>
      </c>
      <c r="K1854" s="3">
        <f t="shared" ref="K1854:K1856" si="733">TRUNC($E1854*J1854,1)</f>
        <v>194309.2</v>
      </c>
      <c r="L1854" s="25">
        <v>0.93</v>
      </c>
      <c r="M1854" s="3">
        <f t="shared" ref="M1854:M1856" si="734">TRUNC($E1854*L1854,1)</f>
        <v>244199.4</v>
      </c>
    </row>
    <row r="1855" spans="2:13" ht="12.95" customHeight="1" x14ac:dyDescent="0.3">
      <c r="B1855" s="52" t="s">
        <v>1</v>
      </c>
      <c r="C1855" s="53"/>
      <c r="D1855" s="54" t="s">
        <v>9</v>
      </c>
      <c r="E1855" s="57">
        <v>172068</v>
      </c>
      <c r="F1855" s="25">
        <v>0.27</v>
      </c>
      <c r="G1855" s="3">
        <f t="shared" si="731"/>
        <v>46458.3</v>
      </c>
      <c r="H1855" s="25">
        <v>0.33</v>
      </c>
      <c r="I1855" s="3">
        <f t="shared" si="732"/>
        <v>56782.400000000001</v>
      </c>
      <c r="J1855" s="25">
        <v>0.39</v>
      </c>
      <c r="K1855" s="3">
        <f t="shared" si="733"/>
        <v>67106.5</v>
      </c>
      <c r="L1855" s="25">
        <v>0.49</v>
      </c>
      <c r="M1855" s="3">
        <f t="shared" si="734"/>
        <v>84313.3</v>
      </c>
    </row>
    <row r="1856" spans="2:13" ht="12.95" customHeight="1" x14ac:dyDescent="0.3">
      <c r="B1856" s="59" t="s">
        <v>2</v>
      </c>
      <c r="C1856" s="59" t="s">
        <v>14</v>
      </c>
      <c r="D1856" s="61" t="s">
        <v>17</v>
      </c>
      <c r="E1856" s="78">
        <v>49698</v>
      </c>
      <c r="F1856" s="25">
        <v>1.01</v>
      </c>
      <c r="G1856" s="3">
        <f t="shared" si="731"/>
        <v>50194.9</v>
      </c>
      <c r="H1856" s="25">
        <v>1.05</v>
      </c>
      <c r="I1856" s="3">
        <f t="shared" si="732"/>
        <v>52182.9</v>
      </c>
      <c r="J1856" s="25">
        <v>1.0900000000000001</v>
      </c>
      <c r="K1856" s="3">
        <f t="shared" si="733"/>
        <v>54170.8</v>
      </c>
      <c r="L1856" s="25">
        <v>1.17</v>
      </c>
      <c r="M1856" s="3">
        <f t="shared" si="734"/>
        <v>58146.6</v>
      </c>
    </row>
    <row r="1857" spans="2:13" ht="12.95" customHeight="1" x14ac:dyDescent="0.3">
      <c r="B1857" s="58" t="s">
        <v>11</v>
      </c>
      <c r="C1857" s="51"/>
      <c r="D1857" s="51"/>
      <c r="E1857" s="22"/>
      <c r="F1857" s="23"/>
      <c r="G1857" s="16">
        <f>TRUNC(SUM(G1854:G1856))</f>
        <v>233194</v>
      </c>
      <c r="H1857" s="23"/>
      <c r="I1857" s="16">
        <f>TRUNC(SUM(I1854:I1856))</f>
        <v>277016</v>
      </c>
      <c r="J1857" s="23"/>
      <c r="K1857" s="16">
        <f>TRUNC(SUM(K1854:K1856))</f>
        <v>315586</v>
      </c>
      <c r="L1857" s="23"/>
      <c r="M1857" s="16">
        <f>TRUNC(SUM(M1854:M1856))</f>
        <v>386659</v>
      </c>
    </row>
    <row r="1858" spans="2:13" ht="12.95" customHeight="1" x14ac:dyDescent="0.3">
      <c r="B1858" s="50"/>
      <c r="C1858" s="51"/>
      <c r="D1858" s="51"/>
      <c r="E1858" s="22"/>
      <c r="F1858" s="23"/>
      <c r="G1858" s="24"/>
      <c r="H1858" s="23"/>
      <c r="I1858" s="24"/>
      <c r="J1858" s="23"/>
      <c r="K1858" s="24"/>
      <c r="L1858" s="23"/>
      <c r="M1858" s="24"/>
    </row>
    <row r="1859" spans="2:13" ht="12.95" customHeight="1" x14ac:dyDescent="0.3">
      <c r="B1859" s="59" t="s">
        <v>2</v>
      </c>
      <c r="C1859" s="59" t="s">
        <v>14</v>
      </c>
      <c r="D1859" s="61" t="s">
        <v>17</v>
      </c>
      <c r="E1859" s="78">
        <v>11117</v>
      </c>
      <c r="F1859" s="25">
        <v>1.01</v>
      </c>
      <c r="G1859" s="3">
        <f t="shared" ref="G1859" si="735">TRUNC($E1859*F1859,1)</f>
        <v>11228.1</v>
      </c>
      <c r="H1859" s="25">
        <v>1.05</v>
      </c>
      <c r="I1859" s="3">
        <f t="shared" ref="I1859" si="736">TRUNC($E1859*H1859,1)</f>
        <v>11672.8</v>
      </c>
      <c r="J1859" s="25">
        <v>1.0900000000000001</v>
      </c>
      <c r="K1859" s="3">
        <f t="shared" ref="K1859" si="737">TRUNC($E1859*J1859,1)</f>
        <v>12117.5</v>
      </c>
      <c r="L1859" s="25">
        <v>1.17</v>
      </c>
      <c r="M1859" s="3">
        <f t="shared" ref="M1859" si="738">TRUNC($E1859*L1859,1)</f>
        <v>13006.8</v>
      </c>
    </row>
    <row r="1860" spans="2:13" ht="12.95" customHeight="1" x14ac:dyDescent="0.3">
      <c r="B1860" s="46" t="s">
        <v>12</v>
      </c>
      <c r="C1860" s="51"/>
      <c r="D1860" s="51"/>
      <c r="E1860" s="62"/>
      <c r="F1860" s="15"/>
      <c r="G1860" s="16">
        <f>TRUNC(SUM(G1859:G1859))</f>
        <v>11228</v>
      </c>
      <c r="H1860" s="15"/>
      <c r="I1860" s="16">
        <f>TRUNC(SUM(I1859:I1859))</f>
        <v>11672</v>
      </c>
      <c r="J1860" s="15"/>
      <c r="K1860" s="16">
        <f>TRUNC(SUM(K1859:K1859))</f>
        <v>12117</v>
      </c>
      <c r="L1860" s="15"/>
      <c r="M1860" s="16">
        <f>TRUNC(SUM(M1859:M1859))</f>
        <v>13006</v>
      </c>
    </row>
    <row r="1861" spans="2:13" ht="12.95" customHeight="1" x14ac:dyDescent="0.3">
      <c r="B1861" s="63"/>
      <c r="C1861" s="59"/>
      <c r="D1861" s="59"/>
      <c r="E1861" s="64"/>
      <c r="F1861" s="25"/>
      <c r="G1861" s="27"/>
      <c r="H1861" s="25"/>
      <c r="I1861" s="27"/>
      <c r="J1861" s="25"/>
      <c r="K1861" s="27"/>
      <c r="L1861" s="25"/>
      <c r="M1861" s="27"/>
    </row>
    <row r="1862" spans="2:13" ht="12.95" customHeight="1" x14ac:dyDescent="0.3">
      <c r="B1862" s="66" t="s">
        <v>13</v>
      </c>
      <c r="C1862" s="76"/>
      <c r="D1862" s="76"/>
      <c r="E1862" s="77"/>
      <c r="F1862" s="77"/>
      <c r="G1862" s="26">
        <f>SUM(G1852+G1857+G1860)</f>
        <v>253727</v>
      </c>
      <c r="H1862" s="77"/>
      <c r="I1862" s="26">
        <f>SUM(I1852+I1857+I1860)</f>
        <v>298361</v>
      </c>
      <c r="J1862" s="77"/>
      <c r="K1862" s="26">
        <f>SUM(K1852+K1857+K1860)</f>
        <v>337745</v>
      </c>
      <c r="L1862" s="77"/>
      <c r="M1862" s="26">
        <f>SUM(M1852+M1857+M1860)</f>
        <v>410444</v>
      </c>
    </row>
    <row r="1863" spans="2:13" ht="12.95" customHeight="1" x14ac:dyDescent="0.3">
      <c r="B1863" s="110" t="s">
        <v>3</v>
      </c>
      <c r="C1863" s="113" t="s">
        <v>7</v>
      </c>
      <c r="D1863" s="116" t="s">
        <v>8</v>
      </c>
      <c r="E1863" s="119" t="s">
        <v>4</v>
      </c>
      <c r="F1863" s="95" t="s">
        <v>132</v>
      </c>
      <c r="G1863" s="96"/>
      <c r="H1863" s="96"/>
      <c r="I1863" s="96"/>
    </row>
    <row r="1864" spans="2:13" ht="12.95" customHeight="1" x14ac:dyDescent="0.3">
      <c r="B1864" s="111"/>
      <c r="C1864" s="114"/>
      <c r="D1864" s="117"/>
      <c r="E1864" s="120"/>
      <c r="F1864" s="95" t="s">
        <v>46</v>
      </c>
      <c r="G1864" s="96"/>
      <c r="H1864" s="95" t="s">
        <v>48</v>
      </c>
      <c r="I1864" s="96"/>
    </row>
    <row r="1865" spans="2:13" ht="12.95" customHeight="1" x14ac:dyDescent="0.3">
      <c r="B1865" s="112"/>
      <c r="C1865" s="115"/>
      <c r="D1865" s="118"/>
      <c r="E1865" s="121"/>
      <c r="F1865" s="74" t="s">
        <v>5</v>
      </c>
      <c r="G1865" s="75" t="s">
        <v>6</v>
      </c>
      <c r="H1865" s="74" t="s">
        <v>5</v>
      </c>
      <c r="I1865" s="75" t="s">
        <v>6</v>
      </c>
    </row>
    <row r="1866" spans="2:13" ht="12.95" customHeight="1" x14ac:dyDescent="0.3">
      <c r="B1866" s="59" t="s">
        <v>2</v>
      </c>
      <c r="C1866" s="59" t="s">
        <v>33</v>
      </c>
      <c r="D1866" s="61" t="s">
        <v>17</v>
      </c>
      <c r="E1866" s="17">
        <v>18607</v>
      </c>
      <c r="F1866" s="25">
        <v>1.25</v>
      </c>
      <c r="G1866" s="3">
        <f t="shared" ref="G1866" si="739">TRUNC($E1866*F1866,1)</f>
        <v>23258.7</v>
      </c>
      <c r="H1866" s="25">
        <v>1.37</v>
      </c>
      <c r="I1866" s="3">
        <f t="shared" ref="I1866" si="740">TRUNC($E1866*H1866,1)</f>
        <v>25491.5</v>
      </c>
    </row>
    <row r="1867" spans="2:13" ht="12.95" customHeight="1" x14ac:dyDescent="0.3">
      <c r="B1867" s="46" t="s">
        <v>10</v>
      </c>
      <c r="C1867" s="51"/>
      <c r="D1867" s="51"/>
      <c r="E1867" s="22"/>
      <c r="F1867" s="23"/>
      <c r="G1867" s="16">
        <f>TRUNC(SUM(G1866:G1866))</f>
        <v>23258</v>
      </c>
      <c r="H1867" s="23"/>
      <c r="I1867" s="16">
        <f>TRUNC(SUM(I1866:I1866))</f>
        <v>25491</v>
      </c>
    </row>
    <row r="1868" spans="2:13" ht="12.95" customHeight="1" x14ac:dyDescent="0.3">
      <c r="B1868" s="50"/>
      <c r="C1868" s="51"/>
      <c r="D1868" s="51"/>
      <c r="E1868" s="22"/>
      <c r="F1868" s="23"/>
      <c r="G1868" s="24"/>
      <c r="H1868" s="23"/>
      <c r="I1868" s="24"/>
    </row>
    <row r="1869" spans="2:13" ht="12.95" customHeight="1" x14ac:dyDescent="0.3">
      <c r="B1869" s="52" t="s">
        <v>29</v>
      </c>
      <c r="C1869" s="53"/>
      <c r="D1869" s="54" t="s">
        <v>9</v>
      </c>
      <c r="E1869" s="55">
        <v>262580</v>
      </c>
      <c r="F1869" s="25">
        <v>1.08</v>
      </c>
      <c r="G1869" s="3">
        <f t="shared" ref="G1869:G1871" si="741">TRUNC($E1869*F1869,1)</f>
        <v>283586.40000000002</v>
      </c>
      <c r="H1869" s="25">
        <v>1.22</v>
      </c>
      <c r="I1869" s="3">
        <f t="shared" ref="I1869:I1871" si="742">TRUNC($E1869*H1869,1)</f>
        <v>320347.59999999998</v>
      </c>
    </row>
    <row r="1870" spans="2:13" ht="12.95" customHeight="1" x14ac:dyDescent="0.3">
      <c r="B1870" s="52" t="s">
        <v>1</v>
      </c>
      <c r="C1870" s="53"/>
      <c r="D1870" s="54" t="s">
        <v>9</v>
      </c>
      <c r="E1870" s="57">
        <v>172068</v>
      </c>
      <c r="F1870" s="25">
        <v>0.56000000000000005</v>
      </c>
      <c r="G1870" s="3">
        <f t="shared" si="741"/>
        <v>96358</v>
      </c>
      <c r="H1870" s="25">
        <v>0.57999999999999996</v>
      </c>
      <c r="I1870" s="3">
        <f t="shared" si="742"/>
        <v>99799.4</v>
      </c>
    </row>
    <row r="1871" spans="2:13" ht="12.95" customHeight="1" x14ac:dyDescent="0.3">
      <c r="B1871" s="59" t="s">
        <v>2</v>
      </c>
      <c r="C1871" s="59" t="s">
        <v>33</v>
      </c>
      <c r="D1871" s="61" t="s">
        <v>17</v>
      </c>
      <c r="E1871" s="17">
        <v>49698</v>
      </c>
      <c r="F1871" s="25">
        <v>1.25</v>
      </c>
      <c r="G1871" s="3">
        <f t="shared" si="741"/>
        <v>62122.5</v>
      </c>
      <c r="H1871" s="25">
        <v>1.37</v>
      </c>
      <c r="I1871" s="3">
        <f t="shared" si="742"/>
        <v>68086.2</v>
      </c>
    </row>
    <row r="1872" spans="2:13" ht="12.95" customHeight="1" x14ac:dyDescent="0.3">
      <c r="B1872" s="58" t="s">
        <v>11</v>
      </c>
      <c r="C1872" s="51"/>
      <c r="D1872" s="51"/>
      <c r="E1872" s="22"/>
      <c r="F1872" s="23"/>
      <c r="G1872" s="16">
        <f>TRUNC(SUM(G1869:G1871))</f>
        <v>442066</v>
      </c>
      <c r="H1872" s="23"/>
      <c r="I1872" s="16">
        <f>TRUNC(SUM(I1869:I1871))</f>
        <v>488233</v>
      </c>
    </row>
    <row r="1873" spans="2:11" ht="12.95" customHeight="1" x14ac:dyDescent="0.3">
      <c r="B1873" s="50"/>
      <c r="C1873" s="51"/>
      <c r="D1873" s="51"/>
      <c r="E1873" s="22"/>
      <c r="F1873" s="23"/>
      <c r="G1873" s="24"/>
      <c r="H1873" s="23"/>
      <c r="I1873" s="24"/>
    </row>
    <row r="1874" spans="2:11" ht="12.95" customHeight="1" x14ac:dyDescent="0.3">
      <c r="B1874" s="59" t="s">
        <v>2</v>
      </c>
      <c r="C1874" s="59" t="s">
        <v>33</v>
      </c>
      <c r="D1874" s="61" t="s">
        <v>17</v>
      </c>
      <c r="E1874" s="17">
        <v>23795</v>
      </c>
      <c r="F1874" s="25">
        <v>1.25</v>
      </c>
      <c r="G1874" s="3">
        <f t="shared" ref="G1874" si="743">TRUNC($E1874*F1874,1)</f>
        <v>29743.7</v>
      </c>
      <c r="H1874" s="25">
        <v>1.37</v>
      </c>
      <c r="I1874" s="3">
        <f t="shared" ref="I1874" si="744">TRUNC($E1874*H1874,1)</f>
        <v>32599.1</v>
      </c>
    </row>
    <row r="1875" spans="2:11" ht="12.95" customHeight="1" x14ac:dyDescent="0.3">
      <c r="B1875" s="46" t="s">
        <v>12</v>
      </c>
      <c r="C1875" s="51"/>
      <c r="D1875" s="51"/>
      <c r="E1875" s="62"/>
      <c r="F1875" s="15"/>
      <c r="G1875" s="16">
        <f>TRUNC(SUM(G1874:G1874))</f>
        <v>29743</v>
      </c>
      <c r="H1875" s="15"/>
      <c r="I1875" s="16">
        <f>TRUNC(SUM(I1874:I1874))</f>
        <v>32599</v>
      </c>
      <c r="K1875" s="9"/>
    </row>
    <row r="1876" spans="2:11" ht="12.95" customHeight="1" x14ac:dyDescent="0.3">
      <c r="B1876" s="63"/>
      <c r="C1876" s="59"/>
      <c r="D1876" s="59"/>
      <c r="E1876" s="64"/>
      <c r="F1876" s="25"/>
      <c r="G1876" s="27"/>
      <c r="H1876" s="25"/>
      <c r="I1876" s="27"/>
      <c r="J1876" s="9"/>
      <c r="K1876" s="9"/>
    </row>
    <row r="1877" spans="2:11" ht="12.95" customHeight="1" x14ac:dyDescent="0.3">
      <c r="B1877" s="66" t="s">
        <v>13</v>
      </c>
      <c r="C1877" s="76"/>
      <c r="D1877" s="76"/>
      <c r="E1877" s="77"/>
      <c r="F1877" s="77"/>
      <c r="G1877" s="26">
        <f>SUM(G1867+G1872+G1875)</f>
        <v>495067</v>
      </c>
      <c r="H1877" s="77"/>
      <c r="I1877" s="26">
        <f>SUM(I1867+I1872+I1875)</f>
        <v>546323</v>
      </c>
      <c r="J1877" s="9"/>
    </row>
    <row r="1878" spans="2:11" ht="12.95" customHeight="1" x14ac:dyDescent="0.3">
      <c r="B1878" s="110" t="s">
        <v>3</v>
      </c>
      <c r="C1878" s="113" t="s">
        <v>7</v>
      </c>
      <c r="D1878" s="116" t="s">
        <v>8</v>
      </c>
      <c r="E1878" s="119" t="s">
        <v>4</v>
      </c>
      <c r="F1878" s="95" t="s">
        <v>132</v>
      </c>
      <c r="G1878" s="96"/>
      <c r="H1878" s="96"/>
      <c r="I1878" s="96"/>
      <c r="J1878" s="96"/>
      <c r="K1878" s="96"/>
    </row>
    <row r="1879" spans="2:11" ht="12.95" customHeight="1" x14ac:dyDescent="0.3">
      <c r="B1879" s="111"/>
      <c r="C1879" s="114"/>
      <c r="D1879" s="117"/>
      <c r="E1879" s="120"/>
      <c r="F1879" s="95" t="s">
        <v>49</v>
      </c>
      <c r="G1879" s="96"/>
      <c r="H1879" s="95" t="s">
        <v>50</v>
      </c>
      <c r="I1879" s="96"/>
      <c r="J1879" s="95" t="s">
        <v>51</v>
      </c>
      <c r="K1879" s="96"/>
    </row>
    <row r="1880" spans="2:11" ht="12.95" customHeight="1" x14ac:dyDescent="0.3">
      <c r="B1880" s="112"/>
      <c r="C1880" s="115"/>
      <c r="D1880" s="118"/>
      <c r="E1880" s="121"/>
      <c r="F1880" s="74" t="s">
        <v>5</v>
      </c>
      <c r="G1880" s="75" t="s">
        <v>6</v>
      </c>
      <c r="H1880" s="74" t="s">
        <v>5</v>
      </c>
      <c r="I1880" s="75" t="s">
        <v>6</v>
      </c>
      <c r="J1880" s="74" t="s">
        <v>5</v>
      </c>
      <c r="K1880" s="75" t="s">
        <v>6</v>
      </c>
    </row>
    <row r="1881" spans="2:11" ht="12.95" customHeight="1" x14ac:dyDescent="0.3">
      <c r="B1881" s="59" t="s">
        <v>2</v>
      </c>
      <c r="C1881" s="59" t="s">
        <v>45</v>
      </c>
      <c r="D1881" s="61" t="s">
        <v>17</v>
      </c>
      <c r="E1881" s="17">
        <v>19871</v>
      </c>
      <c r="F1881" s="25">
        <v>1.5</v>
      </c>
      <c r="G1881" s="3">
        <f t="shared" ref="G1881" si="745">TRUNC($E1881*F1881,1)</f>
        <v>29806.5</v>
      </c>
      <c r="H1881" s="25">
        <v>1.54</v>
      </c>
      <c r="I1881" s="3">
        <f t="shared" ref="I1881" si="746">TRUNC($E1881*H1881,1)</f>
        <v>30601.3</v>
      </c>
      <c r="J1881" s="25">
        <v>1.78</v>
      </c>
      <c r="K1881" s="3">
        <f t="shared" ref="K1881" si="747">TRUNC($E1881*J1881,1)</f>
        <v>35370.300000000003</v>
      </c>
    </row>
    <row r="1882" spans="2:11" ht="12.95" customHeight="1" x14ac:dyDescent="0.3">
      <c r="B1882" s="46" t="s">
        <v>10</v>
      </c>
      <c r="C1882" s="51"/>
      <c r="D1882" s="51"/>
      <c r="E1882" s="22"/>
      <c r="F1882" s="23"/>
      <c r="G1882" s="16">
        <f>TRUNC(SUM(G1881:G1881))</f>
        <v>29806</v>
      </c>
      <c r="H1882" s="23"/>
      <c r="I1882" s="16">
        <f>TRUNC(SUM(I1881:I1881))</f>
        <v>30601</v>
      </c>
      <c r="J1882" s="23"/>
      <c r="K1882" s="16">
        <f>TRUNC(SUM(K1881:K1881))</f>
        <v>35370</v>
      </c>
    </row>
    <row r="1883" spans="2:11" ht="12.95" customHeight="1" x14ac:dyDescent="0.3">
      <c r="B1883" s="50"/>
      <c r="C1883" s="51"/>
      <c r="D1883" s="51"/>
      <c r="E1883" s="22"/>
      <c r="F1883" s="23"/>
      <c r="G1883" s="24"/>
      <c r="H1883" s="23"/>
      <c r="I1883" s="24"/>
      <c r="J1883" s="23"/>
      <c r="K1883" s="24"/>
    </row>
    <row r="1884" spans="2:11" ht="12.95" customHeight="1" x14ac:dyDescent="0.3">
      <c r="B1884" s="52" t="s">
        <v>29</v>
      </c>
      <c r="C1884" s="53"/>
      <c r="D1884" s="54" t="s">
        <v>9</v>
      </c>
      <c r="E1884" s="55">
        <v>262580</v>
      </c>
      <c r="F1884" s="25">
        <v>1.34</v>
      </c>
      <c r="G1884" s="3">
        <f t="shared" ref="G1884:G1886" si="748">TRUNC($E1884*F1884,1)</f>
        <v>351857.2</v>
      </c>
      <c r="H1884" s="25">
        <v>1.44</v>
      </c>
      <c r="I1884" s="3">
        <f t="shared" ref="I1884:I1886" si="749">TRUNC($E1884*H1884,1)</f>
        <v>378115.2</v>
      </c>
      <c r="J1884" s="25">
        <v>1.54</v>
      </c>
      <c r="K1884" s="3">
        <f t="shared" ref="K1884:K1886" si="750">TRUNC($E1884*J1884,1)</f>
        <v>404373.2</v>
      </c>
    </row>
    <row r="1885" spans="2:11" ht="12.95" customHeight="1" x14ac:dyDescent="0.3">
      <c r="B1885" s="52" t="s">
        <v>1</v>
      </c>
      <c r="C1885" s="53"/>
      <c r="D1885" s="54" t="s">
        <v>9</v>
      </c>
      <c r="E1885" s="57">
        <v>172068</v>
      </c>
      <c r="F1885" s="25">
        <v>0.63</v>
      </c>
      <c r="G1885" s="3">
        <f t="shared" si="748"/>
        <v>108402.8</v>
      </c>
      <c r="H1885" s="25">
        <v>0.68</v>
      </c>
      <c r="I1885" s="3">
        <f t="shared" si="749"/>
        <v>117006.2</v>
      </c>
      <c r="J1885" s="25">
        <v>0.75</v>
      </c>
      <c r="K1885" s="3">
        <f t="shared" si="750"/>
        <v>129051</v>
      </c>
    </row>
    <row r="1886" spans="2:11" ht="12.95" customHeight="1" x14ac:dyDescent="0.3">
      <c r="B1886" s="59" t="s">
        <v>2</v>
      </c>
      <c r="C1886" s="59" t="s">
        <v>45</v>
      </c>
      <c r="D1886" s="61" t="s">
        <v>17</v>
      </c>
      <c r="E1886" s="17">
        <v>49698</v>
      </c>
      <c r="F1886" s="25">
        <v>1.5</v>
      </c>
      <c r="G1886" s="3">
        <f t="shared" si="748"/>
        <v>74547</v>
      </c>
      <c r="H1886" s="25">
        <v>1.54</v>
      </c>
      <c r="I1886" s="3">
        <f t="shared" si="749"/>
        <v>76534.899999999994</v>
      </c>
      <c r="J1886" s="25">
        <v>1.78</v>
      </c>
      <c r="K1886" s="3">
        <f t="shared" si="750"/>
        <v>88462.399999999994</v>
      </c>
    </row>
    <row r="1887" spans="2:11" ht="12.95" customHeight="1" x14ac:dyDescent="0.3">
      <c r="B1887" s="58" t="s">
        <v>11</v>
      </c>
      <c r="C1887" s="51"/>
      <c r="D1887" s="51"/>
      <c r="E1887" s="22"/>
      <c r="F1887" s="23"/>
      <c r="G1887" s="16">
        <f>TRUNC(SUM(G1884:G1886))</f>
        <v>534807</v>
      </c>
      <c r="H1887" s="23" t="s">
        <v>58</v>
      </c>
      <c r="I1887" s="16">
        <f>TRUNC(SUM(I1884:I1886))</f>
        <v>571656</v>
      </c>
      <c r="J1887" s="23"/>
      <c r="K1887" s="16">
        <f>TRUNC(SUM(K1884:K1886))</f>
        <v>621886</v>
      </c>
    </row>
    <row r="1888" spans="2:11" ht="12.95" customHeight="1" x14ac:dyDescent="0.3">
      <c r="B1888" s="50"/>
      <c r="C1888" s="51"/>
      <c r="D1888" s="51"/>
      <c r="E1888" s="22"/>
      <c r="F1888" s="23"/>
      <c r="G1888" s="24"/>
      <c r="H1888" s="23"/>
      <c r="I1888" s="24"/>
      <c r="J1888" s="23"/>
      <c r="K1888" s="24"/>
    </row>
    <row r="1889" spans="2:11" ht="12.95" customHeight="1" x14ac:dyDescent="0.3">
      <c r="B1889" s="59" t="s">
        <v>2</v>
      </c>
      <c r="C1889" s="59" t="s">
        <v>45</v>
      </c>
      <c r="D1889" s="61" t="s">
        <v>17</v>
      </c>
      <c r="E1889" s="17">
        <v>31327</v>
      </c>
      <c r="F1889" s="25">
        <v>1.5</v>
      </c>
      <c r="G1889" s="3">
        <f t="shared" ref="G1889" si="751">TRUNC($E1889*F1889,1)</f>
        <v>46990.5</v>
      </c>
      <c r="H1889" s="25">
        <v>1.54</v>
      </c>
      <c r="I1889" s="3">
        <f t="shared" ref="I1889" si="752">TRUNC($E1889*H1889,1)</f>
        <v>48243.5</v>
      </c>
      <c r="J1889" s="25">
        <v>1.78</v>
      </c>
      <c r="K1889" s="3">
        <f t="shared" ref="K1889" si="753">TRUNC($E1889*J1889,1)</f>
        <v>55762</v>
      </c>
    </row>
    <row r="1890" spans="2:11" ht="12.95" customHeight="1" x14ac:dyDescent="0.3">
      <c r="B1890" s="46" t="s">
        <v>12</v>
      </c>
      <c r="C1890" s="51"/>
      <c r="D1890" s="51"/>
      <c r="E1890" s="62"/>
      <c r="F1890" s="15"/>
      <c r="G1890" s="16">
        <f>TRUNC(SUM(G1889:G1889))</f>
        <v>46990</v>
      </c>
      <c r="H1890" s="15"/>
      <c r="I1890" s="16">
        <f>TRUNC(SUM(I1889:I1889))</f>
        <v>48243</v>
      </c>
      <c r="J1890" s="15"/>
      <c r="K1890" s="16">
        <f>TRUNC(SUM(K1889:K1889))</f>
        <v>55762</v>
      </c>
    </row>
    <row r="1891" spans="2:11" ht="12.95" customHeight="1" x14ac:dyDescent="0.3">
      <c r="B1891" s="63"/>
      <c r="C1891" s="59"/>
      <c r="D1891" s="59"/>
      <c r="E1891" s="64"/>
      <c r="F1891" s="25"/>
      <c r="G1891" s="27"/>
      <c r="H1891" s="25"/>
      <c r="I1891" s="27"/>
      <c r="J1891" s="25"/>
      <c r="K1891" s="27"/>
    </row>
    <row r="1892" spans="2:11" ht="12.95" customHeight="1" x14ac:dyDescent="0.3">
      <c r="B1892" s="66" t="s">
        <v>13</v>
      </c>
      <c r="C1892" s="76"/>
      <c r="D1892" s="76"/>
      <c r="E1892" s="77"/>
      <c r="F1892" s="77"/>
      <c r="G1892" s="26">
        <f>SUM(G1882+G1887+G1890)</f>
        <v>611603</v>
      </c>
      <c r="H1892" s="77"/>
      <c r="I1892" s="26">
        <f>SUM(I1882+I1887+I1890)</f>
        <v>650500</v>
      </c>
      <c r="J1892" s="77"/>
      <c r="K1892" s="26">
        <f>SUM(K1882+K1887+K1890)</f>
        <v>713018</v>
      </c>
    </row>
    <row r="1893" spans="2:11" ht="12.95" customHeight="1" x14ac:dyDescent="0.3">
      <c r="B1893" s="110" t="s">
        <v>3</v>
      </c>
      <c r="C1893" s="113" t="s">
        <v>7</v>
      </c>
      <c r="D1893" s="116" t="s">
        <v>8</v>
      </c>
      <c r="E1893" s="119" t="s">
        <v>4</v>
      </c>
      <c r="F1893" s="95" t="s">
        <v>132</v>
      </c>
      <c r="G1893" s="96"/>
      <c r="H1893" s="96"/>
      <c r="I1893" s="96"/>
      <c r="J1893" s="96"/>
      <c r="K1893" s="96"/>
    </row>
    <row r="1894" spans="2:11" ht="12.95" customHeight="1" x14ac:dyDescent="0.3">
      <c r="B1894" s="111"/>
      <c r="C1894" s="114"/>
      <c r="D1894" s="117"/>
      <c r="E1894" s="120"/>
      <c r="F1894" s="95" t="s">
        <v>52</v>
      </c>
      <c r="G1894" s="96"/>
      <c r="H1894" s="95" t="s">
        <v>60</v>
      </c>
      <c r="I1894" s="96"/>
      <c r="J1894" s="95" t="s">
        <v>61</v>
      </c>
      <c r="K1894" s="96"/>
    </row>
    <row r="1895" spans="2:11" ht="12.95" customHeight="1" x14ac:dyDescent="0.3">
      <c r="B1895" s="112"/>
      <c r="C1895" s="115"/>
      <c r="D1895" s="118"/>
      <c r="E1895" s="121"/>
      <c r="F1895" s="74" t="s">
        <v>5</v>
      </c>
      <c r="G1895" s="75" t="s">
        <v>6</v>
      </c>
      <c r="H1895" s="74" t="s">
        <v>5</v>
      </c>
      <c r="I1895" s="75" t="s">
        <v>6</v>
      </c>
      <c r="J1895" s="74" t="s">
        <v>5</v>
      </c>
      <c r="K1895" s="75" t="s">
        <v>6</v>
      </c>
    </row>
    <row r="1896" spans="2:11" ht="12.95" customHeight="1" x14ac:dyDescent="0.3">
      <c r="B1896" s="59" t="s">
        <v>2</v>
      </c>
      <c r="C1896" s="59" t="s">
        <v>45</v>
      </c>
      <c r="D1896" s="61" t="s">
        <v>17</v>
      </c>
      <c r="E1896" s="17">
        <v>19871</v>
      </c>
      <c r="F1896" s="25">
        <v>1.82</v>
      </c>
      <c r="G1896" s="3">
        <f t="shared" ref="G1896" si="754">TRUNC($E1896*F1896,1)</f>
        <v>36165.199999999997</v>
      </c>
      <c r="H1896" s="25">
        <v>2.02</v>
      </c>
      <c r="I1896" s="3">
        <f t="shared" ref="I1896" si="755">TRUNC($E1896*H1896,1)</f>
        <v>40139.4</v>
      </c>
      <c r="J1896" s="25">
        <v>2.4300000000000002</v>
      </c>
      <c r="K1896" s="3">
        <f t="shared" ref="K1896" si="756">TRUNC($E1896*J1896,1)</f>
        <v>48286.5</v>
      </c>
    </row>
    <row r="1897" spans="2:11" ht="12.95" customHeight="1" x14ac:dyDescent="0.3">
      <c r="B1897" s="46" t="s">
        <v>10</v>
      </c>
      <c r="C1897" s="51"/>
      <c r="D1897" s="51"/>
      <c r="E1897" s="22"/>
      <c r="F1897" s="23"/>
      <c r="G1897" s="16">
        <f>TRUNC(SUM(G1896:G1896))</f>
        <v>36165</v>
      </c>
      <c r="H1897" s="23"/>
      <c r="I1897" s="16">
        <f>TRUNC(SUM(I1896:I1896))</f>
        <v>40139</v>
      </c>
      <c r="J1897" s="23"/>
      <c r="K1897" s="16">
        <f>TRUNC(SUM(K1896:K1896))</f>
        <v>48286</v>
      </c>
    </row>
    <row r="1898" spans="2:11" ht="12.95" customHeight="1" x14ac:dyDescent="0.3">
      <c r="B1898" s="50"/>
      <c r="C1898" s="51"/>
      <c r="D1898" s="51"/>
      <c r="E1898" s="22"/>
      <c r="F1898" s="23"/>
      <c r="G1898" s="24"/>
      <c r="H1898" s="23"/>
      <c r="I1898" s="24"/>
      <c r="J1898" s="23"/>
      <c r="K1898" s="24"/>
    </row>
    <row r="1899" spans="2:11" ht="12.95" customHeight="1" x14ac:dyDescent="0.3">
      <c r="B1899" s="52" t="s">
        <v>29</v>
      </c>
      <c r="C1899" s="53"/>
      <c r="D1899" s="54" t="s">
        <v>9</v>
      </c>
      <c r="E1899" s="55">
        <v>262580</v>
      </c>
      <c r="F1899" s="25">
        <v>1.63</v>
      </c>
      <c r="G1899" s="3">
        <f t="shared" ref="G1899:G1901" si="757">TRUNC($E1899*F1899,1)</f>
        <v>428005.4</v>
      </c>
      <c r="H1899" s="25">
        <v>1.74</v>
      </c>
      <c r="I1899" s="3">
        <f t="shared" ref="I1899:I1901" si="758">TRUNC($E1899*H1899,1)</f>
        <v>456889.2</v>
      </c>
      <c r="J1899" s="25">
        <v>1.85</v>
      </c>
      <c r="K1899" s="3">
        <f t="shared" ref="K1899:K1901" si="759">TRUNC($E1899*J1899,1)</f>
        <v>485773</v>
      </c>
    </row>
    <row r="1900" spans="2:11" ht="12.95" customHeight="1" x14ac:dyDescent="0.3">
      <c r="B1900" s="52" t="s">
        <v>1</v>
      </c>
      <c r="C1900" s="53"/>
      <c r="D1900" s="54" t="s">
        <v>9</v>
      </c>
      <c r="E1900" s="57">
        <v>172068</v>
      </c>
      <c r="F1900" s="25">
        <v>0.86</v>
      </c>
      <c r="G1900" s="3">
        <f t="shared" si="757"/>
        <v>147978.4</v>
      </c>
      <c r="H1900" s="25">
        <v>0.99</v>
      </c>
      <c r="I1900" s="3">
        <f t="shared" si="758"/>
        <v>170347.3</v>
      </c>
      <c r="J1900" s="25">
        <v>1.18</v>
      </c>
      <c r="K1900" s="3">
        <f t="shared" si="759"/>
        <v>203040.2</v>
      </c>
    </row>
    <row r="1901" spans="2:11" ht="12.95" customHeight="1" x14ac:dyDescent="0.3">
      <c r="B1901" s="59" t="s">
        <v>2</v>
      </c>
      <c r="C1901" s="59" t="s">
        <v>45</v>
      </c>
      <c r="D1901" s="61" t="s">
        <v>17</v>
      </c>
      <c r="E1901" s="17">
        <v>49698</v>
      </c>
      <c r="F1901" s="25">
        <v>1.82</v>
      </c>
      <c r="G1901" s="3">
        <f t="shared" si="757"/>
        <v>90450.3</v>
      </c>
      <c r="H1901" s="25">
        <v>2.02</v>
      </c>
      <c r="I1901" s="3">
        <f t="shared" si="758"/>
        <v>100389.9</v>
      </c>
      <c r="J1901" s="25">
        <v>2.4300000000000002</v>
      </c>
      <c r="K1901" s="3">
        <f t="shared" si="759"/>
        <v>120766.1</v>
      </c>
    </row>
    <row r="1902" spans="2:11" ht="12.95" customHeight="1" x14ac:dyDescent="0.3">
      <c r="B1902" s="58" t="s">
        <v>11</v>
      </c>
      <c r="C1902" s="51"/>
      <c r="D1902" s="51"/>
      <c r="E1902" s="22"/>
      <c r="F1902" s="23"/>
      <c r="G1902" s="16">
        <f>TRUNC(SUM(G1899:G1901))</f>
        <v>666434</v>
      </c>
      <c r="H1902" s="23"/>
      <c r="I1902" s="16">
        <f>TRUNC(SUM(I1899:I1901))</f>
        <v>727626</v>
      </c>
      <c r="J1902" s="23"/>
      <c r="K1902" s="16">
        <f>TRUNC(SUM(K1899:K1901))</f>
        <v>809579</v>
      </c>
    </row>
    <row r="1903" spans="2:11" ht="12.95" customHeight="1" x14ac:dyDescent="0.3">
      <c r="B1903" s="50"/>
      <c r="C1903" s="51"/>
      <c r="D1903" s="51"/>
      <c r="E1903" s="22"/>
      <c r="F1903" s="23"/>
      <c r="G1903" s="24"/>
      <c r="H1903" s="23"/>
      <c r="I1903" s="24"/>
      <c r="J1903" s="23"/>
      <c r="K1903" s="24"/>
    </row>
    <row r="1904" spans="2:11" ht="12.95" customHeight="1" x14ac:dyDescent="0.3">
      <c r="B1904" s="59" t="s">
        <v>2</v>
      </c>
      <c r="C1904" s="59" t="s">
        <v>45</v>
      </c>
      <c r="D1904" s="61" t="s">
        <v>17</v>
      </c>
      <c r="E1904" s="17">
        <v>31327</v>
      </c>
      <c r="F1904" s="25">
        <v>1.82</v>
      </c>
      <c r="G1904" s="3">
        <f t="shared" ref="G1904" si="760">TRUNC($E1904*F1904,1)</f>
        <v>57015.1</v>
      </c>
      <c r="H1904" s="25">
        <v>2.02</v>
      </c>
      <c r="I1904" s="3">
        <f t="shared" ref="I1904" si="761">TRUNC($E1904*H1904,1)</f>
        <v>63280.5</v>
      </c>
      <c r="J1904" s="25">
        <v>2.4300000000000002</v>
      </c>
      <c r="K1904" s="3">
        <f t="shared" ref="K1904" si="762">TRUNC($E1904*J1904,1)</f>
        <v>76124.600000000006</v>
      </c>
    </row>
    <row r="1905" spans="2:13" ht="12.95" customHeight="1" x14ac:dyDescent="0.3">
      <c r="B1905" s="46" t="s">
        <v>12</v>
      </c>
      <c r="C1905" s="51"/>
      <c r="D1905" s="51"/>
      <c r="E1905" s="62"/>
      <c r="F1905" s="15"/>
      <c r="G1905" s="16">
        <f>TRUNC(SUM(G1904:G1904))</f>
        <v>57015</v>
      </c>
      <c r="H1905" s="15"/>
      <c r="I1905" s="16">
        <f>TRUNC(SUM(I1904:I1904))</f>
        <v>63280</v>
      </c>
      <c r="J1905" s="15"/>
      <c r="K1905" s="16">
        <f>TRUNC(SUM(K1904:K1904))</f>
        <v>76124</v>
      </c>
    </row>
    <row r="1906" spans="2:13" ht="12.95" customHeight="1" x14ac:dyDescent="0.3">
      <c r="B1906" s="63"/>
      <c r="C1906" s="59"/>
      <c r="D1906" s="59"/>
      <c r="E1906" s="64"/>
      <c r="F1906" s="25"/>
      <c r="G1906" s="27"/>
      <c r="H1906" s="25"/>
      <c r="I1906" s="27"/>
      <c r="J1906" s="25"/>
      <c r="K1906" s="27"/>
    </row>
    <row r="1907" spans="2:13" ht="12.95" customHeight="1" x14ac:dyDescent="0.3">
      <c r="B1907" s="66" t="s">
        <v>13</v>
      </c>
      <c r="C1907" s="76"/>
      <c r="D1907" s="76"/>
      <c r="E1907" s="77"/>
      <c r="F1907" s="77"/>
      <c r="G1907" s="26">
        <f>SUM(G1897+G1902+G1905)</f>
        <v>759614</v>
      </c>
      <c r="H1907" s="77"/>
      <c r="I1907" s="26">
        <f>SUM(I1897+I1902+I1905)</f>
        <v>831045</v>
      </c>
      <c r="J1907" s="77"/>
      <c r="K1907" s="26">
        <f>SUM(K1897+K1902+K1905)</f>
        <v>933989</v>
      </c>
    </row>
    <row r="1908" spans="2:13" ht="12.95" customHeight="1" x14ac:dyDescent="0.3">
      <c r="B1908" s="110" t="s">
        <v>3</v>
      </c>
      <c r="C1908" s="113" t="s">
        <v>7</v>
      </c>
      <c r="D1908" s="116" t="s">
        <v>8</v>
      </c>
      <c r="E1908" s="119" t="s">
        <v>4</v>
      </c>
      <c r="F1908" s="95" t="s">
        <v>132</v>
      </c>
      <c r="G1908" s="96"/>
      <c r="H1908" s="96"/>
      <c r="I1908" s="96"/>
      <c r="J1908" s="96"/>
      <c r="K1908" s="96"/>
      <c r="L1908" s="96"/>
      <c r="M1908" s="96"/>
    </row>
    <row r="1909" spans="2:13" ht="12.95" customHeight="1" x14ac:dyDescent="0.3">
      <c r="B1909" s="111"/>
      <c r="C1909" s="114"/>
      <c r="D1909" s="117"/>
      <c r="E1909" s="120"/>
      <c r="F1909" s="95" t="s">
        <v>130</v>
      </c>
      <c r="G1909" s="96"/>
      <c r="H1909" s="95" t="s">
        <v>62</v>
      </c>
      <c r="I1909" s="96"/>
      <c r="J1909" s="95" t="s">
        <v>63</v>
      </c>
      <c r="K1909" s="96"/>
      <c r="L1909" s="95" t="s">
        <v>64</v>
      </c>
      <c r="M1909" s="96"/>
    </row>
    <row r="1910" spans="2:13" ht="12.95" customHeight="1" x14ac:dyDescent="0.3">
      <c r="B1910" s="112"/>
      <c r="C1910" s="115"/>
      <c r="D1910" s="118"/>
      <c r="E1910" s="121"/>
      <c r="F1910" s="74" t="s">
        <v>5</v>
      </c>
      <c r="G1910" s="75" t="s">
        <v>6</v>
      </c>
      <c r="H1910" s="74" t="s">
        <v>5</v>
      </c>
      <c r="I1910" s="75" t="s">
        <v>6</v>
      </c>
      <c r="J1910" s="74" t="s">
        <v>5</v>
      </c>
      <c r="K1910" s="75" t="s">
        <v>6</v>
      </c>
      <c r="L1910" s="74" t="s">
        <v>5</v>
      </c>
      <c r="M1910" s="75" t="s">
        <v>6</v>
      </c>
    </row>
    <row r="1911" spans="2:13" ht="12.95" customHeight="1" x14ac:dyDescent="0.3">
      <c r="B1911" s="59" t="s">
        <v>2</v>
      </c>
      <c r="C1911" s="59" t="s">
        <v>129</v>
      </c>
      <c r="D1911" s="61" t="s">
        <v>17</v>
      </c>
      <c r="E1911" s="18">
        <v>20413</v>
      </c>
      <c r="F1911" s="25">
        <v>2.44</v>
      </c>
      <c r="G1911" s="3">
        <f t="shared" ref="G1911" si="763">TRUNC($E1911*F1911,1)</f>
        <v>49807.7</v>
      </c>
      <c r="H1911" s="25">
        <v>2.5299999999999998</v>
      </c>
      <c r="I1911" s="3">
        <f t="shared" ref="I1911" si="764">TRUNC($E1911*H1911,1)</f>
        <v>51644.800000000003</v>
      </c>
      <c r="J1911" s="25">
        <v>2.82</v>
      </c>
      <c r="K1911" s="3">
        <f t="shared" ref="K1911" si="765">TRUNC($E1911*J1911,1)</f>
        <v>57564.6</v>
      </c>
      <c r="L1911" s="25">
        <v>3.24</v>
      </c>
      <c r="M1911" s="3">
        <f t="shared" ref="M1911" si="766">TRUNC($E1911*L1911,1)</f>
        <v>66138.100000000006</v>
      </c>
    </row>
    <row r="1912" spans="2:13" ht="12.95" customHeight="1" x14ac:dyDescent="0.3">
      <c r="B1912" s="46" t="s">
        <v>10</v>
      </c>
      <c r="C1912" s="51"/>
      <c r="D1912" s="51"/>
      <c r="E1912" s="22"/>
      <c r="F1912" s="23"/>
      <c r="G1912" s="16">
        <f>TRUNC(SUM(G1911:G1911))</f>
        <v>49807</v>
      </c>
      <c r="H1912" s="23"/>
      <c r="I1912" s="16">
        <f>TRUNC(SUM(I1911:I1911))</f>
        <v>51644</v>
      </c>
      <c r="J1912" s="23"/>
      <c r="K1912" s="16">
        <f>TRUNC(SUM(K1911:K1911))</f>
        <v>57564</v>
      </c>
      <c r="L1912" s="23"/>
      <c r="M1912" s="16">
        <f>TRUNC(SUM(M1911:M1911))</f>
        <v>66138</v>
      </c>
    </row>
    <row r="1913" spans="2:13" ht="12.95" customHeight="1" x14ac:dyDescent="0.3">
      <c r="B1913" s="50"/>
      <c r="C1913" s="51"/>
      <c r="D1913" s="51"/>
      <c r="E1913" s="22"/>
      <c r="F1913" s="23"/>
      <c r="G1913" s="24"/>
      <c r="H1913" s="23"/>
      <c r="I1913" s="24"/>
      <c r="J1913" s="23"/>
      <c r="K1913" s="24"/>
      <c r="L1913" s="23"/>
      <c r="M1913" s="24"/>
    </row>
    <row r="1914" spans="2:13" ht="12.95" customHeight="1" x14ac:dyDescent="0.3">
      <c r="B1914" s="52" t="s">
        <v>29</v>
      </c>
      <c r="C1914" s="53"/>
      <c r="D1914" s="54" t="s">
        <v>9</v>
      </c>
      <c r="E1914" s="55">
        <v>262580</v>
      </c>
      <c r="F1914" s="25">
        <v>1.92</v>
      </c>
      <c r="G1914" s="3">
        <f t="shared" ref="G1914:G1916" si="767">TRUNC($E1914*F1914,1)</f>
        <v>504153.59999999998</v>
      </c>
      <c r="H1914" s="25">
        <v>1.95</v>
      </c>
      <c r="I1914" s="3">
        <f t="shared" ref="I1914:I1916" si="768">TRUNC($E1914*H1914,1)</f>
        <v>512031</v>
      </c>
      <c r="J1914" s="25">
        <v>2.0299999999999998</v>
      </c>
      <c r="K1914" s="3">
        <f t="shared" ref="K1914:K1916" si="769">TRUNC($E1914*J1914,1)</f>
        <v>533037.4</v>
      </c>
      <c r="L1914" s="25">
        <v>2.14</v>
      </c>
      <c r="M1914" s="3">
        <f t="shared" ref="M1914:M1916" si="770">TRUNC($E1914*L1914,1)</f>
        <v>561921.19999999995</v>
      </c>
    </row>
    <row r="1915" spans="2:13" ht="12.95" customHeight="1" x14ac:dyDescent="0.3">
      <c r="B1915" s="52" t="s">
        <v>1</v>
      </c>
      <c r="C1915" s="53"/>
      <c r="D1915" s="54" t="s">
        <v>9</v>
      </c>
      <c r="E1915" s="57">
        <v>172068</v>
      </c>
      <c r="F1915" s="25">
        <v>1.23</v>
      </c>
      <c r="G1915" s="3">
        <f t="shared" si="767"/>
        <v>211643.6</v>
      </c>
      <c r="H1915" s="25">
        <v>1.26</v>
      </c>
      <c r="I1915" s="3">
        <f t="shared" si="768"/>
        <v>216805.6</v>
      </c>
      <c r="J1915" s="25">
        <v>1.37</v>
      </c>
      <c r="K1915" s="3">
        <f t="shared" si="769"/>
        <v>235733.1</v>
      </c>
      <c r="L1915" s="25">
        <v>1.5</v>
      </c>
      <c r="M1915" s="3">
        <f t="shared" si="770"/>
        <v>258102</v>
      </c>
    </row>
    <row r="1916" spans="2:13" ht="12.95" customHeight="1" x14ac:dyDescent="0.3">
      <c r="B1916" s="59" t="s">
        <v>2</v>
      </c>
      <c r="C1916" s="59" t="s">
        <v>129</v>
      </c>
      <c r="D1916" s="61" t="s">
        <v>17</v>
      </c>
      <c r="E1916" s="18">
        <v>49698</v>
      </c>
      <c r="F1916" s="25">
        <v>2.44</v>
      </c>
      <c r="G1916" s="3">
        <f t="shared" si="767"/>
        <v>121263.1</v>
      </c>
      <c r="H1916" s="25">
        <v>2.5299999999999998</v>
      </c>
      <c r="I1916" s="3">
        <f t="shared" si="768"/>
        <v>125735.9</v>
      </c>
      <c r="J1916" s="25">
        <v>2.82</v>
      </c>
      <c r="K1916" s="3">
        <f t="shared" si="769"/>
        <v>140148.29999999999</v>
      </c>
      <c r="L1916" s="25">
        <v>3.24</v>
      </c>
      <c r="M1916" s="3">
        <f t="shared" si="770"/>
        <v>161021.5</v>
      </c>
    </row>
    <row r="1917" spans="2:13" ht="12.95" customHeight="1" x14ac:dyDescent="0.3">
      <c r="B1917" s="58" t="s">
        <v>11</v>
      </c>
      <c r="C1917" s="51"/>
      <c r="D1917" s="51"/>
      <c r="E1917" s="22"/>
      <c r="F1917" s="23"/>
      <c r="G1917" s="16">
        <f>TRUNC(SUM(G1914:G1916))</f>
        <v>837060</v>
      </c>
      <c r="H1917" s="23"/>
      <c r="I1917" s="16">
        <f>TRUNC(SUM(I1914:I1916))</f>
        <v>854572</v>
      </c>
      <c r="J1917" s="23" t="s">
        <v>58</v>
      </c>
      <c r="K1917" s="16">
        <f>TRUNC(SUM(K1914:K1916))</f>
        <v>908918</v>
      </c>
      <c r="L1917" s="23"/>
      <c r="M1917" s="16">
        <f>TRUNC(SUM(M1914:M1916))</f>
        <v>981044</v>
      </c>
    </row>
    <row r="1918" spans="2:13" ht="12.95" customHeight="1" x14ac:dyDescent="0.3">
      <c r="B1918" s="50"/>
      <c r="C1918" s="51"/>
      <c r="D1918" s="51"/>
      <c r="E1918" s="22"/>
      <c r="F1918" s="23"/>
      <c r="G1918" s="24"/>
      <c r="H1918" s="23"/>
      <c r="I1918" s="24"/>
      <c r="J1918" s="23"/>
      <c r="K1918" s="24"/>
      <c r="L1918" s="23"/>
      <c r="M1918" s="24"/>
    </row>
    <row r="1919" spans="2:13" ht="12.95" customHeight="1" x14ac:dyDescent="0.3">
      <c r="B1919" s="59" t="s">
        <v>2</v>
      </c>
      <c r="C1919" s="59" t="s">
        <v>129</v>
      </c>
      <c r="D1919" s="61" t="s">
        <v>17</v>
      </c>
      <c r="E1919" s="18">
        <v>33328</v>
      </c>
      <c r="F1919" s="25">
        <v>2.44</v>
      </c>
      <c r="G1919" s="3">
        <f t="shared" ref="G1919" si="771">TRUNC($E1919*F1919,1)</f>
        <v>81320.3</v>
      </c>
      <c r="H1919" s="25">
        <v>2.5299999999999998</v>
      </c>
      <c r="I1919" s="3">
        <f t="shared" ref="I1919" si="772">TRUNC($E1919*H1919,1)</f>
        <v>84319.8</v>
      </c>
      <c r="J1919" s="25">
        <v>2.82</v>
      </c>
      <c r="K1919" s="3">
        <f t="shared" ref="K1919" si="773">TRUNC($E1919*J1919,1)</f>
        <v>93984.9</v>
      </c>
      <c r="L1919" s="25">
        <v>3.24</v>
      </c>
      <c r="M1919" s="3">
        <f t="shared" ref="M1919" si="774">TRUNC($E1919*L1919,1)</f>
        <v>107982.7</v>
      </c>
    </row>
    <row r="1920" spans="2:13" ht="12.95" customHeight="1" x14ac:dyDescent="0.3">
      <c r="B1920" s="46" t="s">
        <v>12</v>
      </c>
      <c r="C1920" s="51"/>
      <c r="D1920" s="51"/>
      <c r="E1920" s="62"/>
      <c r="F1920" s="15"/>
      <c r="G1920" s="16">
        <f>TRUNC(SUM(G1919:G1919))</f>
        <v>81320</v>
      </c>
      <c r="H1920" s="15"/>
      <c r="I1920" s="16">
        <f>TRUNC(SUM(I1919:I1919))</f>
        <v>84319</v>
      </c>
      <c r="J1920" s="15"/>
      <c r="K1920" s="16">
        <f>TRUNC(SUM(K1919:K1919))</f>
        <v>93984</v>
      </c>
      <c r="L1920" s="15"/>
      <c r="M1920" s="16">
        <f>TRUNC(SUM(M1919:M1919))</f>
        <v>107982</v>
      </c>
    </row>
    <row r="1921" spans="2:13" ht="12.95" customHeight="1" x14ac:dyDescent="0.3">
      <c r="B1921" s="63"/>
      <c r="C1921" s="59"/>
      <c r="D1921" s="59"/>
      <c r="E1921" s="64"/>
      <c r="F1921" s="25"/>
      <c r="G1921" s="27"/>
      <c r="H1921" s="25"/>
      <c r="I1921" s="27"/>
      <c r="J1921" s="25"/>
      <c r="K1921" s="27"/>
      <c r="L1921" s="25"/>
      <c r="M1921" s="27"/>
    </row>
    <row r="1922" spans="2:13" ht="12.95" customHeight="1" x14ac:dyDescent="0.3">
      <c r="B1922" s="66" t="s">
        <v>13</v>
      </c>
      <c r="C1922" s="76"/>
      <c r="D1922" s="76"/>
      <c r="E1922" s="77"/>
      <c r="F1922" s="77"/>
      <c r="G1922" s="26">
        <f>SUM(G1912+G1917+G1920)</f>
        <v>968187</v>
      </c>
      <c r="H1922" s="77"/>
      <c r="I1922" s="26">
        <f>SUM(I1912+I1917+I1920)</f>
        <v>990535</v>
      </c>
      <c r="J1922" s="77"/>
      <c r="K1922" s="26">
        <f>SUM(K1912+K1917+K1920)</f>
        <v>1060466</v>
      </c>
      <c r="L1922" s="77"/>
      <c r="M1922" s="26">
        <f>SUM(M1912+M1917+M1920)</f>
        <v>1155164</v>
      </c>
    </row>
    <row r="1923" spans="2:13" ht="12.95" customHeight="1" x14ac:dyDescent="0.3">
      <c r="B1923" s="110" t="s">
        <v>3</v>
      </c>
      <c r="C1923" s="113" t="s">
        <v>7</v>
      </c>
      <c r="D1923" s="116" t="s">
        <v>8</v>
      </c>
      <c r="E1923" s="119" t="s">
        <v>4</v>
      </c>
      <c r="F1923" s="95" t="s">
        <v>132</v>
      </c>
      <c r="G1923" s="96"/>
      <c r="H1923" s="96"/>
      <c r="I1923" s="96"/>
      <c r="J1923" s="96"/>
      <c r="K1923" s="96"/>
    </row>
    <row r="1924" spans="2:13" ht="12.95" customHeight="1" x14ac:dyDescent="0.3">
      <c r="B1924" s="111"/>
      <c r="C1924" s="114"/>
      <c r="D1924" s="117"/>
      <c r="E1924" s="120"/>
      <c r="F1924" s="95" t="s">
        <v>133</v>
      </c>
      <c r="G1924" s="96"/>
      <c r="H1924" s="95" t="s">
        <v>65</v>
      </c>
      <c r="I1924" s="96"/>
      <c r="J1924" s="95" t="s">
        <v>66</v>
      </c>
      <c r="K1924" s="96"/>
    </row>
    <row r="1925" spans="2:13" ht="12.95" customHeight="1" x14ac:dyDescent="0.3">
      <c r="B1925" s="112"/>
      <c r="C1925" s="115"/>
      <c r="D1925" s="118"/>
      <c r="E1925" s="121"/>
      <c r="F1925" s="74" t="s">
        <v>5</v>
      </c>
      <c r="G1925" s="75" t="s">
        <v>6</v>
      </c>
      <c r="H1925" s="74" t="s">
        <v>5</v>
      </c>
      <c r="I1925" s="75" t="s">
        <v>6</v>
      </c>
      <c r="J1925" s="74" t="s">
        <v>5</v>
      </c>
      <c r="K1925" s="75" t="s">
        <v>6</v>
      </c>
    </row>
    <row r="1926" spans="2:13" ht="12.95" customHeight="1" x14ac:dyDescent="0.3">
      <c r="B1926" s="59" t="s">
        <v>19</v>
      </c>
      <c r="C1926" s="59" t="s">
        <v>101</v>
      </c>
      <c r="D1926" s="61" t="s">
        <v>17</v>
      </c>
      <c r="E1926" s="18">
        <v>15536</v>
      </c>
      <c r="F1926" s="25">
        <v>3.46</v>
      </c>
      <c r="G1926" s="3">
        <f t="shared" ref="G1926" si="775">TRUNC($E1926*F1926,1)</f>
        <v>53754.5</v>
      </c>
      <c r="H1926" s="25">
        <v>3.7</v>
      </c>
      <c r="I1926" s="3">
        <f t="shared" ref="I1926" si="776">TRUNC($E1926*H1926,1)</f>
        <v>57483.199999999997</v>
      </c>
      <c r="J1926" s="25">
        <v>4.2</v>
      </c>
      <c r="K1926" s="3">
        <f t="shared" ref="K1926" si="777">TRUNC($E1926*J1926,1)</f>
        <v>65251.199999999997</v>
      </c>
    </row>
    <row r="1927" spans="2:13" ht="12.95" customHeight="1" x14ac:dyDescent="0.3">
      <c r="B1927" s="46" t="s">
        <v>10</v>
      </c>
      <c r="C1927" s="51"/>
      <c r="D1927" s="51"/>
      <c r="E1927" s="22"/>
      <c r="F1927" s="23"/>
      <c r="G1927" s="16">
        <f>TRUNC(SUM(G1926:G1926))</f>
        <v>53754</v>
      </c>
      <c r="H1927" s="23"/>
      <c r="I1927" s="16">
        <f>TRUNC(SUM(I1926:I1926))</f>
        <v>57483</v>
      </c>
      <c r="J1927" s="23"/>
      <c r="K1927" s="16">
        <f>TRUNC(SUM(K1926:K1926))</f>
        <v>65251</v>
      </c>
    </row>
    <row r="1928" spans="2:13" ht="12.95" customHeight="1" x14ac:dyDescent="0.3">
      <c r="B1928" s="50"/>
      <c r="C1928" s="51"/>
      <c r="D1928" s="51"/>
      <c r="E1928" s="22"/>
      <c r="F1928" s="23"/>
      <c r="G1928" s="24"/>
      <c r="H1928" s="23"/>
      <c r="I1928" s="24"/>
      <c r="J1928" s="23"/>
      <c r="K1928" s="24"/>
    </row>
    <row r="1929" spans="2:13" ht="12.95" customHeight="1" x14ac:dyDescent="0.3">
      <c r="B1929" s="52" t="s">
        <v>29</v>
      </c>
      <c r="C1929" s="53"/>
      <c r="D1929" s="54" t="s">
        <v>9</v>
      </c>
      <c r="E1929" s="55">
        <v>262580</v>
      </c>
      <c r="F1929" s="25">
        <v>2.19</v>
      </c>
      <c r="G1929" s="3">
        <f t="shared" ref="G1929:G1931" si="778">TRUNC($E1929*F1929,1)</f>
        <v>575050.19999999995</v>
      </c>
      <c r="H1929" s="25">
        <v>2.2400000000000002</v>
      </c>
      <c r="I1929" s="3">
        <f t="shared" ref="I1929:I1931" si="779">TRUNC($E1929*H1929,1)</f>
        <v>588179.19999999995</v>
      </c>
      <c r="J1929" s="25">
        <v>2.3199999999999998</v>
      </c>
      <c r="K1929" s="3">
        <f t="shared" ref="K1929:K1931" si="780">TRUNC($E1929*J1929,1)</f>
        <v>609185.6</v>
      </c>
    </row>
    <row r="1930" spans="2:13" ht="12.95" customHeight="1" x14ac:dyDescent="0.3">
      <c r="B1930" s="52" t="s">
        <v>1</v>
      </c>
      <c r="C1930" s="53"/>
      <c r="D1930" s="54" t="s">
        <v>9</v>
      </c>
      <c r="E1930" s="57">
        <v>172068</v>
      </c>
      <c r="F1930" s="25">
        <v>1.56</v>
      </c>
      <c r="G1930" s="3">
        <f t="shared" si="778"/>
        <v>268426</v>
      </c>
      <c r="H1930" s="25">
        <v>1.61</v>
      </c>
      <c r="I1930" s="3">
        <f t="shared" si="779"/>
        <v>277029.40000000002</v>
      </c>
      <c r="J1930" s="25">
        <v>1.72</v>
      </c>
      <c r="K1930" s="3">
        <f t="shared" si="780"/>
        <v>295956.90000000002</v>
      </c>
    </row>
    <row r="1931" spans="2:13" ht="12.95" customHeight="1" x14ac:dyDescent="0.3">
      <c r="B1931" s="59" t="s">
        <v>19</v>
      </c>
      <c r="C1931" s="59" t="s">
        <v>101</v>
      </c>
      <c r="D1931" s="61" t="s">
        <v>17</v>
      </c>
      <c r="E1931" s="18">
        <v>58925</v>
      </c>
      <c r="F1931" s="25">
        <v>3.46</v>
      </c>
      <c r="G1931" s="3">
        <f t="shared" si="778"/>
        <v>203880.5</v>
      </c>
      <c r="H1931" s="25">
        <v>3.7</v>
      </c>
      <c r="I1931" s="3">
        <f t="shared" si="779"/>
        <v>218022.5</v>
      </c>
      <c r="J1931" s="25">
        <v>4.2</v>
      </c>
      <c r="K1931" s="3">
        <f t="shared" si="780"/>
        <v>247485</v>
      </c>
    </row>
    <row r="1932" spans="2:13" ht="12.95" customHeight="1" x14ac:dyDescent="0.3">
      <c r="B1932" s="58" t="s">
        <v>11</v>
      </c>
      <c r="C1932" s="51"/>
      <c r="D1932" s="51"/>
      <c r="E1932" s="22"/>
      <c r="F1932" s="23"/>
      <c r="G1932" s="16">
        <f>TRUNC(SUM(G1929:G1931))</f>
        <v>1047356</v>
      </c>
      <c r="H1932" s="23"/>
      <c r="I1932" s="16">
        <f>TRUNC(SUM(I1929:I1931))</f>
        <v>1083231</v>
      </c>
      <c r="J1932" s="23"/>
      <c r="K1932" s="16">
        <f>TRUNC(SUM(K1929:K1931))</f>
        <v>1152627</v>
      </c>
    </row>
    <row r="1933" spans="2:13" ht="12.95" customHeight="1" x14ac:dyDescent="0.3">
      <c r="B1933" s="50"/>
      <c r="C1933" s="51"/>
      <c r="D1933" s="51"/>
      <c r="E1933" s="22"/>
      <c r="F1933" s="23"/>
      <c r="G1933" s="24"/>
      <c r="H1933" s="23"/>
      <c r="I1933" s="24"/>
      <c r="J1933" s="23"/>
      <c r="K1933" s="24"/>
    </row>
    <row r="1934" spans="2:13" ht="12.95" customHeight="1" x14ac:dyDescent="0.3">
      <c r="B1934" s="59" t="s">
        <v>19</v>
      </c>
      <c r="C1934" s="59" t="s">
        <v>101</v>
      </c>
      <c r="D1934" s="61" t="s">
        <v>17</v>
      </c>
      <c r="E1934" s="18">
        <v>26776</v>
      </c>
      <c r="F1934" s="25">
        <v>3.46</v>
      </c>
      <c r="G1934" s="3">
        <f t="shared" ref="G1934" si="781">TRUNC($E1934*F1934,1)</f>
        <v>92644.9</v>
      </c>
      <c r="H1934" s="25">
        <v>3.7</v>
      </c>
      <c r="I1934" s="3">
        <f t="shared" ref="I1934" si="782">TRUNC($E1934*H1934,1)</f>
        <v>99071.2</v>
      </c>
      <c r="J1934" s="25">
        <v>4.2</v>
      </c>
      <c r="K1934" s="3">
        <f t="shared" ref="K1934" si="783">TRUNC($E1934*J1934,1)</f>
        <v>112459.2</v>
      </c>
    </row>
    <row r="1935" spans="2:13" ht="12.95" customHeight="1" x14ac:dyDescent="0.3">
      <c r="B1935" s="46" t="s">
        <v>12</v>
      </c>
      <c r="C1935" s="51"/>
      <c r="D1935" s="51"/>
      <c r="E1935" s="62"/>
      <c r="F1935" s="15"/>
      <c r="G1935" s="16">
        <f>TRUNC(SUM(G1934:G1934))</f>
        <v>92644</v>
      </c>
      <c r="H1935" s="15"/>
      <c r="I1935" s="16">
        <f>TRUNC(SUM(I1934:I1934))</f>
        <v>99071</v>
      </c>
      <c r="J1935" s="15"/>
      <c r="K1935" s="16">
        <f>TRUNC(SUM(K1934:K1934))</f>
        <v>112459</v>
      </c>
    </row>
    <row r="1936" spans="2:13" ht="12.95" customHeight="1" x14ac:dyDescent="0.3">
      <c r="B1936" s="63"/>
      <c r="C1936" s="59"/>
      <c r="D1936" s="59"/>
      <c r="E1936" s="64"/>
      <c r="F1936" s="25"/>
      <c r="G1936" s="27"/>
      <c r="H1936" s="25"/>
      <c r="I1936" s="27"/>
      <c r="J1936" s="25"/>
      <c r="K1936" s="27"/>
    </row>
    <row r="1937" spans="2:11" ht="12.95" customHeight="1" x14ac:dyDescent="0.3">
      <c r="B1937" s="66" t="s">
        <v>13</v>
      </c>
      <c r="C1937" s="76"/>
      <c r="D1937" s="76"/>
      <c r="E1937" s="77"/>
      <c r="F1937" s="77"/>
      <c r="G1937" s="26">
        <f>SUM(G1927+G1932+G1935)</f>
        <v>1193754</v>
      </c>
      <c r="H1937" s="77"/>
      <c r="I1937" s="26">
        <f>SUM(I1927+I1932+I1935)</f>
        <v>1239785</v>
      </c>
      <c r="J1937" s="77"/>
      <c r="K1937" s="26">
        <f>SUM(K1927+K1932+K1935)</f>
        <v>1330337</v>
      </c>
    </row>
    <row r="1938" spans="2:11" ht="12.95" customHeight="1" x14ac:dyDescent="0.3">
      <c r="B1938" s="110" t="s">
        <v>3</v>
      </c>
      <c r="C1938" s="113" t="s">
        <v>7</v>
      </c>
      <c r="D1938" s="116" t="s">
        <v>8</v>
      </c>
      <c r="E1938" s="119" t="s">
        <v>4</v>
      </c>
      <c r="F1938" s="95" t="s">
        <v>134</v>
      </c>
      <c r="G1938" s="96"/>
      <c r="H1938" s="96"/>
      <c r="I1938" s="96"/>
      <c r="J1938" s="96"/>
      <c r="K1938" s="96"/>
    </row>
    <row r="1939" spans="2:11" ht="12.95" customHeight="1" x14ac:dyDescent="0.3">
      <c r="B1939" s="111"/>
      <c r="C1939" s="114"/>
      <c r="D1939" s="117"/>
      <c r="E1939" s="120"/>
      <c r="F1939" s="95" t="s">
        <v>35</v>
      </c>
      <c r="G1939" s="96"/>
      <c r="H1939" s="95" t="s">
        <v>36</v>
      </c>
      <c r="I1939" s="96"/>
      <c r="J1939" s="95" t="s">
        <v>37</v>
      </c>
      <c r="K1939" s="96"/>
    </row>
    <row r="1940" spans="2:11" ht="12.95" customHeight="1" x14ac:dyDescent="0.3">
      <c r="B1940" s="112"/>
      <c r="C1940" s="115"/>
      <c r="D1940" s="118"/>
      <c r="E1940" s="121"/>
      <c r="F1940" s="74" t="s">
        <v>5</v>
      </c>
      <c r="G1940" s="75" t="s">
        <v>6</v>
      </c>
      <c r="H1940" s="74" t="s">
        <v>5</v>
      </c>
      <c r="I1940" s="75" t="s">
        <v>6</v>
      </c>
      <c r="J1940" s="74" t="s">
        <v>5</v>
      </c>
      <c r="K1940" s="75" t="s">
        <v>6</v>
      </c>
    </row>
    <row r="1941" spans="2:11" ht="12.95" customHeight="1" x14ac:dyDescent="0.3">
      <c r="B1941" s="59" t="s">
        <v>2</v>
      </c>
      <c r="C1941" s="59" t="s">
        <v>14</v>
      </c>
      <c r="D1941" s="61" t="s">
        <v>17</v>
      </c>
      <c r="E1941" s="78">
        <v>9213</v>
      </c>
      <c r="F1941" s="25">
        <v>0.86</v>
      </c>
      <c r="G1941" s="3">
        <f t="shared" ref="G1941" si="784">TRUNC($E1941*F1941,1)</f>
        <v>7923.1</v>
      </c>
      <c r="H1941" s="25">
        <v>0.9</v>
      </c>
      <c r="I1941" s="3">
        <f t="shared" ref="I1941" si="785">TRUNC($E1941*H1941,1)</f>
        <v>8291.7000000000007</v>
      </c>
      <c r="J1941" s="25">
        <v>0.93</v>
      </c>
      <c r="K1941" s="3">
        <f t="shared" ref="K1941" si="786">TRUNC($E1941*J1941,1)</f>
        <v>8568</v>
      </c>
    </row>
    <row r="1942" spans="2:11" ht="12.95" customHeight="1" x14ac:dyDescent="0.3">
      <c r="B1942" s="46" t="s">
        <v>10</v>
      </c>
      <c r="C1942" s="51"/>
      <c r="D1942" s="51"/>
      <c r="E1942" s="22"/>
      <c r="F1942" s="23"/>
      <c r="G1942" s="16">
        <f>TRUNC(SUM(G1941:G1941))</f>
        <v>7923</v>
      </c>
      <c r="H1942" s="23"/>
      <c r="I1942" s="16">
        <f>TRUNC(SUM(I1941:I1941))</f>
        <v>8291</v>
      </c>
      <c r="J1942" s="23"/>
      <c r="K1942" s="16">
        <f>TRUNC(SUM(K1941:K1941))</f>
        <v>8568</v>
      </c>
    </row>
    <row r="1943" spans="2:11" ht="12.95" customHeight="1" x14ac:dyDescent="0.3">
      <c r="B1943" s="50"/>
      <c r="C1943" s="51"/>
      <c r="D1943" s="51"/>
      <c r="E1943" s="22"/>
      <c r="F1943" s="23"/>
      <c r="G1943" s="24"/>
      <c r="H1943" s="23"/>
      <c r="I1943" s="24"/>
      <c r="J1943" s="23"/>
      <c r="K1943" s="24"/>
    </row>
    <row r="1944" spans="2:11" ht="12.95" customHeight="1" x14ac:dyDescent="0.3">
      <c r="B1944" s="52" t="s">
        <v>29</v>
      </c>
      <c r="C1944" s="53"/>
      <c r="D1944" s="54" t="s">
        <v>9</v>
      </c>
      <c r="E1944" s="55">
        <v>262580</v>
      </c>
      <c r="F1944" s="25">
        <v>0.19</v>
      </c>
      <c r="G1944" s="3">
        <f t="shared" ref="G1944:G1946" si="787">TRUNC($E1944*F1944,1)</f>
        <v>49890.2</v>
      </c>
      <c r="H1944" s="25">
        <v>0.21</v>
      </c>
      <c r="I1944" s="3">
        <f t="shared" ref="I1944:I1946" si="788">TRUNC($E1944*H1944,1)</f>
        <v>55141.8</v>
      </c>
      <c r="J1944" s="25">
        <v>0.23</v>
      </c>
      <c r="K1944" s="3">
        <f t="shared" ref="K1944:K1946" si="789">TRUNC($E1944*J1944,1)</f>
        <v>60393.4</v>
      </c>
    </row>
    <row r="1945" spans="2:11" ht="12.95" customHeight="1" x14ac:dyDescent="0.3">
      <c r="B1945" s="52" t="s">
        <v>1</v>
      </c>
      <c r="C1945" s="53"/>
      <c r="D1945" s="54" t="s">
        <v>9</v>
      </c>
      <c r="E1945" s="57">
        <v>172068</v>
      </c>
      <c r="F1945" s="25">
        <v>0.1</v>
      </c>
      <c r="G1945" s="3">
        <f t="shared" si="787"/>
        <v>17206.8</v>
      </c>
      <c r="H1945" s="25">
        <v>0.11</v>
      </c>
      <c r="I1945" s="3">
        <f t="shared" si="788"/>
        <v>18927.400000000001</v>
      </c>
      <c r="J1945" s="25">
        <v>0.12</v>
      </c>
      <c r="K1945" s="3">
        <f t="shared" si="789"/>
        <v>20648.099999999999</v>
      </c>
    </row>
    <row r="1946" spans="2:11" ht="12.95" customHeight="1" x14ac:dyDescent="0.3">
      <c r="B1946" s="59" t="s">
        <v>2</v>
      </c>
      <c r="C1946" s="59" t="s">
        <v>14</v>
      </c>
      <c r="D1946" s="61" t="s">
        <v>17</v>
      </c>
      <c r="E1946" s="78">
        <v>49698</v>
      </c>
      <c r="F1946" s="25">
        <v>0.86</v>
      </c>
      <c r="G1946" s="3">
        <f t="shared" si="787"/>
        <v>42740.2</v>
      </c>
      <c r="H1946" s="25">
        <v>0.9</v>
      </c>
      <c r="I1946" s="3">
        <f t="shared" si="788"/>
        <v>44728.2</v>
      </c>
      <c r="J1946" s="25">
        <v>0.93</v>
      </c>
      <c r="K1946" s="3">
        <f t="shared" si="789"/>
        <v>46219.1</v>
      </c>
    </row>
    <row r="1947" spans="2:11" ht="12.95" customHeight="1" x14ac:dyDescent="0.3">
      <c r="B1947" s="58" t="s">
        <v>11</v>
      </c>
      <c r="C1947" s="51"/>
      <c r="D1947" s="51"/>
      <c r="E1947" s="22"/>
      <c r="F1947" s="23"/>
      <c r="G1947" s="16">
        <f>TRUNC(SUM(G1944:G1946))</f>
        <v>109837</v>
      </c>
      <c r="H1947" s="23"/>
      <c r="I1947" s="16">
        <f>TRUNC(SUM(I1944:I1946))</f>
        <v>118797</v>
      </c>
      <c r="J1947" s="23"/>
      <c r="K1947" s="16">
        <f>TRUNC(SUM(K1944:K1946))</f>
        <v>127260</v>
      </c>
    </row>
    <row r="1948" spans="2:11" ht="12.95" customHeight="1" x14ac:dyDescent="0.3">
      <c r="B1948" s="50"/>
      <c r="C1948" s="51"/>
      <c r="D1948" s="51"/>
      <c r="E1948" s="22"/>
      <c r="F1948" s="23"/>
      <c r="G1948" s="24"/>
      <c r="H1948" s="23"/>
      <c r="I1948" s="24"/>
      <c r="J1948" s="23"/>
      <c r="K1948" s="24"/>
    </row>
    <row r="1949" spans="2:11" ht="12.95" customHeight="1" x14ac:dyDescent="0.3">
      <c r="B1949" s="59" t="s">
        <v>2</v>
      </c>
      <c r="C1949" s="59" t="s">
        <v>14</v>
      </c>
      <c r="D1949" s="61" t="s">
        <v>17</v>
      </c>
      <c r="E1949" s="78">
        <v>11117</v>
      </c>
      <c r="F1949" s="25">
        <v>0.86</v>
      </c>
      <c r="G1949" s="3">
        <f t="shared" ref="G1949" si="790">TRUNC($E1949*F1949,1)</f>
        <v>9560.6</v>
      </c>
      <c r="H1949" s="25">
        <v>0.9</v>
      </c>
      <c r="I1949" s="3">
        <f t="shared" ref="I1949" si="791">TRUNC($E1949*H1949,1)</f>
        <v>10005.299999999999</v>
      </c>
      <c r="J1949" s="25">
        <v>0.93</v>
      </c>
      <c r="K1949" s="3">
        <f t="shared" ref="K1949" si="792">TRUNC($E1949*J1949,1)</f>
        <v>10338.799999999999</v>
      </c>
    </row>
    <row r="1950" spans="2:11" ht="12.95" customHeight="1" x14ac:dyDescent="0.3">
      <c r="B1950" s="46" t="s">
        <v>12</v>
      </c>
      <c r="C1950" s="51"/>
      <c r="D1950" s="51"/>
      <c r="E1950" s="62"/>
      <c r="F1950" s="15"/>
      <c r="G1950" s="16">
        <f>TRUNC(SUM(G1949:G1949))</f>
        <v>9560</v>
      </c>
      <c r="H1950" s="15"/>
      <c r="I1950" s="16">
        <f>TRUNC(SUM(I1949:I1949))</f>
        <v>10005</v>
      </c>
      <c r="J1950" s="15"/>
      <c r="K1950" s="16">
        <f>TRUNC(SUM(K1949:K1949))</f>
        <v>10338</v>
      </c>
    </row>
    <row r="1951" spans="2:11" ht="12.95" customHeight="1" x14ac:dyDescent="0.3">
      <c r="B1951" s="63"/>
      <c r="C1951" s="59"/>
      <c r="D1951" s="59"/>
      <c r="E1951" s="64"/>
      <c r="F1951" s="25"/>
      <c r="G1951" s="27"/>
      <c r="H1951" s="25"/>
      <c r="I1951" s="27"/>
      <c r="J1951" s="25"/>
      <c r="K1951" s="27"/>
    </row>
    <row r="1952" spans="2:11" ht="12.95" customHeight="1" x14ac:dyDescent="0.3">
      <c r="B1952" s="66" t="s">
        <v>13</v>
      </c>
      <c r="C1952" s="76"/>
      <c r="D1952" s="76"/>
      <c r="E1952" s="77"/>
      <c r="F1952" s="77"/>
      <c r="G1952" s="26">
        <f>SUM(G1942+G1947+G1950)</f>
        <v>127320</v>
      </c>
      <c r="H1952" s="77"/>
      <c r="I1952" s="26">
        <f>SUM(I1942+I1947+I1950)</f>
        <v>137093</v>
      </c>
      <c r="J1952" s="77"/>
      <c r="K1952" s="26">
        <f>SUM(K1942+K1947+K1950)</f>
        <v>146166</v>
      </c>
    </row>
    <row r="1953" spans="2:11" ht="12.95" customHeight="1" x14ac:dyDescent="0.3">
      <c r="B1953" s="110" t="s">
        <v>3</v>
      </c>
      <c r="C1953" s="113" t="s">
        <v>7</v>
      </c>
      <c r="D1953" s="116" t="s">
        <v>8</v>
      </c>
      <c r="E1953" s="119" t="s">
        <v>4</v>
      </c>
      <c r="F1953" s="95" t="s">
        <v>134</v>
      </c>
      <c r="G1953" s="96"/>
      <c r="H1953" s="96"/>
      <c r="I1953" s="96"/>
      <c r="J1953" s="96"/>
      <c r="K1953" s="96"/>
    </row>
    <row r="1954" spans="2:11" ht="12.95" customHeight="1" x14ac:dyDescent="0.3">
      <c r="B1954" s="111"/>
      <c r="C1954" s="114"/>
      <c r="D1954" s="117"/>
      <c r="E1954" s="120"/>
      <c r="F1954" s="95" t="s">
        <v>39</v>
      </c>
      <c r="G1954" s="96"/>
      <c r="H1954" s="95" t="s">
        <v>40</v>
      </c>
      <c r="I1954" s="96"/>
      <c r="J1954" s="95" t="s">
        <v>41</v>
      </c>
      <c r="K1954" s="96"/>
    </row>
    <row r="1955" spans="2:11" ht="12.95" customHeight="1" x14ac:dyDescent="0.3">
      <c r="B1955" s="112"/>
      <c r="C1955" s="115"/>
      <c r="D1955" s="118"/>
      <c r="E1955" s="121"/>
      <c r="F1955" s="74" t="s">
        <v>5</v>
      </c>
      <c r="G1955" s="75" t="s">
        <v>6</v>
      </c>
      <c r="H1955" s="74" t="s">
        <v>5</v>
      </c>
      <c r="I1955" s="75" t="s">
        <v>6</v>
      </c>
      <c r="J1955" s="74" t="s">
        <v>5</v>
      </c>
      <c r="K1955" s="75" t="s">
        <v>6</v>
      </c>
    </row>
    <row r="1956" spans="2:11" ht="12.95" customHeight="1" x14ac:dyDescent="0.3">
      <c r="B1956" s="59" t="s">
        <v>2</v>
      </c>
      <c r="C1956" s="59" t="s">
        <v>14</v>
      </c>
      <c r="D1956" s="61" t="s">
        <v>17</v>
      </c>
      <c r="E1956" s="78">
        <v>9213</v>
      </c>
      <c r="F1956" s="25">
        <v>0.97</v>
      </c>
      <c r="G1956" s="3">
        <f t="shared" ref="G1956" si="793">TRUNC($E1956*F1956,1)</f>
        <v>8936.6</v>
      </c>
      <c r="H1956" s="25">
        <v>1.01</v>
      </c>
      <c r="I1956" s="3">
        <f t="shared" ref="I1956" si="794">TRUNC($E1956*H1956,1)</f>
        <v>9305.1</v>
      </c>
      <c r="J1956" s="25">
        <v>1.05</v>
      </c>
      <c r="K1956" s="3">
        <f t="shared" ref="K1956" si="795">TRUNC($E1956*J1956,1)</f>
        <v>9673.6</v>
      </c>
    </row>
    <row r="1957" spans="2:11" ht="12.95" customHeight="1" x14ac:dyDescent="0.3">
      <c r="B1957" s="46" t="s">
        <v>10</v>
      </c>
      <c r="C1957" s="51"/>
      <c r="D1957" s="51"/>
      <c r="E1957" s="22"/>
      <c r="F1957" s="23"/>
      <c r="G1957" s="16">
        <f>TRUNC(SUM(G1956:G1956))</f>
        <v>8936</v>
      </c>
      <c r="H1957" s="23"/>
      <c r="I1957" s="16">
        <f>TRUNC(SUM(I1956:I1956))</f>
        <v>9305</v>
      </c>
      <c r="J1957" s="23"/>
      <c r="K1957" s="16">
        <f>TRUNC(SUM(K1956:K1956))</f>
        <v>9673</v>
      </c>
    </row>
    <row r="1958" spans="2:11" ht="12.95" customHeight="1" x14ac:dyDescent="0.3">
      <c r="B1958" s="50"/>
      <c r="C1958" s="51"/>
      <c r="D1958" s="51"/>
      <c r="E1958" s="22"/>
      <c r="F1958" s="23"/>
      <c r="G1958" s="24"/>
      <c r="H1958" s="23"/>
      <c r="I1958" s="24"/>
      <c r="J1958" s="23"/>
      <c r="K1958" s="24"/>
    </row>
    <row r="1959" spans="2:11" ht="12.95" customHeight="1" x14ac:dyDescent="0.3">
      <c r="B1959" s="52" t="s">
        <v>29</v>
      </c>
      <c r="C1959" s="53"/>
      <c r="D1959" s="54" t="s">
        <v>9</v>
      </c>
      <c r="E1959" s="55">
        <v>262580</v>
      </c>
      <c r="F1959" s="25">
        <v>0.39</v>
      </c>
      <c r="G1959" s="3">
        <f t="shared" ref="G1959:G1961" si="796">TRUNC($E1959*F1959,1)</f>
        <v>102406.2</v>
      </c>
      <c r="H1959" s="25">
        <v>0.52</v>
      </c>
      <c r="I1959" s="3">
        <f t="shared" ref="I1959:I1961" si="797">TRUNC($E1959*H1959,1)</f>
        <v>136541.6</v>
      </c>
      <c r="J1959" s="25">
        <v>0.64</v>
      </c>
      <c r="K1959" s="3">
        <f t="shared" ref="K1959:K1961" si="798">TRUNC($E1959*J1959,1)</f>
        <v>168051.20000000001</v>
      </c>
    </row>
    <row r="1960" spans="2:11" ht="12.95" customHeight="1" x14ac:dyDescent="0.3">
      <c r="B1960" s="52" t="s">
        <v>1</v>
      </c>
      <c r="C1960" s="53"/>
      <c r="D1960" s="54" t="s">
        <v>9</v>
      </c>
      <c r="E1960" s="57">
        <v>172068</v>
      </c>
      <c r="F1960" s="25">
        <v>0.2</v>
      </c>
      <c r="G1960" s="3">
        <f t="shared" si="796"/>
        <v>34413.599999999999</v>
      </c>
      <c r="H1960" s="25">
        <v>0.27</v>
      </c>
      <c r="I1960" s="3">
        <f t="shared" si="797"/>
        <v>46458.3</v>
      </c>
      <c r="J1960" s="25">
        <v>0.33</v>
      </c>
      <c r="K1960" s="3">
        <f t="shared" si="798"/>
        <v>56782.400000000001</v>
      </c>
    </row>
    <row r="1961" spans="2:11" ht="12.95" customHeight="1" x14ac:dyDescent="0.3">
      <c r="B1961" s="59" t="s">
        <v>2</v>
      </c>
      <c r="C1961" s="59" t="s">
        <v>14</v>
      </c>
      <c r="D1961" s="61" t="s">
        <v>17</v>
      </c>
      <c r="E1961" s="78">
        <v>49698</v>
      </c>
      <c r="F1961" s="25">
        <v>0.97</v>
      </c>
      <c r="G1961" s="3">
        <f t="shared" si="796"/>
        <v>48207</v>
      </c>
      <c r="H1961" s="25">
        <v>1.01</v>
      </c>
      <c r="I1961" s="3">
        <f t="shared" si="797"/>
        <v>50194.9</v>
      </c>
      <c r="J1961" s="25">
        <v>1.05</v>
      </c>
      <c r="K1961" s="3">
        <f t="shared" si="798"/>
        <v>52182.9</v>
      </c>
    </row>
    <row r="1962" spans="2:11" ht="12.95" customHeight="1" x14ac:dyDescent="0.3">
      <c r="B1962" s="58" t="s">
        <v>11</v>
      </c>
      <c r="C1962" s="51"/>
      <c r="D1962" s="51"/>
      <c r="E1962" s="22"/>
      <c r="F1962" s="23"/>
      <c r="G1962" s="16">
        <f>TRUNC(SUM(G1959:G1961))</f>
        <v>185026</v>
      </c>
      <c r="H1962" s="23"/>
      <c r="I1962" s="16">
        <f>TRUNC(SUM(I1959:I1961))</f>
        <v>233194</v>
      </c>
      <c r="J1962" s="23"/>
      <c r="K1962" s="16">
        <f>TRUNC(SUM(K1959:K1961))</f>
        <v>277016</v>
      </c>
    </row>
    <row r="1963" spans="2:11" ht="12.95" customHeight="1" x14ac:dyDescent="0.3">
      <c r="B1963" s="50"/>
      <c r="C1963" s="51"/>
      <c r="D1963" s="51"/>
      <c r="E1963" s="22"/>
      <c r="F1963" s="23"/>
      <c r="G1963" s="24"/>
      <c r="H1963" s="23"/>
      <c r="I1963" s="24"/>
      <c r="J1963" s="23"/>
      <c r="K1963" s="24"/>
    </row>
    <row r="1964" spans="2:11" ht="12.95" customHeight="1" x14ac:dyDescent="0.3">
      <c r="B1964" s="59" t="s">
        <v>2</v>
      </c>
      <c r="C1964" s="59" t="s">
        <v>14</v>
      </c>
      <c r="D1964" s="61" t="s">
        <v>17</v>
      </c>
      <c r="E1964" s="78">
        <v>11117</v>
      </c>
      <c r="F1964" s="25">
        <v>0.97</v>
      </c>
      <c r="G1964" s="3">
        <f t="shared" ref="G1964" si="799">TRUNC($E1964*F1964,1)</f>
        <v>10783.4</v>
      </c>
      <c r="H1964" s="25">
        <v>1.01</v>
      </c>
      <c r="I1964" s="3">
        <f t="shared" ref="I1964" si="800">TRUNC($E1964*H1964,1)</f>
        <v>11228.1</v>
      </c>
      <c r="J1964" s="25">
        <v>1.05</v>
      </c>
      <c r="K1964" s="3">
        <f t="shared" ref="K1964" si="801">TRUNC($E1964*J1964,1)</f>
        <v>11672.8</v>
      </c>
    </row>
    <row r="1965" spans="2:11" ht="12.95" customHeight="1" x14ac:dyDescent="0.3">
      <c r="B1965" s="46" t="s">
        <v>12</v>
      </c>
      <c r="C1965" s="51"/>
      <c r="D1965" s="51"/>
      <c r="E1965" s="62"/>
      <c r="F1965" s="15"/>
      <c r="G1965" s="16">
        <f>TRUNC(SUM(G1964:G1964))</f>
        <v>10783</v>
      </c>
      <c r="H1965" s="15"/>
      <c r="I1965" s="16">
        <f>TRUNC(SUM(I1964:I1964))</f>
        <v>11228</v>
      </c>
      <c r="J1965" s="15"/>
      <c r="K1965" s="16">
        <f>TRUNC(SUM(K1964:K1964))</f>
        <v>11672</v>
      </c>
    </row>
    <row r="1966" spans="2:11" ht="12.95" customHeight="1" x14ac:dyDescent="0.3">
      <c r="B1966" s="63"/>
      <c r="C1966" s="59"/>
      <c r="D1966" s="59"/>
      <c r="E1966" s="64"/>
      <c r="F1966" s="25"/>
      <c r="G1966" s="27"/>
      <c r="H1966" s="25"/>
      <c r="I1966" s="27"/>
      <c r="J1966" s="25"/>
      <c r="K1966" s="27"/>
    </row>
    <row r="1967" spans="2:11" ht="12.95" customHeight="1" x14ac:dyDescent="0.3">
      <c r="B1967" s="66" t="s">
        <v>13</v>
      </c>
      <c r="C1967" s="76"/>
      <c r="D1967" s="76"/>
      <c r="E1967" s="77"/>
      <c r="F1967" s="77"/>
      <c r="G1967" s="26">
        <f>SUM(G1957+G1962+G1965)</f>
        <v>204745</v>
      </c>
      <c r="H1967" s="77"/>
      <c r="I1967" s="26">
        <f>SUM(I1957+I1962+I1965)</f>
        <v>253727</v>
      </c>
      <c r="J1967" s="77"/>
      <c r="K1967" s="26">
        <f>SUM(K1957+K1962+K1965)</f>
        <v>298361</v>
      </c>
    </row>
    <row r="1968" spans="2:11" ht="12.95" customHeight="1" x14ac:dyDescent="0.3">
      <c r="B1968" s="110" t="s">
        <v>3</v>
      </c>
      <c r="C1968" s="113" t="s">
        <v>7</v>
      </c>
      <c r="D1968" s="116" t="s">
        <v>8</v>
      </c>
      <c r="E1968" s="119" t="s">
        <v>4</v>
      </c>
      <c r="F1968" s="95" t="s">
        <v>134</v>
      </c>
      <c r="G1968" s="96"/>
      <c r="H1968" s="96"/>
      <c r="I1968" s="96"/>
      <c r="J1968" s="96"/>
      <c r="K1968" s="96"/>
    </row>
    <row r="1969" spans="2:11" ht="12.95" customHeight="1" x14ac:dyDescent="0.3">
      <c r="B1969" s="111"/>
      <c r="C1969" s="114"/>
      <c r="D1969" s="117"/>
      <c r="E1969" s="120"/>
      <c r="F1969" s="95" t="s">
        <v>43</v>
      </c>
      <c r="G1969" s="96"/>
      <c r="H1969" s="95" t="s">
        <v>44</v>
      </c>
      <c r="I1969" s="96"/>
      <c r="J1969" s="95" t="s">
        <v>46</v>
      </c>
      <c r="K1969" s="96"/>
    </row>
    <row r="1970" spans="2:11" ht="12.95" customHeight="1" x14ac:dyDescent="0.3">
      <c r="B1970" s="112"/>
      <c r="C1970" s="115"/>
      <c r="D1970" s="118"/>
      <c r="E1970" s="121"/>
      <c r="F1970" s="74" t="s">
        <v>5</v>
      </c>
      <c r="G1970" s="75" t="s">
        <v>6</v>
      </c>
      <c r="H1970" s="74" t="s">
        <v>5</v>
      </c>
      <c r="I1970" s="75" t="s">
        <v>6</v>
      </c>
      <c r="J1970" s="74" t="s">
        <v>5</v>
      </c>
      <c r="K1970" s="75" t="s">
        <v>6</v>
      </c>
    </row>
    <row r="1971" spans="2:11" ht="12.95" customHeight="1" x14ac:dyDescent="0.3">
      <c r="B1971" s="59" t="s">
        <v>2</v>
      </c>
      <c r="C1971" s="59" t="s">
        <v>14</v>
      </c>
      <c r="D1971" s="61" t="s">
        <v>17</v>
      </c>
      <c r="E1971" s="78">
        <v>9213</v>
      </c>
      <c r="F1971" s="25">
        <v>1.0900000000000001</v>
      </c>
      <c r="G1971" s="3">
        <f t="shared" ref="G1971" si="802">TRUNC($E1971*F1971,1)</f>
        <v>10042.1</v>
      </c>
      <c r="H1971" s="25">
        <v>1.17</v>
      </c>
      <c r="I1971" s="3">
        <f t="shared" ref="I1971" si="803">TRUNC($E1971*H1971,1)</f>
        <v>10779.2</v>
      </c>
      <c r="J1971" s="25">
        <v>1.25</v>
      </c>
      <c r="K1971" s="3">
        <f t="shared" ref="K1971" si="804">TRUNC($E1971*J1971,1)</f>
        <v>11516.2</v>
      </c>
    </row>
    <row r="1972" spans="2:11" ht="12.95" customHeight="1" x14ac:dyDescent="0.3">
      <c r="B1972" s="46" t="s">
        <v>10</v>
      </c>
      <c r="C1972" s="51"/>
      <c r="D1972" s="51"/>
      <c r="E1972" s="22"/>
      <c r="F1972" s="23"/>
      <c r="G1972" s="16">
        <f>TRUNC(SUM(G1971:G1971))</f>
        <v>10042</v>
      </c>
      <c r="H1972" s="23"/>
      <c r="I1972" s="16">
        <f>TRUNC(SUM(I1971:I1971))</f>
        <v>10779</v>
      </c>
      <c r="J1972" s="23"/>
      <c r="K1972" s="16">
        <f>TRUNC(SUM(K1971:K1971))</f>
        <v>11516</v>
      </c>
    </row>
    <row r="1973" spans="2:11" ht="12.95" customHeight="1" x14ac:dyDescent="0.3">
      <c r="B1973" s="50"/>
      <c r="C1973" s="51"/>
      <c r="D1973" s="51"/>
      <c r="E1973" s="22"/>
      <c r="F1973" s="23"/>
      <c r="G1973" s="24"/>
      <c r="H1973" s="23"/>
      <c r="I1973" s="24"/>
      <c r="J1973" s="23"/>
      <c r="K1973" s="24"/>
    </row>
    <row r="1974" spans="2:11" ht="12.95" customHeight="1" x14ac:dyDescent="0.3">
      <c r="B1974" s="52" t="s">
        <v>29</v>
      </c>
      <c r="C1974" s="53"/>
      <c r="D1974" s="54" t="s">
        <v>9</v>
      </c>
      <c r="E1974" s="55">
        <v>262580</v>
      </c>
      <c r="F1974" s="25">
        <v>0.74</v>
      </c>
      <c r="G1974" s="3">
        <f t="shared" ref="G1974:G1976" si="805">TRUNC($E1974*F1974,1)</f>
        <v>194309.2</v>
      </c>
      <c r="H1974" s="25">
        <v>0.93</v>
      </c>
      <c r="I1974" s="3">
        <f t="shared" ref="I1974:I1976" si="806">TRUNC($E1974*H1974,1)</f>
        <v>244199.4</v>
      </c>
      <c r="J1974" s="25">
        <v>1.08</v>
      </c>
      <c r="K1974" s="3">
        <f t="shared" ref="K1974:K1976" si="807">TRUNC($E1974*J1974,1)</f>
        <v>283586.40000000002</v>
      </c>
    </row>
    <row r="1975" spans="2:11" ht="12.95" customHeight="1" x14ac:dyDescent="0.3">
      <c r="B1975" s="52" t="s">
        <v>1</v>
      </c>
      <c r="C1975" s="53"/>
      <c r="D1975" s="54" t="s">
        <v>9</v>
      </c>
      <c r="E1975" s="57">
        <v>172068</v>
      </c>
      <c r="F1975" s="25">
        <v>0.39</v>
      </c>
      <c r="G1975" s="3">
        <f t="shared" si="805"/>
        <v>67106.5</v>
      </c>
      <c r="H1975" s="25">
        <v>0.49</v>
      </c>
      <c r="I1975" s="3">
        <f t="shared" si="806"/>
        <v>84313.3</v>
      </c>
      <c r="J1975" s="25">
        <v>0.56000000000000005</v>
      </c>
      <c r="K1975" s="3">
        <f t="shared" si="807"/>
        <v>96358</v>
      </c>
    </row>
    <row r="1976" spans="2:11" ht="12.95" customHeight="1" x14ac:dyDescent="0.3">
      <c r="B1976" s="59" t="s">
        <v>2</v>
      </c>
      <c r="C1976" s="59" t="s">
        <v>14</v>
      </c>
      <c r="D1976" s="61" t="s">
        <v>17</v>
      </c>
      <c r="E1976" s="78">
        <v>49698</v>
      </c>
      <c r="F1976" s="25">
        <v>1.0900000000000001</v>
      </c>
      <c r="G1976" s="3">
        <f t="shared" si="805"/>
        <v>54170.8</v>
      </c>
      <c r="H1976" s="25">
        <v>1.17</v>
      </c>
      <c r="I1976" s="3">
        <f t="shared" si="806"/>
        <v>58146.6</v>
      </c>
      <c r="J1976" s="25">
        <v>1.25</v>
      </c>
      <c r="K1976" s="3">
        <f t="shared" si="807"/>
        <v>62122.5</v>
      </c>
    </row>
    <row r="1977" spans="2:11" ht="12.95" customHeight="1" x14ac:dyDescent="0.3">
      <c r="B1977" s="58" t="s">
        <v>11</v>
      </c>
      <c r="C1977" s="51"/>
      <c r="D1977" s="51"/>
      <c r="E1977" s="22"/>
      <c r="F1977" s="23"/>
      <c r="G1977" s="16">
        <f>TRUNC(SUM(G1974:G1976))</f>
        <v>315586</v>
      </c>
      <c r="H1977" s="23"/>
      <c r="I1977" s="16">
        <f>TRUNC(SUM(I1974:I1976))</f>
        <v>386659</v>
      </c>
      <c r="J1977" s="23"/>
      <c r="K1977" s="16">
        <f>TRUNC(SUM(K1974:K1976))</f>
        <v>442066</v>
      </c>
    </row>
    <row r="1978" spans="2:11" ht="12.95" customHeight="1" x14ac:dyDescent="0.3">
      <c r="B1978" s="50"/>
      <c r="C1978" s="51"/>
      <c r="D1978" s="51"/>
      <c r="E1978" s="22"/>
      <c r="F1978" s="23"/>
      <c r="G1978" s="24"/>
      <c r="H1978" s="23"/>
      <c r="I1978" s="24"/>
      <c r="J1978" s="23"/>
      <c r="K1978" s="24"/>
    </row>
    <row r="1979" spans="2:11" ht="12.95" customHeight="1" x14ac:dyDescent="0.3">
      <c r="B1979" s="59" t="s">
        <v>2</v>
      </c>
      <c r="C1979" s="59" t="s">
        <v>14</v>
      </c>
      <c r="D1979" s="61" t="s">
        <v>17</v>
      </c>
      <c r="E1979" s="78">
        <v>11117</v>
      </c>
      <c r="F1979" s="25">
        <v>1.0900000000000001</v>
      </c>
      <c r="G1979" s="3">
        <f t="shared" ref="G1979" si="808">TRUNC($E1979*F1979,1)</f>
        <v>12117.5</v>
      </c>
      <c r="H1979" s="25">
        <v>1.17</v>
      </c>
      <c r="I1979" s="3">
        <f t="shared" ref="I1979" si="809">TRUNC($E1979*H1979,1)</f>
        <v>13006.8</v>
      </c>
      <c r="J1979" s="25">
        <v>1.25</v>
      </c>
      <c r="K1979" s="3">
        <f t="shared" ref="K1979" si="810">TRUNC($E1979*J1979,1)</f>
        <v>13896.2</v>
      </c>
    </row>
    <row r="1980" spans="2:11" ht="12.95" customHeight="1" x14ac:dyDescent="0.3">
      <c r="B1980" s="46" t="s">
        <v>12</v>
      </c>
      <c r="C1980" s="51"/>
      <c r="D1980" s="51"/>
      <c r="E1980" s="62"/>
      <c r="F1980" s="15"/>
      <c r="G1980" s="16">
        <f>TRUNC(SUM(G1979:G1979))</f>
        <v>12117</v>
      </c>
      <c r="H1980" s="15"/>
      <c r="I1980" s="16">
        <f>TRUNC(SUM(I1979:I1979))</f>
        <v>13006</v>
      </c>
      <c r="J1980" s="15"/>
      <c r="K1980" s="16">
        <f>TRUNC(SUM(K1979:K1979))</f>
        <v>13896</v>
      </c>
    </row>
    <row r="1981" spans="2:11" ht="12.95" customHeight="1" x14ac:dyDescent="0.3">
      <c r="B1981" s="63"/>
      <c r="C1981" s="59"/>
      <c r="D1981" s="59"/>
      <c r="E1981" s="64"/>
      <c r="F1981" s="25"/>
      <c r="G1981" s="27"/>
      <c r="H1981" s="25"/>
      <c r="I1981" s="27"/>
      <c r="J1981" s="25"/>
      <c r="K1981" s="27"/>
    </row>
    <row r="1982" spans="2:11" ht="12.95" customHeight="1" x14ac:dyDescent="0.3">
      <c r="B1982" s="66" t="s">
        <v>13</v>
      </c>
      <c r="C1982" s="76"/>
      <c r="D1982" s="76"/>
      <c r="E1982" s="77"/>
      <c r="F1982" s="77"/>
      <c r="G1982" s="26">
        <f>SUM(G1972+G1977+G1980)</f>
        <v>337745</v>
      </c>
      <c r="H1982" s="77"/>
      <c r="I1982" s="26">
        <f>SUM(I1972+I1977+I1980)</f>
        <v>410444</v>
      </c>
      <c r="J1982" s="77"/>
      <c r="K1982" s="26">
        <f>SUM(K1972+K1977+K1980)</f>
        <v>467478</v>
      </c>
    </row>
    <row r="1983" spans="2:11" ht="12.95" customHeight="1" x14ac:dyDescent="0.3">
      <c r="B1983" s="110" t="s">
        <v>3</v>
      </c>
      <c r="C1983" s="113" t="s">
        <v>7</v>
      </c>
      <c r="D1983" s="116" t="s">
        <v>8</v>
      </c>
      <c r="E1983" s="119" t="s">
        <v>4</v>
      </c>
      <c r="F1983" s="95" t="s">
        <v>134</v>
      </c>
      <c r="G1983" s="96"/>
      <c r="H1983" s="96"/>
      <c r="I1983" s="96"/>
    </row>
    <row r="1984" spans="2:11" ht="12.95" customHeight="1" x14ac:dyDescent="0.3">
      <c r="B1984" s="111"/>
      <c r="C1984" s="114"/>
      <c r="D1984" s="117"/>
      <c r="E1984" s="120"/>
      <c r="F1984" s="95" t="s">
        <v>48</v>
      </c>
      <c r="G1984" s="96"/>
      <c r="H1984" s="95" t="s">
        <v>49</v>
      </c>
      <c r="I1984" s="96"/>
    </row>
    <row r="1985" spans="2:11" ht="12.95" customHeight="1" x14ac:dyDescent="0.3">
      <c r="B1985" s="112"/>
      <c r="C1985" s="115"/>
      <c r="D1985" s="118"/>
      <c r="E1985" s="121"/>
      <c r="F1985" s="74" t="s">
        <v>5</v>
      </c>
      <c r="G1985" s="75" t="s">
        <v>6</v>
      </c>
      <c r="H1985" s="74" t="s">
        <v>5</v>
      </c>
      <c r="I1985" s="75" t="s">
        <v>6</v>
      </c>
    </row>
    <row r="1986" spans="2:11" ht="12.95" customHeight="1" x14ac:dyDescent="0.3">
      <c r="B1986" s="59" t="s">
        <v>2</v>
      </c>
      <c r="C1986" s="59" t="s">
        <v>33</v>
      </c>
      <c r="D1986" s="61" t="s">
        <v>17</v>
      </c>
      <c r="E1986" s="17">
        <v>18607</v>
      </c>
      <c r="F1986" s="25">
        <v>1.37</v>
      </c>
      <c r="G1986" s="3">
        <f t="shared" ref="G1986" si="811">TRUNC($E1986*F1986,1)</f>
        <v>25491.5</v>
      </c>
      <c r="H1986" s="25">
        <v>1.5</v>
      </c>
      <c r="I1986" s="3">
        <f t="shared" ref="I1986" si="812">TRUNC($E1986*H1986,1)</f>
        <v>27910.5</v>
      </c>
    </row>
    <row r="1987" spans="2:11" ht="12.95" customHeight="1" x14ac:dyDescent="0.3">
      <c r="B1987" s="46" t="s">
        <v>10</v>
      </c>
      <c r="C1987" s="51"/>
      <c r="D1987" s="51"/>
      <c r="E1987" s="22"/>
      <c r="F1987" s="23"/>
      <c r="G1987" s="16">
        <f>TRUNC(SUM(G1986:G1986))</f>
        <v>25491</v>
      </c>
      <c r="H1987" s="23"/>
      <c r="I1987" s="16">
        <f>TRUNC(SUM(I1986:I1986))</f>
        <v>27910</v>
      </c>
    </row>
    <row r="1988" spans="2:11" ht="12.95" customHeight="1" x14ac:dyDescent="0.3">
      <c r="B1988" s="50"/>
      <c r="C1988" s="51"/>
      <c r="D1988" s="51"/>
      <c r="E1988" s="22"/>
      <c r="F1988" s="23"/>
      <c r="G1988" s="24"/>
      <c r="H1988" s="23"/>
      <c r="I1988" s="24"/>
    </row>
    <row r="1989" spans="2:11" ht="12.95" customHeight="1" x14ac:dyDescent="0.3">
      <c r="B1989" s="52" t="s">
        <v>29</v>
      </c>
      <c r="C1989" s="53"/>
      <c r="D1989" s="54" t="s">
        <v>9</v>
      </c>
      <c r="E1989" s="55">
        <v>262580</v>
      </c>
      <c r="F1989" s="25">
        <v>1.22</v>
      </c>
      <c r="G1989" s="3">
        <f t="shared" ref="G1989:G1991" si="813">TRUNC($E1989*F1989,1)</f>
        <v>320347.59999999998</v>
      </c>
      <c r="H1989" s="25">
        <v>1.34</v>
      </c>
      <c r="I1989" s="3">
        <f t="shared" ref="I1989:I1991" si="814">TRUNC($E1989*H1989,1)</f>
        <v>351857.2</v>
      </c>
    </row>
    <row r="1990" spans="2:11" ht="12.95" customHeight="1" x14ac:dyDescent="0.3">
      <c r="B1990" s="52" t="s">
        <v>1</v>
      </c>
      <c r="C1990" s="53"/>
      <c r="D1990" s="54" t="s">
        <v>9</v>
      </c>
      <c r="E1990" s="57">
        <v>172068</v>
      </c>
      <c r="F1990" s="25">
        <v>0.57999999999999996</v>
      </c>
      <c r="G1990" s="3">
        <f t="shared" si="813"/>
        <v>99799.4</v>
      </c>
      <c r="H1990" s="25">
        <v>0.63</v>
      </c>
      <c r="I1990" s="3">
        <f t="shared" si="814"/>
        <v>108402.8</v>
      </c>
    </row>
    <row r="1991" spans="2:11" ht="12.95" customHeight="1" x14ac:dyDescent="0.3">
      <c r="B1991" s="59" t="s">
        <v>2</v>
      </c>
      <c r="C1991" s="59" t="s">
        <v>33</v>
      </c>
      <c r="D1991" s="61" t="s">
        <v>17</v>
      </c>
      <c r="E1991" s="17">
        <v>49698</v>
      </c>
      <c r="F1991" s="25">
        <v>1.37</v>
      </c>
      <c r="G1991" s="3">
        <f t="shared" si="813"/>
        <v>68086.2</v>
      </c>
      <c r="H1991" s="25">
        <v>1.5</v>
      </c>
      <c r="I1991" s="3">
        <f t="shared" si="814"/>
        <v>74547</v>
      </c>
    </row>
    <row r="1992" spans="2:11" ht="12.95" customHeight="1" x14ac:dyDescent="0.3">
      <c r="B1992" s="58" t="s">
        <v>11</v>
      </c>
      <c r="C1992" s="51"/>
      <c r="D1992" s="51"/>
      <c r="E1992" s="22"/>
      <c r="F1992" s="23"/>
      <c r="G1992" s="16">
        <f>TRUNC(SUM(G1989:G1991))</f>
        <v>488233</v>
      </c>
      <c r="H1992" s="23"/>
      <c r="I1992" s="16">
        <f>TRUNC(SUM(I1989:I1991))</f>
        <v>534807</v>
      </c>
    </row>
    <row r="1993" spans="2:11" ht="12.95" customHeight="1" x14ac:dyDescent="0.3">
      <c r="B1993" s="50"/>
      <c r="C1993" s="51"/>
      <c r="D1993" s="51"/>
      <c r="E1993" s="22"/>
      <c r="F1993" s="23"/>
      <c r="G1993" s="24"/>
      <c r="H1993" s="23"/>
      <c r="I1993" s="24"/>
    </row>
    <row r="1994" spans="2:11" ht="12.95" customHeight="1" x14ac:dyDescent="0.3">
      <c r="B1994" s="59" t="s">
        <v>2</v>
      </c>
      <c r="C1994" s="59" t="s">
        <v>33</v>
      </c>
      <c r="D1994" s="61" t="s">
        <v>17</v>
      </c>
      <c r="E1994" s="17">
        <v>23795</v>
      </c>
      <c r="F1994" s="25">
        <v>1.37</v>
      </c>
      <c r="G1994" s="3">
        <f t="shared" ref="G1994" si="815">TRUNC($E1994*F1994,1)</f>
        <v>32599.1</v>
      </c>
      <c r="H1994" s="25">
        <v>1.5</v>
      </c>
      <c r="I1994" s="3">
        <f t="shared" ref="I1994" si="816">TRUNC($E1994*H1994,1)</f>
        <v>35692.5</v>
      </c>
    </row>
    <row r="1995" spans="2:11" ht="12.95" customHeight="1" x14ac:dyDescent="0.3">
      <c r="B1995" s="46" t="s">
        <v>12</v>
      </c>
      <c r="C1995" s="51"/>
      <c r="D1995" s="51"/>
      <c r="E1995" s="62"/>
      <c r="F1995" s="15"/>
      <c r="G1995" s="16">
        <f>TRUNC(SUM(G1994:G1994))</f>
        <v>32599</v>
      </c>
      <c r="H1995" s="15"/>
      <c r="I1995" s="16">
        <f>TRUNC(SUM(I1994:I1994))</f>
        <v>35692</v>
      </c>
      <c r="K1995" s="9"/>
    </row>
    <row r="1996" spans="2:11" ht="12.95" customHeight="1" x14ac:dyDescent="0.3">
      <c r="B1996" s="63"/>
      <c r="C1996" s="59"/>
      <c r="D1996" s="59"/>
      <c r="E1996" s="64"/>
      <c r="F1996" s="25"/>
      <c r="G1996" s="27"/>
      <c r="H1996" s="25"/>
      <c r="I1996" s="27"/>
      <c r="J1996" s="9"/>
      <c r="K1996" s="9"/>
    </row>
    <row r="1997" spans="2:11" ht="12.95" customHeight="1" x14ac:dyDescent="0.3">
      <c r="B1997" s="66" t="s">
        <v>13</v>
      </c>
      <c r="C1997" s="76"/>
      <c r="D1997" s="76"/>
      <c r="E1997" s="77"/>
      <c r="F1997" s="77"/>
      <c r="G1997" s="26">
        <f>SUM(G1987+G1992+G1995)</f>
        <v>546323</v>
      </c>
      <c r="H1997" s="77"/>
      <c r="I1997" s="26">
        <f>SUM(I1987+I1992+I1995)</f>
        <v>598409</v>
      </c>
      <c r="J1997" s="9"/>
    </row>
    <row r="1998" spans="2:11" ht="12.95" customHeight="1" x14ac:dyDescent="0.3">
      <c r="B1998" s="110" t="s">
        <v>3</v>
      </c>
      <c r="C1998" s="113" t="s">
        <v>7</v>
      </c>
      <c r="D1998" s="116" t="s">
        <v>8</v>
      </c>
      <c r="E1998" s="119" t="s">
        <v>4</v>
      </c>
      <c r="F1998" s="95" t="s">
        <v>134</v>
      </c>
      <c r="G1998" s="96"/>
      <c r="H1998" s="96"/>
      <c r="I1998" s="96"/>
      <c r="J1998" s="96"/>
      <c r="K1998" s="96"/>
    </row>
    <row r="1999" spans="2:11" ht="12.95" customHeight="1" x14ac:dyDescent="0.3">
      <c r="B1999" s="111"/>
      <c r="C1999" s="114"/>
      <c r="D1999" s="117"/>
      <c r="E1999" s="120"/>
      <c r="F1999" s="95" t="s">
        <v>50</v>
      </c>
      <c r="G1999" s="96"/>
      <c r="H1999" s="95" t="s">
        <v>51</v>
      </c>
      <c r="I1999" s="96"/>
      <c r="J1999" s="95" t="s">
        <v>52</v>
      </c>
      <c r="K1999" s="96"/>
    </row>
    <row r="2000" spans="2:11" ht="12.95" customHeight="1" x14ac:dyDescent="0.3">
      <c r="B2000" s="112"/>
      <c r="C2000" s="115"/>
      <c r="D2000" s="118"/>
      <c r="E2000" s="121"/>
      <c r="F2000" s="74" t="s">
        <v>5</v>
      </c>
      <c r="G2000" s="75" t="s">
        <v>6</v>
      </c>
      <c r="H2000" s="74" t="s">
        <v>5</v>
      </c>
      <c r="I2000" s="75" t="s">
        <v>6</v>
      </c>
      <c r="J2000" s="74" t="s">
        <v>5</v>
      </c>
      <c r="K2000" s="75" t="s">
        <v>6</v>
      </c>
    </row>
    <row r="2001" spans="2:11" ht="12.95" customHeight="1" x14ac:dyDescent="0.3">
      <c r="B2001" s="59" t="s">
        <v>2</v>
      </c>
      <c r="C2001" s="59" t="s">
        <v>45</v>
      </c>
      <c r="D2001" s="61" t="s">
        <v>17</v>
      </c>
      <c r="E2001" s="17">
        <v>19871</v>
      </c>
      <c r="F2001" s="25">
        <v>1.54</v>
      </c>
      <c r="G2001" s="3">
        <f t="shared" ref="G2001" si="817">TRUNC($E2001*F2001,1)</f>
        <v>30601.3</v>
      </c>
      <c r="H2001" s="25">
        <v>1.78</v>
      </c>
      <c r="I2001" s="3">
        <f t="shared" ref="I2001" si="818">TRUNC($E2001*H2001,1)</f>
        <v>35370.300000000003</v>
      </c>
      <c r="J2001" s="25">
        <v>1.82</v>
      </c>
      <c r="K2001" s="3">
        <f t="shared" ref="K2001" si="819">TRUNC($E2001*J2001,1)</f>
        <v>36165.199999999997</v>
      </c>
    </row>
    <row r="2002" spans="2:11" ht="12.95" customHeight="1" x14ac:dyDescent="0.3">
      <c r="B2002" s="46" t="s">
        <v>10</v>
      </c>
      <c r="C2002" s="51"/>
      <c r="D2002" s="51"/>
      <c r="E2002" s="22"/>
      <c r="F2002" s="23"/>
      <c r="G2002" s="16">
        <f>TRUNC(SUM(G2001:G2001))</f>
        <v>30601</v>
      </c>
      <c r="H2002" s="23"/>
      <c r="I2002" s="16">
        <f>TRUNC(SUM(I2001:I2001))</f>
        <v>35370</v>
      </c>
      <c r="J2002" s="23"/>
      <c r="K2002" s="16">
        <f>TRUNC(SUM(K2001:K2001))</f>
        <v>36165</v>
      </c>
    </row>
    <row r="2003" spans="2:11" ht="12.95" customHeight="1" x14ac:dyDescent="0.3">
      <c r="B2003" s="50"/>
      <c r="C2003" s="51"/>
      <c r="D2003" s="51"/>
      <c r="E2003" s="22"/>
      <c r="F2003" s="23"/>
      <c r="G2003" s="24"/>
      <c r="H2003" s="23"/>
      <c r="I2003" s="24"/>
      <c r="J2003" s="23"/>
      <c r="K2003" s="24"/>
    </row>
    <row r="2004" spans="2:11" ht="12.95" customHeight="1" x14ac:dyDescent="0.3">
      <c r="B2004" s="52" t="s">
        <v>29</v>
      </c>
      <c r="C2004" s="53"/>
      <c r="D2004" s="54" t="s">
        <v>9</v>
      </c>
      <c r="E2004" s="55">
        <v>262580</v>
      </c>
      <c r="F2004" s="25">
        <v>1.44</v>
      </c>
      <c r="G2004" s="3">
        <f t="shared" ref="G2004:G2006" si="820">TRUNC($E2004*F2004,1)</f>
        <v>378115.2</v>
      </c>
      <c r="H2004" s="25">
        <v>1.54</v>
      </c>
      <c r="I2004" s="3">
        <f t="shared" ref="I2004:I2006" si="821">TRUNC($E2004*H2004,1)</f>
        <v>404373.2</v>
      </c>
      <c r="J2004" s="25">
        <v>1.63</v>
      </c>
      <c r="K2004" s="3">
        <f t="shared" ref="K2004:K2006" si="822">TRUNC($E2004*J2004,1)</f>
        <v>428005.4</v>
      </c>
    </row>
    <row r="2005" spans="2:11" ht="12.95" customHeight="1" x14ac:dyDescent="0.3">
      <c r="B2005" s="52" t="s">
        <v>1</v>
      </c>
      <c r="C2005" s="53"/>
      <c r="D2005" s="54" t="s">
        <v>9</v>
      </c>
      <c r="E2005" s="57">
        <v>172068</v>
      </c>
      <c r="F2005" s="25">
        <v>0.68</v>
      </c>
      <c r="G2005" s="3">
        <f t="shared" si="820"/>
        <v>117006.2</v>
      </c>
      <c r="H2005" s="25">
        <v>0.75</v>
      </c>
      <c r="I2005" s="3">
        <f t="shared" si="821"/>
        <v>129051</v>
      </c>
      <c r="J2005" s="25">
        <v>0.86</v>
      </c>
      <c r="K2005" s="3">
        <f t="shared" si="822"/>
        <v>147978.4</v>
      </c>
    </row>
    <row r="2006" spans="2:11" ht="12.95" customHeight="1" x14ac:dyDescent="0.3">
      <c r="B2006" s="59" t="s">
        <v>2</v>
      </c>
      <c r="C2006" s="59" t="s">
        <v>45</v>
      </c>
      <c r="D2006" s="61" t="s">
        <v>17</v>
      </c>
      <c r="E2006" s="17">
        <v>49698</v>
      </c>
      <c r="F2006" s="25">
        <v>1.54</v>
      </c>
      <c r="G2006" s="3">
        <f t="shared" si="820"/>
        <v>76534.899999999994</v>
      </c>
      <c r="H2006" s="25">
        <v>1.78</v>
      </c>
      <c r="I2006" s="3">
        <f t="shared" si="821"/>
        <v>88462.399999999994</v>
      </c>
      <c r="J2006" s="25">
        <v>1.82</v>
      </c>
      <c r="K2006" s="3">
        <f t="shared" si="822"/>
        <v>90450.3</v>
      </c>
    </row>
    <row r="2007" spans="2:11" ht="12.95" customHeight="1" x14ac:dyDescent="0.3">
      <c r="B2007" s="58" t="s">
        <v>11</v>
      </c>
      <c r="C2007" s="51"/>
      <c r="D2007" s="51"/>
      <c r="E2007" s="22"/>
      <c r="F2007" s="23" t="s">
        <v>58</v>
      </c>
      <c r="G2007" s="16">
        <f>TRUNC(SUM(G2004:G2006))</f>
        <v>571656</v>
      </c>
      <c r="H2007" s="23"/>
      <c r="I2007" s="16">
        <f>TRUNC(SUM(I2004:I2006))</f>
        <v>621886</v>
      </c>
      <c r="J2007" s="23"/>
      <c r="K2007" s="16">
        <f>TRUNC(SUM(K2004:K2006))</f>
        <v>666434</v>
      </c>
    </row>
    <row r="2008" spans="2:11" ht="12.95" customHeight="1" x14ac:dyDescent="0.3">
      <c r="B2008" s="50"/>
      <c r="C2008" s="51"/>
      <c r="D2008" s="51"/>
      <c r="E2008" s="22"/>
      <c r="F2008" s="23"/>
      <c r="G2008" s="24"/>
      <c r="H2008" s="23"/>
      <c r="I2008" s="24"/>
      <c r="J2008" s="23"/>
      <c r="K2008" s="24"/>
    </row>
    <row r="2009" spans="2:11" ht="12.95" customHeight="1" x14ac:dyDescent="0.3">
      <c r="B2009" s="59" t="s">
        <v>2</v>
      </c>
      <c r="C2009" s="59" t="s">
        <v>45</v>
      </c>
      <c r="D2009" s="61" t="s">
        <v>17</v>
      </c>
      <c r="E2009" s="17">
        <v>31327</v>
      </c>
      <c r="F2009" s="25">
        <v>1.54</v>
      </c>
      <c r="G2009" s="3">
        <f t="shared" ref="G2009" si="823">TRUNC($E2009*F2009,1)</f>
        <v>48243.5</v>
      </c>
      <c r="H2009" s="25">
        <v>1.78</v>
      </c>
      <c r="I2009" s="3">
        <f t="shared" ref="I2009" si="824">TRUNC($E2009*H2009,1)</f>
        <v>55762</v>
      </c>
      <c r="J2009" s="25">
        <v>1.82</v>
      </c>
      <c r="K2009" s="3">
        <f t="shared" ref="K2009" si="825">TRUNC($E2009*J2009,1)</f>
        <v>57015.1</v>
      </c>
    </row>
    <row r="2010" spans="2:11" ht="12.95" customHeight="1" x14ac:dyDescent="0.3">
      <c r="B2010" s="46" t="s">
        <v>12</v>
      </c>
      <c r="C2010" s="51"/>
      <c r="D2010" s="51"/>
      <c r="E2010" s="62"/>
      <c r="F2010" s="15"/>
      <c r="G2010" s="16">
        <f>TRUNC(SUM(G2009:G2009))</f>
        <v>48243</v>
      </c>
      <c r="H2010" s="15"/>
      <c r="I2010" s="16">
        <f>TRUNC(SUM(I2009:I2009))</f>
        <v>55762</v>
      </c>
      <c r="J2010" s="15"/>
      <c r="K2010" s="16">
        <f>TRUNC(SUM(K2009:K2009))</f>
        <v>57015</v>
      </c>
    </row>
    <row r="2011" spans="2:11" ht="12.95" customHeight="1" x14ac:dyDescent="0.3">
      <c r="B2011" s="63"/>
      <c r="C2011" s="59"/>
      <c r="D2011" s="59"/>
      <c r="E2011" s="64"/>
      <c r="F2011" s="25"/>
      <c r="G2011" s="27"/>
      <c r="H2011" s="25"/>
      <c r="I2011" s="27"/>
      <c r="J2011" s="25"/>
      <c r="K2011" s="27"/>
    </row>
    <row r="2012" spans="2:11" ht="12.95" customHeight="1" x14ac:dyDescent="0.3">
      <c r="B2012" s="66" t="s">
        <v>13</v>
      </c>
      <c r="C2012" s="76"/>
      <c r="D2012" s="76"/>
      <c r="E2012" s="77"/>
      <c r="F2012" s="77"/>
      <c r="G2012" s="26">
        <f>SUM(G2002+G2007+G2010)</f>
        <v>650500</v>
      </c>
      <c r="H2012" s="77"/>
      <c r="I2012" s="26">
        <f>SUM(I2002+I2007+I2010)</f>
        <v>713018</v>
      </c>
      <c r="J2012" s="77"/>
      <c r="K2012" s="26">
        <f>SUM(K2002+K2007+K2010)</f>
        <v>759614</v>
      </c>
    </row>
    <row r="2013" spans="2:11" ht="12.95" customHeight="1" x14ac:dyDescent="0.3">
      <c r="B2013" s="110" t="s">
        <v>3</v>
      </c>
      <c r="C2013" s="113" t="s">
        <v>7</v>
      </c>
      <c r="D2013" s="116" t="s">
        <v>8</v>
      </c>
      <c r="E2013" s="119" t="s">
        <v>4</v>
      </c>
      <c r="F2013" s="95" t="s">
        <v>134</v>
      </c>
      <c r="G2013" s="96"/>
      <c r="H2013" s="96"/>
      <c r="I2013" s="96"/>
      <c r="J2013" s="96"/>
      <c r="K2013" s="96"/>
    </row>
    <row r="2014" spans="2:11" ht="12.95" customHeight="1" x14ac:dyDescent="0.3">
      <c r="B2014" s="111"/>
      <c r="C2014" s="114"/>
      <c r="D2014" s="117"/>
      <c r="E2014" s="120"/>
      <c r="F2014" s="95" t="s">
        <v>60</v>
      </c>
      <c r="G2014" s="96"/>
      <c r="H2014" s="95" t="s">
        <v>61</v>
      </c>
      <c r="I2014" s="96"/>
      <c r="J2014" s="95" t="s">
        <v>130</v>
      </c>
      <c r="K2014" s="96"/>
    </row>
    <row r="2015" spans="2:11" ht="12.95" customHeight="1" x14ac:dyDescent="0.3">
      <c r="B2015" s="112"/>
      <c r="C2015" s="115"/>
      <c r="D2015" s="118"/>
      <c r="E2015" s="121"/>
      <c r="F2015" s="74" t="s">
        <v>5</v>
      </c>
      <c r="G2015" s="75" t="s">
        <v>6</v>
      </c>
      <c r="H2015" s="74" t="s">
        <v>5</v>
      </c>
      <c r="I2015" s="75" t="s">
        <v>6</v>
      </c>
      <c r="J2015" s="74" t="s">
        <v>5</v>
      </c>
      <c r="K2015" s="75" t="s">
        <v>6</v>
      </c>
    </row>
    <row r="2016" spans="2:11" ht="12.95" customHeight="1" x14ac:dyDescent="0.3">
      <c r="B2016" s="59" t="s">
        <v>2</v>
      </c>
      <c r="C2016" s="59" t="s">
        <v>45</v>
      </c>
      <c r="D2016" s="61" t="s">
        <v>17</v>
      </c>
      <c r="E2016" s="17">
        <v>19871</v>
      </c>
      <c r="F2016" s="25">
        <v>2.02</v>
      </c>
      <c r="G2016" s="3">
        <f t="shared" ref="G2016" si="826">TRUNC($E2016*F2016,1)</f>
        <v>40139.4</v>
      </c>
      <c r="H2016" s="25">
        <v>2.4300000000000002</v>
      </c>
      <c r="I2016" s="3">
        <f t="shared" ref="I2016" si="827">TRUNC($E2016*H2016,1)</f>
        <v>48286.5</v>
      </c>
      <c r="J2016" s="25">
        <v>2.44</v>
      </c>
      <c r="K2016" s="3">
        <f t="shared" ref="K2016" si="828">TRUNC($E2016*J2016,1)</f>
        <v>48485.2</v>
      </c>
    </row>
    <row r="2017" spans="2:13" ht="12.95" customHeight="1" x14ac:dyDescent="0.3">
      <c r="B2017" s="46" t="s">
        <v>10</v>
      </c>
      <c r="C2017" s="51"/>
      <c r="D2017" s="51"/>
      <c r="E2017" s="22"/>
      <c r="F2017" s="23"/>
      <c r="G2017" s="16">
        <f>TRUNC(SUM(G2016:G2016))</f>
        <v>40139</v>
      </c>
      <c r="H2017" s="23"/>
      <c r="I2017" s="16">
        <f>TRUNC(SUM(I2016:I2016))</f>
        <v>48286</v>
      </c>
      <c r="J2017" s="23"/>
      <c r="K2017" s="16">
        <f>TRUNC(SUM(K2016:K2016))</f>
        <v>48485</v>
      </c>
    </row>
    <row r="2018" spans="2:13" ht="12.95" customHeight="1" x14ac:dyDescent="0.3">
      <c r="B2018" s="50"/>
      <c r="C2018" s="51"/>
      <c r="D2018" s="51"/>
      <c r="E2018" s="22"/>
      <c r="F2018" s="23"/>
      <c r="G2018" s="24"/>
      <c r="H2018" s="23"/>
      <c r="I2018" s="24"/>
      <c r="J2018" s="23"/>
      <c r="K2018" s="24"/>
    </row>
    <row r="2019" spans="2:13" ht="12.95" customHeight="1" x14ac:dyDescent="0.3">
      <c r="B2019" s="52" t="s">
        <v>29</v>
      </c>
      <c r="C2019" s="53"/>
      <c r="D2019" s="54" t="s">
        <v>9</v>
      </c>
      <c r="E2019" s="55">
        <v>262580</v>
      </c>
      <c r="F2019" s="25">
        <v>1.74</v>
      </c>
      <c r="G2019" s="3">
        <f t="shared" ref="G2019:G2021" si="829">TRUNC($E2019*F2019,1)</f>
        <v>456889.2</v>
      </c>
      <c r="H2019" s="25">
        <v>1.85</v>
      </c>
      <c r="I2019" s="3">
        <f t="shared" ref="I2019:I2021" si="830">TRUNC($E2019*H2019,1)</f>
        <v>485773</v>
      </c>
      <c r="J2019" s="25">
        <v>1.92</v>
      </c>
      <c r="K2019" s="3">
        <f t="shared" ref="K2019:K2021" si="831">TRUNC($E2019*J2019,1)</f>
        <v>504153.59999999998</v>
      </c>
    </row>
    <row r="2020" spans="2:13" ht="12.95" customHeight="1" x14ac:dyDescent="0.3">
      <c r="B2020" s="52" t="s">
        <v>1</v>
      </c>
      <c r="C2020" s="53"/>
      <c r="D2020" s="54" t="s">
        <v>9</v>
      </c>
      <c r="E2020" s="57">
        <v>172068</v>
      </c>
      <c r="F2020" s="25">
        <v>0.99</v>
      </c>
      <c r="G2020" s="3">
        <f t="shared" si="829"/>
        <v>170347.3</v>
      </c>
      <c r="H2020" s="25">
        <v>1.18</v>
      </c>
      <c r="I2020" s="3">
        <f t="shared" si="830"/>
        <v>203040.2</v>
      </c>
      <c r="J2020" s="25">
        <v>1.23</v>
      </c>
      <c r="K2020" s="3">
        <f t="shared" si="831"/>
        <v>211643.6</v>
      </c>
    </row>
    <row r="2021" spans="2:13" ht="12.95" customHeight="1" x14ac:dyDescent="0.3">
      <c r="B2021" s="59" t="s">
        <v>2</v>
      </c>
      <c r="C2021" s="59" t="s">
        <v>45</v>
      </c>
      <c r="D2021" s="61" t="s">
        <v>17</v>
      </c>
      <c r="E2021" s="17">
        <v>49698</v>
      </c>
      <c r="F2021" s="25">
        <v>2.02</v>
      </c>
      <c r="G2021" s="3">
        <f t="shared" si="829"/>
        <v>100389.9</v>
      </c>
      <c r="H2021" s="25">
        <v>2.4300000000000002</v>
      </c>
      <c r="I2021" s="3">
        <f t="shared" si="830"/>
        <v>120766.1</v>
      </c>
      <c r="J2021" s="25">
        <v>2.44</v>
      </c>
      <c r="K2021" s="3">
        <f t="shared" si="831"/>
        <v>121263.1</v>
      </c>
    </row>
    <row r="2022" spans="2:13" ht="12.95" customHeight="1" x14ac:dyDescent="0.3">
      <c r="B2022" s="58" t="s">
        <v>11</v>
      </c>
      <c r="C2022" s="51"/>
      <c r="D2022" s="51"/>
      <c r="E2022" s="22"/>
      <c r="F2022" s="23"/>
      <c r="G2022" s="16">
        <f>TRUNC(SUM(G2019:G2021))</f>
        <v>727626</v>
      </c>
      <c r="H2022" s="23"/>
      <c r="I2022" s="16">
        <f>TRUNC(SUM(I2019:I2021))</f>
        <v>809579</v>
      </c>
      <c r="J2022" s="23"/>
      <c r="K2022" s="16">
        <f>TRUNC(SUM(K2019:K2021))</f>
        <v>837060</v>
      </c>
    </row>
    <row r="2023" spans="2:13" ht="12.95" customHeight="1" x14ac:dyDescent="0.3">
      <c r="B2023" s="50"/>
      <c r="C2023" s="51"/>
      <c r="D2023" s="51"/>
      <c r="E2023" s="22"/>
      <c r="F2023" s="23"/>
      <c r="G2023" s="24"/>
      <c r="H2023" s="23"/>
      <c r="I2023" s="24"/>
      <c r="J2023" s="23"/>
      <c r="K2023" s="24"/>
    </row>
    <row r="2024" spans="2:13" ht="12.95" customHeight="1" x14ac:dyDescent="0.3">
      <c r="B2024" s="59" t="s">
        <v>2</v>
      </c>
      <c r="C2024" s="59" t="s">
        <v>45</v>
      </c>
      <c r="D2024" s="61" t="s">
        <v>17</v>
      </c>
      <c r="E2024" s="17">
        <v>31327</v>
      </c>
      <c r="F2024" s="25">
        <v>2.02</v>
      </c>
      <c r="G2024" s="3">
        <f t="shared" ref="G2024" si="832">TRUNC($E2024*F2024,1)</f>
        <v>63280.5</v>
      </c>
      <c r="H2024" s="25">
        <v>2.4300000000000002</v>
      </c>
      <c r="I2024" s="3">
        <f t="shared" ref="I2024" si="833">TRUNC($E2024*H2024,1)</f>
        <v>76124.600000000006</v>
      </c>
      <c r="J2024" s="25">
        <v>2.44</v>
      </c>
      <c r="K2024" s="3">
        <f t="shared" ref="K2024" si="834">TRUNC($E2024*J2024,1)</f>
        <v>76437.8</v>
      </c>
    </row>
    <row r="2025" spans="2:13" ht="12.95" customHeight="1" x14ac:dyDescent="0.3">
      <c r="B2025" s="46" t="s">
        <v>12</v>
      </c>
      <c r="C2025" s="51"/>
      <c r="D2025" s="51"/>
      <c r="E2025" s="62"/>
      <c r="F2025" s="15"/>
      <c r="G2025" s="16">
        <f>TRUNC(SUM(G2024:G2024))</f>
        <v>63280</v>
      </c>
      <c r="H2025" s="15"/>
      <c r="I2025" s="16">
        <f>TRUNC(SUM(I2024:I2024))</f>
        <v>76124</v>
      </c>
      <c r="J2025" s="15"/>
      <c r="K2025" s="16">
        <f>TRUNC(SUM(K2024:K2024))</f>
        <v>76437</v>
      </c>
    </row>
    <row r="2026" spans="2:13" ht="12.95" customHeight="1" x14ac:dyDescent="0.3">
      <c r="B2026" s="63"/>
      <c r="C2026" s="59"/>
      <c r="D2026" s="59"/>
      <c r="E2026" s="64"/>
      <c r="F2026" s="25"/>
      <c r="G2026" s="27"/>
      <c r="H2026" s="25"/>
      <c r="I2026" s="27"/>
      <c r="J2026" s="25"/>
      <c r="K2026" s="27"/>
    </row>
    <row r="2027" spans="2:13" ht="12.95" customHeight="1" x14ac:dyDescent="0.3">
      <c r="B2027" s="66" t="s">
        <v>13</v>
      </c>
      <c r="C2027" s="76"/>
      <c r="D2027" s="76"/>
      <c r="E2027" s="77"/>
      <c r="F2027" s="77"/>
      <c r="G2027" s="26">
        <f>SUM(G2017+G2022+G2025)</f>
        <v>831045</v>
      </c>
      <c r="H2027" s="77"/>
      <c r="I2027" s="26">
        <f>SUM(I2017+I2022+I2025)</f>
        <v>933989</v>
      </c>
      <c r="J2027" s="77"/>
      <c r="K2027" s="26">
        <f>SUM(K2017+K2022+K2025)</f>
        <v>961982</v>
      </c>
    </row>
    <row r="2028" spans="2:13" ht="12.95" customHeight="1" x14ac:dyDescent="0.3">
      <c r="B2028" s="110" t="s">
        <v>3</v>
      </c>
      <c r="C2028" s="113" t="s">
        <v>7</v>
      </c>
      <c r="D2028" s="116" t="s">
        <v>8</v>
      </c>
      <c r="E2028" s="119" t="s">
        <v>4</v>
      </c>
      <c r="F2028" s="95" t="s">
        <v>134</v>
      </c>
      <c r="G2028" s="96"/>
      <c r="H2028" s="96"/>
      <c r="I2028" s="96"/>
      <c r="J2028" s="96"/>
      <c r="K2028" s="96"/>
      <c r="L2028" s="96"/>
      <c r="M2028" s="96"/>
    </row>
    <row r="2029" spans="2:13" ht="12.95" customHeight="1" x14ac:dyDescent="0.3">
      <c r="B2029" s="111"/>
      <c r="C2029" s="114"/>
      <c r="D2029" s="117"/>
      <c r="E2029" s="120"/>
      <c r="F2029" s="95" t="s">
        <v>62</v>
      </c>
      <c r="G2029" s="96"/>
      <c r="H2029" s="95" t="s">
        <v>63</v>
      </c>
      <c r="I2029" s="96"/>
      <c r="J2029" s="95" t="s">
        <v>64</v>
      </c>
      <c r="K2029" s="96"/>
      <c r="L2029" s="95" t="s">
        <v>133</v>
      </c>
      <c r="M2029" s="96"/>
    </row>
    <row r="2030" spans="2:13" ht="12.95" customHeight="1" x14ac:dyDescent="0.3">
      <c r="B2030" s="112"/>
      <c r="C2030" s="115"/>
      <c r="D2030" s="118"/>
      <c r="E2030" s="121"/>
      <c r="F2030" s="74" t="s">
        <v>5</v>
      </c>
      <c r="G2030" s="75" t="s">
        <v>6</v>
      </c>
      <c r="H2030" s="74" t="s">
        <v>5</v>
      </c>
      <c r="I2030" s="75" t="s">
        <v>6</v>
      </c>
      <c r="J2030" s="74" t="s">
        <v>5</v>
      </c>
      <c r="K2030" s="75" t="s">
        <v>6</v>
      </c>
      <c r="L2030" s="74" t="s">
        <v>5</v>
      </c>
      <c r="M2030" s="75" t="s">
        <v>6</v>
      </c>
    </row>
    <row r="2031" spans="2:13" ht="12.95" customHeight="1" x14ac:dyDescent="0.3">
      <c r="B2031" s="59" t="s">
        <v>2</v>
      </c>
      <c r="C2031" s="59" t="s">
        <v>129</v>
      </c>
      <c r="D2031" s="61" t="s">
        <v>17</v>
      </c>
      <c r="E2031" s="18">
        <v>20413</v>
      </c>
      <c r="F2031" s="25">
        <v>2.5299999999999998</v>
      </c>
      <c r="G2031" s="3">
        <f t="shared" ref="G2031" si="835">TRUNC($E2031*F2031,1)</f>
        <v>51644.800000000003</v>
      </c>
      <c r="H2031" s="25">
        <v>2.82</v>
      </c>
      <c r="I2031" s="3">
        <f t="shared" ref="I2031" si="836">TRUNC($E2031*H2031,1)</f>
        <v>57564.6</v>
      </c>
      <c r="J2031" s="25">
        <v>3.24</v>
      </c>
      <c r="K2031" s="3">
        <f t="shared" ref="K2031" si="837">TRUNC($E2031*J2031,1)</f>
        <v>66138.100000000006</v>
      </c>
      <c r="L2031" s="25">
        <v>3.46</v>
      </c>
      <c r="M2031" s="3">
        <f t="shared" ref="M2031" si="838">TRUNC($E2031*L2031,1)</f>
        <v>70628.899999999994</v>
      </c>
    </row>
    <row r="2032" spans="2:13" ht="12.95" customHeight="1" x14ac:dyDescent="0.3">
      <c r="B2032" s="46" t="s">
        <v>10</v>
      </c>
      <c r="C2032" s="51"/>
      <c r="D2032" s="51"/>
      <c r="E2032" s="22"/>
      <c r="F2032" s="23"/>
      <c r="G2032" s="16">
        <f>TRUNC(SUM(G2031:G2031))</f>
        <v>51644</v>
      </c>
      <c r="H2032" s="23"/>
      <c r="I2032" s="16">
        <f>TRUNC(SUM(I2031:I2031))</f>
        <v>57564</v>
      </c>
      <c r="J2032" s="23"/>
      <c r="K2032" s="16">
        <f>TRUNC(SUM(K2031:K2031))</f>
        <v>66138</v>
      </c>
      <c r="L2032" s="23"/>
      <c r="M2032" s="16">
        <f>TRUNC(SUM(M2031:M2031))</f>
        <v>70628</v>
      </c>
    </row>
    <row r="2033" spans="2:13" ht="12.95" customHeight="1" x14ac:dyDescent="0.3">
      <c r="B2033" s="50"/>
      <c r="C2033" s="51"/>
      <c r="D2033" s="51"/>
      <c r="E2033" s="22"/>
      <c r="F2033" s="23"/>
      <c r="G2033" s="24"/>
      <c r="H2033" s="23"/>
      <c r="I2033" s="24"/>
      <c r="J2033" s="23"/>
      <c r="K2033" s="24"/>
      <c r="L2033" s="23"/>
      <c r="M2033" s="24"/>
    </row>
    <row r="2034" spans="2:13" ht="12.95" customHeight="1" x14ac:dyDescent="0.3">
      <c r="B2034" s="52" t="s">
        <v>29</v>
      </c>
      <c r="C2034" s="53"/>
      <c r="D2034" s="54" t="s">
        <v>9</v>
      </c>
      <c r="E2034" s="55">
        <v>262580</v>
      </c>
      <c r="F2034" s="25">
        <v>1.95</v>
      </c>
      <c r="G2034" s="3">
        <f t="shared" ref="G2034:G2036" si="839">TRUNC($E2034*F2034,1)</f>
        <v>512031</v>
      </c>
      <c r="H2034" s="25">
        <v>2.0299999999999998</v>
      </c>
      <c r="I2034" s="3">
        <f t="shared" ref="I2034:I2036" si="840">TRUNC($E2034*H2034,1)</f>
        <v>533037.4</v>
      </c>
      <c r="J2034" s="25">
        <v>2.14</v>
      </c>
      <c r="K2034" s="3">
        <f t="shared" ref="K2034:K2036" si="841">TRUNC($E2034*J2034,1)</f>
        <v>561921.19999999995</v>
      </c>
      <c r="L2034" s="25">
        <v>2.19</v>
      </c>
      <c r="M2034" s="3">
        <f t="shared" ref="M2034:M2036" si="842">TRUNC($E2034*L2034,1)</f>
        <v>575050.19999999995</v>
      </c>
    </row>
    <row r="2035" spans="2:13" ht="12.95" customHeight="1" x14ac:dyDescent="0.3">
      <c r="B2035" s="52" t="s">
        <v>1</v>
      </c>
      <c r="C2035" s="53"/>
      <c r="D2035" s="54" t="s">
        <v>9</v>
      </c>
      <c r="E2035" s="57">
        <v>172068</v>
      </c>
      <c r="F2035" s="25">
        <v>1.26</v>
      </c>
      <c r="G2035" s="3">
        <f t="shared" si="839"/>
        <v>216805.6</v>
      </c>
      <c r="H2035" s="25">
        <v>1.37</v>
      </c>
      <c r="I2035" s="3">
        <f t="shared" si="840"/>
        <v>235733.1</v>
      </c>
      <c r="J2035" s="25">
        <v>1.5</v>
      </c>
      <c r="K2035" s="3">
        <f t="shared" si="841"/>
        <v>258102</v>
      </c>
      <c r="L2035" s="25">
        <v>1.56</v>
      </c>
      <c r="M2035" s="3">
        <f t="shared" si="842"/>
        <v>268426</v>
      </c>
    </row>
    <row r="2036" spans="2:13" ht="12.95" customHeight="1" x14ac:dyDescent="0.3">
      <c r="B2036" s="59" t="s">
        <v>2</v>
      </c>
      <c r="C2036" s="59" t="s">
        <v>129</v>
      </c>
      <c r="D2036" s="61" t="s">
        <v>17</v>
      </c>
      <c r="E2036" s="18">
        <v>49698</v>
      </c>
      <c r="F2036" s="25">
        <v>2.5299999999999998</v>
      </c>
      <c r="G2036" s="3">
        <f t="shared" si="839"/>
        <v>125735.9</v>
      </c>
      <c r="H2036" s="25">
        <v>2.82</v>
      </c>
      <c r="I2036" s="3">
        <f t="shared" si="840"/>
        <v>140148.29999999999</v>
      </c>
      <c r="J2036" s="25">
        <v>3.24</v>
      </c>
      <c r="K2036" s="3">
        <f t="shared" si="841"/>
        <v>161021.5</v>
      </c>
      <c r="L2036" s="25">
        <v>3.46</v>
      </c>
      <c r="M2036" s="3">
        <f t="shared" si="842"/>
        <v>171955</v>
      </c>
    </row>
    <row r="2037" spans="2:13" ht="12.95" customHeight="1" x14ac:dyDescent="0.3">
      <c r="B2037" s="58" t="s">
        <v>11</v>
      </c>
      <c r="C2037" s="51"/>
      <c r="D2037" s="51"/>
      <c r="E2037" s="22"/>
      <c r="F2037" s="23"/>
      <c r="G2037" s="16">
        <f>TRUNC(SUM(G2034:G2036))</f>
        <v>854572</v>
      </c>
      <c r="H2037" s="23" t="s">
        <v>58</v>
      </c>
      <c r="I2037" s="16">
        <f>TRUNC(SUM(I2034:I2036))</f>
        <v>908918</v>
      </c>
      <c r="J2037" s="23"/>
      <c r="K2037" s="16">
        <f>TRUNC(SUM(K2034:K2036))</f>
        <v>981044</v>
      </c>
      <c r="L2037" s="23"/>
      <c r="M2037" s="16">
        <f>TRUNC(SUM(M2034:M2036))</f>
        <v>1015431</v>
      </c>
    </row>
    <row r="2038" spans="2:13" ht="12.95" customHeight="1" x14ac:dyDescent="0.3">
      <c r="B2038" s="50"/>
      <c r="C2038" s="51"/>
      <c r="D2038" s="51"/>
      <c r="E2038" s="22"/>
      <c r="F2038" s="23"/>
      <c r="G2038" s="24"/>
      <c r="H2038" s="23"/>
      <c r="I2038" s="24"/>
      <c r="J2038" s="23"/>
      <c r="K2038" s="24"/>
      <c r="L2038" s="23"/>
      <c r="M2038" s="24"/>
    </row>
    <row r="2039" spans="2:13" ht="12.95" customHeight="1" x14ac:dyDescent="0.3">
      <c r="B2039" s="59" t="s">
        <v>2</v>
      </c>
      <c r="C2039" s="59" t="s">
        <v>129</v>
      </c>
      <c r="D2039" s="61" t="s">
        <v>17</v>
      </c>
      <c r="E2039" s="18">
        <v>33328</v>
      </c>
      <c r="F2039" s="25">
        <v>2.5299999999999998</v>
      </c>
      <c r="G2039" s="3">
        <f t="shared" ref="G2039" si="843">TRUNC($E2039*F2039,1)</f>
        <v>84319.8</v>
      </c>
      <c r="H2039" s="25">
        <v>2.82</v>
      </c>
      <c r="I2039" s="3">
        <f t="shared" ref="I2039" si="844">TRUNC($E2039*H2039,1)</f>
        <v>93984.9</v>
      </c>
      <c r="J2039" s="25">
        <v>3.24</v>
      </c>
      <c r="K2039" s="3">
        <f t="shared" ref="K2039" si="845">TRUNC($E2039*J2039,1)</f>
        <v>107982.7</v>
      </c>
      <c r="L2039" s="25">
        <v>3.46</v>
      </c>
      <c r="M2039" s="3">
        <f t="shared" ref="M2039" si="846">TRUNC($E2039*L2039,1)</f>
        <v>115314.8</v>
      </c>
    </row>
    <row r="2040" spans="2:13" ht="12.95" customHeight="1" x14ac:dyDescent="0.3">
      <c r="B2040" s="46" t="s">
        <v>12</v>
      </c>
      <c r="C2040" s="51"/>
      <c r="D2040" s="51"/>
      <c r="E2040" s="62"/>
      <c r="F2040" s="15"/>
      <c r="G2040" s="16">
        <f>TRUNC(SUM(G2039:G2039))</f>
        <v>84319</v>
      </c>
      <c r="H2040" s="15"/>
      <c r="I2040" s="16">
        <f>TRUNC(SUM(I2039:I2039))</f>
        <v>93984</v>
      </c>
      <c r="J2040" s="15"/>
      <c r="K2040" s="16">
        <f>TRUNC(SUM(K2039:K2039))</f>
        <v>107982</v>
      </c>
      <c r="L2040" s="15"/>
      <c r="M2040" s="16">
        <f>TRUNC(SUM(M2039:M2039))</f>
        <v>115314</v>
      </c>
    </row>
    <row r="2041" spans="2:13" ht="12.95" customHeight="1" x14ac:dyDescent="0.3">
      <c r="B2041" s="63"/>
      <c r="C2041" s="59"/>
      <c r="D2041" s="59"/>
      <c r="E2041" s="64"/>
      <c r="F2041" s="25"/>
      <c r="G2041" s="27"/>
      <c r="H2041" s="25"/>
      <c r="I2041" s="27"/>
      <c r="J2041" s="25"/>
      <c r="K2041" s="27"/>
      <c r="L2041" s="25"/>
      <c r="M2041" s="27"/>
    </row>
    <row r="2042" spans="2:13" ht="12.95" customHeight="1" x14ac:dyDescent="0.3">
      <c r="B2042" s="66" t="s">
        <v>13</v>
      </c>
      <c r="C2042" s="76"/>
      <c r="D2042" s="76"/>
      <c r="E2042" s="77"/>
      <c r="F2042" s="77"/>
      <c r="G2042" s="26">
        <f>SUM(G2032+G2037+G2040)</f>
        <v>990535</v>
      </c>
      <c r="H2042" s="77"/>
      <c r="I2042" s="26">
        <f>SUM(I2032+I2037+I2040)</f>
        <v>1060466</v>
      </c>
      <c r="J2042" s="77"/>
      <c r="K2042" s="26">
        <f>SUM(K2032+K2037+K2040)</f>
        <v>1155164</v>
      </c>
      <c r="L2042" s="77"/>
      <c r="M2042" s="26">
        <f>SUM(M2032+M2037+M2040)</f>
        <v>1201373</v>
      </c>
    </row>
    <row r="2043" spans="2:13" ht="12.95" customHeight="1" x14ac:dyDescent="0.3">
      <c r="B2043" s="110" t="s">
        <v>3</v>
      </c>
      <c r="C2043" s="113" t="s">
        <v>7</v>
      </c>
      <c r="D2043" s="116" t="s">
        <v>8</v>
      </c>
      <c r="E2043" s="119" t="s">
        <v>4</v>
      </c>
      <c r="F2043" s="95" t="s">
        <v>134</v>
      </c>
      <c r="G2043" s="96"/>
      <c r="H2043" s="96"/>
      <c r="I2043" s="96"/>
    </row>
    <row r="2044" spans="2:13" ht="12.95" customHeight="1" x14ac:dyDescent="0.3">
      <c r="B2044" s="111"/>
      <c r="C2044" s="114"/>
      <c r="D2044" s="117"/>
      <c r="E2044" s="120"/>
      <c r="F2044" s="95" t="s">
        <v>65</v>
      </c>
      <c r="G2044" s="96"/>
      <c r="H2044" s="95" t="s">
        <v>66</v>
      </c>
      <c r="I2044" s="96"/>
    </row>
    <row r="2045" spans="2:13" ht="12.95" customHeight="1" x14ac:dyDescent="0.3">
      <c r="B2045" s="112"/>
      <c r="C2045" s="115"/>
      <c r="D2045" s="118"/>
      <c r="E2045" s="121"/>
      <c r="F2045" s="74" t="s">
        <v>5</v>
      </c>
      <c r="G2045" s="75" t="s">
        <v>6</v>
      </c>
      <c r="H2045" s="74" t="s">
        <v>5</v>
      </c>
      <c r="I2045" s="75" t="s">
        <v>6</v>
      </c>
    </row>
    <row r="2046" spans="2:13" ht="12.95" customHeight="1" x14ac:dyDescent="0.3">
      <c r="B2046" s="59" t="s">
        <v>19</v>
      </c>
      <c r="C2046" s="59" t="s">
        <v>101</v>
      </c>
      <c r="D2046" s="61" t="s">
        <v>17</v>
      </c>
      <c r="E2046" s="18">
        <v>15536</v>
      </c>
      <c r="F2046" s="25">
        <v>3.7</v>
      </c>
      <c r="G2046" s="3">
        <f t="shared" ref="G2046" si="847">TRUNC($E2046*F2046,1)</f>
        <v>57483.199999999997</v>
      </c>
      <c r="H2046" s="25">
        <v>4.2</v>
      </c>
      <c r="I2046" s="3">
        <f t="shared" ref="I2046" si="848">TRUNC($E2046*H2046,1)</f>
        <v>65251.199999999997</v>
      </c>
    </row>
    <row r="2047" spans="2:13" ht="12.95" customHeight="1" x14ac:dyDescent="0.3">
      <c r="B2047" s="46" t="s">
        <v>10</v>
      </c>
      <c r="C2047" s="51"/>
      <c r="D2047" s="51"/>
      <c r="E2047" s="22"/>
      <c r="F2047" s="23"/>
      <c r="G2047" s="16">
        <f>TRUNC(SUM(G2046:G2046))</f>
        <v>57483</v>
      </c>
      <c r="H2047" s="23"/>
      <c r="I2047" s="16">
        <f>TRUNC(SUM(I2046:I2046))</f>
        <v>65251</v>
      </c>
    </row>
    <row r="2048" spans="2:13" ht="12.95" customHeight="1" x14ac:dyDescent="0.3">
      <c r="B2048" s="50"/>
      <c r="C2048" s="51"/>
      <c r="D2048" s="51"/>
      <c r="E2048" s="22"/>
      <c r="F2048" s="23"/>
      <c r="G2048" s="24"/>
      <c r="H2048" s="23"/>
      <c r="I2048" s="24"/>
    </row>
    <row r="2049" spans="2:9" ht="12.95" customHeight="1" x14ac:dyDescent="0.3">
      <c r="B2049" s="52" t="s">
        <v>29</v>
      </c>
      <c r="C2049" s="53"/>
      <c r="D2049" s="54" t="s">
        <v>9</v>
      </c>
      <c r="E2049" s="55">
        <v>262580</v>
      </c>
      <c r="F2049" s="25">
        <v>2.2400000000000002</v>
      </c>
      <c r="G2049" s="3">
        <f t="shared" ref="G2049:G2051" si="849">TRUNC($E2049*F2049,1)</f>
        <v>588179.19999999995</v>
      </c>
      <c r="H2049" s="25">
        <v>2.3199999999999998</v>
      </c>
      <c r="I2049" s="3">
        <f t="shared" ref="I2049:I2051" si="850">TRUNC($E2049*H2049,1)</f>
        <v>609185.6</v>
      </c>
    </row>
    <row r="2050" spans="2:9" ht="12.95" customHeight="1" x14ac:dyDescent="0.3">
      <c r="B2050" s="52" t="s">
        <v>1</v>
      </c>
      <c r="C2050" s="53"/>
      <c r="D2050" s="54" t="s">
        <v>9</v>
      </c>
      <c r="E2050" s="57">
        <v>172068</v>
      </c>
      <c r="F2050" s="25">
        <v>1.61</v>
      </c>
      <c r="G2050" s="3">
        <f t="shared" si="849"/>
        <v>277029.40000000002</v>
      </c>
      <c r="H2050" s="25">
        <v>1.72</v>
      </c>
      <c r="I2050" s="3">
        <f t="shared" si="850"/>
        <v>295956.90000000002</v>
      </c>
    </row>
    <row r="2051" spans="2:9" ht="12.95" customHeight="1" x14ac:dyDescent="0.3">
      <c r="B2051" s="59" t="s">
        <v>19</v>
      </c>
      <c r="C2051" s="59" t="s">
        <v>101</v>
      </c>
      <c r="D2051" s="61" t="s">
        <v>17</v>
      </c>
      <c r="E2051" s="18">
        <v>58925</v>
      </c>
      <c r="F2051" s="25">
        <v>3.7</v>
      </c>
      <c r="G2051" s="3">
        <f t="shared" si="849"/>
        <v>218022.5</v>
      </c>
      <c r="H2051" s="25">
        <v>4.2</v>
      </c>
      <c r="I2051" s="3">
        <f t="shared" si="850"/>
        <v>247485</v>
      </c>
    </row>
    <row r="2052" spans="2:9" ht="12.95" customHeight="1" x14ac:dyDescent="0.3">
      <c r="B2052" s="58" t="s">
        <v>11</v>
      </c>
      <c r="C2052" s="51"/>
      <c r="D2052" s="51"/>
      <c r="E2052" s="22"/>
      <c r="F2052" s="23"/>
      <c r="G2052" s="16">
        <f>TRUNC(SUM(G2049:G2051))</f>
        <v>1083231</v>
      </c>
      <c r="H2052" s="23"/>
      <c r="I2052" s="16">
        <f>TRUNC(SUM(I2049:I2051))</f>
        <v>1152627</v>
      </c>
    </row>
    <row r="2053" spans="2:9" ht="12.95" customHeight="1" x14ac:dyDescent="0.3">
      <c r="B2053" s="50"/>
      <c r="C2053" s="51"/>
      <c r="D2053" s="51"/>
      <c r="E2053" s="22"/>
      <c r="F2053" s="23"/>
      <c r="G2053" s="24"/>
      <c r="H2053" s="23"/>
      <c r="I2053" s="24"/>
    </row>
    <row r="2054" spans="2:9" ht="12.95" customHeight="1" x14ac:dyDescent="0.3">
      <c r="B2054" s="59" t="s">
        <v>19</v>
      </c>
      <c r="C2054" s="59" t="s">
        <v>101</v>
      </c>
      <c r="D2054" s="61" t="s">
        <v>17</v>
      </c>
      <c r="E2054" s="18">
        <v>26776</v>
      </c>
      <c r="F2054" s="25">
        <v>3.7</v>
      </c>
      <c r="G2054" s="3">
        <f t="shared" ref="G2054" si="851">TRUNC($E2054*F2054,1)</f>
        <v>99071.2</v>
      </c>
      <c r="H2054" s="25">
        <v>4.2</v>
      </c>
      <c r="I2054" s="3">
        <f t="shared" ref="I2054" si="852">TRUNC($E2054*H2054,1)</f>
        <v>112459.2</v>
      </c>
    </row>
    <row r="2055" spans="2:9" ht="12.95" customHeight="1" x14ac:dyDescent="0.3">
      <c r="B2055" s="46" t="s">
        <v>12</v>
      </c>
      <c r="C2055" s="51"/>
      <c r="D2055" s="51"/>
      <c r="E2055" s="62"/>
      <c r="F2055" s="15"/>
      <c r="G2055" s="16">
        <f>TRUNC(SUM(G2054:G2054))</f>
        <v>99071</v>
      </c>
      <c r="H2055" s="15"/>
      <c r="I2055" s="16">
        <f>TRUNC(SUM(I2054:I2054))</f>
        <v>112459</v>
      </c>
    </row>
    <row r="2056" spans="2:9" ht="12.95" customHeight="1" x14ac:dyDescent="0.3">
      <c r="B2056" s="63"/>
      <c r="C2056" s="59"/>
      <c r="D2056" s="59"/>
      <c r="E2056" s="64"/>
      <c r="F2056" s="25"/>
      <c r="G2056" s="27"/>
      <c r="H2056" s="25"/>
      <c r="I2056" s="27"/>
    </row>
    <row r="2057" spans="2:9" ht="12.95" customHeight="1" x14ac:dyDescent="0.3">
      <c r="B2057" s="66" t="s">
        <v>13</v>
      </c>
      <c r="C2057" s="76"/>
      <c r="D2057" s="76"/>
      <c r="E2057" s="77"/>
      <c r="F2057" s="77"/>
      <c r="G2057" s="26">
        <f>SUM(G2047+G2052+G2055)</f>
        <v>1239785</v>
      </c>
      <c r="H2057" s="77"/>
      <c r="I2057" s="26">
        <f>SUM(I2047+I2052+I2055)</f>
        <v>1330337</v>
      </c>
    </row>
    <row r="2059" spans="2:9" ht="12.95" customHeight="1" x14ac:dyDescent="0.3">
      <c r="B2059" s="1" t="s">
        <v>135</v>
      </c>
      <c r="I2059" s="79" t="s">
        <v>22</v>
      </c>
    </row>
    <row r="2060" spans="2:9" ht="12.95" customHeight="1" x14ac:dyDescent="0.3">
      <c r="B2060" s="106" t="s">
        <v>3</v>
      </c>
      <c r="C2060" s="107" t="s">
        <v>7</v>
      </c>
      <c r="D2060" s="108" t="s">
        <v>8</v>
      </c>
      <c r="E2060" s="109" t="s">
        <v>4</v>
      </c>
      <c r="F2060" s="105" t="s">
        <v>26</v>
      </c>
      <c r="G2060" s="95"/>
      <c r="H2060" s="105" t="s">
        <v>27</v>
      </c>
      <c r="I2060" s="95"/>
    </row>
    <row r="2061" spans="2:9" ht="12.95" customHeight="1" x14ac:dyDescent="0.3">
      <c r="B2061" s="106"/>
      <c r="C2061" s="107"/>
      <c r="D2061" s="108"/>
      <c r="E2061" s="109"/>
      <c r="F2061" s="74" t="s">
        <v>5</v>
      </c>
      <c r="G2061" s="75" t="s">
        <v>6</v>
      </c>
      <c r="H2061" s="74" t="s">
        <v>5</v>
      </c>
      <c r="I2061" s="75" t="s">
        <v>6</v>
      </c>
    </row>
    <row r="2062" spans="2:9" ht="12.95" customHeight="1" x14ac:dyDescent="0.3">
      <c r="B2062" s="42" t="s">
        <v>53</v>
      </c>
      <c r="C2062" s="43" t="s">
        <v>56</v>
      </c>
      <c r="D2062" s="44" t="s">
        <v>15</v>
      </c>
      <c r="E2062" s="45"/>
      <c r="F2062" s="21">
        <v>1</v>
      </c>
      <c r="G2062" s="5">
        <f>TRUNC(SUM(G2065:G2066)*0.02,1)</f>
        <v>1360</v>
      </c>
      <c r="H2062" s="21">
        <v>1</v>
      </c>
      <c r="I2062" s="5">
        <f>TRUNC(SUM(I2065:I2066)*0.02,1)</f>
        <v>1446.9</v>
      </c>
    </row>
    <row r="2063" spans="2:9" ht="12.95" customHeight="1" x14ac:dyDescent="0.3">
      <c r="B2063" s="46" t="s">
        <v>10</v>
      </c>
      <c r="C2063" s="51"/>
      <c r="D2063" s="51"/>
      <c r="E2063" s="22"/>
      <c r="F2063" s="23"/>
      <c r="G2063" s="16">
        <f>TRUNC(SUM(G2062:G2062))</f>
        <v>1360</v>
      </c>
      <c r="H2063" s="23"/>
      <c r="I2063" s="16">
        <f>TRUNC(SUM(I2062:I2062))</f>
        <v>1446</v>
      </c>
    </row>
    <row r="2064" spans="2:9" ht="12.95" customHeight="1" x14ac:dyDescent="0.3">
      <c r="B2064" s="50"/>
      <c r="C2064" s="51"/>
      <c r="D2064" s="51"/>
      <c r="E2064" s="22"/>
      <c r="F2064" s="23"/>
      <c r="G2064" s="24"/>
      <c r="H2064" s="23"/>
      <c r="I2064" s="24"/>
    </row>
    <row r="2065" spans="2:13" ht="12.95" customHeight="1" x14ac:dyDescent="0.3">
      <c r="B2065" s="52" t="s">
        <v>29</v>
      </c>
      <c r="C2065" s="53"/>
      <c r="D2065" s="54" t="s">
        <v>9</v>
      </c>
      <c r="E2065" s="55">
        <v>262580</v>
      </c>
      <c r="F2065" s="25">
        <v>0.2</v>
      </c>
      <c r="G2065" s="3">
        <f t="shared" ref="G2065:G2066" si="853">TRUNC($E2065*F2065,1)</f>
        <v>52516</v>
      </c>
      <c r="H2065" s="25">
        <v>0.21</v>
      </c>
      <c r="I2065" s="3">
        <f t="shared" ref="I2065:I2066" si="854">TRUNC($E2065*H2065,1)</f>
        <v>55141.8</v>
      </c>
    </row>
    <row r="2066" spans="2:13" ht="12.95" customHeight="1" x14ac:dyDescent="0.3">
      <c r="B2066" s="52" t="s">
        <v>1</v>
      </c>
      <c r="C2066" s="53"/>
      <c r="D2066" s="54" t="s">
        <v>9</v>
      </c>
      <c r="E2066" s="57">
        <v>172068</v>
      </c>
      <c r="F2066" s="25">
        <v>0.09</v>
      </c>
      <c r="G2066" s="3">
        <f t="shared" si="853"/>
        <v>15486.1</v>
      </c>
      <c r="H2066" s="25">
        <v>0.1</v>
      </c>
      <c r="I2066" s="3">
        <f t="shared" si="854"/>
        <v>17206.8</v>
      </c>
    </row>
    <row r="2067" spans="2:13" ht="12.95" customHeight="1" x14ac:dyDescent="0.3">
      <c r="B2067" s="58" t="s">
        <v>11</v>
      </c>
      <c r="C2067" s="51"/>
      <c r="D2067" s="51"/>
      <c r="E2067" s="22"/>
      <c r="F2067" s="23"/>
      <c r="G2067" s="16">
        <f>TRUNC(SUM(G2065:G2066))</f>
        <v>68002</v>
      </c>
      <c r="H2067" s="23"/>
      <c r="I2067" s="16">
        <f>TRUNC(SUM(I2065:I2066))</f>
        <v>72348</v>
      </c>
    </row>
    <row r="2068" spans="2:13" ht="12.95" customHeight="1" x14ac:dyDescent="0.3">
      <c r="B2068" s="50"/>
      <c r="C2068" s="51"/>
      <c r="D2068" s="51"/>
      <c r="E2068" s="22"/>
      <c r="F2068" s="23"/>
      <c r="G2068" s="24"/>
      <c r="H2068" s="23"/>
      <c r="I2068" s="24"/>
    </row>
    <row r="2069" spans="2:13" ht="12.95" customHeight="1" x14ac:dyDescent="0.3">
      <c r="B2069" s="66" t="s">
        <v>13</v>
      </c>
      <c r="C2069" s="76"/>
      <c r="D2069" s="76"/>
      <c r="E2069" s="77"/>
      <c r="F2069" s="77"/>
      <c r="G2069" s="26">
        <f>SUM(G2063+G2067)</f>
        <v>69362</v>
      </c>
      <c r="H2069" s="77"/>
      <c r="I2069" s="26">
        <f>SUM(I2063+I2067)</f>
        <v>73794</v>
      </c>
    </row>
    <row r="2070" spans="2:13" ht="12.95" customHeight="1" x14ac:dyDescent="0.3">
      <c r="B2070" s="106" t="s">
        <v>3</v>
      </c>
      <c r="C2070" s="107" t="s">
        <v>7</v>
      </c>
      <c r="D2070" s="108" t="s">
        <v>8</v>
      </c>
      <c r="E2070" s="109" t="s">
        <v>4</v>
      </c>
      <c r="F2070" s="105" t="s">
        <v>28</v>
      </c>
      <c r="G2070" s="95"/>
      <c r="H2070" s="105" t="s">
        <v>35</v>
      </c>
      <c r="I2070" s="95"/>
      <c r="J2070" s="105" t="s">
        <v>36</v>
      </c>
      <c r="K2070" s="95"/>
      <c r="L2070" s="105" t="s">
        <v>37</v>
      </c>
      <c r="M2070" s="95"/>
    </row>
    <row r="2071" spans="2:13" ht="12.95" customHeight="1" x14ac:dyDescent="0.3">
      <c r="B2071" s="106"/>
      <c r="C2071" s="107"/>
      <c r="D2071" s="108"/>
      <c r="E2071" s="109"/>
      <c r="F2071" s="74" t="s">
        <v>5</v>
      </c>
      <c r="G2071" s="75" t="s">
        <v>6</v>
      </c>
      <c r="H2071" s="74" t="s">
        <v>5</v>
      </c>
      <c r="I2071" s="75" t="s">
        <v>6</v>
      </c>
      <c r="J2071" s="74" t="s">
        <v>5</v>
      </c>
      <c r="K2071" s="75" t="s">
        <v>6</v>
      </c>
      <c r="L2071" s="74" t="s">
        <v>5</v>
      </c>
      <c r="M2071" s="75" t="s">
        <v>6</v>
      </c>
    </row>
    <row r="2072" spans="2:13" ht="12.95" customHeight="1" x14ac:dyDescent="0.3">
      <c r="B2072" s="59" t="s">
        <v>2</v>
      </c>
      <c r="C2072" s="59" t="s">
        <v>14</v>
      </c>
      <c r="D2072" s="61" t="s">
        <v>17</v>
      </c>
      <c r="E2072" s="78">
        <v>9213</v>
      </c>
      <c r="F2072" s="25">
        <v>0.12</v>
      </c>
      <c r="G2072" s="3">
        <f t="shared" ref="G2072" si="855">TRUNC($E2072*F2072,1)</f>
        <v>1105.5</v>
      </c>
      <c r="H2072" s="25">
        <v>0.14000000000000001</v>
      </c>
      <c r="I2072" s="3">
        <f t="shared" ref="I2072" si="856">TRUNC($E2072*H2072,1)</f>
        <v>1289.8</v>
      </c>
      <c r="J2072" s="25">
        <v>0.16</v>
      </c>
      <c r="K2072" s="3">
        <f t="shared" ref="K2072" si="857">TRUNC($E2072*J2072,1)</f>
        <v>1474</v>
      </c>
      <c r="L2072" s="25">
        <v>0.19</v>
      </c>
      <c r="M2072" s="3">
        <f t="shared" ref="M2072" si="858">TRUNC($E2072*L2072,1)</f>
        <v>1750.4</v>
      </c>
    </row>
    <row r="2073" spans="2:13" ht="12.95" customHeight="1" x14ac:dyDescent="0.3">
      <c r="B2073" s="42" t="s">
        <v>53</v>
      </c>
      <c r="C2073" s="43" t="s">
        <v>56</v>
      </c>
      <c r="D2073" s="44" t="s">
        <v>15</v>
      </c>
      <c r="E2073" s="45"/>
      <c r="F2073" s="21">
        <v>1</v>
      </c>
      <c r="G2073" s="5">
        <f>TRUNC(SUM(G2076:G2077)*0.02,1)</f>
        <v>1238.5999999999999</v>
      </c>
      <c r="H2073" s="21">
        <v>1</v>
      </c>
      <c r="I2073" s="5">
        <f>TRUNC(SUM(I2076:I2077)*0.02,1)</f>
        <v>1325.6</v>
      </c>
      <c r="J2073" s="21">
        <v>1</v>
      </c>
      <c r="K2073" s="5">
        <f>TRUNC(SUM(K2076:K2077)*0.02,1)</f>
        <v>1412.5</v>
      </c>
      <c r="L2073" s="21">
        <v>1</v>
      </c>
      <c r="M2073" s="5">
        <f>TRUNC(SUM(M2076:M2077)*0.02,1)</f>
        <v>1586.4</v>
      </c>
    </row>
    <row r="2074" spans="2:13" ht="12.95" customHeight="1" x14ac:dyDescent="0.3">
      <c r="B2074" s="46" t="s">
        <v>10</v>
      </c>
      <c r="C2074" s="51"/>
      <c r="D2074" s="51"/>
      <c r="E2074" s="22"/>
      <c r="F2074" s="23" t="s">
        <v>58</v>
      </c>
      <c r="G2074" s="16">
        <f>TRUNC(SUM(G2072:G2073))</f>
        <v>2344</v>
      </c>
      <c r="H2074" s="23" t="s">
        <v>58</v>
      </c>
      <c r="I2074" s="16">
        <f>TRUNC(SUM(I2072:I2073))</f>
        <v>2615</v>
      </c>
      <c r="J2074" s="23" t="s">
        <v>58</v>
      </c>
      <c r="K2074" s="16">
        <f>TRUNC(SUM(K2072:K2073))</f>
        <v>2886</v>
      </c>
      <c r="L2074" s="23"/>
      <c r="M2074" s="16">
        <f>TRUNC(SUM(M2072:M2073))</f>
        <v>3336</v>
      </c>
    </row>
    <row r="2075" spans="2:13" ht="12.95" customHeight="1" x14ac:dyDescent="0.3">
      <c r="B2075" s="50"/>
      <c r="C2075" s="51"/>
      <c r="D2075" s="51"/>
      <c r="E2075" s="22"/>
      <c r="F2075" s="23"/>
      <c r="G2075" s="24"/>
      <c r="H2075" s="23"/>
      <c r="I2075" s="24"/>
      <c r="J2075" s="23"/>
      <c r="K2075" s="24"/>
      <c r="L2075" s="23"/>
      <c r="M2075" s="24"/>
    </row>
    <row r="2076" spans="2:13" ht="12.95" customHeight="1" x14ac:dyDescent="0.3">
      <c r="B2076" s="52" t="s">
        <v>29</v>
      </c>
      <c r="C2076" s="53"/>
      <c r="D2076" s="54" t="s">
        <v>9</v>
      </c>
      <c r="E2076" s="55">
        <v>262580</v>
      </c>
      <c r="F2076" s="25">
        <v>0.19</v>
      </c>
      <c r="G2076" s="3">
        <f t="shared" ref="G2076:G2078" si="859">TRUNC($E2076*F2076,1)</f>
        <v>49890.2</v>
      </c>
      <c r="H2076" s="25">
        <v>0.2</v>
      </c>
      <c r="I2076" s="3">
        <f t="shared" ref="I2076:I2078" si="860">TRUNC($E2076*H2076,1)</f>
        <v>52516</v>
      </c>
      <c r="J2076" s="25">
        <v>0.21</v>
      </c>
      <c r="K2076" s="3">
        <f t="shared" ref="K2076:K2078" si="861">TRUNC($E2076*J2076,1)</f>
        <v>55141.8</v>
      </c>
      <c r="L2076" s="25">
        <v>0.23</v>
      </c>
      <c r="M2076" s="3">
        <f t="shared" ref="M2076:M2078" si="862">TRUNC($E2076*L2076,1)</f>
        <v>60393.4</v>
      </c>
    </row>
    <row r="2077" spans="2:13" ht="12.95" customHeight="1" x14ac:dyDescent="0.3">
      <c r="B2077" s="52" t="s">
        <v>1</v>
      </c>
      <c r="C2077" s="53"/>
      <c r="D2077" s="54" t="s">
        <v>9</v>
      </c>
      <c r="E2077" s="57">
        <v>172068</v>
      </c>
      <c r="F2077" s="25">
        <v>7.0000000000000007E-2</v>
      </c>
      <c r="G2077" s="3">
        <f t="shared" si="859"/>
        <v>12044.7</v>
      </c>
      <c r="H2077" s="25">
        <v>0.08</v>
      </c>
      <c r="I2077" s="3">
        <f t="shared" si="860"/>
        <v>13765.4</v>
      </c>
      <c r="J2077" s="25">
        <v>0.09</v>
      </c>
      <c r="K2077" s="3">
        <f t="shared" si="861"/>
        <v>15486.1</v>
      </c>
      <c r="L2077" s="25">
        <v>0.11</v>
      </c>
      <c r="M2077" s="3">
        <f t="shared" si="862"/>
        <v>18927.400000000001</v>
      </c>
    </row>
    <row r="2078" spans="2:13" ht="12.95" customHeight="1" x14ac:dyDescent="0.3">
      <c r="B2078" s="59" t="s">
        <v>2</v>
      </c>
      <c r="C2078" s="59" t="s">
        <v>14</v>
      </c>
      <c r="D2078" s="61" t="s">
        <v>17</v>
      </c>
      <c r="E2078" s="78">
        <v>49698</v>
      </c>
      <c r="F2078" s="25">
        <v>0.12</v>
      </c>
      <c r="G2078" s="3">
        <f t="shared" si="859"/>
        <v>5963.7</v>
      </c>
      <c r="H2078" s="25">
        <v>0.14000000000000001</v>
      </c>
      <c r="I2078" s="3">
        <f t="shared" si="860"/>
        <v>6957.7</v>
      </c>
      <c r="J2078" s="25">
        <v>0.16</v>
      </c>
      <c r="K2078" s="3">
        <f t="shared" si="861"/>
        <v>7951.6</v>
      </c>
      <c r="L2078" s="25">
        <v>0.19</v>
      </c>
      <c r="M2078" s="3">
        <f t="shared" si="862"/>
        <v>9442.6</v>
      </c>
    </row>
    <row r="2079" spans="2:13" ht="12.95" customHeight="1" x14ac:dyDescent="0.3">
      <c r="B2079" s="58" t="s">
        <v>11</v>
      </c>
      <c r="C2079" s="51"/>
      <c r="D2079" s="51"/>
      <c r="E2079" s="22"/>
      <c r="F2079" s="23"/>
      <c r="G2079" s="16">
        <f>TRUNC(SUM(G2076:G2078))</f>
        <v>67898</v>
      </c>
      <c r="H2079" s="23"/>
      <c r="I2079" s="16">
        <f>TRUNC(SUM(I2076:I2078))</f>
        <v>73239</v>
      </c>
      <c r="J2079" s="23" t="s">
        <v>58</v>
      </c>
      <c r="K2079" s="16">
        <f>TRUNC(SUM(K2076:K2078))</f>
        <v>78579</v>
      </c>
      <c r="L2079" s="23" t="s">
        <v>58</v>
      </c>
      <c r="M2079" s="16">
        <f>TRUNC(SUM(M2076:M2078))</f>
        <v>88763</v>
      </c>
    </row>
    <row r="2080" spans="2:13" ht="12.95" customHeight="1" x14ac:dyDescent="0.3">
      <c r="B2080" s="50"/>
      <c r="C2080" s="51"/>
      <c r="D2080" s="51"/>
      <c r="E2080" s="22"/>
      <c r="F2080" s="23"/>
      <c r="G2080" s="24"/>
      <c r="H2080" s="23"/>
      <c r="I2080" s="24"/>
      <c r="J2080" s="23"/>
      <c r="K2080" s="24"/>
      <c r="L2080" s="23"/>
      <c r="M2080" s="24"/>
    </row>
    <row r="2081" spans="2:13" ht="12.95" customHeight="1" x14ac:dyDescent="0.3">
      <c r="B2081" s="59" t="s">
        <v>2</v>
      </c>
      <c r="C2081" s="59" t="s">
        <v>14</v>
      </c>
      <c r="D2081" s="61" t="s">
        <v>17</v>
      </c>
      <c r="E2081" s="78">
        <v>11117</v>
      </c>
      <c r="F2081" s="25">
        <v>0.12</v>
      </c>
      <c r="G2081" s="3">
        <f t="shared" ref="G2081" si="863">TRUNC($E2081*F2081,1)</f>
        <v>1334</v>
      </c>
      <c r="H2081" s="25">
        <v>0.14000000000000001</v>
      </c>
      <c r="I2081" s="3">
        <f t="shared" ref="I2081" si="864">TRUNC($E2081*H2081,1)</f>
        <v>1556.3</v>
      </c>
      <c r="J2081" s="25">
        <v>0.16</v>
      </c>
      <c r="K2081" s="3">
        <f t="shared" ref="K2081" si="865">TRUNC($E2081*J2081,1)</f>
        <v>1778.7</v>
      </c>
      <c r="L2081" s="25">
        <v>0.19</v>
      </c>
      <c r="M2081" s="3">
        <f t="shared" ref="M2081" si="866">TRUNC($E2081*L2081,1)</f>
        <v>2112.1999999999998</v>
      </c>
    </row>
    <row r="2082" spans="2:13" ht="12.95" customHeight="1" x14ac:dyDescent="0.3">
      <c r="B2082" s="46" t="s">
        <v>12</v>
      </c>
      <c r="C2082" s="51"/>
      <c r="D2082" s="51"/>
      <c r="E2082" s="62"/>
      <c r="F2082" s="15"/>
      <c r="G2082" s="16">
        <f>TRUNC(SUM(G2081:G2081))</f>
        <v>1334</v>
      </c>
      <c r="H2082" s="15"/>
      <c r="I2082" s="16">
        <f>TRUNC(SUM(I2081:I2081))</f>
        <v>1556</v>
      </c>
      <c r="J2082" s="15"/>
      <c r="K2082" s="16">
        <f>TRUNC(SUM(K2081:K2081))</f>
        <v>1778</v>
      </c>
      <c r="L2082" s="15"/>
      <c r="M2082" s="16">
        <f>TRUNC(SUM(M2081:M2081))</f>
        <v>2112</v>
      </c>
    </row>
    <row r="2083" spans="2:13" ht="12.95" customHeight="1" x14ac:dyDescent="0.3">
      <c r="B2083" s="63"/>
      <c r="C2083" s="59"/>
      <c r="D2083" s="59"/>
      <c r="E2083" s="64"/>
      <c r="F2083" s="25"/>
      <c r="G2083" s="27"/>
      <c r="H2083" s="25"/>
      <c r="I2083" s="27"/>
      <c r="J2083" s="25"/>
      <c r="K2083" s="27"/>
      <c r="L2083" s="25"/>
      <c r="M2083" s="27"/>
    </row>
    <row r="2084" spans="2:13" ht="12.95" customHeight="1" x14ac:dyDescent="0.3">
      <c r="B2084" s="66" t="s">
        <v>13</v>
      </c>
      <c r="C2084" s="76"/>
      <c r="D2084" s="76"/>
      <c r="E2084" s="77"/>
      <c r="F2084" s="77"/>
      <c r="G2084" s="26">
        <f>SUM(G2074+G2079+G2082)</f>
        <v>71576</v>
      </c>
      <c r="H2084" s="77"/>
      <c r="I2084" s="26">
        <f>SUM(I2074+I2079+I2082)</f>
        <v>77410</v>
      </c>
      <c r="J2084" s="77"/>
      <c r="K2084" s="26">
        <f>SUM(K2074+K2079+K2082)</f>
        <v>83243</v>
      </c>
      <c r="L2084" s="77"/>
      <c r="M2084" s="26">
        <f>SUM(M2074+M2079+M2082)</f>
        <v>94211</v>
      </c>
    </row>
    <row r="2085" spans="2:13" ht="12.95" customHeight="1" x14ac:dyDescent="0.3">
      <c r="B2085" s="106" t="s">
        <v>3</v>
      </c>
      <c r="C2085" s="107" t="s">
        <v>7</v>
      </c>
      <c r="D2085" s="108" t="s">
        <v>8</v>
      </c>
      <c r="E2085" s="109" t="s">
        <v>4</v>
      </c>
      <c r="F2085" s="105" t="s">
        <v>39</v>
      </c>
      <c r="G2085" s="95"/>
      <c r="H2085" s="105" t="s">
        <v>40</v>
      </c>
      <c r="I2085" s="95"/>
      <c r="J2085" s="105" t="s">
        <v>41</v>
      </c>
      <c r="K2085" s="95"/>
      <c r="L2085" s="105" t="s">
        <v>43</v>
      </c>
      <c r="M2085" s="95"/>
    </row>
    <row r="2086" spans="2:13" ht="12.95" customHeight="1" x14ac:dyDescent="0.3">
      <c r="B2086" s="106"/>
      <c r="C2086" s="107"/>
      <c r="D2086" s="108"/>
      <c r="E2086" s="109"/>
      <c r="F2086" s="74" t="s">
        <v>5</v>
      </c>
      <c r="G2086" s="75" t="s">
        <v>6</v>
      </c>
      <c r="H2086" s="74" t="s">
        <v>5</v>
      </c>
      <c r="I2086" s="75" t="s">
        <v>6</v>
      </c>
      <c r="J2086" s="74" t="s">
        <v>5</v>
      </c>
      <c r="K2086" s="75" t="s">
        <v>6</v>
      </c>
      <c r="L2086" s="74" t="s">
        <v>5</v>
      </c>
      <c r="M2086" s="75" t="s">
        <v>6</v>
      </c>
    </row>
    <row r="2087" spans="2:13" ht="12.95" customHeight="1" x14ac:dyDescent="0.3">
      <c r="B2087" s="59" t="s">
        <v>2</v>
      </c>
      <c r="C2087" s="59" t="s">
        <v>14</v>
      </c>
      <c r="D2087" s="61" t="s">
        <v>17</v>
      </c>
      <c r="E2087" s="78">
        <v>9213</v>
      </c>
      <c r="F2087" s="25">
        <v>0.23</v>
      </c>
      <c r="G2087" s="3">
        <f t="shared" ref="G2087" si="867">TRUNC($E2087*F2087,1)</f>
        <v>2118.9</v>
      </c>
      <c r="H2087" s="25">
        <v>0.26</v>
      </c>
      <c r="I2087" s="3">
        <f t="shared" ref="I2087" si="868">TRUNC($E2087*H2087,1)</f>
        <v>2395.3000000000002</v>
      </c>
      <c r="J2087" s="25">
        <v>0.3</v>
      </c>
      <c r="K2087" s="3">
        <f t="shared" ref="K2087" si="869">TRUNC($E2087*J2087,1)</f>
        <v>2763.9</v>
      </c>
      <c r="L2087" s="25">
        <v>0.33</v>
      </c>
      <c r="M2087" s="3">
        <f t="shared" ref="M2087" si="870">TRUNC($E2087*L2087,1)</f>
        <v>3040.2</v>
      </c>
    </row>
    <row r="2088" spans="2:13" ht="12.95" customHeight="1" x14ac:dyDescent="0.3">
      <c r="B2088" s="42" t="s">
        <v>53</v>
      </c>
      <c r="C2088" s="43" t="s">
        <v>56</v>
      </c>
      <c r="D2088" s="44" t="s">
        <v>15</v>
      </c>
      <c r="E2088" s="45"/>
      <c r="F2088" s="21">
        <v>1</v>
      </c>
      <c r="G2088" s="5">
        <f>TRUNC(SUM(G2091:G2092)*0.02,1)</f>
        <v>1725.8</v>
      </c>
      <c r="H2088" s="21">
        <v>1</v>
      </c>
      <c r="I2088" s="5">
        <f>TRUNC(SUM(I2091:I2092)*0.02,1)</f>
        <v>1865.3</v>
      </c>
      <c r="J2088" s="21">
        <v>1</v>
      </c>
      <c r="K2088" s="5">
        <f>TRUNC(SUM(K2091:K2092)*0.02,1)</f>
        <v>2004.7</v>
      </c>
      <c r="L2088" s="21">
        <v>1</v>
      </c>
      <c r="M2088" s="5">
        <f>TRUNC(SUM(M2091:M2092)*0.02,1)</f>
        <v>2144.1999999999998</v>
      </c>
    </row>
    <row r="2089" spans="2:13" ht="12.95" customHeight="1" x14ac:dyDescent="0.3">
      <c r="B2089" s="46" t="s">
        <v>10</v>
      </c>
      <c r="C2089" s="51"/>
      <c r="D2089" s="51"/>
      <c r="E2089" s="22"/>
      <c r="F2089" s="23" t="s">
        <v>58</v>
      </c>
      <c r="G2089" s="16">
        <f>TRUNC(SUM(G2087:G2088))</f>
        <v>3844</v>
      </c>
      <c r="H2089" s="23" t="s">
        <v>58</v>
      </c>
      <c r="I2089" s="16">
        <f>TRUNC(SUM(I2087:I2088))</f>
        <v>4260</v>
      </c>
      <c r="J2089" s="23" t="s">
        <v>58</v>
      </c>
      <c r="K2089" s="16">
        <f>TRUNC(SUM(K2087:K2088))</f>
        <v>4768</v>
      </c>
      <c r="L2089" s="23"/>
      <c r="M2089" s="16">
        <f>TRUNC(SUM(M2087:M2088))</f>
        <v>5184</v>
      </c>
    </row>
    <row r="2090" spans="2:13" ht="12.95" customHeight="1" x14ac:dyDescent="0.3">
      <c r="B2090" s="50"/>
      <c r="C2090" s="51"/>
      <c r="D2090" s="51"/>
      <c r="E2090" s="22"/>
      <c r="F2090" s="23"/>
      <c r="G2090" s="24"/>
      <c r="H2090" s="23"/>
      <c r="I2090" s="24"/>
      <c r="J2090" s="23"/>
      <c r="K2090" s="24"/>
      <c r="L2090" s="23"/>
      <c r="M2090" s="24"/>
    </row>
    <row r="2091" spans="2:13" ht="12.95" customHeight="1" x14ac:dyDescent="0.3">
      <c r="B2091" s="52" t="s">
        <v>29</v>
      </c>
      <c r="C2091" s="53"/>
      <c r="D2091" s="54" t="s">
        <v>9</v>
      </c>
      <c r="E2091" s="55">
        <v>262580</v>
      </c>
      <c r="F2091" s="25">
        <v>0.25</v>
      </c>
      <c r="G2091" s="3">
        <f t="shared" ref="G2091:G2093" si="871">TRUNC($E2091*F2091,1)</f>
        <v>65645</v>
      </c>
      <c r="H2091" s="25">
        <v>0.27</v>
      </c>
      <c r="I2091" s="3">
        <f t="shared" ref="I2091:I2093" si="872">TRUNC($E2091*H2091,1)</f>
        <v>70896.600000000006</v>
      </c>
      <c r="J2091" s="25">
        <v>0.28999999999999998</v>
      </c>
      <c r="K2091" s="3">
        <f t="shared" ref="K2091:K2093" si="873">TRUNC($E2091*J2091,1)</f>
        <v>76148.2</v>
      </c>
      <c r="L2091" s="25">
        <v>0.31</v>
      </c>
      <c r="M2091" s="3">
        <f t="shared" ref="M2091:M2093" si="874">TRUNC($E2091*L2091,1)</f>
        <v>81399.8</v>
      </c>
    </row>
    <row r="2092" spans="2:13" ht="12.95" customHeight="1" x14ac:dyDescent="0.3">
      <c r="B2092" s="52" t="s">
        <v>1</v>
      </c>
      <c r="C2092" s="53"/>
      <c r="D2092" s="54" t="s">
        <v>9</v>
      </c>
      <c r="E2092" s="57">
        <v>172068</v>
      </c>
      <c r="F2092" s="25">
        <v>0.12</v>
      </c>
      <c r="G2092" s="3">
        <f t="shared" si="871"/>
        <v>20648.099999999999</v>
      </c>
      <c r="H2092" s="25">
        <v>0.13</v>
      </c>
      <c r="I2092" s="3">
        <f t="shared" si="872"/>
        <v>22368.799999999999</v>
      </c>
      <c r="J2092" s="25">
        <v>0.14000000000000001</v>
      </c>
      <c r="K2092" s="3">
        <f t="shared" si="873"/>
        <v>24089.5</v>
      </c>
      <c r="L2092" s="25">
        <v>0.15</v>
      </c>
      <c r="M2092" s="3">
        <f t="shared" si="874"/>
        <v>25810.2</v>
      </c>
    </row>
    <row r="2093" spans="2:13" ht="12.95" customHeight="1" x14ac:dyDescent="0.3">
      <c r="B2093" s="59" t="s">
        <v>2</v>
      </c>
      <c r="C2093" s="59" t="s">
        <v>14</v>
      </c>
      <c r="D2093" s="61" t="s">
        <v>17</v>
      </c>
      <c r="E2093" s="78">
        <v>49698</v>
      </c>
      <c r="F2093" s="25">
        <v>0.23</v>
      </c>
      <c r="G2093" s="3">
        <f t="shared" si="871"/>
        <v>11430.5</v>
      </c>
      <c r="H2093" s="25">
        <v>0.26</v>
      </c>
      <c r="I2093" s="3">
        <f t="shared" si="872"/>
        <v>12921.4</v>
      </c>
      <c r="J2093" s="25">
        <v>0.3</v>
      </c>
      <c r="K2093" s="3">
        <f t="shared" si="873"/>
        <v>14909.4</v>
      </c>
      <c r="L2093" s="25">
        <v>0.33</v>
      </c>
      <c r="M2093" s="3">
        <f t="shared" si="874"/>
        <v>16400.3</v>
      </c>
    </row>
    <row r="2094" spans="2:13" ht="12.95" customHeight="1" x14ac:dyDescent="0.3">
      <c r="B2094" s="58" t="s">
        <v>11</v>
      </c>
      <c r="C2094" s="51"/>
      <c r="D2094" s="51"/>
      <c r="E2094" s="22"/>
      <c r="F2094" s="23"/>
      <c r="G2094" s="16">
        <f>TRUNC(SUM(G2091:G2093))</f>
        <v>97723</v>
      </c>
      <c r="H2094" s="23"/>
      <c r="I2094" s="16">
        <f>TRUNC(SUM(I2091:I2093))</f>
        <v>106186</v>
      </c>
      <c r="J2094" s="23" t="s">
        <v>58</v>
      </c>
      <c r="K2094" s="16">
        <f>TRUNC(SUM(K2091:K2093))</f>
        <v>115147</v>
      </c>
      <c r="L2094" s="23" t="s">
        <v>58</v>
      </c>
      <c r="M2094" s="16">
        <f>TRUNC(SUM(M2091:M2093))</f>
        <v>123610</v>
      </c>
    </row>
    <row r="2095" spans="2:13" ht="12.95" customHeight="1" x14ac:dyDescent="0.3">
      <c r="B2095" s="50"/>
      <c r="C2095" s="51"/>
      <c r="D2095" s="51"/>
      <c r="E2095" s="22"/>
      <c r="F2095" s="23"/>
      <c r="G2095" s="24"/>
      <c r="H2095" s="23"/>
      <c r="I2095" s="24"/>
      <c r="J2095" s="23"/>
      <c r="K2095" s="24"/>
      <c r="L2095" s="23"/>
      <c r="M2095" s="24"/>
    </row>
    <row r="2096" spans="2:13" ht="12.95" customHeight="1" x14ac:dyDescent="0.3">
      <c r="B2096" s="59" t="s">
        <v>2</v>
      </c>
      <c r="C2096" s="59" t="s">
        <v>14</v>
      </c>
      <c r="D2096" s="61" t="s">
        <v>17</v>
      </c>
      <c r="E2096" s="78">
        <v>11117</v>
      </c>
      <c r="F2096" s="25">
        <v>0.23</v>
      </c>
      <c r="G2096" s="3">
        <f t="shared" ref="G2096" si="875">TRUNC($E2096*F2096,1)</f>
        <v>2556.9</v>
      </c>
      <c r="H2096" s="25">
        <v>0.26</v>
      </c>
      <c r="I2096" s="3">
        <f t="shared" ref="I2096" si="876">TRUNC($E2096*H2096,1)</f>
        <v>2890.4</v>
      </c>
      <c r="J2096" s="25">
        <v>0.3</v>
      </c>
      <c r="K2096" s="3">
        <f t="shared" ref="K2096" si="877">TRUNC($E2096*J2096,1)</f>
        <v>3335.1</v>
      </c>
      <c r="L2096" s="25">
        <v>0.33</v>
      </c>
      <c r="M2096" s="3">
        <f t="shared" ref="M2096" si="878">TRUNC($E2096*L2096,1)</f>
        <v>3668.6</v>
      </c>
    </row>
    <row r="2097" spans="2:13" ht="12.95" customHeight="1" x14ac:dyDescent="0.3">
      <c r="B2097" s="46" t="s">
        <v>12</v>
      </c>
      <c r="C2097" s="51"/>
      <c r="D2097" s="51"/>
      <c r="E2097" s="62"/>
      <c r="F2097" s="15"/>
      <c r="G2097" s="16">
        <f>TRUNC(SUM(G2096:G2096))</f>
        <v>2556</v>
      </c>
      <c r="H2097" s="15"/>
      <c r="I2097" s="16">
        <f>TRUNC(SUM(I2096:I2096))</f>
        <v>2890</v>
      </c>
      <c r="J2097" s="15"/>
      <c r="K2097" s="16">
        <f>TRUNC(SUM(K2096:K2096))</f>
        <v>3335</v>
      </c>
      <c r="L2097" s="15"/>
      <c r="M2097" s="16">
        <f>TRUNC(SUM(M2096:M2096))</f>
        <v>3668</v>
      </c>
    </row>
    <row r="2098" spans="2:13" ht="12.95" customHeight="1" x14ac:dyDescent="0.3">
      <c r="B2098" s="63"/>
      <c r="C2098" s="59"/>
      <c r="D2098" s="59"/>
      <c r="E2098" s="64"/>
      <c r="F2098" s="25"/>
      <c r="G2098" s="27"/>
      <c r="H2098" s="25"/>
      <c r="I2098" s="27"/>
      <c r="J2098" s="25"/>
      <c r="K2098" s="27"/>
      <c r="L2098" s="25"/>
      <c r="M2098" s="27"/>
    </row>
    <row r="2099" spans="2:13" ht="12.95" customHeight="1" x14ac:dyDescent="0.3">
      <c r="B2099" s="66" t="s">
        <v>13</v>
      </c>
      <c r="C2099" s="76"/>
      <c r="D2099" s="76"/>
      <c r="E2099" s="77"/>
      <c r="F2099" s="77"/>
      <c r="G2099" s="26">
        <f>SUM(G2089+G2094+G2097)</f>
        <v>104123</v>
      </c>
      <c r="H2099" s="77"/>
      <c r="I2099" s="26">
        <f>SUM(I2089+I2094+I2097)</f>
        <v>113336</v>
      </c>
      <c r="J2099" s="77"/>
      <c r="K2099" s="26">
        <f>SUM(K2089+K2094+K2097)</f>
        <v>123250</v>
      </c>
      <c r="L2099" s="77"/>
      <c r="M2099" s="26">
        <f>SUM(M2089+M2094+M2097)</f>
        <v>132462</v>
      </c>
    </row>
    <row r="2100" spans="2:13" ht="12.95" customHeight="1" x14ac:dyDescent="0.3">
      <c r="B2100" s="106" t="s">
        <v>3</v>
      </c>
      <c r="C2100" s="107" t="s">
        <v>7</v>
      </c>
      <c r="D2100" s="108" t="s">
        <v>8</v>
      </c>
      <c r="E2100" s="109" t="s">
        <v>4</v>
      </c>
      <c r="F2100" s="105" t="s">
        <v>44</v>
      </c>
      <c r="G2100" s="95"/>
      <c r="H2100" s="105" t="s">
        <v>46</v>
      </c>
      <c r="I2100" s="95"/>
      <c r="J2100" s="105" t="s">
        <v>48</v>
      </c>
      <c r="K2100" s="95"/>
      <c r="L2100" s="105" t="s">
        <v>49</v>
      </c>
      <c r="M2100" s="95"/>
    </row>
    <row r="2101" spans="2:13" ht="12.95" customHeight="1" x14ac:dyDescent="0.3">
      <c r="B2101" s="106"/>
      <c r="C2101" s="107"/>
      <c r="D2101" s="108"/>
      <c r="E2101" s="109"/>
      <c r="F2101" s="74" t="s">
        <v>5</v>
      </c>
      <c r="G2101" s="75" t="s">
        <v>6</v>
      </c>
      <c r="H2101" s="74" t="s">
        <v>5</v>
      </c>
      <c r="I2101" s="75" t="s">
        <v>6</v>
      </c>
      <c r="J2101" s="74" t="s">
        <v>5</v>
      </c>
      <c r="K2101" s="75" t="s">
        <v>6</v>
      </c>
      <c r="L2101" s="74" t="s">
        <v>5</v>
      </c>
      <c r="M2101" s="75" t="s">
        <v>6</v>
      </c>
    </row>
    <row r="2102" spans="2:13" ht="12.95" customHeight="1" x14ac:dyDescent="0.3">
      <c r="B2102" s="59" t="s">
        <v>2</v>
      </c>
      <c r="C2102" s="59" t="s">
        <v>14</v>
      </c>
      <c r="D2102" s="61" t="s">
        <v>17</v>
      </c>
      <c r="E2102" s="78">
        <v>9213</v>
      </c>
      <c r="F2102" s="25">
        <v>0.4</v>
      </c>
      <c r="G2102" s="3">
        <f t="shared" ref="G2102" si="879">TRUNC($E2102*F2102,1)</f>
        <v>3685.2</v>
      </c>
      <c r="H2102" s="25">
        <v>0.47</v>
      </c>
      <c r="I2102" s="3">
        <f t="shared" ref="I2102" si="880">TRUNC($E2102*H2102,1)</f>
        <v>4330.1000000000004</v>
      </c>
      <c r="J2102" s="25">
        <v>0.54</v>
      </c>
      <c r="K2102" s="3">
        <f t="shared" ref="K2102" si="881">TRUNC($E2102*J2102,1)</f>
        <v>4975</v>
      </c>
      <c r="L2102" s="25">
        <v>0.61</v>
      </c>
      <c r="M2102" s="3">
        <f t="shared" ref="M2102" si="882">TRUNC($E2102*L2102,1)</f>
        <v>5619.9</v>
      </c>
    </row>
    <row r="2103" spans="2:13" ht="12.95" customHeight="1" x14ac:dyDescent="0.3">
      <c r="B2103" s="42" t="s">
        <v>53</v>
      </c>
      <c r="C2103" s="43" t="s">
        <v>56</v>
      </c>
      <c r="D2103" s="44" t="s">
        <v>15</v>
      </c>
      <c r="E2103" s="45"/>
      <c r="F2103" s="21">
        <v>1</v>
      </c>
      <c r="G2103" s="5">
        <f>TRUNC(SUM(G2106:G2107)*0.02,1)</f>
        <v>2475.6</v>
      </c>
      <c r="H2103" s="21">
        <v>1</v>
      </c>
      <c r="I2103" s="5">
        <f>TRUNC(SUM(I2106:I2107)*0.02,1)</f>
        <v>2859.5</v>
      </c>
      <c r="J2103" s="21">
        <v>1</v>
      </c>
      <c r="K2103" s="5">
        <f>TRUNC(SUM(K2106:K2107)*0.02,1)</f>
        <v>3225.3</v>
      </c>
      <c r="L2103" s="21">
        <v>1</v>
      </c>
      <c r="M2103" s="5">
        <f>TRUNC(SUM(M2106:M2107)*0.02,1)</f>
        <v>3888.1</v>
      </c>
    </row>
    <row r="2104" spans="2:13" ht="12.95" customHeight="1" x14ac:dyDescent="0.3">
      <c r="B2104" s="46" t="s">
        <v>10</v>
      </c>
      <c r="C2104" s="51"/>
      <c r="D2104" s="51"/>
      <c r="E2104" s="22"/>
      <c r="F2104" s="23" t="s">
        <v>58</v>
      </c>
      <c r="G2104" s="16">
        <f>TRUNC(SUM(G2102:G2103))</f>
        <v>6160</v>
      </c>
      <c r="H2104" s="23" t="s">
        <v>58</v>
      </c>
      <c r="I2104" s="16">
        <f>TRUNC(SUM(I2102:I2103))</f>
        <v>7189</v>
      </c>
      <c r="J2104" s="23" t="s">
        <v>58</v>
      </c>
      <c r="K2104" s="16">
        <f>TRUNC(SUM(K2102:K2103))</f>
        <v>8200</v>
      </c>
      <c r="L2104" s="23"/>
      <c r="M2104" s="16">
        <f>TRUNC(SUM(M2102:M2103))</f>
        <v>9508</v>
      </c>
    </row>
    <row r="2105" spans="2:13" ht="12.95" customHeight="1" x14ac:dyDescent="0.3">
      <c r="B2105" s="50"/>
      <c r="C2105" s="51"/>
      <c r="D2105" s="51"/>
      <c r="E2105" s="22"/>
      <c r="F2105" s="23"/>
      <c r="G2105" s="24"/>
      <c r="H2105" s="23"/>
      <c r="I2105" s="24"/>
      <c r="J2105" s="23"/>
      <c r="K2105" s="24"/>
      <c r="L2105" s="23"/>
      <c r="M2105" s="24"/>
    </row>
    <row r="2106" spans="2:13" ht="12.95" customHeight="1" x14ac:dyDescent="0.3">
      <c r="B2106" s="52" t="s">
        <v>29</v>
      </c>
      <c r="C2106" s="53"/>
      <c r="D2106" s="54" t="s">
        <v>9</v>
      </c>
      <c r="E2106" s="55">
        <v>262580</v>
      </c>
      <c r="F2106" s="25">
        <v>0.36</v>
      </c>
      <c r="G2106" s="3">
        <f t="shared" ref="G2106:G2108" si="883">TRUNC($E2106*F2106,1)</f>
        <v>94528.8</v>
      </c>
      <c r="H2106" s="25">
        <v>0.42</v>
      </c>
      <c r="I2106" s="3">
        <f t="shared" ref="I2106:I2108" si="884">TRUNC($E2106*H2106,1)</f>
        <v>110283.6</v>
      </c>
      <c r="J2106" s="25">
        <v>0.47</v>
      </c>
      <c r="K2106" s="3">
        <f t="shared" ref="K2106:K2108" si="885">TRUNC($E2106*J2106,1)</f>
        <v>123412.6</v>
      </c>
      <c r="L2106" s="25">
        <v>0.56999999999999995</v>
      </c>
      <c r="M2106" s="3">
        <f t="shared" ref="M2106:M2108" si="886">TRUNC($E2106*L2106,1)</f>
        <v>149670.6</v>
      </c>
    </row>
    <row r="2107" spans="2:13" ht="12.95" customHeight="1" x14ac:dyDescent="0.3">
      <c r="B2107" s="52" t="s">
        <v>1</v>
      </c>
      <c r="C2107" s="53"/>
      <c r="D2107" s="54" t="s">
        <v>9</v>
      </c>
      <c r="E2107" s="57">
        <v>172068</v>
      </c>
      <c r="F2107" s="25">
        <v>0.17</v>
      </c>
      <c r="G2107" s="3">
        <f t="shared" si="883"/>
        <v>29251.5</v>
      </c>
      <c r="H2107" s="25">
        <v>0.19</v>
      </c>
      <c r="I2107" s="3">
        <f t="shared" si="884"/>
        <v>32692.9</v>
      </c>
      <c r="J2107" s="25">
        <v>0.22</v>
      </c>
      <c r="K2107" s="3">
        <f t="shared" si="885"/>
        <v>37854.9</v>
      </c>
      <c r="L2107" s="25">
        <v>0.26</v>
      </c>
      <c r="M2107" s="3">
        <f t="shared" si="886"/>
        <v>44737.599999999999</v>
      </c>
    </row>
    <row r="2108" spans="2:13" ht="12.95" customHeight="1" x14ac:dyDescent="0.3">
      <c r="B2108" s="59" t="s">
        <v>2</v>
      </c>
      <c r="C2108" s="59" t="s">
        <v>14</v>
      </c>
      <c r="D2108" s="61" t="s">
        <v>17</v>
      </c>
      <c r="E2108" s="78">
        <v>49698</v>
      </c>
      <c r="F2108" s="25">
        <v>0.4</v>
      </c>
      <c r="G2108" s="3">
        <f t="shared" si="883"/>
        <v>19879.2</v>
      </c>
      <c r="H2108" s="25">
        <v>0.47</v>
      </c>
      <c r="I2108" s="3">
        <f t="shared" si="884"/>
        <v>23358</v>
      </c>
      <c r="J2108" s="25">
        <v>0.54</v>
      </c>
      <c r="K2108" s="3">
        <f t="shared" si="885"/>
        <v>26836.9</v>
      </c>
      <c r="L2108" s="25">
        <v>0.61</v>
      </c>
      <c r="M2108" s="3">
        <f t="shared" si="886"/>
        <v>30315.7</v>
      </c>
    </row>
    <row r="2109" spans="2:13" ht="12.95" customHeight="1" x14ac:dyDescent="0.3">
      <c r="B2109" s="58" t="s">
        <v>11</v>
      </c>
      <c r="C2109" s="51"/>
      <c r="D2109" s="51"/>
      <c r="E2109" s="22"/>
      <c r="F2109" s="23"/>
      <c r="G2109" s="16">
        <f>TRUNC(SUM(G2106:G2108))</f>
        <v>143659</v>
      </c>
      <c r="H2109" s="23"/>
      <c r="I2109" s="16">
        <f>TRUNC(SUM(I2106:I2108))</f>
        <v>166334</v>
      </c>
      <c r="J2109" s="23" t="s">
        <v>58</v>
      </c>
      <c r="K2109" s="16">
        <f>TRUNC(SUM(K2106:K2108))</f>
        <v>188104</v>
      </c>
      <c r="L2109" s="23" t="s">
        <v>58</v>
      </c>
      <c r="M2109" s="16">
        <f>TRUNC(SUM(M2106:M2108))</f>
        <v>224723</v>
      </c>
    </row>
    <row r="2110" spans="2:13" ht="12.95" customHeight="1" x14ac:dyDescent="0.3">
      <c r="B2110" s="50"/>
      <c r="C2110" s="51"/>
      <c r="D2110" s="51"/>
      <c r="E2110" s="22"/>
      <c r="F2110" s="23"/>
      <c r="G2110" s="24"/>
      <c r="H2110" s="23"/>
      <c r="I2110" s="24"/>
      <c r="J2110" s="23"/>
      <c r="K2110" s="24"/>
      <c r="L2110" s="23"/>
      <c r="M2110" s="24"/>
    </row>
    <row r="2111" spans="2:13" ht="12.95" customHeight="1" x14ac:dyDescent="0.3">
      <c r="B2111" s="59" t="s">
        <v>2</v>
      </c>
      <c r="C2111" s="59" t="s">
        <v>14</v>
      </c>
      <c r="D2111" s="61" t="s">
        <v>17</v>
      </c>
      <c r="E2111" s="78">
        <v>11117</v>
      </c>
      <c r="F2111" s="25">
        <v>0.4</v>
      </c>
      <c r="G2111" s="3">
        <f t="shared" ref="G2111" si="887">TRUNC($E2111*F2111,1)</f>
        <v>4446.8</v>
      </c>
      <c r="H2111" s="25">
        <v>0.47</v>
      </c>
      <c r="I2111" s="3">
        <f t="shared" ref="I2111" si="888">TRUNC($E2111*H2111,1)</f>
        <v>5224.8999999999996</v>
      </c>
      <c r="J2111" s="25">
        <v>0.54</v>
      </c>
      <c r="K2111" s="3">
        <f t="shared" ref="K2111" si="889">TRUNC($E2111*J2111,1)</f>
        <v>6003.1</v>
      </c>
      <c r="L2111" s="25">
        <v>0.61</v>
      </c>
      <c r="M2111" s="3">
        <f t="shared" ref="M2111" si="890">TRUNC($E2111*L2111,1)</f>
        <v>6781.3</v>
      </c>
    </row>
    <row r="2112" spans="2:13" ht="12.95" customHeight="1" x14ac:dyDescent="0.3">
      <c r="B2112" s="46" t="s">
        <v>12</v>
      </c>
      <c r="C2112" s="51"/>
      <c r="D2112" s="51"/>
      <c r="E2112" s="62"/>
      <c r="F2112" s="15"/>
      <c r="G2112" s="16">
        <f>TRUNC(SUM(G2111:G2111))</f>
        <v>4446</v>
      </c>
      <c r="H2112" s="15"/>
      <c r="I2112" s="16">
        <f>TRUNC(SUM(I2111:I2111))</f>
        <v>5224</v>
      </c>
      <c r="J2112" s="15"/>
      <c r="K2112" s="16">
        <f>TRUNC(SUM(K2111:K2111))</f>
        <v>6003</v>
      </c>
      <c r="L2112" s="15"/>
      <c r="M2112" s="16">
        <f>TRUNC(SUM(M2111:M2111))</f>
        <v>6781</v>
      </c>
    </row>
    <row r="2113" spans="2:13" ht="12.95" customHeight="1" x14ac:dyDescent="0.3">
      <c r="B2113" s="63"/>
      <c r="C2113" s="59"/>
      <c r="D2113" s="59"/>
      <c r="E2113" s="64"/>
      <c r="F2113" s="25"/>
      <c r="G2113" s="27"/>
      <c r="H2113" s="25"/>
      <c r="I2113" s="27"/>
      <c r="J2113" s="25"/>
      <c r="K2113" s="27"/>
      <c r="L2113" s="25"/>
      <c r="M2113" s="27"/>
    </row>
    <row r="2114" spans="2:13" ht="12.95" customHeight="1" x14ac:dyDescent="0.3">
      <c r="B2114" s="66" t="s">
        <v>13</v>
      </c>
      <c r="C2114" s="76"/>
      <c r="D2114" s="76"/>
      <c r="E2114" s="77"/>
      <c r="F2114" s="77"/>
      <c r="G2114" s="26">
        <f>SUM(G2104+G2109+G2112)</f>
        <v>154265</v>
      </c>
      <c r="H2114" s="77"/>
      <c r="I2114" s="26">
        <f>SUM(I2104+I2109+I2112)</f>
        <v>178747</v>
      </c>
      <c r="J2114" s="77"/>
      <c r="K2114" s="26">
        <f>SUM(K2104+K2109+K2112)</f>
        <v>202307</v>
      </c>
      <c r="L2114" s="77"/>
      <c r="M2114" s="26">
        <f>SUM(M2104+M2109+M2112)</f>
        <v>241012</v>
      </c>
    </row>
    <row r="2116" spans="2:13" ht="12.95" customHeight="1" x14ac:dyDescent="0.3">
      <c r="B2116" s="1" t="s">
        <v>137</v>
      </c>
      <c r="I2116" s="79"/>
      <c r="M2116" s="79" t="s">
        <v>22</v>
      </c>
    </row>
    <row r="2117" spans="2:13" ht="12.95" customHeight="1" x14ac:dyDescent="0.3">
      <c r="B2117" s="106" t="s">
        <v>3</v>
      </c>
      <c r="C2117" s="107" t="s">
        <v>7</v>
      </c>
      <c r="D2117" s="108" t="s">
        <v>8</v>
      </c>
      <c r="E2117" s="109" t="s">
        <v>4</v>
      </c>
      <c r="F2117" s="105" t="s">
        <v>26</v>
      </c>
      <c r="G2117" s="95"/>
      <c r="H2117" s="105" t="s">
        <v>27</v>
      </c>
      <c r="I2117" s="95"/>
      <c r="J2117" s="105" t="s">
        <v>28</v>
      </c>
      <c r="K2117" s="95"/>
      <c r="L2117" s="105" t="s">
        <v>35</v>
      </c>
      <c r="M2117" s="95"/>
    </row>
    <row r="2118" spans="2:13" ht="12.95" customHeight="1" x14ac:dyDescent="0.3">
      <c r="B2118" s="106"/>
      <c r="C2118" s="107"/>
      <c r="D2118" s="108"/>
      <c r="E2118" s="109"/>
      <c r="F2118" s="74" t="s">
        <v>5</v>
      </c>
      <c r="G2118" s="75" t="s">
        <v>6</v>
      </c>
      <c r="H2118" s="74" t="s">
        <v>5</v>
      </c>
      <c r="I2118" s="75" t="s">
        <v>6</v>
      </c>
      <c r="J2118" s="74" t="s">
        <v>5</v>
      </c>
      <c r="K2118" s="75" t="s">
        <v>6</v>
      </c>
      <c r="L2118" s="74" t="s">
        <v>5</v>
      </c>
      <c r="M2118" s="75" t="s">
        <v>6</v>
      </c>
    </row>
    <row r="2119" spans="2:13" ht="12.95" customHeight="1" x14ac:dyDescent="0.3">
      <c r="B2119" s="59" t="s">
        <v>2</v>
      </c>
      <c r="C2119" s="59" t="s">
        <v>14</v>
      </c>
      <c r="D2119" s="61" t="s">
        <v>17</v>
      </c>
      <c r="E2119" s="78">
        <v>9213</v>
      </c>
      <c r="F2119" s="25">
        <v>1.1200000000000001</v>
      </c>
      <c r="G2119" s="3">
        <f t="shared" ref="G2119" si="891">TRUNC($E2119*F2119,1)</f>
        <v>10318.5</v>
      </c>
      <c r="H2119" s="25">
        <v>1.1599999999999999</v>
      </c>
      <c r="I2119" s="3">
        <f t="shared" ref="I2119" si="892">TRUNC($E2119*H2119,1)</f>
        <v>10687</v>
      </c>
      <c r="J2119" s="25">
        <v>1.21</v>
      </c>
      <c r="K2119" s="3">
        <f t="shared" ref="K2119" si="893">TRUNC($E2119*J2119,1)</f>
        <v>11147.7</v>
      </c>
      <c r="L2119" s="25">
        <v>1.43</v>
      </c>
      <c r="M2119" s="3">
        <f t="shared" ref="M2119" si="894">TRUNC($E2119*L2119,1)</f>
        <v>13174.5</v>
      </c>
    </row>
    <row r="2120" spans="2:13" ht="12.95" customHeight="1" x14ac:dyDescent="0.3">
      <c r="B2120" s="42" t="s">
        <v>53</v>
      </c>
      <c r="C2120" s="43" t="s">
        <v>136</v>
      </c>
      <c r="D2120" s="44" t="s">
        <v>15</v>
      </c>
      <c r="E2120" s="45"/>
      <c r="F2120" s="21">
        <v>1</v>
      </c>
      <c r="G2120" s="5">
        <f>TRUNC(SUM(G2123:G2124)*0.04,1)</f>
        <v>4636.1000000000004</v>
      </c>
      <c r="H2120" s="21">
        <v>1</v>
      </c>
      <c r="I2120" s="5">
        <f>TRUNC(SUM(I2123:I2124)*0.04,1)</f>
        <v>5020</v>
      </c>
      <c r="J2120" s="21">
        <v>1</v>
      </c>
      <c r="K2120" s="5">
        <f>TRUNC(SUM(K2123:K2124)*0.04,1)</f>
        <v>6030.5</v>
      </c>
      <c r="L2120" s="21">
        <v>1</v>
      </c>
      <c r="M2120" s="5">
        <f>TRUNC(SUM(M2123:M2124)*0.04,1)</f>
        <v>6309.4</v>
      </c>
    </row>
    <row r="2121" spans="2:13" ht="12.95" customHeight="1" x14ac:dyDescent="0.3">
      <c r="B2121" s="46" t="s">
        <v>10</v>
      </c>
      <c r="C2121" s="51"/>
      <c r="D2121" s="51"/>
      <c r="E2121" s="22"/>
      <c r="F2121" s="23"/>
      <c r="G2121" s="16">
        <f>TRUNC(SUM(G2119:G2120))</f>
        <v>14954</v>
      </c>
      <c r="H2121" s="23"/>
      <c r="I2121" s="16">
        <f>TRUNC(SUM(I2119:I2120))</f>
        <v>15707</v>
      </c>
      <c r="J2121" s="23"/>
      <c r="K2121" s="16">
        <f>TRUNC(SUM(K2119:K2120))</f>
        <v>17178</v>
      </c>
      <c r="L2121" s="23"/>
      <c r="M2121" s="16">
        <f>TRUNC(SUM(M2119:M2120))</f>
        <v>19483</v>
      </c>
    </row>
    <row r="2122" spans="2:13" ht="12.95" customHeight="1" x14ac:dyDescent="0.3">
      <c r="B2122" s="50"/>
      <c r="C2122" s="51"/>
      <c r="D2122" s="51"/>
      <c r="E2122" s="22"/>
      <c r="F2122" s="23"/>
      <c r="G2122" s="24"/>
      <c r="H2122" s="23"/>
      <c r="I2122" s="24"/>
      <c r="J2122" s="23"/>
      <c r="K2122" s="24"/>
      <c r="L2122" s="23"/>
      <c r="M2122" s="24"/>
    </row>
    <row r="2123" spans="2:13" ht="12.95" customHeight="1" x14ac:dyDescent="0.3">
      <c r="B2123" s="52" t="s">
        <v>29</v>
      </c>
      <c r="C2123" s="53"/>
      <c r="D2123" s="54" t="s">
        <v>9</v>
      </c>
      <c r="E2123" s="55">
        <v>262580</v>
      </c>
      <c r="F2123" s="25">
        <v>0.33</v>
      </c>
      <c r="G2123" s="3">
        <f t="shared" ref="G2123:G2125" si="895">TRUNC($E2123*F2123,1)</f>
        <v>86651.4</v>
      </c>
      <c r="H2123" s="25">
        <v>0.36</v>
      </c>
      <c r="I2123" s="3">
        <f t="shared" ref="I2123:I2125" si="896">TRUNC($E2123*H2123,1)</f>
        <v>94528.8</v>
      </c>
      <c r="J2123" s="25">
        <v>0.43</v>
      </c>
      <c r="K2123" s="3">
        <f t="shared" ref="K2123:K2125" si="897">TRUNC($E2123*J2123,1)</f>
        <v>112909.4</v>
      </c>
      <c r="L2123" s="25">
        <v>0.45</v>
      </c>
      <c r="M2123" s="3">
        <f t="shared" ref="M2123:M2125" si="898">TRUNC($E2123*L2123,1)</f>
        <v>118161</v>
      </c>
    </row>
    <row r="2124" spans="2:13" ht="12.95" customHeight="1" x14ac:dyDescent="0.3">
      <c r="B2124" s="52" t="s">
        <v>1</v>
      </c>
      <c r="C2124" s="53"/>
      <c r="D2124" s="54" t="s">
        <v>9</v>
      </c>
      <c r="E2124" s="57">
        <v>172068</v>
      </c>
      <c r="F2124" s="25">
        <v>0.17</v>
      </c>
      <c r="G2124" s="3">
        <f t="shared" si="895"/>
        <v>29251.5</v>
      </c>
      <c r="H2124" s="25">
        <v>0.18</v>
      </c>
      <c r="I2124" s="3">
        <f t="shared" si="896"/>
        <v>30972.2</v>
      </c>
      <c r="J2124" s="25">
        <v>0.22</v>
      </c>
      <c r="K2124" s="3">
        <f t="shared" si="897"/>
        <v>37854.9</v>
      </c>
      <c r="L2124" s="25">
        <v>0.23</v>
      </c>
      <c r="M2124" s="3">
        <f t="shared" si="898"/>
        <v>39575.599999999999</v>
      </c>
    </row>
    <row r="2125" spans="2:13" ht="12.95" customHeight="1" x14ac:dyDescent="0.3">
      <c r="B2125" s="59" t="s">
        <v>2</v>
      </c>
      <c r="C2125" s="59" t="s">
        <v>14</v>
      </c>
      <c r="D2125" s="61" t="s">
        <v>17</v>
      </c>
      <c r="E2125" s="78">
        <v>49698</v>
      </c>
      <c r="F2125" s="25">
        <v>1.1200000000000001</v>
      </c>
      <c r="G2125" s="3">
        <f t="shared" si="895"/>
        <v>55661.7</v>
      </c>
      <c r="H2125" s="25">
        <v>1.1599999999999999</v>
      </c>
      <c r="I2125" s="3">
        <f t="shared" si="896"/>
        <v>57649.599999999999</v>
      </c>
      <c r="J2125" s="25">
        <v>1.21</v>
      </c>
      <c r="K2125" s="3">
        <f t="shared" si="897"/>
        <v>60134.5</v>
      </c>
      <c r="L2125" s="25">
        <v>1.43</v>
      </c>
      <c r="M2125" s="3">
        <f t="shared" si="898"/>
        <v>71068.100000000006</v>
      </c>
    </row>
    <row r="2126" spans="2:13" ht="12.95" customHeight="1" x14ac:dyDescent="0.3">
      <c r="B2126" s="58" t="s">
        <v>11</v>
      </c>
      <c r="C2126" s="51"/>
      <c r="D2126" s="51"/>
      <c r="E2126" s="22"/>
      <c r="F2126" s="23"/>
      <c r="G2126" s="16">
        <f>TRUNC(SUM(G2123:G2125))</f>
        <v>171564</v>
      </c>
      <c r="H2126" s="23"/>
      <c r="I2126" s="16">
        <f>TRUNC(SUM(I2123:I2125))</f>
        <v>183150</v>
      </c>
      <c r="J2126" s="23"/>
      <c r="K2126" s="16">
        <f>TRUNC(SUM(K2123:K2125))</f>
        <v>210898</v>
      </c>
      <c r="L2126" s="23"/>
      <c r="M2126" s="16">
        <f>TRUNC(SUM(M2123:M2125))</f>
        <v>228804</v>
      </c>
    </row>
    <row r="2127" spans="2:13" ht="12.95" customHeight="1" x14ac:dyDescent="0.3">
      <c r="B2127" s="50"/>
      <c r="C2127" s="51"/>
      <c r="D2127" s="51"/>
      <c r="E2127" s="22"/>
      <c r="F2127" s="23"/>
      <c r="G2127" s="24"/>
      <c r="H2127" s="23"/>
      <c r="I2127" s="24"/>
      <c r="J2127" s="23"/>
      <c r="K2127" s="24"/>
      <c r="L2127" s="23"/>
      <c r="M2127" s="24"/>
    </row>
    <row r="2128" spans="2:13" ht="12.95" customHeight="1" x14ac:dyDescent="0.3">
      <c r="B2128" s="59" t="s">
        <v>2</v>
      </c>
      <c r="C2128" s="59" t="s">
        <v>14</v>
      </c>
      <c r="D2128" s="61" t="s">
        <v>17</v>
      </c>
      <c r="E2128" s="78">
        <v>11117</v>
      </c>
      <c r="F2128" s="25">
        <v>1.1200000000000001</v>
      </c>
      <c r="G2128" s="3">
        <f t="shared" ref="G2128" si="899">TRUNC($E2128*F2128,1)</f>
        <v>12451</v>
      </c>
      <c r="H2128" s="25">
        <v>1.1599999999999999</v>
      </c>
      <c r="I2128" s="3">
        <f t="shared" ref="I2128" si="900">TRUNC($E2128*H2128,1)</f>
        <v>12895.7</v>
      </c>
      <c r="J2128" s="25">
        <v>1.21</v>
      </c>
      <c r="K2128" s="3">
        <f t="shared" ref="K2128" si="901">TRUNC($E2128*J2128,1)</f>
        <v>13451.5</v>
      </c>
      <c r="L2128" s="25">
        <v>1.43</v>
      </c>
      <c r="M2128" s="3">
        <f t="shared" ref="M2128" si="902">TRUNC($E2128*L2128,1)</f>
        <v>15897.3</v>
      </c>
    </row>
    <row r="2129" spans="2:13" ht="12.95" customHeight="1" x14ac:dyDescent="0.3">
      <c r="B2129" s="46" t="s">
        <v>12</v>
      </c>
      <c r="C2129" s="51"/>
      <c r="D2129" s="51"/>
      <c r="E2129" s="62"/>
      <c r="F2129" s="15"/>
      <c r="G2129" s="16">
        <f>TRUNC(SUM(G2128:G2128))</f>
        <v>12451</v>
      </c>
      <c r="H2129" s="15"/>
      <c r="I2129" s="16">
        <f>TRUNC(SUM(I2128:I2128))</f>
        <v>12895</v>
      </c>
      <c r="J2129" s="15"/>
      <c r="K2129" s="16">
        <f>TRUNC(SUM(K2128:K2128))</f>
        <v>13451</v>
      </c>
      <c r="L2129" s="15"/>
      <c r="M2129" s="16">
        <f>TRUNC(SUM(M2128:M2128))</f>
        <v>15897</v>
      </c>
    </row>
    <row r="2130" spans="2:13" ht="12.95" customHeight="1" x14ac:dyDescent="0.3">
      <c r="B2130" s="63"/>
      <c r="C2130" s="59"/>
      <c r="D2130" s="59"/>
      <c r="E2130" s="64"/>
      <c r="F2130" s="25"/>
      <c r="G2130" s="27"/>
      <c r="H2130" s="25"/>
      <c r="I2130" s="27"/>
      <c r="J2130" s="25"/>
      <c r="K2130" s="27"/>
      <c r="L2130" s="25"/>
      <c r="M2130" s="27"/>
    </row>
    <row r="2131" spans="2:13" ht="12.95" customHeight="1" x14ac:dyDescent="0.3">
      <c r="B2131" s="66" t="s">
        <v>13</v>
      </c>
      <c r="C2131" s="76"/>
      <c r="D2131" s="76"/>
      <c r="E2131" s="77"/>
      <c r="F2131" s="77"/>
      <c r="G2131" s="26">
        <f>SUM(G2121+G2126+G2129)</f>
        <v>198969</v>
      </c>
      <c r="H2131" s="77"/>
      <c r="I2131" s="26">
        <f>SUM(I2121+I2126+I2129)</f>
        <v>211752</v>
      </c>
      <c r="J2131" s="77"/>
      <c r="K2131" s="26">
        <f>SUM(K2121+K2126+K2129)</f>
        <v>241527</v>
      </c>
      <c r="L2131" s="77"/>
      <c r="M2131" s="26">
        <f>SUM(M2121+M2126+M2129)</f>
        <v>264184</v>
      </c>
    </row>
    <row r="2132" spans="2:13" ht="12.95" customHeight="1" x14ac:dyDescent="0.3">
      <c r="B2132" s="106" t="s">
        <v>3</v>
      </c>
      <c r="C2132" s="107" t="s">
        <v>7</v>
      </c>
      <c r="D2132" s="108" t="s">
        <v>8</v>
      </c>
      <c r="E2132" s="109" t="s">
        <v>4</v>
      </c>
      <c r="F2132" s="105" t="s">
        <v>36</v>
      </c>
      <c r="G2132" s="95"/>
      <c r="H2132" s="105" t="s">
        <v>37</v>
      </c>
      <c r="I2132" s="95"/>
      <c r="J2132" s="105" t="s">
        <v>39</v>
      </c>
      <c r="K2132" s="95"/>
      <c r="L2132" s="105" t="s">
        <v>40</v>
      </c>
      <c r="M2132" s="95"/>
    </row>
    <row r="2133" spans="2:13" ht="12.95" customHeight="1" x14ac:dyDescent="0.3">
      <c r="B2133" s="106"/>
      <c r="C2133" s="107"/>
      <c r="D2133" s="108"/>
      <c r="E2133" s="109"/>
      <c r="F2133" s="74" t="s">
        <v>5</v>
      </c>
      <c r="G2133" s="75" t="s">
        <v>6</v>
      </c>
      <c r="H2133" s="74" t="s">
        <v>5</v>
      </c>
      <c r="I2133" s="75" t="s">
        <v>6</v>
      </c>
      <c r="J2133" s="74" t="s">
        <v>5</v>
      </c>
      <c r="K2133" s="75" t="s">
        <v>6</v>
      </c>
      <c r="L2133" s="74" t="s">
        <v>5</v>
      </c>
      <c r="M2133" s="75" t="s">
        <v>6</v>
      </c>
    </row>
    <row r="2134" spans="2:13" ht="12.95" customHeight="1" x14ac:dyDescent="0.3">
      <c r="B2134" s="59" t="s">
        <v>2</v>
      </c>
      <c r="C2134" s="59" t="s">
        <v>14</v>
      </c>
      <c r="D2134" s="61" t="s">
        <v>17</v>
      </c>
      <c r="E2134" s="78">
        <v>9213</v>
      </c>
      <c r="F2134" s="25">
        <v>1.51</v>
      </c>
      <c r="G2134" s="3">
        <f t="shared" ref="G2134" si="903">TRUNC($E2134*F2134,1)</f>
        <v>13911.6</v>
      </c>
      <c r="H2134" s="25">
        <v>1.6</v>
      </c>
      <c r="I2134" s="3">
        <f t="shared" ref="I2134" si="904">TRUNC($E2134*H2134,1)</f>
        <v>14740.8</v>
      </c>
      <c r="J2134" s="25">
        <v>1.69</v>
      </c>
      <c r="K2134" s="3">
        <f t="shared" ref="K2134" si="905">TRUNC($E2134*J2134,1)</f>
        <v>15569.9</v>
      </c>
      <c r="L2134" s="25">
        <v>1.79</v>
      </c>
      <c r="M2134" s="3">
        <f t="shared" ref="M2134" si="906">TRUNC($E2134*L2134,1)</f>
        <v>16491.2</v>
      </c>
    </row>
    <row r="2135" spans="2:13" ht="12.95" customHeight="1" x14ac:dyDescent="0.3">
      <c r="B2135" s="42" t="s">
        <v>53</v>
      </c>
      <c r="C2135" s="43" t="s">
        <v>136</v>
      </c>
      <c r="D2135" s="44" t="s">
        <v>15</v>
      </c>
      <c r="E2135" s="45"/>
      <c r="F2135" s="21">
        <v>1</v>
      </c>
      <c r="G2135" s="5">
        <f>TRUNC(SUM(G2138:G2139)*0.04,1)</f>
        <v>6972.2</v>
      </c>
      <c r="H2135" s="21">
        <v>1</v>
      </c>
      <c r="I2135" s="5">
        <f>TRUNC(SUM(I2138:I2139)*0.04,1)</f>
        <v>7530</v>
      </c>
      <c r="J2135" s="21">
        <v>1</v>
      </c>
      <c r="K2135" s="5">
        <f>TRUNC(SUM(K2138:K2139)*0.04,1)</f>
        <v>10597.8</v>
      </c>
      <c r="L2135" s="21">
        <v>1</v>
      </c>
      <c r="M2135" s="5">
        <f>TRUNC(SUM(M2138:M2139)*0.04,1)</f>
        <v>13386.7</v>
      </c>
    </row>
    <row r="2136" spans="2:13" ht="12.95" customHeight="1" x14ac:dyDescent="0.3">
      <c r="B2136" s="46" t="s">
        <v>10</v>
      </c>
      <c r="C2136" s="51"/>
      <c r="D2136" s="51"/>
      <c r="E2136" s="22"/>
      <c r="F2136" s="23"/>
      <c r="G2136" s="16">
        <f>TRUNC(SUM(G2134:G2135))</f>
        <v>20883</v>
      </c>
      <c r="H2136" s="23"/>
      <c r="I2136" s="16">
        <f>TRUNC(SUM(I2134:I2135))</f>
        <v>22270</v>
      </c>
      <c r="J2136" s="23"/>
      <c r="K2136" s="16">
        <f>TRUNC(SUM(K2134:K2135))</f>
        <v>26167</v>
      </c>
      <c r="L2136" s="23"/>
      <c r="M2136" s="16">
        <f>TRUNC(SUM(M2134:M2135))</f>
        <v>29877</v>
      </c>
    </row>
    <row r="2137" spans="2:13" ht="12.95" customHeight="1" x14ac:dyDescent="0.3">
      <c r="B2137" s="50"/>
      <c r="C2137" s="51"/>
      <c r="D2137" s="51"/>
      <c r="E2137" s="22"/>
      <c r="F2137" s="23"/>
      <c r="G2137" s="24"/>
      <c r="H2137" s="23"/>
      <c r="I2137" s="24"/>
      <c r="J2137" s="23"/>
      <c r="K2137" s="24"/>
      <c r="L2137" s="23"/>
      <c r="M2137" s="24"/>
    </row>
    <row r="2138" spans="2:13" ht="12.95" customHeight="1" x14ac:dyDescent="0.3">
      <c r="B2138" s="52" t="s">
        <v>29</v>
      </c>
      <c r="C2138" s="53"/>
      <c r="D2138" s="54" t="s">
        <v>9</v>
      </c>
      <c r="E2138" s="55">
        <v>262580</v>
      </c>
      <c r="F2138" s="25">
        <v>0.5</v>
      </c>
      <c r="G2138" s="3">
        <f t="shared" ref="G2138:G2140" si="907">TRUNC($E2138*F2138,1)</f>
        <v>131290</v>
      </c>
      <c r="H2138" s="25">
        <v>0.54</v>
      </c>
      <c r="I2138" s="3">
        <f t="shared" ref="I2138:I2140" si="908">TRUNC($E2138*H2138,1)</f>
        <v>141793.20000000001</v>
      </c>
      <c r="J2138" s="25">
        <v>0.76</v>
      </c>
      <c r="K2138" s="3">
        <f t="shared" ref="K2138:K2140" si="909">TRUNC($E2138*J2138,1)</f>
        <v>199560.8</v>
      </c>
      <c r="L2138" s="25">
        <v>0.96</v>
      </c>
      <c r="M2138" s="3">
        <f t="shared" ref="M2138:M2140" si="910">TRUNC($E2138*L2138,1)</f>
        <v>252076.79999999999</v>
      </c>
    </row>
    <row r="2139" spans="2:13" ht="12.95" customHeight="1" x14ac:dyDescent="0.3">
      <c r="B2139" s="52" t="s">
        <v>1</v>
      </c>
      <c r="C2139" s="53"/>
      <c r="D2139" s="54" t="s">
        <v>9</v>
      </c>
      <c r="E2139" s="57">
        <v>172068</v>
      </c>
      <c r="F2139" s="25">
        <v>0.25</v>
      </c>
      <c r="G2139" s="3">
        <f t="shared" si="907"/>
        <v>43017</v>
      </c>
      <c r="H2139" s="25">
        <v>0.27</v>
      </c>
      <c r="I2139" s="3">
        <f t="shared" si="908"/>
        <v>46458.3</v>
      </c>
      <c r="J2139" s="25">
        <v>0.38</v>
      </c>
      <c r="K2139" s="3">
        <f t="shared" si="909"/>
        <v>65385.8</v>
      </c>
      <c r="L2139" s="25">
        <v>0.48</v>
      </c>
      <c r="M2139" s="3">
        <f t="shared" si="910"/>
        <v>82592.600000000006</v>
      </c>
    </row>
    <row r="2140" spans="2:13" ht="12.95" customHeight="1" x14ac:dyDescent="0.3">
      <c r="B2140" s="59" t="s">
        <v>2</v>
      </c>
      <c r="C2140" s="59" t="s">
        <v>14</v>
      </c>
      <c r="D2140" s="61" t="s">
        <v>17</v>
      </c>
      <c r="E2140" s="78">
        <v>49698</v>
      </c>
      <c r="F2140" s="25">
        <v>1.51</v>
      </c>
      <c r="G2140" s="3">
        <f t="shared" si="907"/>
        <v>75043.899999999994</v>
      </c>
      <c r="H2140" s="25">
        <v>1.6</v>
      </c>
      <c r="I2140" s="3">
        <f t="shared" si="908"/>
        <v>79516.800000000003</v>
      </c>
      <c r="J2140" s="25">
        <v>1.69</v>
      </c>
      <c r="K2140" s="3">
        <f t="shared" si="909"/>
        <v>83989.6</v>
      </c>
      <c r="L2140" s="25">
        <v>1.79</v>
      </c>
      <c r="M2140" s="3">
        <f t="shared" si="910"/>
        <v>88959.4</v>
      </c>
    </row>
    <row r="2141" spans="2:13" ht="12.95" customHeight="1" x14ac:dyDescent="0.3">
      <c r="B2141" s="58" t="s">
        <v>11</v>
      </c>
      <c r="C2141" s="51"/>
      <c r="D2141" s="51"/>
      <c r="E2141" s="22"/>
      <c r="F2141" s="23"/>
      <c r="G2141" s="16">
        <f>TRUNC(SUM(G2138:G2140))</f>
        <v>249350</v>
      </c>
      <c r="H2141" s="23"/>
      <c r="I2141" s="16">
        <f>TRUNC(SUM(I2138:I2140))</f>
        <v>267768</v>
      </c>
      <c r="J2141" s="23"/>
      <c r="K2141" s="16">
        <f>TRUNC(SUM(K2138:K2140))</f>
        <v>348936</v>
      </c>
      <c r="L2141" s="23"/>
      <c r="M2141" s="16">
        <f>TRUNC(SUM(M2138:M2140))</f>
        <v>423628</v>
      </c>
    </row>
    <row r="2142" spans="2:13" ht="12.95" customHeight="1" x14ac:dyDescent="0.3">
      <c r="B2142" s="50"/>
      <c r="C2142" s="51"/>
      <c r="D2142" s="51"/>
      <c r="E2142" s="22"/>
      <c r="F2142" s="23"/>
      <c r="G2142" s="24"/>
      <c r="H2142" s="23"/>
      <c r="I2142" s="24"/>
      <c r="J2142" s="23"/>
      <c r="K2142" s="24"/>
      <c r="L2142" s="23"/>
      <c r="M2142" s="24"/>
    </row>
    <row r="2143" spans="2:13" ht="12.95" customHeight="1" x14ac:dyDescent="0.3">
      <c r="B2143" s="59" t="s">
        <v>2</v>
      </c>
      <c r="C2143" s="59" t="s">
        <v>14</v>
      </c>
      <c r="D2143" s="61" t="s">
        <v>17</v>
      </c>
      <c r="E2143" s="78">
        <v>11117</v>
      </c>
      <c r="F2143" s="25">
        <v>1.51</v>
      </c>
      <c r="G2143" s="3">
        <f t="shared" ref="G2143" si="911">TRUNC($E2143*F2143,1)</f>
        <v>16786.599999999999</v>
      </c>
      <c r="H2143" s="25">
        <v>1.6</v>
      </c>
      <c r="I2143" s="3">
        <f t="shared" ref="I2143" si="912">TRUNC($E2143*H2143,1)</f>
        <v>17787.2</v>
      </c>
      <c r="J2143" s="25">
        <v>1.69</v>
      </c>
      <c r="K2143" s="3">
        <f t="shared" ref="K2143" si="913">TRUNC($E2143*J2143,1)</f>
        <v>18787.7</v>
      </c>
      <c r="L2143" s="25">
        <v>1.79</v>
      </c>
      <c r="M2143" s="3">
        <f t="shared" ref="M2143" si="914">TRUNC($E2143*L2143,1)</f>
        <v>19899.400000000001</v>
      </c>
    </row>
    <row r="2144" spans="2:13" ht="12.95" customHeight="1" x14ac:dyDescent="0.3">
      <c r="B2144" s="46" t="s">
        <v>12</v>
      </c>
      <c r="C2144" s="51"/>
      <c r="D2144" s="51"/>
      <c r="E2144" s="62"/>
      <c r="F2144" s="15"/>
      <c r="G2144" s="16">
        <f>TRUNC(SUM(G2143:G2143))</f>
        <v>16786</v>
      </c>
      <c r="H2144" s="15"/>
      <c r="I2144" s="16">
        <f>TRUNC(SUM(I2143:I2143))</f>
        <v>17787</v>
      </c>
      <c r="J2144" s="15"/>
      <c r="K2144" s="16">
        <f>TRUNC(SUM(K2143:K2143))</f>
        <v>18787</v>
      </c>
      <c r="L2144" s="15"/>
      <c r="M2144" s="16">
        <f>TRUNC(SUM(M2143:M2143))</f>
        <v>19899</v>
      </c>
    </row>
    <row r="2145" spans="2:13" ht="12.95" customHeight="1" x14ac:dyDescent="0.3">
      <c r="B2145" s="63"/>
      <c r="C2145" s="59"/>
      <c r="D2145" s="59"/>
      <c r="E2145" s="64"/>
      <c r="F2145" s="25"/>
      <c r="G2145" s="27"/>
      <c r="H2145" s="25"/>
      <c r="I2145" s="27"/>
      <c r="J2145" s="25"/>
      <c r="K2145" s="27"/>
      <c r="L2145" s="25"/>
      <c r="M2145" s="27"/>
    </row>
    <row r="2146" spans="2:13" ht="12.95" customHeight="1" x14ac:dyDescent="0.3">
      <c r="B2146" s="66" t="s">
        <v>13</v>
      </c>
      <c r="C2146" s="76"/>
      <c r="D2146" s="76"/>
      <c r="E2146" s="77"/>
      <c r="F2146" s="77"/>
      <c r="G2146" s="26">
        <f>SUM(G2136+G2141+G2144)</f>
        <v>287019</v>
      </c>
      <c r="H2146" s="77"/>
      <c r="I2146" s="26">
        <f>SUM(I2136+I2141+I2144)</f>
        <v>307825</v>
      </c>
      <c r="J2146" s="77"/>
      <c r="K2146" s="26">
        <f>SUM(K2136+K2141+K2144)</f>
        <v>393890</v>
      </c>
      <c r="L2146" s="77"/>
      <c r="M2146" s="26">
        <f>SUM(M2136+M2141+M2144)</f>
        <v>473404</v>
      </c>
    </row>
    <row r="2147" spans="2:13" ht="12.95" customHeight="1" x14ac:dyDescent="0.3">
      <c r="B2147" s="106" t="s">
        <v>3</v>
      </c>
      <c r="C2147" s="107" t="s">
        <v>7</v>
      </c>
      <c r="D2147" s="108" t="s">
        <v>8</v>
      </c>
      <c r="E2147" s="109" t="s">
        <v>4</v>
      </c>
      <c r="F2147" s="105" t="s">
        <v>41</v>
      </c>
      <c r="G2147" s="95"/>
      <c r="H2147" s="105" t="s">
        <v>43</v>
      </c>
      <c r="I2147" s="95"/>
      <c r="J2147" s="105" t="s">
        <v>44</v>
      </c>
      <c r="K2147" s="95"/>
    </row>
    <row r="2148" spans="2:13" ht="12.95" customHeight="1" x14ac:dyDescent="0.3">
      <c r="B2148" s="106"/>
      <c r="C2148" s="107"/>
      <c r="D2148" s="108"/>
      <c r="E2148" s="109"/>
      <c r="F2148" s="74" t="s">
        <v>5</v>
      </c>
      <c r="G2148" s="75" t="s">
        <v>6</v>
      </c>
      <c r="H2148" s="74" t="s">
        <v>5</v>
      </c>
      <c r="I2148" s="75" t="s">
        <v>6</v>
      </c>
      <c r="J2148" s="74" t="s">
        <v>5</v>
      </c>
      <c r="K2148" s="75" t="s">
        <v>6</v>
      </c>
    </row>
    <row r="2149" spans="2:13" ht="12.95" customHeight="1" x14ac:dyDescent="0.3">
      <c r="B2149" s="59" t="s">
        <v>2</v>
      </c>
      <c r="C2149" s="59" t="s">
        <v>14</v>
      </c>
      <c r="D2149" s="61" t="s">
        <v>17</v>
      </c>
      <c r="E2149" s="78">
        <v>9213</v>
      </c>
      <c r="F2149" s="25">
        <v>1.91</v>
      </c>
      <c r="G2149" s="3">
        <f t="shared" ref="G2149" si="915">TRUNC($E2149*F2149,1)</f>
        <v>17596.8</v>
      </c>
      <c r="H2149" s="25">
        <v>2.02</v>
      </c>
      <c r="I2149" s="3">
        <f t="shared" ref="I2149" si="916">TRUNC($E2149*H2149,1)</f>
        <v>18610.2</v>
      </c>
      <c r="J2149" s="25">
        <v>2.27</v>
      </c>
      <c r="K2149" s="3">
        <f t="shared" ref="K2149" si="917">TRUNC($E2149*J2149,1)</f>
        <v>20913.5</v>
      </c>
    </row>
    <row r="2150" spans="2:13" ht="12.95" customHeight="1" x14ac:dyDescent="0.3">
      <c r="B2150" s="42" t="s">
        <v>53</v>
      </c>
      <c r="C2150" s="43" t="s">
        <v>136</v>
      </c>
      <c r="D2150" s="44" t="s">
        <v>15</v>
      </c>
      <c r="E2150" s="45"/>
      <c r="F2150" s="21">
        <v>1</v>
      </c>
      <c r="G2150" s="5">
        <f>TRUNC(SUM(G2153:G2154)*0.04,1)</f>
        <v>15896.7</v>
      </c>
      <c r="H2150" s="21">
        <v>1</v>
      </c>
      <c r="I2150" s="5">
        <f>TRUNC(SUM(I2153:I2154)*0.04,1)</f>
        <v>18406.8</v>
      </c>
      <c r="J2150" s="21">
        <v>1</v>
      </c>
      <c r="K2150" s="5">
        <f>TRUNC(SUM(K2153:K2154)*0.04,1)</f>
        <v>22869</v>
      </c>
    </row>
    <row r="2151" spans="2:13" ht="12.95" customHeight="1" x14ac:dyDescent="0.3">
      <c r="B2151" s="46" t="s">
        <v>10</v>
      </c>
      <c r="C2151" s="51"/>
      <c r="D2151" s="51"/>
      <c r="E2151" s="22"/>
      <c r="F2151" s="23"/>
      <c r="G2151" s="16">
        <f>TRUNC(SUM(G2149:G2150))</f>
        <v>33493</v>
      </c>
      <c r="H2151" s="23"/>
      <c r="I2151" s="16">
        <f>TRUNC(SUM(I2149:I2150))</f>
        <v>37017</v>
      </c>
      <c r="J2151" s="23"/>
      <c r="K2151" s="16">
        <f>TRUNC(SUM(K2149:K2150))</f>
        <v>43782</v>
      </c>
    </row>
    <row r="2152" spans="2:13" ht="12.95" customHeight="1" x14ac:dyDescent="0.3">
      <c r="B2152" s="50"/>
      <c r="C2152" s="51"/>
      <c r="D2152" s="51"/>
      <c r="E2152" s="22"/>
      <c r="F2152" s="23"/>
      <c r="G2152" s="24"/>
      <c r="H2152" s="23"/>
      <c r="I2152" s="24"/>
      <c r="J2152" s="23"/>
      <c r="K2152" s="24"/>
    </row>
    <row r="2153" spans="2:13" ht="12.95" customHeight="1" x14ac:dyDescent="0.3">
      <c r="B2153" s="52" t="s">
        <v>29</v>
      </c>
      <c r="C2153" s="53"/>
      <c r="D2153" s="54" t="s">
        <v>9</v>
      </c>
      <c r="E2153" s="55">
        <v>262580</v>
      </c>
      <c r="F2153" s="25">
        <v>1.1399999999999999</v>
      </c>
      <c r="G2153" s="3">
        <f t="shared" ref="G2153:G2155" si="918">TRUNC($E2153*F2153,1)</f>
        <v>299341.2</v>
      </c>
      <c r="H2153" s="25">
        <v>1.32</v>
      </c>
      <c r="I2153" s="3">
        <f t="shared" ref="I2153:I2155" si="919">TRUNC($E2153*H2153,1)</f>
        <v>346605.6</v>
      </c>
      <c r="J2153" s="25">
        <v>1.64</v>
      </c>
      <c r="K2153" s="3">
        <f t="shared" ref="K2153:K2155" si="920">TRUNC($E2153*J2153,1)</f>
        <v>430631.2</v>
      </c>
    </row>
    <row r="2154" spans="2:13" ht="12.95" customHeight="1" x14ac:dyDescent="0.3">
      <c r="B2154" s="52" t="s">
        <v>1</v>
      </c>
      <c r="C2154" s="53"/>
      <c r="D2154" s="54" t="s">
        <v>9</v>
      </c>
      <c r="E2154" s="57">
        <v>172068</v>
      </c>
      <c r="F2154" s="25">
        <v>0.56999999999999995</v>
      </c>
      <c r="G2154" s="3">
        <f t="shared" si="918"/>
        <v>98078.7</v>
      </c>
      <c r="H2154" s="25">
        <v>0.66</v>
      </c>
      <c r="I2154" s="3">
        <f t="shared" si="919"/>
        <v>113564.8</v>
      </c>
      <c r="J2154" s="25">
        <v>0.82</v>
      </c>
      <c r="K2154" s="3">
        <f t="shared" si="920"/>
        <v>141095.70000000001</v>
      </c>
    </row>
    <row r="2155" spans="2:13" ht="12.95" customHeight="1" x14ac:dyDescent="0.3">
      <c r="B2155" s="59" t="s">
        <v>2</v>
      </c>
      <c r="C2155" s="59" t="s">
        <v>14</v>
      </c>
      <c r="D2155" s="61" t="s">
        <v>17</v>
      </c>
      <c r="E2155" s="78">
        <v>49698</v>
      </c>
      <c r="F2155" s="25">
        <v>1.91</v>
      </c>
      <c r="G2155" s="3">
        <f t="shared" si="918"/>
        <v>94923.1</v>
      </c>
      <c r="H2155" s="25">
        <v>2.02</v>
      </c>
      <c r="I2155" s="3">
        <f t="shared" si="919"/>
        <v>100389.9</v>
      </c>
      <c r="J2155" s="25">
        <v>2.27</v>
      </c>
      <c r="K2155" s="3">
        <f t="shared" si="920"/>
        <v>112814.39999999999</v>
      </c>
    </row>
    <row r="2156" spans="2:13" ht="12.95" customHeight="1" x14ac:dyDescent="0.3">
      <c r="B2156" s="58" t="s">
        <v>11</v>
      </c>
      <c r="C2156" s="51"/>
      <c r="D2156" s="51"/>
      <c r="E2156" s="22"/>
      <c r="F2156" s="23"/>
      <c r="G2156" s="16">
        <f>TRUNC(SUM(G2153:G2155))</f>
        <v>492343</v>
      </c>
      <c r="H2156" s="23"/>
      <c r="I2156" s="16">
        <f>TRUNC(SUM(I2153:I2155))</f>
        <v>560560</v>
      </c>
      <c r="J2156" s="23"/>
      <c r="K2156" s="16">
        <f>TRUNC(SUM(K2153:K2155))</f>
        <v>684541</v>
      </c>
    </row>
    <row r="2157" spans="2:13" ht="12.95" customHeight="1" x14ac:dyDescent="0.3">
      <c r="B2157" s="50"/>
      <c r="C2157" s="51"/>
      <c r="D2157" s="51"/>
      <c r="E2157" s="22"/>
      <c r="F2157" s="23"/>
      <c r="G2157" s="24"/>
      <c r="H2157" s="23"/>
      <c r="I2157" s="24"/>
      <c r="J2157" s="23"/>
      <c r="K2157" s="24"/>
    </row>
    <row r="2158" spans="2:13" ht="12.95" customHeight="1" x14ac:dyDescent="0.3">
      <c r="B2158" s="59" t="s">
        <v>2</v>
      </c>
      <c r="C2158" s="59" t="s">
        <v>14</v>
      </c>
      <c r="D2158" s="61" t="s">
        <v>17</v>
      </c>
      <c r="E2158" s="78">
        <v>11117</v>
      </c>
      <c r="F2158" s="25">
        <v>1.91</v>
      </c>
      <c r="G2158" s="3">
        <f t="shared" ref="G2158" si="921">TRUNC($E2158*F2158,1)</f>
        <v>21233.4</v>
      </c>
      <c r="H2158" s="25">
        <v>2.02</v>
      </c>
      <c r="I2158" s="3">
        <f t="shared" ref="I2158" si="922">TRUNC($E2158*H2158,1)</f>
        <v>22456.3</v>
      </c>
      <c r="J2158" s="25">
        <v>2.27</v>
      </c>
      <c r="K2158" s="3">
        <f t="shared" ref="K2158" si="923">TRUNC($E2158*J2158,1)</f>
        <v>25235.5</v>
      </c>
    </row>
    <row r="2159" spans="2:13" ht="12.95" customHeight="1" x14ac:dyDescent="0.3">
      <c r="B2159" s="46" t="s">
        <v>12</v>
      </c>
      <c r="C2159" s="51"/>
      <c r="D2159" s="51"/>
      <c r="E2159" s="62"/>
      <c r="F2159" s="15"/>
      <c r="G2159" s="16">
        <f>TRUNC(SUM(G2158:G2158))</f>
        <v>21233</v>
      </c>
      <c r="H2159" s="15"/>
      <c r="I2159" s="16">
        <f>TRUNC(SUM(I2158:I2158))</f>
        <v>22456</v>
      </c>
      <c r="J2159" s="15"/>
      <c r="K2159" s="16">
        <f>TRUNC(SUM(K2158:K2158))</f>
        <v>25235</v>
      </c>
    </row>
    <row r="2160" spans="2:13" ht="12.95" customHeight="1" x14ac:dyDescent="0.3">
      <c r="B2160" s="63"/>
      <c r="C2160" s="59"/>
      <c r="D2160" s="59"/>
      <c r="E2160" s="64"/>
      <c r="F2160" s="25"/>
      <c r="G2160" s="27"/>
      <c r="H2160" s="25"/>
      <c r="I2160" s="27"/>
      <c r="J2160" s="25"/>
      <c r="K2160" s="27"/>
    </row>
    <row r="2161" spans="2:11" ht="12.95" customHeight="1" x14ac:dyDescent="0.3">
      <c r="B2161" s="66" t="s">
        <v>13</v>
      </c>
      <c r="C2161" s="76"/>
      <c r="D2161" s="76"/>
      <c r="E2161" s="77"/>
      <c r="F2161" s="77"/>
      <c r="G2161" s="26">
        <f>SUM(G2151+G2156+G2159)</f>
        <v>547069</v>
      </c>
      <c r="H2161" s="77"/>
      <c r="I2161" s="26">
        <f>SUM(I2151+I2156+I2159)</f>
        <v>620033</v>
      </c>
      <c r="J2161" s="77"/>
      <c r="K2161" s="26">
        <f>SUM(K2151+K2156+K2159)</f>
        <v>753558</v>
      </c>
    </row>
    <row r="2163" spans="2:11" ht="12.95" customHeight="1" x14ac:dyDescent="0.3">
      <c r="B2163" s="1" t="s">
        <v>138</v>
      </c>
      <c r="K2163" s="79" t="s">
        <v>22</v>
      </c>
    </row>
    <row r="2164" spans="2:11" ht="12.95" customHeight="1" x14ac:dyDescent="0.3">
      <c r="B2164" s="110" t="s">
        <v>3</v>
      </c>
      <c r="C2164" s="113" t="s">
        <v>7</v>
      </c>
      <c r="D2164" s="116" t="s">
        <v>8</v>
      </c>
      <c r="E2164" s="119" t="s">
        <v>4</v>
      </c>
      <c r="F2164" s="95" t="s">
        <v>139</v>
      </c>
      <c r="G2164" s="96"/>
      <c r="H2164" s="96"/>
      <c r="I2164" s="96"/>
      <c r="J2164" s="96"/>
      <c r="K2164" s="96"/>
    </row>
    <row r="2165" spans="2:11" ht="12.95" customHeight="1" x14ac:dyDescent="0.3">
      <c r="B2165" s="111"/>
      <c r="C2165" s="114"/>
      <c r="D2165" s="117"/>
      <c r="E2165" s="120"/>
      <c r="F2165" s="105" t="s">
        <v>140</v>
      </c>
      <c r="G2165" s="95"/>
      <c r="H2165" s="105" t="s">
        <v>141</v>
      </c>
      <c r="I2165" s="95"/>
      <c r="J2165" s="105" t="s">
        <v>142</v>
      </c>
      <c r="K2165" s="95"/>
    </row>
    <row r="2166" spans="2:11" ht="12.95" customHeight="1" x14ac:dyDescent="0.3">
      <c r="B2166" s="112"/>
      <c r="C2166" s="115"/>
      <c r="D2166" s="118"/>
      <c r="E2166" s="121"/>
      <c r="F2166" s="74" t="s">
        <v>5</v>
      </c>
      <c r="G2166" s="75" t="s">
        <v>6</v>
      </c>
      <c r="H2166" s="74" t="s">
        <v>5</v>
      </c>
      <c r="I2166" s="75" t="s">
        <v>6</v>
      </c>
      <c r="J2166" s="74" t="s">
        <v>5</v>
      </c>
      <c r="K2166" s="75" t="s">
        <v>6</v>
      </c>
    </row>
    <row r="2167" spans="2:11" ht="12.95" customHeight="1" x14ac:dyDescent="0.3">
      <c r="B2167" s="42" t="s">
        <v>53</v>
      </c>
      <c r="C2167" s="43" t="s">
        <v>136</v>
      </c>
      <c r="D2167" s="44" t="s">
        <v>15</v>
      </c>
      <c r="E2167" s="45"/>
      <c r="F2167" s="21">
        <v>1</v>
      </c>
      <c r="G2167" s="5">
        <f>TRUNC(SUM(G2170:G2171)*0.04,1)</f>
        <v>2788.9</v>
      </c>
      <c r="H2167" s="21">
        <v>1</v>
      </c>
      <c r="I2167" s="5">
        <f>TRUNC(SUM(I2170:I2171)*0.04,1)</f>
        <v>3346.6</v>
      </c>
      <c r="J2167" s="21">
        <v>1</v>
      </c>
      <c r="K2167" s="5">
        <f>TRUNC(SUM(K2170:K2171)*0.04,1)</f>
        <v>3904.4</v>
      </c>
    </row>
    <row r="2168" spans="2:11" ht="12.95" customHeight="1" x14ac:dyDescent="0.3">
      <c r="B2168" s="46" t="s">
        <v>10</v>
      </c>
      <c r="C2168" s="51"/>
      <c r="D2168" s="51"/>
      <c r="E2168" s="22"/>
      <c r="F2168" s="23"/>
      <c r="G2168" s="16">
        <f>TRUNC(SUM(G2167:G2167))</f>
        <v>2788</v>
      </c>
      <c r="H2168" s="23"/>
      <c r="I2168" s="16">
        <f>TRUNC(SUM(I2167:I2167))</f>
        <v>3346</v>
      </c>
      <c r="J2168" s="23"/>
      <c r="K2168" s="16">
        <f>TRUNC(SUM(K2167:K2167))</f>
        <v>3904</v>
      </c>
    </row>
    <row r="2169" spans="2:11" ht="12.95" customHeight="1" x14ac:dyDescent="0.3">
      <c r="B2169" s="50"/>
      <c r="C2169" s="51"/>
      <c r="D2169" s="51"/>
      <c r="E2169" s="22"/>
      <c r="F2169" s="23"/>
      <c r="G2169" s="24"/>
      <c r="H2169" s="23"/>
      <c r="I2169" s="24"/>
      <c r="J2169" s="23"/>
      <c r="K2169" s="24"/>
    </row>
    <row r="2170" spans="2:11" ht="12.95" customHeight="1" x14ac:dyDescent="0.3">
      <c r="B2170" s="52" t="s">
        <v>29</v>
      </c>
      <c r="C2170" s="53"/>
      <c r="D2170" s="54" t="s">
        <v>9</v>
      </c>
      <c r="E2170" s="55">
        <v>262580</v>
      </c>
      <c r="F2170" s="25">
        <v>0.2</v>
      </c>
      <c r="G2170" s="3">
        <f t="shared" ref="G2170:K2171" si="924">TRUNC($E2170*F2170,1)</f>
        <v>52516</v>
      </c>
      <c r="H2170" s="25">
        <v>0.24</v>
      </c>
      <c r="I2170" s="3">
        <f t="shared" si="924"/>
        <v>63019.199999999997</v>
      </c>
      <c r="J2170" s="25">
        <v>0.28000000000000003</v>
      </c>
      <c r="K2170" s="3">
        <f t="shared" si="924"/>
        <v>73522.399999999994</v>
      </c>
    </row>
    <row r="2171" spans="2:11" ht="12.95" customHeight="1" x14ac:dyDescent="0.3">
      <c r="B2171" s="52" t="s">
        <v>1</v>
      </c>
      <c r="C2171" s="53"/>
      <c r="D2171" s="54" t="s">
        <v>9</v>
      </c>
      <c r="E2171" s="57">
        <v>172068</v>
      </c>
      <c r="F2171" s="25">
        <v>0.1</v>
      </c>
      <c r="G2171" s="3">
        <f t="shared" si="924"/>
        <v>17206.8</v>
      </c>
      <c r="H2171" s="25">
        <v>0.12</v>
      </c>
      <c r="I2171" s="3">
        <f t="shared" si="924"/>
        <v>20648.099999999999</v>
      </c>
      <c r="J2171" s="25">
        <v>0.14000000000000001</v>
      </c>
      <c r="K2171" s="3">
        <f t="shared" si="924"/>
        <v>24089.5</v>
      </c>
    </row>
    <row r="2172" spans="2:11" ht="12.95" customHeight="1" x14ac:dyDescent="0.3">
      <c r="B2172" s="58" t="s">
        <v>11</v>
      </c>
      <c r="C2172" s="51"/>
      <c r="D2172" s="51"/>
      <c r="E2172" s="22"/>
      <c r="F2172" s="23"/>
      <c r="G2172" s="16">
        <f>TRUNC(SUM(G2170:G2171))</f>
        <v>69722</v>
      </c>
      <c r="H2172" s="23"/>
      <c r="I2172" s="16">
        <f>TRUNC(SUM(I2170:I2171))</f>
        <v>83667</v>
      </c>
      <c r="J2172" s="23"/>
      <c r="K2172" s="16">
        <f>TRUNC(SUM(K2170:K2171))</f>
        <v>97611</v>
      </c>
    </row>
    <row r="2173" spans="2:11" ht="12.95" customHeight="1" x14ac:dyDescent="0.3">
      <c r="B2173" s="50"/>
      <c r="C2173" s="51"/>
      <c r="D2173" s="51"/>
      <c r="E2173" s="22"/>
      <c r="F2173" s="23"/>
      <c r="G2173" s="24"/>
      <c r="H2173" s="23"/>
      <c r="I2173" s="24"/>
      <c r="J2173" s="23"/>
      <c r="K2173" s="24"/>
    </row>
    <row r="2174" spans="2:11" ht="12.95" customHeight="1" x14ac:dyDescent="0.3">
      <c r="B2174" s="66" t="s">
        <v>13</v>
      </c>
      <c r="C2174" s="76"/>
      <c r="D2174" s="76"/>
      <c r="E2174" s="77"/>
      <c r="F2174" s="77"/>
      <c r="G2174" s="26">
        <f>SUM(G2168+G2172)</f>
        <v>72510</v>
      </c>
      <c r="H2174" s="77"/>
      <c r="I2174" s="26">
        <f>SUM(I2168+I2172)</f>
        <v>87013</v>
      </c>
      <c r="J2174" s="77"/>
      <c r="K2174" s="26">
        <f>SUM(K2168+K2172)</f>
        <v>101515</v>
      </c>
    </row>
    <row r="2175" spans="2:11" ht="12.95" customHeight="1" x14ac:dyDescent="0.3">
      <c r="B2175" s="110" t="s">
        <v>3</v>
      </c>
      <c r="C2175" s="113" t="s">
        <v>7</v>
      </c>
      <c r="D2175" s="116" t="s">
        <v>8</v>
      </c>
      <c r="E2175" s="119" t="s">
        <v>4</v>
      </c>
      <c r="F2175" s="95" t="s">
        <v>143</v>
      </c>
      <c r="G2175" s="96"/>
      <c r="H2175" s="96"/>
      <c r="I2175" s="96"/>
      <c r="J2175" s="96"/>
      <c r="K2175" s="96"/>
    </row>
    <row r="2176" spans="2:11" ht="12.95" customHeight="1" x14ac:dyDescent="0.3">
      <c r="B2176" s="111"/>
      <c r="C2176" s="114"/>
      <c r="D2176" s="117"/>
      <c r="E2176" s="120"/>
      <c r="F2176" s="105" t="s">
        <v>140</v>
      </c>
      <c r="G2176" s="95"/>
      <c r="H2176" s="105" t="s">
        <v>141</v>
      </c>
      <c r="I2176" s="95"/>
      <c r="J2176" s="105" t="s">
        <v>142</v>
      </c>
      <c r="K2176" s="95"/>
    </row>
    <row r="2177" spans="2:11" ht="12.95" customHeight="1" x14ac:dyDescent="0.3">
      <c r="B2177" s="112"/>
      <c r="C2177" s="115"/>
      <c r="D2177" s="118"/>
      <c r="E2177" s="121"/>
      <c r="F2177" s="74" t="s">
        <v>5</v>
      </c>
      <c r="G2177" s="75" t="s">
        <v>6</v>
      </c>
      <c r="H2177" s="74" t="s">
        <v>5</v>
      </c>
      <c r="I2177" s="75" t="s">
        <v>6</v>
      </c>
      <c r="J2177" s="74" t="s">
        <v>5</v>
      </c>
      <c r="K2177" s="75" t="s">
        <v>6</v>
      </c>
    </row>
    <row r="2178" spans="2:11" ht="12.95" customHeight="1" x14ac:dyDescent="0.3">
      <c r="B2178" s="42" t="s">
        <v>53</v>
      </c>
      <c r="C2178" s="43" t="s">
        <v>136</v>
      </c>
      <c r="D2178" s="44" t="s">
        <v>15</v>
      </c>
      <c r="E2178" s="45"/>
      <c r="F2178" s="21">
        <v>1</v>
      </c>
      <c r="G2178" s="5">
        <f>TRUNC(SUM(G2181:G2182)*0.04,1)</f>
        <v>3346.6</v>
      </c>
      <c r="H2178" s="21">
        <v>1</v>
      </c>
      <c r="I2178" s="5">
        <f>TRUNC(SUM(I2181:I2182)*0.04,1)</f>
        <v>3904.4</v>
      </c>
      <c r="J2178" s="21">
        <v>1</v>
      </c>
      <c r="K2178" s="5">
        <f>TRUNC(SUM(K2181:K2182)*0.04,1)</f>
        <v>4741.1000000000004</v>
      </c>
    </row>
    <row r="2179" spans="2:11" ht="12.95" customHeight="1" x14ac:dyDescent="0.3">
      <c r="B2179" s="46" t="s">
        <v>10</v>
      </c>
      <c r="C2179" s="51"/>
      <c r="D2179" s="51"/>
      <c r="E2179" s="22"/>
      <c r="F2179" s="23"/>
      <c r="G2179" s="16">
        <f>TRUNC(SUM(G2178:G2178))</f>
        <v>3346</v>
      </c>
      <c r="H2179" s="23"/>
      <c r="I2179" s="16">
        <f>TRUNC(SUM(I2178:I2178))</f>
        <v>3904</v>
      </c>
      <c r="J2179" s="23"/>
      <c r="K2179" s="16">
        <f>TRUNC(SUM(K2178:K2178))</f>
        <v>4741</v>
      </c>
    </row>
    <row r="2180" spans="2:11" ht="12.95" customHeight="1" x14ac:dyDescent="0.3">
      <c r="B2180" s="50"/>
      <c r="C2180" s="51"/>
      <c r="D2180" s="51"/>
      <c r="E2180" s="22"/>
      <c r="F2180" s="23"/>
      <c r="G2180" s="24"/>
      <c r="H2180" s="23"/>
      <c r="I2180" s="24"/>
      <c r="J2180" s="23"/>
      <c r="K2180" s="24"/>
    </row>
    <row r="2181" spans="2:11" ht="12.95" customHeight="1" x14ac:dyDescent="0.3">
      <c r="B2181" s="52" t="s">
        <v>29</v>
      </c>
      <c r="C2181" s="53"/>
      <c r="D2181" s="54" t="s">
        <v>9</v>
      </c>
      <c r="E2181" s="55">
        <v>262580</v>
      </c>
      <c r="F2181" s="25">
        <v>0.24</v>
      </c>
      <c r="G2181" s="3">
        <f t="shared" ref="G2181:G2182" si="925">TRUNC($E2181*F2181,1)</f>
        <v>63019.199999999997</v>
      </c>
      <c r="H2181" s="25">
        <v>0.28000000000000003</v>
      </c>
      <c r="I2181" s="3">
        <f t="shared" ref="I2181:I2182" si="926">TRUNC($E2181*H2181,1)</f>
        <v>73522.399999999994</v>
      </c>
      <c r="J2181" s="25">
        <v>0.34</v>
      </c>
      <c r="K2181" s="3">
        <f t="shared" ref="K2181:K2182" si="927">TRUNC($E2181*J2181,1)</f>
        <v>89277.2</v>
      </c>
    </row>
    <row r="2182" spans="2:11" ht="12.95" customHeight="1" x14ac:dyDescent="0.3">
      <c r="B2182" s="52" t="s">
        <v>1</v>
      </c>
      <c r="C2182" s="53"/>
      <c r="D2182" s="54" t="s">
        <v>9</v>
      </c>
      <c r="E2182" s="57">
        <v>172068</v>
      </c>
      <c r="F2182" s="25">
        <v>0.12</v>
      </c>
      <c r="G2182" s="3">
        <f t="shared" si="925"/>
        <v>20648.099999999999</v>
      </c>
      <c r="H2182" s="25">
        <v>0.14000000000000001</v>
      </c>
      <c r="I2182" s="3">
        <f t="shared" si="926"/>
        <v>24089.5</v>
      </c>
      <c r="J2182" s="25">
        <v>0.17</v>
      </c>
      <c r="K2182" s="3">
        <f t="shared" si="927"/>
        <v>29251.5</v>
      </c>
    </row>
    <row r="2183" spans="2:11" ht="12.95" customHeight="1" x14ac:dyDescent="0.3">
      <c r="B2183" s="58" t="s">
        <v>11</v>
      </c>
      <c r="C2183" s="51"/>
      <c r="D2183" s="51"/>
      <c r="E2183" s="22"/>
      <c r="F2183" s="23"/>
      <c r="G2183" s="16">
        <f>TRUNC(SUM(G2181:G2182))</f>
        <v>83667</v>
      </c>
      <c r="H2183" s="23"/>
      <c r="I2183" s="16">
        <f>TRUNC(SUM(I2181:I2182))</f>
        <v>97611</v>
      </c>
      <c r="J2183" s="23"/>
      <c r="K2183" s="16">
        <f>TRUNC(SUM(K2181:K2182))</f>
        <v>118528</v>
      </c>
    </row>
    <row r="2184" spans="2:11" ht="12.95" customHeight="1" x14ac:dyDescent="0.3">
      <c r="B2184" s="50"/>
      <c r="C2184" s="51"/>
      <c r="D2184" s="51"/>
      <c r="E2184" s="22"/>
      <c r="F2184" s="23"/>
      <c r="G2184" s="24"/>
      <c r="H2184" s="23"/>
      <c r="I2184" s="24"/>
      <c r="J2184" s="23"/>
      <c r="K2184" s="24"/>
    </row>
    <row r="2185" spans="2:11" ht="12.95" customHeight="1" x14ac:dyDescent="0.3">
      <c r="B2185" s="66" t="s">
        <v>13</v>
      </c>
      <c r="C2185" s="76"/>
      <c r="D2185" s="76"/>
      <c r="E2185" s="77"/>
      <c r="F2185" s="77"/>
      <c r="G2185" s="26">
        <f>SUM(G2179+G2183)</f>
        <v>87013</v>
      </c>
      <c r="H2185" s="77"/>
      <c r="I2185" s="26">
        <f>SUM(I2179+I2183)</f>
        <v>101515</v>
      </c>
      <c r="J2185" s="77"/>
      <c r="K2185" s="26">
        <f>SUM(K2179+K2183)</f>
        <v>123269</v>
      </c>
    </row>
    <row r="2186" spans="2:11" ht="12.95" customHeight="1" x14ac:dyDescent="0.3">
      <c r="B2186" s="110" t="s">
        <v>3</v>
      </c>
      <c r="C2186" s="113" t="s">
        <v>7</v>
      </c>
      <c r="D2186" s="116" t="s">
        <v>8</v>
      </c>
      <c r="E2186" s="119" t="s">
        <v>4</v>
      </c>
      <c r="F2186" s="95" t="s">
        <v>144</v>
      </c>
      <c r="G2186" s="96"/>
      <c r="H2186" s="96"/>
      <c r="I2186" s="96"/>
      <c r="J2186" s="96"/>
      <c r="K2186" s="96"/>
    </row>
    <row r="2187" spans="2:11" ht="12.95" customHeight="1" x14ac:dyDescent="0.3">
      <c r="B2187" s="111"/>
      <c r="C2187" s="114"/>
      <c r="D2187" s="117"/>
      <c r="E2187" s="120"/>
      <c r="F2187" s="105" t="s">
        <v>140</v>
      </c>
      <c r="G2187" s="95"/>
      <c r="H2187" s="105" t="s">
        <v>141</v>
      </c>
      <c r="I2187" s="95"/>
      <c r="J2187" s="105" t="s">
        <v>142</v>
      </c>
      <c r="K2187" s="95"/>
    </row>
    <row r="2188" spans="2:11" ht="12.95" customHeight="1" x14ac:dyDescent="0.3">
      <c r="B2188" s="112"/>
      <c r="C2188" s="115"/>
      <c r="D2188" s="118"/>
      <c r="E2188" s="121"/>
      <c r="F2188" s="74" t="s">
        <v>5</v>
      </c>
      <c r="G2188" s="75" t="s">
        <v>6</v>
      </c>
      <c r="H2188" s="74" t="s">
        <v>5</v>
      </c>
      <c r="I2188" s="75" t="s">
        <v>6</v>
      </c>
      <c r="J2188" s="74" t="s">
        <v>5</v>
      </c>
      <c r="K2188" s="75" t="s">
        <v>6</v>
      </c>
    </row>
    <row r="2189" spans="2:11" ht="12.95" customHeight="1" x14ac:dyDescent="0.3">
      <c r="B2189" s="42" t="s">
        <v>53</v>
      </c>
      <c r="C2189" s="43" t="s">
        <v>136</v>
      </c>
      <c r="D2189" s="44" t="s">
        <v>15</v>
      </c>
      <c r="E2189" s="45"/>
      <c r="F2189" s="21">
        <v>1</v>
      </c>
      <c r="G2189" s="5">
        <f>TRUNC(SUM(G2192:G2193)*0.04,1)</f>
        <v>3520.5</v>
      </c>
      <c r="H2189" s="21">
        <v>1</v>
      </c>
      <c r="I2189" s="5">
        <f>TRUNC(SUM(I2192:I2193)*0.04,1)</f>
        <v>4078.3</v>
      </c>
      <c r="J2189" s="21">
        <v>1</v>
      </c>
      <c r="K2189" s="5">
        <f>TRUNC(SUM(K2192:K2193)*0.04,1)</f>
        <v>5020</v>
      </c>
    </row>
    <row r="2190" spans="2:11" ht="12.95" customHeight="1" x14ac:dyDescent="0.3">
      <c r="B2190" s="46" t="s">
        <v>10</v>
      </c>
      <c r="C2190" s="51"/>
      <c r="D2190" s="51"/>
      <c r="E2190" s="22"/>
      <c r="F2190" s="23"/>
      <c r="G2190" s="16">
        <f>TRUNC(SUM(G2189:G2189))</f>
        <v>3520</v>
      </c>
      <c r="H2190" s="23"/>
      <c r="I2190" s="16">
        <f>TRUNC(SUM(I2189:I2189))</f>
        <v>4078</v>
      </c>
      <c r="J2190" s="23"/>
      <c r="K2190" s="16">
        <f>TRUNC(SUM(K2189:K2189))</f>
        <v>5020</v>
      </c>
    </row>
    <row r="2191" spans="2:11" ht="12.95" customHeight="1" x14ac:dyDescent="0.3">
      <c r="B2191" s="50"/>
      <c r="C2191" s="51"/>
      <c r="D2191" s="51"/>
      <c r="E2191" s="22"/>
      <c r="F2191" s="23"/>
      <c r="G2191" s="24"/>
      <c r="H2191" s="23"/>
      <c r="I2191" s="24"/>
      <c r="J2191" s="23"/>
      <c r="K2191" s="24"/>
    </row>
    <row r="2192" spans="2:11" ht="12.95" customHeight="1" x14ac:dyDescent="0.3">
      <c r="B2192" s="52" t="s">
        <v>29</v>
      </c>
      <c r="C2192" s="53"/>
      <c r="D2192" s="54" t="s">
        <v>9</v>
      </c>
      <c r="E2192" s="55">
        <v>262580</v>
      </c>
      <c r="F2192" s="25">
        <v>0.25</v>
      </c>
      <c r="G2192" s="3">
        <f t="shared" ref="G2192:G2193" si="928">TRUNC($E2192*F2192,1)</f>
        <v>65645</v>
      </c>
      <c r="H2192" s="25">
        <v>0.28999999999999998</v>
      </c>
      <c r="I2192" s="3">
        <f t="shared" ref="I2192:I2193" si="929">TRUNC($E2192*H2192,1)</f>
        <v>76148.2</v>
      </c>
      <c r="J2192" s="25">
        <v>0.36</v>
      </c>
      <c r="K2192" s="3">
        <f t="shared" ref="K2192:K2193" si="930">TRUNC($E2192*J2192,1)</f>
        <v>94528.8</v>
      </c>
    </row>
    <row r="2193" spans="2:11" ht="12.95" customHeight="1" x14ac:dyDescent="0.3">
      <c r="B2193" s="52" t="s">
        <v>1</v>
      </c>
      <c r="C2193" s="53"/>
      <c r="D2193" s="54" t="s">
        <v>9</v>
      </c>
      <c r="E2193" s="57">
        <v>172068</v>
      </c>
      <c r="F2193" s="25">
        <v>0.13</v>
      </c>
      <c r="G2193" s="3">
        <f t="shared" si="928"/>
        <v>22368.799999999999</v>
      </c>
      <c r="H2193" s="25">
        <v>0.15</v>
      </c>
      <c r="I2193" s="3">
        <f t="shared" si="929"/>
        <v>25810.2</v>
      </c>
      <c r="J2193" s="25">
        <v>0.18</v>
      </c>
      <c r="K2193" s="3">
        <f t="shared" si="930"/>
        <v>30972.2</v>
      </c>
    </row>
    <row r="2194" spans="2:11" ht="12.95" customHeight="1" x14ac:dyDescent="0.3">
      <c r="B2194" s="58" t="s">
        <v>11</v>
      </c>
      <c r="C2194" s="51"/>
      <c r="D2194" s="51"/>
      <c r="E2194" s="22"/>
      <c r="F2194" s="23"/>
      <c r="G2194" s="16">
        <f>TRUNC(SUM(G2192:G2193))</f>
        <v>88013</v>
      </c>
      <c r="H2194" s="23"/>
      <c r="I2194" s="16">
        <f>TRUNC(SUM(I2192:I2193))</f>
        <v>101958</v>
      </c>
      <c r="J2194" s="23"/>
      <c r="K2194" s="16">
        <f>TRUNC(SUM(K2192:K2193))</f>
        <v>125501</v>
      </c>
    </row>
    <row r="2195" spans="2:11" ht="12.95" customHeight="1" x14ac:dyDescent="0.3">
      <c r="B2195" s="50"/>
      <c r="C2195" s="51"/>
      <c r="D2195" s="51"/>
      <c r="E2195" s="22"/>
      <c r="F2195" s="23"/>
      <c r="G2195" s="24"/>
      <c r="H2195" s="23"/>
      <c r="I2195" s="24"/>
      <c r="J2195" s="23"/>
      <c r="K2195" s="24"/>
    </row>
    <row r="2196" spans="2:11" ht="12.95" customHeight="1" x14ac:dyDescent="0.3">
      <c r="B2196" s="66" t="s">
        <v>13</v>
      </c>
      <c r="C2196" s="76"/>
      <c r="D2196" s="76"/>
      <c r="E2196" s="77"/>
      <c r="F2196" s="77"/>
      <c r="G2196" s="26">
        <f>SUM(G2190+G2194)</f>
        <v>91533</v>
      </c>
      <c r="H2196" s="77"/>
      <c r="I2196" s="26">
        <f>SUM(I2190+I2194)</f>
        <v>106036</v>
      </c>
      <c r="J2196" s="77"/>
      <c r="K2196" s="26">
        <f>SUM(K2190+K2194)</f>
        <v>130521</v>
      </c>
    </row>
    <row r="2197" spans="2:11" ht="12.95" customHeight="1" x14ac:dyDescent="0.3">
      <c r="B2197" s="110" t="s">
        <v>3</v>
      </c>
      <c r="C2197" s="113" t="s">
        <v>7</v>
      </c>
      <c r="D2197" s="116" t="s">
        <v>8</v>
      </c>
      <c r="E2197" s="119" t="s">
        <v>4</v>
      </c>
      <c r="F2197" s="95" t="s">
        <v>145</v>
      </c>
      <c r="G2197" s="96"/>
      <c r="H2197" s="96"/>
      <c r="I2197" s="96"/>
      <c r="J2197" s="96"/>
      <c r="K2197" s="96"/>
    </row>
    <row r="2198" spans="2:11" ht="12.95" customHeight="1" x14ac:dyDescent="0.3">
      <c r="B2198" s="111"/>
      <c r="C2198" s="114"/>
      <c r="D2198" s="117"/>
      <c r="E2198" s="120"/>
      <c r="F2198" s="105" t="s">
        <v>140</v>
      </c>
      <c r="G2198" s="95"/>
      <c r="H2198" s="105" t="s">
        <v>141</v>
      </c>
      <c r="I2198" s="95"/>
      <c r="J2198" s="105" t="s">
        <v>142</v>
      </c>
      <c r="K2198" s="95"/>
    </row>
    <row r="2199" spans="2:11" ht="12.95" customHeight="1" x14ac:dyDescent="0.3">
      <c r="B2199" s="112"/>
      <c r="C2199" s="115"/>
      <c r="D2199" s="118"/>
      <c r="E2199" s="121"/>
      <c r="F2199" s="74" t="s">
        <v>5</v>
      </c>
      <c r="G2199" s="75" t="s">
        <v>6</v>
      </c>
      <c r="H2199" s="74" t="s">
        <v>5</v>
      </c>
      <c r="I2199" s="75" t="s">
        <v>6</v>
      </c>
      <c r="J2199" s="74" t="s">
        <v>5</v>
      </c>
      <c r="K2199" s="75" t="s">
        <v>6</v>
      </c>
    </row>
    <row r="2200" spans="2:11" ht="12.95" customHeight="1" x14ac:dyDescent="0.3">
      <c r="B2200" s="42" t="s">
        <v>53</v>
      </c>
      <c r="C2200" s="43" t="s">
        <v>136</v>
      </c>
      <c r="D2200" s="44" t="s">
        <v>15</v>
      </c>
      <c r="E2200" s="45"/>
      <c r="F2200" s="21">
        <v>1</v>
      </c>
      <c r="G2200" s="5">
        <f>TRUNC(SUM(G2203:G2204)*0.04,1)</f>
        <v>3694.4</v>
      </c>
      <c r="H2200" s="21">
        <v>1</v>
      </c>
      <c r="I2200" s="5">
        <f>TRUNC(SUM(I2203:I2204)*0.04,1)</f>
        <v>4252.1000000000004</v>
      </c>
      <c r="J2200" s="21">
        <v>1</v>
      </c>
      <c r="K2200" s="5">
        <f>TRUNC(SUM(K2203:K2204)*0.04,1)</f>
        <v>5298.9</v>
      </c>
    </row>
    <row r="2201" spans="2:11" ht="12.95" customHeight="1" x14ac:dyDescent="0.3">
      <c r="B2201" s="46" t="s">
        <v>10</v>
      </c>
      <c r="C2201" s="51"/>
      <c r="D2201" s="51"/>
      <c r="E2201" s="22"/>
      <c r="F2201" s="23"/>
      <c r="G2201" s="16">
        <f>TRUNC(SUM(G2200:G2200))</f>
        <v>3694</v>
      </c>
      <c r="H2201" s="23"/>
      <c r="I2201" s="16">
        <f>TRUNC(SUM(I2200:I2200))</f>
        <v>4252</v>
      </c>
      <c r="J2201" s="23"/>
      <c r="K2201" s="16">
        <f>TRUNC(SUM(K2200:K2200))</f>
        <v>5298</v>
      </c>
    </row>
    <row r="2202" spans="2:11" ht="12.95" customHeight="1" x14ac:dyDescent="0.3">
      <c r="B2202" s="50"/>
      <c r="C2202" s="51"/>
      <c r="D2202" s="51"/>
      <c r="E2202" s="22"/>
      <c r="F2202" s="23"/>
      <c r="G2202" s="24"/>
      <c r="H2202" s="23"/>
      <c r="I2202" s="24"/>
      <c r="J2202" s="23"/>
      <c r="K2202" s="24"/>
    </row>
    <row r="2203" spans="2:11" ht="12.95" customHeight="1" x14ac:dyDescent="0.3">
      <c r="B2203" s="52" t="s">
        <v>29</v>
      </c>
      <c r="C2203" s="53"/>
      <c r="D2203" s="54" t="s">
        <v>9</v>
      </c>
      <c r="E2203" s="55">
        <v>262580</v>
      </c>
      <c r="F2203" s="25">
        <v>0.26</v>
      </c>
      <c r="G2203" s="3">
        <f t="shared" ref="G2203:G2204" si="931">TRUNC($E2203*F2203,1)</f>
        <v>68270.8</v>
      </c>
      <c r="H2203" s="25">
        <v>0.3</v>
      </c>
      <c r="I2203" s="3">
        <f t="shared" ref="I2203:I2204" si="932">TRUNC($E2203*H2203,1)</f>
        <v>78774</v>
      </c>
      <c r="J2203" s="25">
        <v>0.38</v>
      </c>
      <c r="K2203" s="3">
        <f t="shared" ref="K2203:K2204" si="933">TRUNC($E2203*J2203,1)</f>
        <v>99780.4</v>
      </c>
    </row>
    <row r="2204" spans="2:11" ht="12.95" customHeight="1" x14ac:dyDescent="0.3">
      <c r="B2204" s="52" t="s">
        <v>1</v>
      </c>
      <c r="C2204" s="53"/>
      <c r="D2204" s="54" t="s">
        <v>9</v>
      </c>
      <c r="E2204" s="57">
        <v>172068</v>
      </c>
      <c r="F2204" s="25">
        <v>0.14000000000000001</v>
      </c>
      <c r="G2204" s="3">
        <f t="shared" si="931"/>
        <v>24089.5</v>
      </c>
      <c r="H2204" s="25">
        <v>0.16</v>
      </c>
      <c r="I2204" s="3">
        <f t="shared" si="932"/>
        <v>27530.799999999999</v>
      </c>
      <c r="J2204" s="25">
        <v>0.19</v>
      </c>
      <c r="K2204" s="3">
        <f t="shared" si="933"/>
        <v>32692.9</v>
      </c>
    </row>
    <row r="2205" spans="2:11" ht="12.95" customHeight="1" x14ac:dyDescent="0.3">
      <c r="B2205" s="58" t="s">
        <v>11</v>
      </c>
      <c r="C2205" s="51"/>
      <c r="D2205" s="51"/>
      <c r="E2205" s="22"/>
      <c r="F2205" s="23"/>
      <c r="G2205" s="16">
        <f>TRUNC(SUM(G2203:G2204))</f>
        <v>92360</v>
      </c>
      <c r="H2205" s="23"/>
      <c r="I2205" s="16">
        <f>TRUNC(SUM(I2203:I2204))</f>
        <v>106304</v>
      </c>
      <c r="J2205" s="23"/>
      <c r="K2205" s="16">
        <f>TRUNC(SUM(K2203:K2204))</f>
        <v>132473</v>
      </c>
    </row>
    <row r="2206" spans="2:11" ht="12.95" customHeight="1" x14ac:dyDescent="0.3">
      <c r="B2206" s="50"/>
      <c r="C2206" s="51"/>
      <c r="D2206" s="51"/>
      <c r="E2206" s="22"/>
      <c r="F2206" s="23"/>
      <c r="G2206" s="24"/>
      <c r="H2206" s="23"/>
      <c r="I2206" s="24"/>
      <c r="J2206" s="23"/>
      <c r="K2206" s="24"/>
    </row>
    <row r="2207" spans="2:11" ht="12.95" customHeight="1" x14ac:dyDescent="0.3">
      <c r="B2207" s="66" t="s">
        <v>13</v>
      </c>
      <c r="C2207" s="76"/>
      <c r="D2207" s="76"/>
      <c r="E2207" s="77"/>
      <c r="F2207" s="77"/>
      <c r="G2207" s="26">
        <f>SUM(G2201+G2205)</f>
        <v>96054</v>
      </c>
      <c r="H2207" s="77"/>
      <c r="I2207" s="26">
        <f>SUM(I2201+I2205)</f>
        <v>110556</v>
      </c>
      <c r="J2207" s="77"/>
      <c r="K2207" s="26">
        <f>SUM(K2201+K2205)</f>
        <v>137771</v>
      </c>
    </row>
    <row r="2208" spans="2:11" ht="12.95" customHeight="1" x14ac:dyDescent="0.3">
      <c r="B2208" s="110" t="s">
        <v>3</v>
      </c>
      <c r="C2208" s="113" t="s">
        <v>7</v>
      </c>
      <c r="D2208" s="116" t="s">
        <v>8</v>
      </c>
      <c r="E2208" s="119" t="s">
        <v>4</v>
      </c>
      <c r="F2208" s="95" t="s">
        <v>146</v>
      </c>
      <c r="G2208" s="96"/>
      <c r="H2208" s="96"/>
      <c r="I2208" s="96"/>
      <c r="J2208" s="96"/>
      <c r="K2208" s="96"/>
    </row>
    <row r="2209" spans="2:11" ht="12.95" customHeight="1" x14ac:dyDescent="0.3">
      <c r="B2209" s="111"/>
      <c r="C2209" s="114"/>
      <c r="D2209" s="117"/>
      <c r="E2209" s="120"/>
      <c r="F2209" s="105" t="s">
        <v>140</v>
      </c>
      <c r="G2209" s="95"/>
      <c r="H2209" s="105" t="s">
        <v>141</v>
      </c>
      <c r="I2209" s="95"/>
      <c r="J2209" s="105" t="s">
        <v>142</v>
      </c>
      <c r="K2209" s="95"/>
    </row>
    <row r="2210" spans="2:11" ht="12.95" customHeight="1" x14ac:dyDescent="0.3">
      <c r="B2210" s="112"/>
      <c r="C2210" s="115"/>
      <c r="D2210" s="118"/>
      <c r="E2210" s="121"/>
      <c r="F2210" s="74" t="s">
        <v>5</v>
      </c>
      <c r="G2210" s="75" t="s">
        <v>6</v>
      </c>
      <c r="H2210" s="74" t="s">
        <v>5</v>
      </c>
      <c r="I2210" s="75" t="s">
        <v>6</v>
      </c>
      <c r="J2210" s="74" t="s">
        <v>5</v>
      </c>
      <c r="K2210" s="75" t="s">
        <v>6</v>
      </c>
    </row>
    <row r="2211" spans="2:11" ht="12.95" customHeight="1" x14ac:dyDescent="0.3">
      <c r="B2211" s="42" t="s">
        <v>53</v>
      </c>
      <c r="C2211" s="43" t="s">
        <v>136</v>
      </c>
      <c r="D2211" s="44" t="s">
        <v>15</v>
      </c>
      <c r="E2211" s="45"/>
      <c r="F2211" s="21">
        <v>1</v>
      </c>
      <c r="G2211" s="5">
        <f>TRUNC(SUM(G2214:G2215)*0.04,1)</f>
        <v>3868.2</v>
      </c>
      <c r="H2211" s="21">
        <v>1</v>
      </c>
      <c r="I2211" s="5">
        <f>TRUNC(SUM(I2214:I2215)*0.04,1)</f>
        <v>4531</v>
      </c>
      <c r="J2211" s="21">
        <v>1</v>
      </c>
      <c r="K2211" s="5">
        <f>TRUNC(SUM(K2214:K2215)*0.04,1)</f>
        <v>5577.8</v>
      </c>
    </row>
    <row r="2212" spans="2:11" ht="12.95" customHeight="1" x14ac:dyDescent="0.3">
      <c r="B2212" s="46" t="s">
        <v>10</v>
      </c>
      <c r="C2212" s="51"/>
      <c r="D2212" s="51"/>
      <c r="E2212" s="22"/>
      <c r="F2212" s="23"/>
      <c r="G2212" s="16">
        <f>TRUNC(SUM(G2211:G2211))</f>
        <v>3868</v>
      </c>
      <c r="H2212" s="23"/>
      <c r="I2212" s="16">
        <f>TRUNC(SUM(I2211:I2211))</f>
        <v>4531</v>
      </c>
      <c r="J2212" s="23"/>
      <c r="K2212" s="16">
        <f>TRUNC(SUM(K2211:K2211))</f>
        <v>5577</v>
      </c>
    </row>
    <row r="2213" spans="2:11" ht="12.95" customHeight="1" x14ac:dyDescent="0.3">
      <c r="B2213" s="50"/>
      <c r="C2213" s="51"/>
      <c r="D2213" s="51"/>
      <c r="E2213" s="22"/>
      <c r="F2213" s="23"/>
      <c r="G2213" s="24"/>
      <c r="H2213" s="23"/>
      <c r="I2213" s="24"/>
      <c r="J2213" s="23"/>
      <c r="K2213" s="24"/>
    </row>
    <row r="2214" spans="2:11" ht="12.95" customHeight="1" x14ac:dyDescent="0.3">
      <c r="B2214" s="52" t="s">
        <v>29</v>
      </c>
      <c r="C2214" s="53"/>
      <c r="D2214" s="54" t="s">
        <v>9</v>
      </c>
      <c r="E2214" s="55">
        <v>262580</v>
      </c>
      <c r="F2214" s="25">
        <v>0.27</v>
      </c>
      <c r="G2214" s="3">
        <f t="shared" ref="G2214:G2215" si="934">TRUNC($E2214*F2214,1)</f>
        <v>70896.600000000006</v>
      </c>
      <c r="H2214" s="25">
        <v>0.32</v>
      </c>
      <c r="I2214" s="3">
        <f t="shared" ref="I2214:I2215" si="935">TRUNC($E2214*H2214,1)</f>
        <v>84025.600000000006</v>
      </c>
      <c r="J2214" s="25">
        <v>0.4</v>
      </c>
      <c r="K2214" s="3">
        <f t="shared" ref="K2214:K2215" si="936">TRUNC($E2214*J2214,1)</f>
        <v>105032</v>
      </c>
    </row>
    <row r="2215" spans="2:11" ht="12.95" customHeight="1" x14ac:dyDescent="0.3">
      <c r="B2215" s="52" t="s">
        <v>1</v>
      </c>
      <c r="C2215" s="53"/>
      <c r="D2215" s="54" t="s">
        <v>9</v>
      </c>
      <c r="E2215" s="57">
        <v>172068</v>
      </c>
      <c r="F2215" s="25">
        <v>0.15</v>
      </c>
      <c r="G2215" s="3">
        <f t="shared" si="934"/>
        <v>25810.2</v>
      </c>
      <c r="H2215" s="25">
        <v>0.17</v>
      </c>
      <c r="I2215" s="3">
        <f t="shared" si="935"/>
        <v>29251.5</v>
      </c>
      <c r="J2215" s="25">
        <v>0.2</v>
      </c>
      <c r="K2215" s="3">
        <f t="shared" si="936"/>
        <v>34413.599999999999</v>
      </c>
    </row>
    <row r="2216" spans="2:11" ht="12.95" customHeight="1" x14ac:dyDescent="0.3">
      <c r="B2216" s="58" t="s">
        <v>11</v>
      </c>
      <c r="C2216" s="51"/>
      <c r="D2216" s="51"/>
      <c r="E2216" s="22"/>
      <c r="F2216" s="23"/>
      <c r="G2216" s="16">
        <f>TRUNC(SUM(G2214:G2215))</f>
        <v>96706</v>
      </c>
      <c r="H2216" s="23"/>
      <c r="I2216" s="16">
        <f>TRUNC(SUM(I2214:I2215))</f>
        <v>113277</v>
      </c>
      <c r="J2216" s="23"/>
      <c r="K2216" s="16">
        <f>TRUNC(SUM(K2214:K2215))</f>
        <v>139445</v>
      </c>
    </row>
    <row r="2217" spans="2:11" ht="12.95" customHeight="1" x14ac:dyDescent="0.3">
      <c r="B2217" s="50"/>
      <c r="C2217" s="51"/>
      <c r="D2217" s="51"/>
      <c r="E2217" s="22"/>
      <c r="F2217" s="23"/>
      <c r="G2217" s="24"/>
      <c r="H2217" s="23"/>
      <c r="I2217" s="24"/>
      <c r="J2217" s="23"/>
      <c r="K2217" s="24"/>
    </row>
    <row r="2218" spans="2:11" ht="12.95" customHeight="1" x14ac:dyDescent="0.3">
      <c r="B2218" s="66" t="s">
        <v>13</v>
      </c>
      <c r="C2218" s="76"/>
      <c r="D2218" s="76"/>
      <c r="E2218" s="77"/>
      <c r="F2218" s="77"/>
      <c r="G2218" s="26">
        <f>SUM(G2212+G2216)</f>
        <v>100574</v>
      </c>
      <c r="H2218" s="77"/>
      <c r="I2218" s="26">
        <f>SUM(I2212+I2216)</f>
        <v>117808</v>
      </c>
      <c r="J2218" s="77"/>
      <c r="K2218" s="26">
        <f>SUM(K2212+K2216)</f>
        <v>145022</v>
      </c>
    </row>
    <row r="2219" spans="2:11" ht="12.95" customHeight="1" x14ac:dyDescent="0.3">
      <c r="B2219" s="110" t="s">
        <v>3</v>
      </c>
      <c r="C2219" s="113" t="s">
        <v>7</v>
      </c>
      <c r="D2219" s="116" t="s">
        <v>8</v>
      </c>
      <c r="E2219" s="119" t="s">
        <v>4</v>
      </c>
      <c r="F2219" s="95" t="s">
        <v>147</v>
      </c>
      <c r="G2219" s="96"/>
      <c r="H2219" s="96"/>
      <c r="I2219" s="96"/>
      <c r="J2219" s="96"/>
      <c r="K2219" s="96"/>
    </row>
    <row r="2220" spans="2:11" ht="12.95" customHeight="1" x14ac:dyDescent="0.3">
      <c r="B2220" s="111"/>
      <c r="C2220" s="114"/>
      <c r="D2220" s="117"/>
      <c r="E2220" s="120"/>
      <c r="F2220" s="105" t="s">
        <v>140</v>
      </c>
      <c r="G2220" s="95"/>
      <c r="H2220" s="105" t="s">
        <v>141</v>
      </c>
      <c r="I2220" s="95"/>
      <c r="J2220" s="105" t="s">
        <v>142</v>
      </c>
      <c r="K2220" s="95"/>
    </row>
    <row r="2221" spans="2:11" ht="12.95" customHeight="1" x14ac:dyDescent="0.3">
      <c r="B2221" s="112"/>
      <c r="C2221" s="115"/>
      <c r="D2221" s="118"/>
      <c r="E2221" s="121"/>
      <c r="F2221" s="74" t="s">
        <v>5</v>
      </c>
      <c r="G2221" s="75" t="s">
        <v>6</v>
      </c>
      <c r="H2221" s="74" t="s">
        <v>5</v>
      </c>
      <c r="I2221" s="75" t="s">
        <v>6</v>
      </c>
      <c r="J2221" s="74" t="s">
        <v>5</v>
      </c>
      <c r="K2221" s="75" t="s">
        <v>6</v>
      </c>
    </row>
    <row r="2222" spans="2:11" ht="12.95" customHeight="1" x14ac:dyDescent="0.3">
      <c r="B2222" s="42" t="s">
        <v>53</v>
      </c>
      <c r="C2222" s="43" t="s">
        <v>136</v>
      </c>
      <c r="D2222" s="44" t="s">
        <v>15</v>
      </c>
      <c r="E2222" s="45"/>
      <c r="F2222" s="21">
        <v>1</v>
      </c>
      <c r="G2222" s="5">
        <f>TRUNC(SUM(G2225:G2226)*0.04,1)</f>
        <v>4042.1</v>
      </c>
      <c r="H2222" s="21">
        <v>1</v>
      </c>
      <c r="I2222" s="5">
        <f>TRUNC(SUM(I2225:I2226)*0.04,1)</f>
        <v>4809.8999999999996</v>
      </c>
      <c r="J2222" s="21">
        <v>1</v>
      </c>
      <c r="K2222" s="5">
        <f>TRUNC(SUM(K2225:K2226)*0.04,1)</f>
        <v>5856.7</v>
      </c>
    </row>
    <row r="2223" spans="2:11" ht="12.95" customHeight="1" x14ac:dyDescent="0.3">
      <c r="B2223" s="46" t="s">
        <v>10</v>
      </c>
      <c r="C2223" s="51"/>
      <c r="D2223" s="51"/>
      <c r="E2223" s="22"/>
      <c r="F2223" s="23"/>
      <c r="G2223" s="16">
        <f>TRUNC(SUM(G2222:G2222))</f>
        <v>4042</v>
      </c>
      <c r="H2223" s="23"/>
      <c r="I2223" s="16">
        <f>TRUNC(SUM(I2222:I2222))</f>
        <v>4809</v>
      </c>
      <c r="J2223" s="23"/>
      <c r="K2223" s="16">
        <f>TRUNC(SUM(K2222:K2222))</f>
        <v>5856</v>
      </c>
    </row>
    <row r="2224" spans="2:11" ht="12.95" customHeight="1" x14ac:dyDescent="0.3">
      <c r="B2224" s="50"/>
      <c r="C2224" s="51"/>
      <c r="D2224" s="51"/>
      <c r="E2224" s="22"/>
      <c r="F2224" s="23"/>
      <c r="G2224" s="24"/>
      <c r="H2224" s="23"/>
      <c r="I2224" s="24"/>
      <c r="J2224" s="23"/>
      <c r="K2224" s="24"/>
    </row>
    <row r="2225" spans="2:11" ht="12.95" customHeight="1" x14ac:dyDescent="0.3">
      <c r="B2225" s="52" t="s">
        <v>29</v>
      </c>
      <c r="C2225" s="53"/>
      <c r="D2225" s="54" t="s">
        <v>9</v>
      </c>
      <c r="E2225" s="55">
        <v>262580</v>
      </c>
      <c r="F2225" s="25">
        <v>0.28000000000000003</v>
      </c>
      <c r="G2225" s="3">
        <f t="shared" ref="G2225:G2226" si="937">TRUNC($E2225*F2225,1)</f>
        <v>73522.399999999994</v>
      </c>
      <c r="H2225" s="25">
        <v>0.34</v>
      </c>
      <c r="I2225" s="3">
        <f t="shared" ref="I2225:I2226" si="938">TRUNC($E2225*H2225,1)</f>
        <v>89277.2</v>
      </c>
      <c r="J2225" s="25">
        <v>0.42</v>
      </c>
      <c r="K2225" s="3">
        <f t="shared" ref="K2225:K2226" si="939">TRUNC($E2225*J2225,1)</f>
        <v>110283.6</v>
      </c>
    </row>
    <row r="2226" spans="2:11" ht="12.95" customHeight="1" x14ac:dyDescent="0.3">
      <c r="B2226" s="52" t="s">
        <v>1</v>
      </c>
      <c r="C2226" s="53"/>
      <c r="D2226" s="54" t="s">
        <v>9</v>
      </c>
      <c r="E2226" s="57">
        <v>172068</v>
      </c>
      <c r="F2226" s="25">
        <v>0.16</v>
      </c>
      <c r="G2226" s="3">
        <f t="shared" si="937"/>
        <v>27530.799999999999</v>
      </c>
      <c r="H2226" s="25">
        <v>0.18</v>
      </c>
      <c r="I2226" s="3">
        <f t="shared" si="938"/>
        <v>30972.2</v>
      </c>
      <c r="J2226" s="25">
        <v>0.21</v>
      </c>
      <c r="K2226" s="3">
        <f t="shared" si="939"/>
        <v>36134.199999999997</v>
      </c>
    </row>
    <row r="2227" spans="2:11" ht="12.95" customHeight="1" x14ac:dyDescent="0.3">
      <c r="B2227" s="58" t="s">
        <v>11</v>
      </c>
      <c r="C2227" s="51"/>
      <c r="D2227" s="51"/>
      <c r="E2227" s="22"/>
      <c r="F2227" s="23"/>
      <c r="G2227" s="16">
        <f>TRUNC(SUM(G2225:G2226))</f>
        <v>101053</v>
      </c>
      <c r="H2227" s="23"/>
      <c r="I2227" s="16">
        <f>TRUNC(SUM(I2225:I2226))</f>
        <v>120249</v>
      </c>
      <c r="J2227" s="23"/>
      <c r="K2227" s="16">
        <f>TRUNC(SUM(K2225:K2226))</f>
        <v>146417</v>
      </c>
    </row>
    <row r="2228" spans="2:11" ht="12.95" customHeight="1" x14ac:dyDescent="0.3">
      <c r="B2228" s="50"/>
      <c r="C2228" s="51"/>
      <c r="D2228" s="51"/>
      <c r="E2228" s="22"/>
      <c r="F2228" s="23"/>
      <c r="G2228" s="24"/>
      <c r="H2228" s="23"/>
      <c r="I2228" s="24"/>
      <c r="J2228" s="23"/>
      <c r="K2228" s="24"/>
    </row>
    <row r="2229" spans="2:11" ht="12.95" customHeight="1" x14ac:dyDescent="0.3">
      <c r="B2229" s="66" t="s">
        <v>13</v>
      </c>
      <c r="C2229" s="76"/>
      <c r="D2229" s="76"/>
      <c r="E2229" s="77"/>
      <c r="F2229" s="77"/>
      <c r="G2229" s="26">
        <f>SUM(G2223+G2227)</f>
        <v>105095</v>
      </c>
      <c r="H2229" s="77"/>
      <c r="I2229" s="26">
        <f>SUM(I2223+I2227)</f>
        <v>125058</v>
      </c>
      <c r="J2229" s="77"/>
      <c r="K2229" s="26">
        <f>SUM(K2223+K2227)</f>
        <v>152273</v>
      </c>
    </row>
    <row r="2230" spans="2:11" ht="12.95" customHeight="1" x14ac:dyDescent="0.3">
      <c r="B2230" s="110" t="s">
        <v>3</v>
      </c>
      <c r="C2230" s="113" t="s">
        <v>7</v>
      </c>
      <c r="D2230" s="116" t="s">
        <v>8</v>
      </c>
      <c r="E2230" s="119" t="s">
        <v>4</v>
      </c>
      <c r="F2230" s="95" t="s">
        <v>148</v>
      </c>
      <c r="G2230" s="96"/>
      <c r="H2230" s="96"/>
      <c r="I2230" s="96"/>
      <c r="J2230" s="96"/>
      <c r="K2230" s="96"/>
    </row>
    <row r="2231" spans="2:11" ht="12.95" customHeight="1" x14ac:dyDescent="0.3">
      <c r="B2231" s="111"/>
      <c r="C2231" s="114"/>
      <c r="D2231" s="117"/>
      <c r="E2231" s="120"/>
      <c r="F2231" s="105" t="s">
        <v>140</v>
      </c>
      <c r="G2231" s="95"/>
      <c r="H2231" s="105" t="s">
        <v>141</v>
      </c>
      <c r="I2231" s="95"/>
      <c r="J2231" s="105" t="s">
        <v>142</v>
      </c>
      <c r="K2231" s="95"/>
    </row>
    <row r="2232" spans="2:11" ht="12.95" customHeight="1" x14ac:dyDescent="0.3">
      <c r="B2232" s="112"/>
      <c r="C2232" s="115"/>
      <c r="D2232" s="118"/>
      <c r="E2232" s="121"/>
      <c r="F2232" s="74" t="s">
        <v>5</v>
      </c>
      <c r="G2232" s="75" t="s">
        <v>6</v>
      </c>
      <c r="H2232" s="74" t="s">
        <v>5</v>
      </c>
      <c r="I2232" s="75" t="s">
        <v>6</v>
      </c>
      <c r="J2232" s="74" t="s">
        <v>5</v>
      </c>
      <c r="K2232" s="75" t="s">
        <v>6</v>
      </c>
    </row>
    <row r="2233" spans="2:11" ht="12.95" customHeight="1" x14ac:dyDescent="0.3">
      <c r="B2233" s="42" t="s">
        <v>53</v>
      </c>
      <c r="C2233" s="43" t="s">
        <v>136</v>
      </c>
      <c r="D2233" s="44" t="s">
        <v>15</v>
      </c>
      <c r="E2233" s="45"/>
      <c r="F2233" s="21">
        <v>1</v>
      </c>
      <c r="G2233" s="5">
        <f>TRUNC(SUM(G2236:G2237)*0.04,1)</f>
        <v>4215.8999999999996</v>
      </c>
      <c r="H2233" s="21">
        <v>1</v>
      </c>
      <c r="I2233" s="5">
        <f>TRUNC(SUM(I2236:I2237)*0.04,1)</f>
        <v>5088.8</v>
      </c>
      <c r="J2233" s="21">
        <v>1</v>
      </c>
      <c r="K2233" s="5">
        <f>TRUNC(SUM(K2236:K2237)*0.04,1)</f>
        <v>6135.6</v>
      </c>
    </row>
    <row r="2234" spans="2:11" ht="12.95" customHeight="1" x14ac:dyDescent="0.3">
      <c r="B2234" s="46" t="s">
        <v>10</v>
      </c>
      <c r="C2234" s="51"/>
      <c r="D2234" s="51"/>
      <c r="E2234" s="22"/>
      <c r="F2234" s="23"/>
      <c r="G2234" s="16">
        <f>TRUNC(SUM(G2233:G2233))</f>
        <v>4215</v>
      </c>
      <c r="H2234" s="23"/>
      <c r="I2234" s="16">
        <f>TRUNC(SUM(I2233:I2233))</f>
        <v>5088</v>
      </c>
      <c r="J2234" s="23"/>
      <c r="K2234" s="16">
        <f>TRUNC(SUM(K2233:K2233))</f>
        <v>6135</v>
      </c>
    </row>
    <row r="2235" spans="2:11" ht="12.95" customHeight="1" x14ac:dyDescent="0.3">
      <c r="B2235" s="50"/>
      <c r="C2235" s="51"/>
      <c r="D2235" s="51"/>
      <c r="E2235" s="22"/>
      <c r="F2235" s="23"/>
      <c r="G2235" s="24"/>
      <c r="H2235" s="23"/>
      <c r="I2235" s="24"/>
      <c r="J2235" s="23"/>
      <c r="K2235" s="24"/>
    </row>
    <row r="2236" spans="2:11" ht="12.95" customHeight="1" x14ac:dyDescent="0.3">
      <c r="B2236" s="52" t="s">
        <v>29</v>
      </c>
      <c r="C2236" s="53"/>
      <c r="D2236" s="54" t="s">
        <v>9</v>
      </c>
      <c r="E2236" s="55">
        <v>262580</v>
      </c>
      <c r="F2236" s="25">
        <v>0.28999999999999998</v>
      </c>
      <c r="G2236" s="3">
        <f t="shared" ref="G2236:G2237" si="940">TRUNC($E2236*F2236,1)</f>
        <v>76148.2</v>
      </c>
      <c r="H2236" s="25">
        <v>0.36</v>
      </c>
      <c r="I2236" s="3">
        <f t="shared" ref="I2236:I2237" si="941">TRUNC($E2236*H2236,1)</f>
        <v>94528.8</v>
      </c>
      <c r="J2236" s="25">
        <v>0.44</v>
      </c>
      <c r="K2236" s="3">
        <f t="shared" ref="K2236:K2237" si="942">TRUNC($E2236*J2236,1)</f>
        <v>115535.2</v>
      </c>
    </row>
    <row r="2237" spans="2:11" ht="12.95" customHeight="1" x14ac:dyDescent="0.3">
      <c r="B2237" s="52" t="s">
        <v>1</v>
      </c>
      <c r="C2237" s="53"/>
      <c r="D2237" s="54" t="s">
        <v>9</v>
      </c>
      <c r="E2237" s="57">
        <v>172068</v>
      </c>
      <c r="F2237" s="25">
        <v>0.17</v>
      </c>
      <c r="G2237" s="3">
        <f t="shared" si="940"/>
        <v>29251.5</v>
      </c>
      <c r="H2237" s="25">
        <v>0.19</v>
      </c>
      <c r="I2237" s="3">
        <f t="shared" si="941"/>
        <v>32692.9</v>
      </c>
      <c r="J2237" s="25">
        <v>0.22</v>
      </c>
      <c r="K2237" s="3">
        <f t="shared" si="942"/>
        <v>37854.9</v>
      </c>
    </row>
    <row r="2238" spans="2:11" ht="12.95" customHeight="1" x14ac:dyDescent="0.3">
      <c r="B2238" s="58" t="s">
        <v>11</v>
      </c>
      <c r="C2238" s="51"/>
      <c r="D2238" s="51"/>
      <c r="E2238" s="22"/>
      <c r="F2238" s="23"/>
      <c r="G2238" s="16">
        <f>TRUNC(SUM(G2236:G2237))</f>
        <v>105399</v>
      </c>
      <c r="H2238" s="23"/>
      <c r="I2238" s="16">
        <f>TRUNC(SUM(I2236:I2237))</f>
        <v>127221</v>
      </c>
      <c r="J2238" s="23"/>
      <c r="K2238" s="16">
        <f>TRUNC(SUM(K2236:K2237))</f>
        <v>153390</v>
      </c>
    </row>
    <row r="2239" spans="2:11" ht="12.95" customHeight="1" x14ac:dyDescent="0.3">
      <c r="B2239" s="50"/>
      <c r="C2239" s="51"/>
      <c r="D2239" s="51"/>
      <c r="E2239" s="22"/>
      <c r="F2239" s="23"/>
      <c r="G2239" s="24"/>
      <c r="H2239" s="23"/>
      <c r="I2239" s="24"/>
      <c r="J2239" s="23"/>
      <c r="K2239" s="24"/>
    </row>
    <row r="2240" spans="2:11" ht="12.95" customHeight="1" x14ac:dyDescent="0.3">
      <c r="B2240" s="66" t="s">
        <v>13</v>
      </c>
      <c r="C2240" s="76"/>
      <c r="D2240" s="76"/>
      <c r="E2240" s="77"/>
      <c r="F2240" s="77"/>
      <c r="G2240" s="26">
        <f>SUM(G2234+G2238)</f>
        <v>109614</v>
      </c>
      <c r="H2240" s="77"/>
      <c r="I2240" s="26">
        <f>SUM(I2234+I2238)</f>
        <v>132309</v>
      </c>
      <c r="J2240" s="77"/>
      <c r="K2240" s="26">
        <f>SUM(K2234+K2238)</f>
        <v>159525</v>
      </c>
    </row>
    <row r="2241" spans="2:11" ht="12.95" customHeight="1" x14ac:dyDescent="0.3">
      <c r="B2241" s="110" t="s">
        <v>3</v>
      </c>
      <c r="C2241" s="113" t="s">
        <v>7</v>
      </c>
      <c r="D2241" s="116" t="s">
        <v>8</v>
      </c>
      <c r="E2241" s="119" t="s">
        <v>4</v>
      </c>
      <c r="F2241" s="95" t="s">
        <v>149</v>
      </c>
      <c r="G2241" s="96"/>
      <c r="H2241" s="96"/>
      <c r="I2241" s="96"/>
      <c r="J2241" s="96"/>
      <c r="K2241" s="96"/>
    </row>
    <row r="2242" spans="2:11" ht="12.95" customHeight="1" x14ac:dyDescent="0.3">
      <c r="B2242" s="111"/>
      <c r="C2242" s="114"/>
      <c r="D2242" s="117"/>
      <c r="E2242" s="120"/>
      <c r="F2242" s="105" t="s">
        <v>140</v>
      </c>
      <c r="G2242" s="95"/>
      <c r="H2242" s="105" t="s">
        <v>141</v>
      </c>
      <c r="I2242" s="95"/>
      <c r="J2242" s="105" t="s">
        <v>142</v>
      </c>
      <c r="K2242" s="95"/>
    </row>
    <row r="2243" spans="2:11" ht="12.95" customHeight="1" x14ac:dyDescent="0.3">
      <c r="B2243" s="112"/>
      <c r="C2243" s="115"/>
      <c r="D2243" s="118"/>
      <c r="E2243" s="121"/>
      <c r="F2243" s="74" t="s">
        <v>5</v>
      </c>
      <c r="G2243" s="75" t="s">
        <v>6</v>
      </c>
      <c r="H2243" s="74" t="s">
        <v>5</v>
      </c>
      <c r="I2243" s="75" t="s">
        <v>6</v>
      </c>
      <c r="J2243" s="74" t="s">
        <v>5</v>
      </c>
      <c r="K2243" s="75" t="s">
        <v>6</v>
      </c>
    </row>
    <row r="2244" spans="2:11" ht="12.95" customHeight="1" x14ac:dyDescent="0.3">
      <c r="B2244" s="42" t="s">
        <v>53</v>
      </c>
      <c r="C2244" s="43" t="s">
        <v>136</v>
      </c>
      <c r="D2244" s="44" t="s">
        <v>15</v>
      </c>
      <c r="E2244" s="45"/>
      <c r="F2244" s="21">
        <v>1</v>
      </c>
      <c r="G2244" s="5">
        <f>TRUNC(SUM(G2247:G2248)*0.04,1)</f>
        <v>4389.8</v>
      </c>
      <c r="H2244" s="21">
        <v>1</v>
      </c>
      <c r="I2244" s="5">
        <f>TRUNC(SUM(I2247:I2248)*0.04,1)</f>
        <v>5367.7</v>
      </c>
      <c r="J2244" s="21">
        <v>1</v>
      </c>
      <c r="K2244" s="5">
        <f>TRUNC(SUM(K2247:K2248)*0.04,1)</f>
        <v>6414.4</v>
      </c>
    </row>
    <row r="2245" spans="2:11" ht="12.95" customHeight="1" x14ac:dyDescent="0.3">
      <c r="B2245" s="46" t="s">
        <v>10</v>
      </c>
      <c r="C2245" s="51"/>
      <c r="D2245" s="51"/>
      <c r="E2245" s="22"/>
      <c r="F2245" s="23"/>
      <c r="G2245" s="16">
        <f>TRUNC(SUM(G2244:G2244))</f>
        <v>4389</v>
      </c>
      <c r="H2245" s="23"/>
      <c r="I2245" s="16">
        <f>TRUNC(SUM(I2244:I2244))</f>
        <v>5367</v>
      </c>
      <c r="J2245" s="23"/>
      <c r="K2245" s="16">
        <f>TRUNC(SUM(K2244:K2244))</f>
        <v>6414</v>
      </c>
    </row>
    <row r="2246" spans="2:11" ht="12.95" customHeight="1" x14ac:dyDescent="0.3">
      <c r="B2246" s="50"/>
      <c r="C2246" s="51"/>
      <c r="D2246" s="51"/>
      <c r="E2246" s="22"/>
      <c r="F2246" s="23"/>
      <c r="G2246" s="24"/>
      <c r="H2246" s="23"/>
      <c r="I2246" s="24"/>
      <c r="J2246" s="23"/>
      <c r="K2246" s="24"/>
    </row>
    <row r="2247" spans="2:11" ht="12.95" customHeight="1" x14ac:dyDescent="0.3">
      <c r="B2247" s="52" t="s">
        <v>29</v>
      </c>
      <c r="C2247" s="53"/>
      <c r="D2247" s="54" t="s">
        <v>9</v>
      </c>
      <c r="E2247" s="55">
        <v>262580</v>
      </c>
      <c r="F2247" s="25">
        <v>0.3</v>
      </c>
      <c r="G2247" s="3">
        <f t="shared" ref="G2247:G2248" si="943">TRUNC($E2247*F2247,1)</f>
        <v>78774</v>
      </c>
      <c r="H2247" s="25">
        <v>0.38</v>
      </c>
      <c r="I2247" s="3">
        <f t="shared" ref="I2247:I2248" si="944">TRUNC($E2247*H2247,1)</f>
        <v>99780.4</v>
      </c>
      <c r="J2247" s="25">
        <v>0.46</v>
      </c>
      <c r="K2247" s="3">
        <f t="shared" ref="K2247:K2248" si="945">TRUNC($E2247*J2247,1)</f>
        <v>120786.8</v>
      </c>
    </row>
    <row r="2248" spans="2:11" ht="12.95" customHeight="1" x14ac:dyDescent="0.3">
      <c r="B2248" s="52" t="s">
        <v>1</v>
      </c>
      <c r="C2248" s="53"/>
      <c r="D2248" s="54" t="s">
        <v>9</v>
      </c>
      <c r="E2248" s="57">
        <v>172068</v>
      </c>
      <c r="F2248" s="25">
        <v>0.18</v>
      </c>
      <c r="G2248" s="3">
        <f t="shared" si="943"/>
        <v>30972.2</v>
      </c>
      <c r="H2248" s="25">
        <v>0.2</v>
      </c>
      <c r="I2248" s="3">
        <f t="shared" si="944"/>
        <v>34413.599999999999</v>
      </c>
      <c r="J2248" s="25">
        <v>0.23</v>
      </c>
      <c r="K2248" s="3">
        <f t="shared" si="945"/>
        <v>39575.599999999999</v>
      </c>
    </row>
    <row r="2249" spans="2:11" ht="12.95" customHeight="1" x14ac:dyDescent="0.3">
      <c r="B2249" s="58" t="s">
        <v>11</v>
      </c>
      <c r="C2249" s="51"/>
      <c r="D2249" s="51"/>
      <c r="E2249" s="22"/>
      <c r="F2249" s="23"/>
      <c r="G2249" s="16">
        <f>TRUNC(SUM(G2247:G2248))</f>
        <v>109746</v>
      </c>
      <c r="H2249" s="23"/>
      <c r="I2249" s="16">
        <f>TRUNC(SUM(I2247:I2248))</f>
        <v>134194</v>
      </c>
      <c r="J2249" s="23"/>
      <c r="K2249" s="16">
        <f>TRUNC(SUM(K2247:K2248))</f>
        <v>160362</v>
      </c>
    </row>
    <row r="2250" spans="2:11" ht="12.95" customHeight="1" x14ac:dyDescent="0.3">
      <c r="B2250" s="50"/>
      <c r="C2250" s="51"/>
      <c r="D2250" s="51"/>
      <c r="E2250" s="22"/>
      <c r="F2250" s="23"/>
      <c r="G2250" s="24"/>
      <c r="H2250" s="23"/>
      <c r="I2250" s="24"/>
      <c r="J2250" s="23"/>
      <c r="K2250" s="24"/>
    </row>
    <row r="2251" spans="2:11" ht="12.95" customHeight="1" x14ac:dyDescent="0.3">
      <c r="B2251" s="66" t="s">
        <v>13</v>
      </c>
      <c r="C2251" s="76"/>
      <c r="D2251" s="76"/>
      <c r="E2251" s="77"/>
      <c r="F2251" s="77"/>
      <c r="G2251" s="26">
        <f>SUM(G2245+G2249)</f>
        <v>114135</v>
      </c>
      <c r="H2251" s="77"/>
      <c r="I2251" s="26">
        <f>SUM(I2245+I2249)</f>
        <v>139561</v>
      </c>
      <c r="J2251" s="77"/>
      <c r="K2251" s="26">
        <f>SUM(K2245+K2249)</f>
        <v>166776</v>
      </c>
    </row>
    <row r="2253" spans="2:11" ht="12.95" customHeight="1" x14ac:dyDescent="0.3">
      <c r="B2253" s="1" t="s">
        <v>160</v>
      </c>
      <c r="G2253" s="79" t="s">
        <v>22</v>
      </c>
    </row>
    <row r="2254" spans="2:11" ht="12.95" customHeight="1" x14ac:dyDescent="0.3">
      <c r="B2254" s="106" t="s">
        <v>3</v>
      </c>
      <c r="C2254" s="107" t="s">
        <v>7</v>
      </c>
      <c r="D2254" s="108" t="s">
        <v>8</v>
      </c>
      <c r="E2254" s="109" t="s">
        <v>4</v>
      </c>
      <c r="F2254" s="105" t="s">
        <v>85</v>
      </c>
      <c r="G2254" s="95"/>
    </row>
    <row r="2255" spans="2:11" ht="12.95" customHeight="1" x14ac:dyDescent="0.3">
      <c r="B2255" s="106"/>
      <c r="C2255" s="107"/>
      <c r="D2255" s="108"/>
      <c r="E2255" s="109"/>
      <c r="F2255" s="74" t="s">
        <v>5</v>
      </c>
      <c r="G2255" s="75" t="s">
        <v>6</v>
      </c>
    </row>
    <row r="2256" spans="2:11" ht="12.95" customHeight="1" x14ac:dyDescent="0.3">
      <c r="B2256" s="59" t="s">
        <v>150</v>
      </c>
      <c r="C2256" s="59" t="s">
        <v>151</v>
      </c>
      <c r="D2256" s="61" t="s">
        <v>152</v>
      </c>
      <c r="E2256" s="88">
        <v>0</v>
      </c>
      <c r="F2256" s="21">
        <v>4</v>
      </c>
      <c r="G2256" s="3">
        <f t="shared" ref="G2256" si="946">TRUNC($E2256*F2256,1)</f>
        <v>0</v>
      </c>
    </row>
    <row r="2257" spans="2:13" ht="12.95" customHeight="1" x14ac:dyDescent="0.3">
      <c r="B2257" s="42" t="s">
        <v>53</v>
      </c>
      <c r="C2257" s="43" t="s">
        <v>56</v>
      </c>
      <c r="D2257" s="44" t="s">
        <v>15</v>
      </c>
      <c r="E2257" s="45"/>
      <c r="F2257" s="21">
        <v>1</v>
      </c>
      <c r="G2257" s="5">
        <f>TRUNC(SUM(G2260:G2261)*0.02,1)</f>
        <v>331.4</v>
      </c>
    </row>
    <row r="2258" spans="2:13" ht="12.95" customHeight="1" x14ac:dyDescent="0.3">
      <c r="B2258" s="46" t="s">
        <v>10</v>
      </c>
      <c r="C2258" s="51"/>
      <c r="D2258" s="51"/>
      <c r="E2258" s="22"/>
      <c r="F2258" s="23"/>
      <c r="G2258" s="16">
        <f>TRUNC(SUM(G2256:G2257))</f>
        <v>331</v>
      </c>
    </row>
    <row r="2259" spans="2:13" ht="12.95" customHeight="1" x14ac:dyDescent="0.3">
      <c r="B2259" s="50"/>
      <c r="C2259" s="51"/>
      <c r="D2259" s="51"/>
      <c r="E2259" s="22"/>
      <c r="F2259" s="23"/>
      <c r="G2259" s="24"/>
    </row>
    <row r="2260" spans="2:13" ht="12.95" customHeight="1" x14ac:dyDescent="0.3">
      <c r="B2260" s="52" t="s">
        <v>29</v>
      </c>
      <c r="C2260" s="53"/>
      <c r="D2260" s="54" t="s">
        <v>9</v>
      </c>
      <c r="E2260" s="55">
        <v>262580</v>
      </c>
      <c r="F2260" s="25">
        <v>0.05</v>
      </c>
      <c r="G2260" s="3">
        <f t="shared" ref="G2260:G2261" si="947">TRUNC($E2260*F2260,1)</f>
        <v>13129</v>
      </c>
    </row>
    <row r="2261" spans="2:13" ht="12.95" customHeight="1" x14ac:dyDescent="0.3">
      <c r="B2261" s="52" t="s">
        <v>1</v>
      </c>
      <c r="C2261" s="53"/>
      <c r="D2261" s="54" t="s">
        <v>9</v>
      </c>
      <c r="E2261" s="57">
        <v>172068</v>
      </c>
      <c r="F2261" s="25">
        <v>0.02</v>
      </c>
      <c r="G2261" s="3">
        <f t="shared" si="947"/>
        <v>3441.3</v>
      </c>
    </row>
    <row r="2262" spans="2:13" ht="12.95" customHeight="1" x14ac:dyDescent="0.3">
      <c r="B2262" s="58" t="s">
        <v>11</v>
      </c>
      <c r="C2262" s="51"/>
      <c r="D2262" s="51"/>
      <c r="E2262" s="22"/>
      <c r="F2262" s="23"/>
      <c r="G2262" s="16">
        <f>TRUNC(SUM(G2260:G2261))</f>
        <v>16570</v>
      </c>
    </row>
    <row r="2263" spans="2:13" ht="12.95" customHeight="1" x14ac:dyDescent="0.3">
      <c r="B2263" s="50"/>
      <c r="C2263" s="51"/>
      <c r="D2263" s="51"/>
      <c r="E2263" s="22"/>
      <c r="F2263" s="23"/>
      <c r="G2263" s="24"/>
    </row>
    <row r="2264" spans="2:13" ht="12.95" customHeight="1" x14ac:dyDescent="0.3">
      <c r="B2264" s="66" t="s">
        <v>13</v>
      </c>
      <c r="C2264" s="76"/>
      <c r="D2264" s="76"/>
      <c r="E2264" s="77"/>
      <c r="F2264" s="77"/>
      <c r="G2264" s="26">
        <f>SUM(G2258+G2262)</f>
        <v>16901</v>
      </c>
    </row>
    <row r="2265" spans="2:13" ht="12.95" customHeight="1" x14ac:dyDescent="0.3">
      <c r="B2265" s="106" t="s">
        <v>3</v>
      </c>
      <c r="C2265" s="107" t="s">
        <v>7</v>
      </c>
      <c r="D2265" s="108" t="s">
        <v>8</v>
      </c>
      <c r="E2265" s="109" t="s">
        <v>4</v>
      </c>
      <c r="F2265" s="105" t="s">
        <v>26</v>
      </c>
      <c r="G2265" s="95"/>
      <c r="H2265" s="105" t="s">
        <v>27</v>
      </c>
      <c r="I2265" s="95"/>
      <c r="J2265" s="105" t="s">
        <v>55</v>
      </c>
      <c r="K2265" s="95"/>
      <c r="L2265" s="105" t="s">
        <v>28</v>
      </c>
      <c r="M2265" s="95"/>
    </row>
    <row r="2266" spans="2:13" ht="12.95" customHeight="1" x14ac:dyDescent="0.3">
      <c r="B2266" s="106"/>
      <c r="C2266" s="107"/>
      <c r="D2266" s="108"/>
      <c r="E2266" s="109"/>
      <c r="F2266" s="74" t="s">
        <v>5</v>
      </c>
      <c r="G2266" s="75" t="s">
        <v>6</v>
      </c>
      <c r="H2266" s="74" t="s">
        <v>5</v>
      </c>
      <c r="I2266" s="75" t="s">
        <v>6</v>
      </c>
      <c r="J2266" s="74" t="s">
        <v>5</v>
      </c>
      <c r="K2266" s="75" t="s">
        <v>6</v>
      </c>
      <c r="L2266" s="74" t="s">
        <v>5</v>
      </c>
      <c r="M2266" s="75" t="s">
        <v>6</v>
      </c>
    </row>
    <row r="2267" spans="2:13" ht="12.95" customHeight="1" x14ac:dyDescent="0.3">
      <c r="B2267" s="59" t="s">
        <v>150</v>
      </c>
      <c r="C2267" s="59" t="s">
        <v>153</v>
      </c>
      <c r="D2267" s="61" t="s">
        <v>152</v>
      </c>
      <c r="E2267" s="88">
        <v>0</v>
      </c>
      <c r="F2267" s="21">
        <v>4</v>
      </c>
      <c r="G2267" s="3">
        <f t="shared" ref="G2267" si="948">TRUNC($E2267*F2267,1)</f>
        <v>0</v>
      </c>
      <c r="H2267" s="21">
        <v>8</v>
      </c>
      <c r="I2267" s="3">
        <f t="shared" ref="I2267" si="949">TRUNC($E2267*H2267,1)</f>
        <v>0</v>
      </c>
      <c r="J2267" s="21">
        <v>8</v>
      </c>
      <c r="K2267" s="3">
        <f t="shared" ref="K2267" si="950">TRUNC($E2267*J2267,1)</f>
        <v>0</v>
      </c>
      <c r="L2267" s="21">
        <v>8</v>
      </c>
      <c r="M2267" s="3">
        <f t="shared" ref="M2267" si="951">TRUNC($E2267*L2267,1)</f>
        <v>0</v>
      </c>
    </row>
    <row r="2268" spans="2:13" ht="12.95" customHeight="1" x14ac:dyDescent="0.3">
      <c r="B2268" s="42" t="s">
        <v>53</v>
      </c>
      <c r="C2268" s="43" t="s">
        <v>56</v>
      </c>
      <c r="D2268" s="44" t="s">
        <v>15</v>
      </c>
      <c r="E2268" s="45"/>
      <c r="F2268" s="21">
        <v>1</v>
      </c>
      <c r="G2268" s="5">
        <f>TRUNC(SUM(G2271:G2272)*0.02,1)</f>
        <v>331.4</v>
      </c>
      <c r="H2268" s="21">
        <v>1</v>
      </c>
      <c r="I2268" s="5">
        <f>TRUNC(SUM(I2271:I2272)*0.02,1)</f>
        <v>505.2</v>
      </c>
      <c r="J2268" s="21">
        <v>1</v>
      </c>
      <c r="K2268" s="5">
        <f>TRUNC(SUM(K2271:K2272)*0.02,1)</f>
        <v>557.70000000000005</v>
      </c>
      <c r="L2268" s="21">
        <v>1</v>
      </c>
      <c r="M2268" s="5">
        <f>TRUNC(SUM(M2271:M2272)*0.02,1)</f>
        <v>644.70000000000005</v>
      </c>
    </row>
    <row r="2269" spans="2:13" ht="12.95" customHeight="1" x14ac:dyDescent="0.3">
      <c r="B2269" s="46" t="s">
        <v>10</v>
      </c>
      <c r="C2269" s="51"/>
      <c r="D2269" s="51"/>
      <c r="E2269" s="22"/>
      <c r="F2269" s="23"/>
      <c r="G2269" s="16">
        <f>TRUNC(SUM(G2267:G2268))</f>
        <v>331</v>
      </c>
      <c r="H2269" s="23"/>
      <c r="I2269" s="16">
        <f>TRUNC(SUM(I2267:I2268))</f>
        <v>505</v>
      </c>
      <c r="J2269" s="23"/>
      <c r="K2269" s="16">
        <f>TRUNC(SUM(K2267:K2268))</f>
        <v>557</v>
      </c>
      <c r="L2269" s="23"/>
      <c r="M2269" s="16">
        <f>TRUNC(SUM(M2267:M2268))</f>
        <v>644</v>
      </c>
    </row>
    <row r="2270" spans="2:13" ht="12.95" customHeight="1" x14ac:dyDescent="0.3">
      <c r="B2270" s="50"/>
      <c r="C2270" s="51"/>
      <c r="D2270" s="51"/>
      <c r="E2270" s="22"/>
      <c r="F2270" s="23"/>
      <c r="G2270" s="24"/>
      <c r="H2270" s="23"/>
      <c r="I2270" s="24"/>
      <c r="J2270" s="23"/>
      <c r="K2270" s="24"/>
      <c r="L2270" s="23"/>
      <c r="M2270" s="24"/>
    </row>
    <row r="2271" spans="2:13" ht="12.95" customHeight="1" x14ac:dyDescent="0.3">
      <c r="B2271" s="52" t="s">
        <v>29</v>
      </c>
      <c r="C2271" s="53"/>
      <c r="D2271" s="54" t="s">
        <v>9</v>
      </c>
      <c r="E2271" s="55">
        <v>262580</v>
      </c>
      <c r="F2271" s="25">
        <v>0.05</v>
      </c>
      <c r="G2271" s="3">
        <f t="shared" ref="G2271:G2272" si="952">TRUNC($E2271*F2271,1)</f>
        <v>13129</v>
      </c>
      <c r="H2271" s="25">
        <v>7.0000000000000007E-2</v>
      </c>
      <c r="I2271" s="3">
        <f t="shared" ref="I2271:I2272" si="953">TRUNC($E2271*H2271,1)</f>
        <v>18380.599999999999</v>
      </c>
      <c r="J2271" s="25">
        <v>0.08</v>
      </c>
      <c r="K2271" s="3">
        <f t="shared" ref="K2271:K2272" si="954">TRUNC($E2271*J2271,1)</f>
        <v>21006.400000000001</v>
      </c>
      <c r="L2271" s="25">
        <v>0.09</v>
      </c>
      <c r="M2271" s="3">
        <f t="shared" ref="M2271:M2272" si="955">TRUNC($E2271*L2271,1)</f>
        <v>23632.2</v>
      </c>
    </row>
    <row r="2272" spans="2:13" ht="12.95" customHeight="1" x14ac:dyDescent="0.3">
      <c r="B2272" s="52" t="s">
        <v>1</v>
      </c>
      <c r="C2272" s="53"/>
      <c r="D2272" s="54" t="s">
        <v>9</v>
      </c>
      <c r="E2272" s="57">
        <v>172068</v>
      </c>
      <c r="F2272" s="25">
        <v>0.02</v>
      </c>
      <c r="G2272" s="3">
        <f t="shared" si="952"/>
        <v>3441.3</v>
      </c>
      <c r="H2272" s="25">
        <v>0.04</v>
      </c>
      <c r="I2272" s="3">
        <f t="shared" si="953"/>
        <v>6882.7</v>
      </c>
      <c r="J2272" s="25">
        <v>0.04</v>
      </c>
      <c r="K2272" s="3">
        <f t="shared" si="954"/>
        <v>6882.7</v>
      </c>
      <c r="L2272" s="25">
        <v>0.05</v>
      </c>
      <c r="M2272" s="3">
        <f t="shared" si="955"/>
        <v>8603.4</v>
      </c>
    </row>
    <row r="2273" spans="2:13" ht="12.95" customHeight="1" x14ac:dyDescent="0.3">
      <c r="B2273" s="58" t="s">
        <v>11</v>
      </c>
      <c r="C2273" s="51"/>
      <c r="D2273" s="51"/>
      <c r="E2273" s="22"/>
      <c r="F2273" s="23"/>
      <c r="G2273" s="16">
        <f>TRUNC(SUM(G2271:G2272))</f>
        <v>16570</v>
      </c>
      <c r="H2273" s="23"/>
      <c r="I2273" s="16">
        <f>TRUNC(SUM(I2271:I2272))</f>
        <v>25263</v>
      </c>
      <c r="J2273" s="23"/>
      <c r="K2273" s="16">
        <f>TRUNC(SUM(K2271:K2272))</f>
        <v>27889</v>
      </c>
      <c r="L2273" s="23"/>
      <c r="M2273" s="16">
        <f>TRUNC(SUM(M2271:M2272))</f>
        <v>32235</v>
      </c>
    </row>
    <row r="2274" spans="2:13" ht="12.95" customHeight="1" x14ac:dyDescent="0.3">
      <c r="B2274" s="50"/>
      <c r="C2274" s="51"/>
      <c r="D2274" s="51"/>
      <c r="E2274" s="22"/>
      <c r="F2274" s="23"/>
      <c r="G2274" s="24"/>
      <c r="H2274" s="23"/>
      <c r="I2274" s="24"/>
      <c r="J2274" s="23"/>
      <c r="K2274" s="24"/>
      <c r="L2274" s="23"/>
      <c r="M2274" s="24"/>
    </row>
    <row r="2275" spans="2:13" ht="12.95" customHeight="1" x14ac:dyDescent="0.3">
      <c r="B2275" s="66" t="s">
        <v>13</v>
      </c>
      <c r="C2275" s="76"/>
      <c r="D2275" s="76"/>
      <c r="E2275" s="77"/>
      <c r="F2275" s="77"/>
      <c r="G2275" s="26">
        <f>SUM(G2269+G2273)</f>
        <v>16901</v>
      </c>
      <c r="H2275" s="77"/>
      <c r="I2275" s="26">
        <f>SUM(I2269+I2273)</f>
        <v>25768</v>
      </c>
      <c r="J2275" s="77"/>
      <c r="K2275" s="26">
        <f>SUM(K2269+K2273)</f>
        <v>28446</v>
      </c>
      <c r="L2275" s="77"/>
      <c r="M2275" s="26">
        <f>SUM(M2269+M2273)</f>
        <v>32879</v>
      </c>
    </row>
    <row r="2276" spans="2:13" ht="12.95" customHeight="1" x14ac:dyDescent="0.3">
      <c r="B2276" s="106" t="s">
        <v>3</v>
      </c>
      <c r="C2276" s="107" t="s">
        <v>7</v>
      </c>
      <c r="D2276" s="108" t="s">
        <v>8</v>
      </c>
      <c r="E2276" s="109" t="s">
        <v>4</v>
      </c>
      <c r="F2276" s="105" t="s">
        <v>35</v>
      </c>
      <c r="G2276" s="95"/>
      <c r="H2276" s="105" t="s">
        <v>36</v>
      </c>
      <c r="I2276" s="95"/>
      <c r="J2276" s="105" t="s">
        <v>37</v>
      </c>
      <c r="K2276" s="95"/>
    </row>
    <row r="2277" spans="2:13" ht="12.95" customHeight="1" x14ac:dyDescent="0.3">
      <c r="B2277" s="106"/>
      <c r="C2277" s="107"/>
      <c r="D2277" s="108"/>
      <c r="E2277" s="109"/>
      <c r="F2277" s="74" t="s">
        <v>5</v>
      </c>
      <c r="G2277" s="75" t="s">
        <v>6</v>
      </c>
      <c r="H2277" s="74" t="s">
        <v>5</v>
      </c>
      <c r="I2277" s="75" t="s">
        <v>6</v>
      </c>
      <c r="J2277" s="74" t="s">
        <v>5</v>
      </c>
      <c r="K2277" s="75" t="s">
        <v>6</v>
      </c>
    </row>
    <row r="2278" spans="2:13" ht="12.95" customHeight="1" x14ac:dyDescent="0.3">
      <c r="B2278" s="59" t="s">
        <v>150</v>
      </c>
      <c r="C2278" s="59" t="s">
        <v>154</v>
      </c>
      <c r="D2278" s="61" t="s">
        <v>152</v>
      </c>
      <c r="E2278" s="88">
        <v>0</v>
      </c>
      <c r="F2278" s="21">
        <v>8</v>
      </c>
      <c r="G2278" s="3">
        <f t="shared" ref="G2278" si="956">TRUNC($E2278*F2278,1)</f>
        <v>0</v>
      </c>
      <c r="H2278" s="21">
        <v>12</v>
      </c>
      <c r="I2278" s="3">
        <f t="shared" ref="I2278" si="957">TRUNC($E2278*H2278,1)</f>
        <v>0</v>
      </c>
      <c r="J2278" s="21">
        <v>12</v>
      </c>
      <c r="K2278" s="3">
        <f t="shared" ref="K2278" si="958">TRUNC($E2278*J2278,1)</f>
        <v>0</v>
      </c>
    </row>
    <row r="2279" spans="2:13" ht="12.95" customHeight="1" x14ac:dyDescent="0.3">
      <c r="B2279" s="42" t="s">
        <v>53</v>
      </c>
      <c r="C2279" s="43" t="s">
        <v>56</v>
      </c>
      <c r="D2279" s="44" t="s">
        <v>15</v>
      </c>
      <c r="E2279" s="45"/>
      <c r="F2279" s="21">
        <v>1</v>
      </c>
      <c r="G2279" s="5">
        <f>TRUNC(SUM(G2282:G2283)*0.02,1)</f>
        <v>784.1</v>
      </c>
      <c r="H2279" s="21">
        <v>1</v>
      </c>
      <c r="I2279" s="5">
        <f>TRUNC(SUM(I2282:I2283)*0.02,1)</f>
        <v>976.1</v>
      </c>
      <c r="J2279" s="21">
        <v>1</v>
      </c>
      <c r="K2279" s="5">
        <f>TRUNC(SUM(K2282:K2283)*0.02,1)</f>
        <v>976.1</v>
      </c>
    </row>
    <row r="2280" spans="2:13" ht="12.95" customHeight="1" x14ac:dyDescent="0.3">
      <c r="B2280" s="46" t="s">
        <v>10</v>
      </c>
      <c r="C2280" s="51"/>
      <c r="D2280" s="51"/>
      <c r="E2280" s="22"/>
      <c r="F2280" s="23"/>
      <c r="G2280" s="16">
        <f>TRUNC(SUM(G2278:G2279))</f>
        <v>784</v>
      </c>
      <c r="H2280" s="23"/>
      <c r="I2280" s="16">
        <f>TRUNC(SUM(I2278:I2279))</f>
        <v>976</v>
      </c>
      <c r="J2280" s="23"/>
      <c r="K2280" s="16">
        <f>TRUNC(SUM(K2278:K2279))</f>
        <v>976</v>
      </c>
    </row>
    <row r="2281" spans="2:13" ht="12.95" customHeight="1" x14ac:dyDescent="0.3">
      <c r="B2281" s="50"/>
      <c r="C2281" s="51"/>
      <c r="D2281" s="51"/>
      <c r="E2281" s="22"/>
      <c r="F2281" s="23"/>
      <c r="G2281" s="24"/>
      <c r="H2281" s="23"/>
      <c r="I2281" s="24"/>
      <c r="J2281" s="23"/>
      <c r="K2281" s="24"/>
    </row>
    <row r="2282" spans="2:13" ht="12.95" customHeight="1" x14ac:dyDescent="0.3">
      <c r="B2282" s="52" t="s">
        <v>29</v>
      </c>
      <c r="C2282" s="53"/>
      <c r="D2282" s="54" t="s">
        <v>9</v>
      </c>
      <c r="E2282" s="55">
        <v>262580</v>
      </c>
      <c r="F2282" s="25">
        <v>0.11</v>
      </c>
      <c r="G2282" s="3">
        <f t="shared" ref="G2282:G2283" si="959">TRUNC($E2282*F2282,1)</f>
        <v>28883.8</v>
      </c>
      <c r="H2282" s="25">
        <v>0.14000000000000001</v>
      </c>
      <c r="I2282" s="3">
        <f t="shared" ref="I2282:I2283" si="960">TRUNC($E2282*H2282,1)</f>
        <v>36761.199999999997</v>
      </c>
      <c r="J2282" s="25">
        <v>0.14000000000000001</v>
      </c>
      <c r="K2282" s="3">
        <f t="shared" ref="K2282:K2283" si="961">TRUNC($E2282*J2282,1)</f>
        <v>36761.199999999997</v>
      </c>
    </row>
    <row r="2283" spans="2:13" ht="12.95" customHeight="1" x14ac:dyDescent="0.3">
      <c r="B2283" s="52" t="s">
        <v>1</v>
      </c>
      <c r="C2283" s="53"/>
      <c r="D2283" s="54" t="s">
        <v>9</v>
      </c>
      <c r="E2283" s="57">
        <v>172068</v>
      </c>
      <c r="F2283" s="25">
        <v>0.06</v>
      </c>
      <c r="G2283" s="3">
        <f t="shared" si="959"/>
        <v>10324</v>
      </c>
      <c r="H2283" s="25">
        <v>7.0000000000000007E-2</v>
      </c>
      <c r="I2283" s="3">
        <f t="shared" si="960"/>
        <v>12044.7</v>
      </c>
      <c r="J2283" s="25">
        <v>7.0000000000000007E-2</v>
      </c>
      <c r="K2283" s="3">
        <f t="shared" si="961"/>
        <v>12044.7</v>
      </c>
    </row>
    <row r="2284" spans="2:13" ht="12.95" customHeight="1" x14ac:dyDescent="0.3">
      <c r="B2284" s="58" t="s">
        <v>11</v>
      </c>
      <c r="C2284" s="51"/>
      <c r="D2284" s="51"/>
      <c r="E2284" s="22"/>
      <c r="F2284" s="23"/>
      <c r="G2284" s="16">
        <f>TRUNC(SUM(G2282:G2283))</f>
        <v>39207</v>
      </c>
      <c r="H2284" s="23"/>
      <c r="I2284" s="16">
        <f>TRUNC(SUM(I2282:I2283))</f>
        <v>48805</v>
      </c>
      <c r="J2284" s="23"/>
      <c r="K2284" s="16">
        <f>TRUNC(SUM(K2282:K2283))</f>
        <v>48805</v>
      </c>
    </row>
    <row r="2285" spans="2:13" ht="12.95" customHeight="1" x14ac:dyDescent="0.3">
      <c r="B2285" s="50"/>
      <c r="C2285" s="51"/>
      <c r="D2285" s="51"/>
      <c r="E2285" s="22"/>
      <c r="F2285" s="23"/>
      <c r="G2285" s="24"/>
      <c r="H2285" s="23"/>
      <c r="I2285" s="24"/>
      <c r="J2285" s="23"/>
      <c r="K2285" s="24"/>
    </row>
    <row r="2286" spans="2:13" ht="12.95" customHeight="1" x14ac:dyDescent="0.3">
      <c r="B2286" s="66" t="s">
        <v>13</v>
      </c>
      <c r="C2286" s="76"/>
      <c r="D2286" s="76"/>
      <c r="E2286" s="77"/>
      <c r="F2286" s="77"/>
      <c r="G2286" s="26">
        <f>SUM(G2280+G2284)</f>
        <v>39991</v>
      </c>
      <c r="H2286" s="77"/>
      <c r="I2286" s="26">
        <f>SUM(I2280+I2284)</f>
        <v>49781</v>
      </c>
      <c r="J2286" s="77"/>
      <c r="K2286" s="26">
        <f>SUM(K2280+K2284)</f>
        <v>49781</v>
      </c>
    </row>
    <row r="2287" spans="2:13" ht="12.95" customHeight="1" x14ac:dyDescent="0.3">
      <c r="B2287" s="106" t="s">
        <v>3</v>
      </c>
      <c r="C2287" s="107" t="s">
        <v>7</v>
      </c>
      <c r="D2287" s="108" t="s">
        <v>8</v>
      </c>
      <c r="E2287" s="109" t="s">
        <v>4</v>
      </c>
      <c r="F2287" s="105" t="s">
        <v>39</v>
      </c>
      <c r="G2287" s="95"/>
      <c r="H2287" s="105" t="s">
        <v>40</v>
      </c>
      <c r="I2287" s="95"/>
      <c r="J2287" s="105" t="s">
        <v>41</v>
      </c>
      <c r="K2287" s="95"/>
      <c r="L2287" s="105" t="s">
        <v>43</v>
      </c>
      <c r="M2287" s="95"/>
    </row>
    <row r="2288" spans="2:13" ht="12.95" customHeight="1" x14ac:dyDescent="0.3">
      <c r="B2288" s="106"/>
      <c r="C2288" s="107"/>
      <c r="D2288" s="108"/>
      <c r="E2288" s="109"/>
      <c r="F2288" s="74" t="s">
        <v>5</v>
      </c>
      <c r="G2288" s="75" t="s">
        <v>6</v>
      </c>
      <c r="H2288" s="74" t="s">
        <v>5</v>
      </c>
      <c r="I2288" s="75" t="s">
        <v>6</v>
      </c>
      <c r="J2288" s="74" t="s">
        <v>5</v>
      </c>
      <c r="K2288" s="75" t="s">
        <v>6</v>
      </c>
      <c r="L2288" s="74" t="s">
        <v>5</v>
      </c>
      <c r="M2288" s="75" t="s">
        <v>6</v>
      </c>
    </row>
    <row r="2289" spans="2:13" ht="12.95" customHeight="1" x14ac:dyDescent="0.3">
      <c r="B2289" s="59" t="s">
        <v>150</v>
      </c>
      <c r="C2289" s="59" t="s">
        <v>155</v>
      </c>
      <c r="D2289" s="61" t="s">
        <v>152</v>
      </c>
      <c r="E2289" s="88">
        <v>0</v>
      </c>
      <c r="F2289" s="21">
        <v>12</v>
      </c>
      <c r="G2289" s="3">
        <f t="shared" ref="G2289" si="962">TRUNC($E2289*F2289,1)</f>
        <v>0</v>
      </c>
      <c r="H2289" s="21">
        <v>16</v>
      </c>
      <c r="I2289" s="3">
        <f t="shared" ref="I2289" si="963">TRUNC($E2289*H2289,1)</f>
        <v>0</v>
      </c>
      <c r="J2289" s="21">
        <v>16</v>
      </c>
      <c r="K2289" s="3">
        <f t="shared" ref="K2289" si="964">TRUNC($E2289*J2289,1)</f>
        <v>0</v>
      </c>
      <c r="L2289" s="21">
        <v>20</v>
      </c>
      <c r="M2289" s="3">
        <f t="shared" ref="M2289" si="965">TRUNC($E2289*L2289,1)</f>
        <v>0</v>
      </c>
    </row>
    <row r="2290" spans="2:13" ht="12.95" customHeight="1" x14ac:dyDescent="0.3">
      <c r="B2290" s="42" t="s">
        <v>53</v>
      </c>
      <c r="C2290" s="43" t="s">
        <v>56</v>
      </c>
      <c r="D2290" s="44" t="s">
        <v>15</v>
      </c>
      <c r="E2290" s="45"/>
      <c r="F2290" s="21">
        <v>1</v>
      </c>
      <c r="G2290" s="5">
        <f>TRUNC(SUM(G2293:G2294)*0.02,1)</f>
        <v>1115.5</v>
      </c>
      <c r="H2290" s="21">
        <v>1</v>
      </c>
      <c r="I2290" s="5">
        <f>TRUNC(SUM(I2293:I2294)*0.02,1)</f>
        <v>1255</v>
      </c>
      <c r="J2290" s="21">
        <v>1</v>
      </c>
      <c r="K2290" s="5">
        <f>TRUNC(SUM(K2293:K2294)*0.02,1)</f>
        <v>1394.4</v>
      </c>
      <c r="L2290" s="21">
        <v>1</v>
      </c>
      <c r="M2290" s="5">
        <f>TRUNC(SUM(M2293:M2294)*0.02,1)</f>
        <v>1533.9</v>
      </c>
    </row>
    <row r="2291" spans="2:13" ht="12.95" customHeight="1" x14ac:dyDescent="0.3">
      <c r="B2291" s="46" t="s">
        <v>10</v>
      </c>
      <c r="C2291" s="51"/>
      <c r="D2291" s="51"/>
      <c r="E2291" s="22"/>
      <c r="F2291" s="23"/>
      <c r="G2291" s="16">
        <f>TRUNC(SUM(G2289:G2290))</f>
        <v>1115</v>
      </c>
      <c r="H2291" s="23"/>
      <c r="I2291" s="16">
        <f>TRUNC(SUM(I2289:I2290))</f>
        <v>1255</v>
      </c>
      <c r="J2291" s="23"/>
      <c r="K2291" s="16">
        <f>TRUNC(SUM(K2289:K2290))</f>
        <v>1394</v>
      </c>
      <c r="L2291" s="23"/>
      <c r="M2291" s="16">
        <f>TRUNC(SUM(M2289:M2290))</f>
        <v>1533</v>
      </c>
    </row>
    <row r="2292" spans="2:13" ht="12.95" customHeight="1" x14ac:dyDescent="0.3">
      <c r="B2292" s="50"/>
      <c r="C2292" s="51"/>
      <c r="D2292" s="51"/>
      <c r="E2292" s="22"/>
      <c r="F2292" s="23"/>
      <c r="G2292" s="24"/>
      <c r="H2292" s="23"/>
      <c r="I2292" s="24"/>
      <c r="J2292" s="23"/>
      <c r="K2292" s="24"/>
      <c r="L2292" s="23"/>
      <c r="M2292" s="24"/>
    </row>
    <row r="2293" spans="2:13" ht="12.95" customHeight="1" x14ac:dyDescent="0.3">
      <c r="B2293" s="52" t="s">
        <v>29</v>
      </c>
      <c r="C2293" s="53"/>
      <c r="D2293" s="54" t="s">
        <v>9</v>
      </c>
      <c r="E2293" s="55">
        <v>262580</v>
      </c>
      <c r="F2293" s="25">
        <v>0.16</v>
      </c>
      <c r="G2293" s="3">
        <f t="shared" ref="G2293:G2294" si="966">TRUNC($E2293*F2293,1)</f>
        <v>42012.800000000003</v>
      </c>
      <c r="H2293" s="25">
        <v>0.18</v>
      </c>
      <c r="I2293" s="3">
        <f t="shared" ref="I2293:I2294" si="967">TRUNC($E2293*H2293,1)</f>
        <v>47264.4</v>
      </c>
      <c r="J2293" s="25">
        <v>0.2</v>
      </c>
      <c r="K2293" s="3">
        <f t="shared" ref="K2293:K2294" si="968">TRUNC($E2293*J2293,1)</f>
        <v>52516</v>
      </c>
      <c r="L2293" s="25">
        <v>0.22</v>
      </c>
      <c r="M2293" s="3">
        <f t="shared" ref="M2293:M2294" si="969">TRUNC($E2293*L2293,1)</f>
        <v>57767.6</v>
      </c>
    </row>
    <row r="2294" spans="2:13" ht="12.95" customHeight="1" x14ac:dyDescent="0.3">
      <c r="B2294" s="52" t="s">
        <v>1</v>
      </c>
      <c r="C2294" s="53"/>
      <c r="D2294" s="54" t="s">
        <v>9</v>
      </c>
      <c r="E2294" s="57">
        <v>172068</v>
      </c>
      <c r="F2294" s="25">
        <v>0.08</v>
      </c>
      <c r="G2294" s="3">
        <f t="shared" si="966"/>
        <v>13765.4</v>
      </c>
      <c r="H2294" s="25">
        <v>0.09</v>
      </c>
      <c r="I2294" s="3">
        <f t="shared" si="967"/>
        <v>15486.1</v>
      </c>
      <c r="J2294" s="25">
        <v>0.1</v>
      </c>
      <c r="K2294" s="3">
        <f t="shared" si="968"/>
        <v>17206.8</v>
      </c>
      <c r="L2294" s="25">
        <v>0.11</v>
      </c>
      <c r="M2294" s="3">
        <f t="shared" si="969"/>
        <v>18927.400000000001</v>
      </c>
    </row>
    <row r="2295" spans="2:13" ht="12.95" customHeight="1" x14ac:dyDescent="0.3">
      <c r="B2295" s="58" t="s">
        <v>11</v>
      </c>
      <c r="C2295" s="51"/>
      <c r="D2295" s="51"/>
      <c r="E2295" s="22"/>
      <c r="F2295" s="23"/>
      <c r="G2295" s="16">
        <f>TRUNC(SUM(G2293:G2294))</f>
        <v>55778</v>
      </c>
      <c r="H2295" s="23"/>
      <c r="I2295" s="16">
        <f>TRUNC(SUM(I2293:I2294))</f>
        <v>62750</v>
      </c>
      <c r="J2295" s="23"/>
      <c r="K2295" s="16">
        <f>TRUNC(SUM(K2293:K2294))</f>
        <v>69722</v>
      </c>
      <c r="L2295" s="23"/>
      <c r="M2295" s="16">
        <f>TRUNC(SUM(M2293:M2294))</f>
        <v>76695</v>
      </c>
    </row>
    <row r="2296" spans="2:13" ht="12.95" customHeight="1" x14ac:dyDescent="0.3">
      <c r="B2296" s="50"/>
      <c r="C2296" s="51"/>
      <c r="D2296" s="51"/>
      <c r="E2296" s="22"/>
      <c r="F2296" s="23"/>
      <c r="G2296" s="24"/>
      <c r="H2296" s="23"/>
      <c r="I2296" s="24"/>
      <c r="J2296" s="23"/>
      <c r="K2296" s="24"/>
      <c r="L2296" s="23"/>
      <c r="M2296" s="24"/>
    </row>
    <row r="2297" spans="2:13" ht="12.95" customHeight="1" x14ac:dyDescent="0.3">
      <c r="B2297" s="66" t="s">
        <v>13</v>
      </c>
      <c r="C2297" s="76"/>
      <c r="D2297" s="76"/>
      <c r="E2297" s="77"/>
      <c r="F2297" s="77"/>
      <c r="G2297" s="26">
        <f>SUM(G2291+G2295)</f>
        <v>56893</v>
      </c>
      <c r="H2297" s="77"/>
      <c r="I2297" s="26">
        <f>SUM(I2291+I2295)</f>
        <v>64005</v>
      </c>
      <c r="J2297" s="77"/>
      <c r="K2297" s="26">
        <f>SUM(K2291+K2295)</f>
        <v>71116</v>
      </c>
      <c r="L2297" s="77"/>
      <c r="M2297" s="26">
        <f>SUM(M2291+M2295)</f>
        <v>78228</v>
      </c>
    </row>
    <row r="2298" spans="2:13" ht="12.95" customHeight="1" x14ac:dyDescent="0.3">
      <c r="B2298" s="106" t="s">
        <v>3</v>
      </c>
      <c r="C2298" s="107" t="s">
        <v>7</v>
      </c>
      <c r="D2298" s="108" t="s">
        <v>8</v>
      </c>
      <c r="E2298" s="109" t="s">
        <v>4</v>
      </c>
      <c r="F2298" s="105" t="s">
        <v>44</v>
      </c>
      <c r="G2298" s="95"/>
      <c r="H2298" s="105" t="s">
        <v>46</v>
      </c>
      <c r="I2298" s="95"/>
    </row>
    <row r="2299" spans="2:13" ht="12.95" customHeight="1" x14ac:dyDescent="0.3">
      <c r="B2299" s="106"/>
      <c r="C2299" s="107"/>
      <c r="D2299" s="108"/>
      <c r="E2299" s="109"/>
      <c r="F2299" s="74" t="s">
        <v>5</v>
      </c>
      <c r="G2299" s="75" t="s">
        <v>6</v>
      </c>
      <c r="H2299" s="74" t="s">
        <v>5</v>
      </c>
      <c r="I2299" s="75" t="s">
        <v>6</v>
      </c>
    </row>
    <row r="2300" spans="2:13" ht="12.95" customHeight="1" x14ac:dyDescent="0.3">
      <c r="B2300" s="59" t="s">
        <v>150</v>
      </c>
      <c r="C2300" s="59" t="s">
        <v>156</v>
      </c>
      <c r="D2300" s="61" t="s">
        <v>152</v>
      </c>
      <c r="E2300" s="88">
        <v>0</v>
      </c>
      <c r="F2300" s="21">
        <v>20</v>
      </c>
      <c r="G2300" s="3">
        <f t="shared" ref="G2300" si="970">TRUNC($E2300*F2300,1)</f>
        <v>0</v>
      </c>
      <c r="H2300" s="21">
        <v>24</v>
      </c>
      <c r="I2300" s="3">
        <f t="shared" ref="I2300" si="971">TRUNC($E2300*H2300,1)</f>
        <v>0</v>
      </c>
    </row>
    <row r="2301" spans="2:13" ht="12.95" customHeight="1" x14ac:dyDescent="0.3">
      <c r="B2301" s="42" t="s">
        <v>53</v>
      </c>
      <c r="C2301" s="43" t="s">
        <v>56</v>
      </c>
      <c r="D2301" s="44" t="s">
        <v>15</v>
      </c>
      <c r="E2301" s="45"/>
      <c r="F2301" s="21">
        <v>1</v>
      </c>
      <c r="G2301" s="5">
        <f>TRUNC(SUM(G2304:G2305)*0.02,1)</f>
        <v>1673.3</v>
      </c>
      <c r="H2301" s="21">
        <v>1</v>
      </c>
      <c r="I2301" s="5">
        <f>TRUNC(SUM(I2304:I2305)*0.02,1)</f>
        <v>1899.7</v>
      </c>
    </row>
    <row r="2302" spans="2:13" ht="12.95" customHeight="1" x14ac:dyDescent="0.3">
      <c r="B2302" s="46" t="s">
        <v>10</v>
      </c>
      <c r="C2302" s="51"/>
      <c r="D2302" s="51"/>
      <c r="E2302" s="22"/>
      <c r="F2302" s="23"/>
      <c r="G2302" s="16">
        <f>TRUNC(SUM(G2300:G2301))</f>
        <v>1673</v>
      </c>
      <c r="H2302" s="23"/>
      <c r="I2302" s="16">
        <f>TRUNC(SUM(I2300:I2301))</f>
        <v>1899</v>
      </c>
    </row>
    <row r="2303" spans="2:13" ht="12.95" customHeight="1" x14ac:dyDescent="0.3">
      <c r="B2303" s="50"/>
      <c r="C2303" s="51"/>
      <c r="D2303" s="51"/>
      <c r="E2303" s="22"/>
      <c r="F2303" s="23"/>
      <c r="G2303" s="24"/>
      <c r="H2303" s="23"/>
      <c r="I2303" s="24"/>
    </row>
    <row r="2304" spans="2:13" ht="12.95" customHeight="1" x14ac:dyDescent="0.3">
      <c r="B2304" s="52" t="s">
        <v>29</v>
      </c>
      <c r="C2304" s="53"/>
      <c r="D2304" s="54" t="s">
        <v>9</v>
      </c>
      <c r="E2304" s="55">
        <v>262580</v>
      </c>
      <c r="F2304" s="25">
        <v>0.24</v>
      </c>
      <c r="G2304" s="3">
        <f t="shared" ref="G2304:G2305" si="972">TRUNC($E2304*F2304,1)</f>
        <v>63019.199999999997</v>
      </c>
      <c r="H2304" s="25">
        <v>0.27</v>
      </c>
      <c r="I2304" s="3">
        <f t="shared" ref="I2304:I2305" si="973">TRUNC($E2304*H2304,1)</f>
        <v>70896.600000000006</v>
      </c>
    </row>
    <row r="2305" spans="2:11" ht="12.95" customHeight="1" x14ac:dyDescent="0.3">
      <c r="B2305" s="52" t="s">
        <v>1</v>
      </c>
      <c r="C2305" s="53"/>
      <c r="D2305" s="54" t="s">
        <v>9</v>
      </c>
      <c r="E2305" s="57">
        <v>172068</v>
      </c>
      <c r="F2305" s="25">
        <v>0.12</v>
      </c>
      <c r="G2305" s="3">
        <f t="shared" si="972"/>
        <v>20648.099999999999</v>
      </c>
      <c r="H2305" s="25">
        <v>0.14000000000000001</v>
      </c>
      <c r="I2305" s="3">
        <f t="shared" si="973"/>
        <v>24089.5</v>
      </c>
    </row>
    <row r="2306" spans="2:11" ht="12.95" customHeight="1" x14ac:dyDescent="0.3">
      <c r="B2306" s="58" t="s">
        <v>11</v>
      </c>
      <c r="C2306" s="51"/>
      <c r="D2306" s="51"/>
      <c r="E2306" s="22"/>
      <c r="F2306" s="23"/>
      <c r="G2306" s="16">
        <f>TRUNC(SUM(G2304:G2305))</f>
        <v>83667</v>
      </c>
      <c r="H2306" s="23"/>
      <c r="I2306" s="16">
        <f>TRUNC(SUM(I2304:I2305))</f>
        <v>94986</v>
      </c>
    </row>
    <row r="2307" spans="2:11" ht="12.95" customHeight="1" x14ac:dyDescent="0.3">
      <c r="B2307" s="50"/>
      <c r="C2307" s="51"/>
      <c r="D2307" s="51"/>
      <c r="E2307" s="22"/>
      <c r="F2307" s="23"/>
      <c r="G2307" s="24"/>
      <c r="H2307" s="23"/>
      <c r="I2307" s="24"/>
    </row>
    <row r="2308" spans="2:11" ht="12.95" customHeight="1" x14ac:dyDescent="0.3">
      <c r="B2308" s="66" t="s">
        <v>13</v>
      </c>
      <c r="C2308" s="76"/>
      <c r="D2308" s="76"/>
      <c r="E2308" s="77"/>
      <c r="F2308" s="77"/>
      <c r="G2308" s="26">
        <f>SUM(G2302+G2306)</f>
        <v>85340</v>
      </c>
      <c r="H2308" s="77"/>
      <c r="I2308" s="26">
        <f>SUM(I2302+I2306)</f>
        <v>96885</v>
      </c>
    </row>
    <row r="2309" spans="2:11" ht="12.95" customHeight="1" x14ac:dyDescent="0.3">
      <c r="B2309" s="106" t="s">
        <v>3</v>
      </c>
      <c r="C2309" s="107" t="s">
        <v>7</v>
      </c>
      <c r="D2309" s="108" t="s">
        <v>8</v>
      </c>
      <c r="E2309" s="109" t="s">
        <v>4</v>
      </c>
      <c r="F2309" s="105" t="s">
        <v>48</v>
      </c>
      <c r="G2309" s="95"/>
      <c r="H2309" s="105" t="s">
        <v>49</v>
      </c>
      <c r="I2309" s="95"/>
      <c r="J2309" s="105" t="s">
        <v>50</v>
      </c>
      <c r="K2309" s="95"/>
    </row>
    <row r="2310" spans="2:11" ht="12.95" customHeight="1" x14ac:dyDescent="0.3">
      <c r="B2310" s="106"/>
      <c r="C2310" s="107"/>
      <c r="D2310" s="108"/>
      <c r="E2310" s="109"/>
      <c r="F2310" s="74" t="s">
        <v>5</v>
      </c>
      <c r="G2310" s="75" t="s">
        <v>6</v>
      </c>
      <c r="H2310" s="74" t="s">
        <v>5</v>
      </c>
      <c r="I2310" s="75" t="s">
        <v>6</v>
      </c>
      <c r="J2310" s="74" t="s">
        <v>5</v>
      </c>
      <c r="K2310" s="75" t="s">
        <v>6</v>
      </c>
    </row>
    <row r="2311" spans="2:11" ht="12.95" customHeight="1" x14ac:dyDescent="0.3">
      <c r="B2311" s="59" t="s">
        <v>150</v>
      </c>
      <c r="C2311" s="59" t="s">
        <v>157</v>
      </c>
      <c r="D2311" s="61" t="s">
        <v>152</v>
      </c>
      <c r="E2311" s="88">
        <v>0</v>
      </c>
      <c r="F2311" s="21">
        <v>24</v>
      </c>
      <c r="G2311" s="3">
        <f t="shared" ref="G2311" si="974">TRUNC($E2311*F2311,1)</f>
        <v>0</v>
      </c>
      <c r="H2311" s="21">
        <v>24</v>
      </c>
      <c r="I2311" s="3">
        <f t="shared" ref="I2311" si="975">TRUNC($E2311*H2311,1)</f>
        <v>0</v>
      </c>
      <c r="J2311" s="21">
        <v>28</v>
      </c>
      <c r="K2311" s="3">
        <f t="shared" ref="K2311" si="976">TRUNC($E2311*J2311,1)</f>
        <v>0</v>
      </c>
    </row>
    <row r="2312" spans="2:11" ht="12.95" customHeight="1" x14ac:dyDescent="0.3">
      <c r="B2312" s="42" t="s">
        <v>53</v>
      </c>
      <c r="C2312" s="43" t="s">
        <v>56</v>
      </c>
      <c r="D2312" s="44" t="s">
        <v>15</v>
      </c>
      <c r="E2312" s="45"/>
      <c r="F2312" s="21">
        <v>1</v>
      </c>
      <c r="G2312" s="5">
        <f>TRUNC(SUM(G2315:G2316)*0.02,1)</f>
        <v>2004.7</v>
      </c>
      <c r="H2312" s="21">
        <v>1</v>
      </c>
      <c r="I2312" s="5">
        <f>TRUNC(SUM(I2315:I2316)*0.02,1)</f>
        <v>2144.1999999999998</v>
      </c>
      <c r="J2312" s="21">
        <v>1</v>
      </c>
      <c r="K2312" s="5">
        <f>TRUNC(SUM(K2315:K2316)*0.02,1)</f>
        <v>2423</v>
      </c>
    </row>
    <row r="2313" spans="2:11" ht="12.95" customHeight="1" x14ac:dyDescent="0.3">
      <c r="B2313" s="46" t="s">
        <v>10</v>
      </c>
      <c r="C2313" s="51"/>
      <c r="D2313" s="51"/>
      <c r="E2313" s="22"/>
      <c r="F2313" s="23"/>
      <c r="G2313" s="16">
        <f>TRUNC(SUM(G2311:G2312))</f>
        <v>2004</v>
      </c>
      <c r="H2313" s="23"/>
      <c r="I2313" s="16">
        <f>TRUNC(SUM(I2311:I2312))</f>
        <v>2144</v>
      </c>
      <c r="J2313" s="23"/>
      <c r="K2313" s="16">
        <f>TRUNC(SUM(K2311:K2312))</f>
        <v>2423</v>
      </c>
    </row>
    <row r="2314" spans="2:11" ht="12.95" customHeight="1" x14ac:dyDescent="0.3">
      <c r="B2314" s="50"/>
      <c r="C2314" s="51"/>
      <c r="D2314" s="51"/>
      <c r="E2314" s="22"/>
      <c r="F2314" s="23"/>
      <c r="G2314" s="24"/>
      <c r="H2314" s="23"/>
      <c r="I2314" s="24"/>
      <c r="J2314" s="23"/>
      <c r="K2314" s="24"/>
    </row>
    <row r="2315" spans="2:11" ht="12.95" customHeight="1" x14ac:dyDescent="0.3">
      <c r="B2315" s="52" t="s">
        <v>29</v>
      </c>
      <c r="C2315" s="53"/>
      <c r="D2315" s="54" t="s">
        <v>9</v>
      </c>
      <c r="E2315" s="55">
        <v>262580</v>
      </c>
      <c r="F2315" s="25">
        <v>0.28999999999999998</v>
      </c>
      <c r="G2315" s="3">
        <f t="shared" ref="G2315:G2316" si="977">TRUNC($E2315*F2315,1)</f>
        <v>76148.2</v>
      </c>
      <c r="H2315" s="25">
        <v>0.31</v>
      </c>
      <c r="I2315" s="3">
        <f t="shared" ref="I2315:I2316" si="978">TRUNC($E2315*H2315,1)</f>
        <v>81399.8</v>
      </c>
      <c r="J2315" s="25">
        <v>0.35</v>
      </c>
      <c r="K2315" s="3">
        <f t="shared" ref="K2315:K2316" si="979">TRUNC($E2315*J2315,1)</f>
        <v>91903</v>
      </c>
    </row>
    <row r="2316" spans="2:11" ht="12.95" customHeight="1" x14ac:dyDescent="0.3">
      <c r="B2316" s="52" t="s">
        <v>1</v>
      </c>
      <c r="C2316" s="53"/>
      <c r="D2316" s="54" t="s">
        <v>9</v>
      </c>
      <c r="E2316" s="57">
        <v>172068</v>
      </c>
      <c r="F2316" s="25">
        <v>0.14000000000000001</v>
      </c>
      <c r="G2316" s="3">
        <f t="shared" si="977"/>
        <v>24089.5</v>
      </c>
      <c r="H2316" s="25">
        <v>0.15</v>
      </c>
      <c r="I2316" s="3">
        <f t="shared" si="978"/>
        <v>25810.2</v>
      </c>
      <c r="J2316" s="25">
        <v>0.17</v>
      </c>
      <c r="K2316" s="3">
        <f t="shared" si="979"/>
        <v>29251.5</v>
      </c>
    </row>
    <row r="2317" spans="2:11" ht="12.95" customHeight="1" x14ac:dyDescent="0.3">
      <c r="B2317" s="58" t="s">
        <v>11</v>
      </c>
      <c r="C2317" s="51"/>
      <c r="D2317" s="51"/>
      <c r="E2317" s="22"/>
      <c r="F2317" s="23"/>
      <c r="G2317" s="16">
        <f>TRUNC(SUM(G2315:G2316))</f>
        <v>100237</v>
      </c>
      <c r="H2317" s="23"/>
      <c r="I2317" s="16">
        <f>TRUNC(SUM(I2315:I2316))</f>
        <v>107210</v>
      </c>
      <c r="J2317" s="23"/>
      <c r="K2317" s="16">
        <f>TRUNC(SUM(K2315:K2316))</f>
        <v>121154</v>
      </c>
    </row>
    <row r="2318" spans="2:11" ht="12.95" customHeight="1" x14ac:dyDescent="0.3">
      <c r="B2318" s="50"/>
      <c r="C2318" s="51"/>
      <c r="D2318" s="51"/>
      <c r="E2318" s="22"/>
      <c r="F2318" s="23"/>
      <c r="G2318" s="24"/>
      <c r="H2318" s="23"/>
      <c r="I2318" s="24"/>
      <c r="J2318" s="23"/>
      <c r="K2318" s="24"/>
    </row>
    <row r="2319" spans="2:11" ht="12.95" customHeight="1" x14ac:dyDescent="0.3">
      <c r="B2319" s="66" t="s">
        <v>13</v>
      </c>
      <c r="C2319" s="76"/>
      <c r="D2319" s="76"/>
      <c r="E2319" s="77"/>
      <c r="F2319" s="77"/>
      <c r="G2319" s="26">
        <f>SUM(G2313+G2317)</f>
        <v>102241</v>
      </c>
      <c r="H2319" s="77"/>
      <c r="I2319" s="26">
        <f>SUM(I2313+I2317)</f>
        <v>109354</v>
      </c>
      <c r="J2319" s="77"/>
      <c r="K2319" s="26">
        <f>SUM(K2313+K2317)</f>
        <v>123577</v>
      </c>
    </row>
    <row r="2320" spans="2:11" ht="12.95" customHeight="1" x14ac:dyDescent="0.3">
      <c r="B2320" s="106" t="s">
        <v>3</v>
      </c>
      <c r="C2320" s="107" t="s">
        <v>7</v>
      </c>
      <c r="D2320" s="108" t="s">
        <v>8</v>
      </c>
      <c r="E2320" s="109" t="s">
        <v>4</v>
      </c>
      <c r="F2320" s="105" t="s">
        <v>52</v>
      </c>
      <c r="G2320" s="95"/>
      <c r="H2320" s="105" t="s">
        <v>60</v>
      </c>
      <c r="I2320" s="95"/>
      <c r="J2320" s="105" t="s">
        <v>61</v>
      </c>
      <c r="K2320" s="95"/>
    </row>
    <row r="2321" spans="2:11" ht="12.95" customHeight="1" x14ac:dyDescent="0.3">
      <c r="B2321" s="106"/>
      <c r="C2321" s="107"/>
      <c r="D2321" s="108"/>
      <c r="E2321" s="109"/>
      <c r="F2321" s="74" t="s">
        <v>5</v>
      </c>
      <c r="G2321" s="75" t="s">
        <v>6</v>
      </c>
      <c r="H2321" s="74" t="s">
        <v>5</v>
      </c>
      <c r="I2321" s="75" t="s">
        <v>6</v>
      </c>
      <c r="J2321" s="74" t="s">
        <v>5</v>
      </c>
      <c r="K2321" s="75" t="s">
        <v>6</v>
      </c>
    </row>
    <row r="2322" spans="2:11" ht="12.95" customHeight="1" x14ac:dyDescent="0.3">
      <c r="B2322" s="59" t="s">
        <v>150</v>
      </c>
      <c r="C2322" s="59" t="s">
        <v>157</v>
      </c>
      <c r="D2322" s="61" t="s">
        <v>152</v>
      </c>
      <c r="E2322" s="88">
        <v>0</v>
      </c>
      <c r="F2322" s="21">
        <v>32</v>
      </c>
      <c r="G2322" s="3">
        <f t="shared" ref="G2322" si="980">TRUNC($E2322*F2322,1)</f>
        <v>0</v>
      </c>
      <c r="H2322" s="21">
        <v>32</v>
      </c>
      <c r="I2322" s="3">
        <f t="shared" ref="I2322" si="981">TRUNC($E2322*H2322,1)</f>
        <v>0</v>
      </c>
      <c r="J2322" s="21">
        <v>36</v>
      </c>
      <c r="K2322" s="3">
        <f t="shared" ref="K2322" si="982">TRUNC($E2322*J2322,1)</f>
        <v>0</v>
      </c>
    </row>
    <row r="2323" spans="2:11" ht="12.95" customHeight="1" x14ac:dyDescent="0.3">
      <c r="B2323" s="42" t="s">
        <v>53</v>
      </c>
      <c r="C2323" s="43" t="s">
        <v>56</v>
      </c>
      <c r="D2323" s="44" t="s">
        <v>15</v>
      </c>
      <c r="E2323" s="45"/>
      <c r="F2323" s="21">
        <v>1</v>
      </c>
      <c r="G2323" s="5">
        <f>TRUNC(SUM(G2326:G2327)*0.02,1)</f>
        <v>2788.9</v>
      </c>
      <c r="H2323" s="21">
        <v>1</v>
      </c>
      <c r="I2323" s="5">
        <f>TRUNC(SUM(I2326:I2327)*0.02,1)</f>
        <v>2875.8</v>
      </c>
      <c r="J2323" s="21">
        <v>1</v>
      </c>
      <c r="K2323" s="5">
        <f>TRUNC(SUM(K2326:K2327)*0.02,1)</f>
        <v>3207.2</v>
      </c>
    </row>
    <row r="2324" spans="2:11" ht="12.95" customHeight="1" x14ac:dyDescent="0.3">
      <c r="B2324" s="46" t="s">
        <v>10</v>
      </c>
      <c r="C2324" s="51"/>
      <c r="D2324" s="51"/>
      <c r="E2324" s="22"/>
      <c r="F2324" s="23"/>
      <c r="G2324" s="16">
        <f>TRUNC(SUM(G2322:G2323))</f>
        <v>2788</v>
      </c>
      <c r="H2324" s="23"/>
      <c r="I2324" s="16">
        <f>TRUNC(SUM(I2322:I2323))</f>
        <v>2875</v>
      </c>
      <c r="J2324" s="23"/>
      <c r="K2324" s="16">
        <f>TRUNC(SUM(K2322:K2323))</f>
        <v>3207</v>
      </c>
    </row>
    <row r="2325" spans="2:11" ht="12.95" customHeight="1" x14ac:dyDescent="0.3">
      <c r="B2325" s="50"/>
      <c r="C2325" s="51"/>
      <c r="D2325" s="51"/>
      <c r="E2325" s="22"/>
      <c r="F2325" s="23"/>
      <c r="G2325" s="24"/>
      <c r="H2325" s="23"/>
      <c r="I2325" s="24"/>
      <c r="J2325" s="23"/>
      <c r="K2325" s="24"/>
    </row>
    <row r="2326" spans="2:11" ht="12.95" customHeight="1" x14ac:dyDescent="0.3">
      <c r="B2326" s="52" t="s">
        <v>29</v>
      </c>
      <c r="C2326" s="53"/>
      <c r="D2326" s="54" t="s">
        <v>9</v>
      </c>
      <c r="E2326" s="55">
        <v>262580</v>
      </c>
      <c r="F2326" s="25">
        <v>0.4</v>
      </c>
      <c r="G2326" s="3">
        <f t="shared" ref="G2326:G2327" si="983">TRUNC($E2326*F2326,1)</f>
        <v>105032</v>
      </c>
      <c r="H2326" s="25">
        <v>0.41</v>
      </c>
      <c r="I2326" s="3">
        <f t="shared" ref="I2326:I2327" si="984">TRUNC($E2326*H2326,1)</f>
        <v>107657.8</v>
      </c>
      <c r="J2326" s="25">
        <v>0.46</v>
      </c>
      <c r="K2326" s="3">
        <f t="shared" ref="K2326:K2327" si="985">TRUNC($E2326*J2326,1)</f>
        <v>120786.8</v>
      </c>
    </row>
    <row r="2327" spans="2:11" ht="12.95" customHeight="1" x14ac:dyDescent="0.3">
      <c r="B2327" s="52" t="s">
        <v>1</v>
      </c>
      <c r="C2327" s="53"/>
      <c r="D2327" s="54" t="s">
        <v>9</v>
      </c>
      <c r="E2327" s="57">
        <v>172068</v>
      </c>
      <c r="F2327" s="25">
        <v>0.2</v>
      </c>
      <c r="G2327" s="3">
        <f t="shared" si="983"/>
        <v>34413.599999999999</v>
      </c>
      <c r="H2327" s="25">
        <v>0.21</v>
      </c>
      <c r="I2327" s="3">
        <f t="shared" si="984"/>
        <v>36134.199999999997</v>
      </c>
      <c r="J2327" s="25">
        <v>0.23</v>
      </c>
      <c r="K2327" s="3">
        <f t="shared" si="985"/>
        <v>39575.599999999999</v>
      </c>
    </row>
    <row r="2328" spans="2:11" ht="12.95" customHeight="1" x14ac:dyDescent="0.3">
      <c r="B2328" s="58" t="s">
        <v>11</v>
      </c>
      <c r="C2328" s="51"/>
      <c r="D2328" s="51"/>
      <c r="E2328" s="22"/>
      <c r="F2328" s="23"/>
      <c r="G2328" s="16">
        <f>TRUNC(SUM(G2326:G2327))</f>
        <v>139445</v>
      </c>
      <c r="H2328" s="23"/>
      <c r="I2328" s="16">
        <f>TRUNC(SUM(I2326:I2327))</f>
        <v>143792</v>
      </c>
      <c r="J2328" s="23"/>
      <c r="K2328" s="16">
        <f>TRUNC(SUM(K2326:K2327))</f>
        <v>160362</v>
      </c>
    </row>
    <row r="2329" spans="2:11" ht="12.95" customHeight="1" x14ac:dyDescent="0.3">
      <c r="B2329" s="50"/>
      <c r="C2329" s="51"/>
      <c r="D2329" s="51"/>
      <c r="E2329" s="22"/>
      <c r="F2329" s="23"/>
      <c r="G2329" s="24"/>
      <c r="H2329" s="23"/>
      <c r="I2329" s="24"/>
      <c r="J2329" s="23"/>
      <c r="K2329" s="24"/>
    </row>
    <row r="2330" spans="2:11" ht="12.95" customHeight="1" x14ac:dyDescent="0.3">
      <c r="B2330" s="66" t="s">
        <v>13</v>
      </c>
      <c r="C2330" s="76"/>
      <c r="D2330" s="76"/>
      <c r="E2330" s="77"/>
      <c r="F2330" s="77"/>
      <c r="G2330" s="26">
        <f>SUM(G2324+G2328)</f>
        <v>142233</v>
      </c>
      <c r="H2330" s="77"/>
      <c r="I2330" s="26">
        <f>SUM(I2324+I2328)</f>
        <v>146667</v>
      </c>
      <c r="J2330" s="77"/>
      <c r="K2330" s="26">
        <f>SUM(K2324+K2328)</f>
        <v>163569</v>
      </c>
    </row>
    <row r="2331" spans="2:11" ht="12.95" customHeight="1" x14ac:dyDescent="0.3">
      <c r="B2331" s="106" t="s">
        <v>3</v>
      </c>
      <c r="C2331" s="107" t="s">
        <v>7</v>
      </c>
      <c r="D2331" s="108" t="s">
        <v>8</v>
      </c>
      <c r="E2331" s="109" t="s">
        <v>4</v>
      </c>
      <c r="F2331" s="105" t="s">
        <v>62</v>
      </c>
      <c r="G2331" s="95"/>
      <c r="H2331" s="105" t="s">
        <v>63</v>
      </c>
      <c r="I2331" s="95"/>
      <c r="J2331" s="105" t="s">
        <v>64</v>
      </c>
      <c r="K2331" s="95"/>
    </row>
    <row r="2332" spans="2:11" ht="12.95" customHeight="1" x14ac:dyDescent="0.3">
      <c r="B2332" s="106"/>
      <c r="C2332" s="107"/>
      <c r="D2332" s="108"/>
      <c r="E2332" s="109"/>
      <c r="F2332" s="74" t="s">
        <v>5</v>
      </c>
      <c r="G2332" s="75" t="s">
        <v>6</v>
      </c>
      <c r="H2332" s="74" t="s">
        <v>5</v>
      </c>
      <c r="I2332" s="75" t="s">
        <v>6</v>
      </c>
      <c r="J2332" s="74" t="s">
        <v>5</v>
      </c>
      <c r="K2332" s="75" t="s">
        <v>6</v>
      </c>
    </row>
    <row r="2333" spans="2:11" ht="12.95" customHeight="1" x14ac:dyDescent="0.3">
      <c r="B2333" s="59" t="s">
        <v>150</v>
      </c>
      <c r="C2333" s="59" t="s">
        <v>158</v>
      </c>
      <c r="D2333" s="61" t="s">
        <v>152</v>
      </c>
      <c r="E2333" s="88">
        <v>0</v>
      </c>
      <c r="F2333" s="21">
        <v>40</v>
      </c>
      <c r="G2333" s="3">
        <f t="shared" ref="G2333" si="986">TRUNC($E2333*F2333,1)</f>
        <v>0</v>
      </c>
      <c r="H2333" s="21">
        <v>44</v>
      </c>
      <c r="I2333" s="3">
        <f t="shared" ref="I2333" si="987">TRUNC($E2333*H2333,1)</f>
        <v>0</v>
      </c>
      <c r="J2333" s="21">
        <v>48</v>
      </c>
      <c r="K2333" s="3">
        <f t="shared" ref="K2333" si="988">TRUNC($E2333*J2333,1)</f>
        <v>0</v>
      </c>
    </row>
    <row r="2334" spans="2:11" ht="12.95" customHeight="1" x14ac:dyDescent="0.3">
      <c r="B2334" s="42" t="s">
        <v>53</v>
      </c>
      <c r="C2334" s="43" t="s">
        <v>56</v>
      </c>
      <c r="D2334" s="44" t="s">
        <v>15</v>
      </c>
      <c r="E2334" s="45"/>
      <c r="F2334" s="21">
        <v>1</v>
      </c>
      <c r="G2334" s="5">
        <f>TRUNC(SUM(G2337:G2338)*0.02,1)</f>
        <v>3625.5</v>
      </c>
      <c r="H2334" s="21">
        <v>1</v>
      </c>
      <c r="I2334" s="5">
        <f>TRUNC(SUM(I2337:I2338)*0.02,1)</f>
        <v>3991.4</v>
      </c>
      <c r="J2334" s="21">
        <v>1</v>
      </c>
      <c r="K2334" s="5">
        <f>TRUNC(SUM(K2337:K2338)*0.02,1)</f>
        <v>4409.7</v>
      </c>
    </row>
    <row r="2335" spans="2:11" ht="12.95" customHeight="1" x14ac:dyDescent="0.3">
      <c r="B2335" s="46" t="s">
        <v>10</v>
      </c>
      <c r="C2335" s="51"/>
      <c r="D2335" s="51"/>
      <c r="E2335" s="22"/>
      <c r="F2335" s="23"/>
      <c r="G2335" s="16">
        <f>TRUNC(SUM(G2333:G2334))</f>
        <v>3625</v>
      </c>
      <c r="H2335" s="23"/>
      <c r="I2335" s="16">
        <f>TRUNC(SUM(I2333:I2334))</f>
        <v>3991</v>
      </c>
      <c r="J2335" s="23"/>
      <c r="K2335" s="16">
        <f>TRUNC(SUM(K2333:K2334))</f>
        <v>4409</v>
      </c>
    </row>
    <row r="2336" spans="2:11" ht="12.95" customHeight="1" x14ac:dyDescent="0.3">
      <c r="B2336" s="50"/>
      <c r="C2336" s="51"/>
      <c r="D2336" s="51"/>
      <c r="E2336" s="22"/>
      <c r="F2336" s="23"/>
      <c r="G2336" s="24"/>
      <c r="H2336" s="23"/>
      <c r="I2336" s="24"/>
      <c r="J2336" s="23"/>
      <c r="K2336" s="24"/>
    </row>
    <row r="2337" spans="2:11" ht="12.95" customHeight="1" x14ac:dyDescent="0.3">
      <c r="B2337" s="52" t="s">
        <v>29</v>
      </c>
      <c r="C2337" s="53"/>
      <c r="D2337" s="54" t="s">
        <v>9</v>
      </c>
      <c r="E2337" s="55">
        <v>262580</v>
      </c>
      <c r="F2337" s="25">
        <v>0.52</v>
      </c>
      <c r="G2337" s="3">
        <f t="shared" ref="G2337:G2338" si="989">TRUNC($E2337*F2337,1)</f>
        <v>136541.6</v>
      </c>
      <c r="H2337" s="25">
        <v>0.56999999999999995</v>
      </c>
      <c r="I2337" s="3">
        <f t="shared" ref="I2337:I2338" si="990">TRUNC($E2337*H2337,1)</f>
        <v>149670.6</v>
      </c>
      <c r="J2337" s="25">
        <v>0.63</v>
      </c>
      <c r="K2337" s="3">
        <f t="shared" ref="K2337:K2338" si="991">TRUNC($E2337*J2337,1)</f>
        <v>165425.4</v>
      </c>
    </row>
    <row r="2338" spans="2:11" ht="12.95" customHeight="1" x14ac:dyDescent="0.3">
      <c r="B2338" s="52" t="s">
        <v>1</v>
      </c>
      <c r="C2338" s="53"/>
      <c r="D2338" s="54" t="s">
        <v>9</v>
      </c>
      <c r="E2338" s="57">
        <v>172068</v>
      </c>
      <c r="F2338" s="25">
        <v>0.26</v>
      </c>
      <c r="G2338" s="3">
        <f t="shared" si="989"/>
        <v>44737.599999999999</v>
      </c>
      <c r="H2338" s="25">
        <v>0.28999999999999998</v>
      </c>
      <c r="I2338" s="3">
        <f t="shared" si="990"/>
        <v>49899.7</v>
      </c>
      <c r="J2338" s="25">
        <v>0.32</v>
      </c>
      <c r="K2338" s="3">
        <f t="shared" si="991"/>
        <v>55061.7</v>
      </c>
    </row>
    <row r="2339" spans="2:11" ht="12.95" customHeight="1" x14ac:dyDescent="0.3">
      <c r="B2339" s="58" t="s">
        <v>11</v>
      </c>
      <c r="C2339" s="51"/>
      <c r="D2339" s="51"/>
      <c r="E2339" s="22"/>
      <c r="F2339" s="23"/>
      <c r="G2339" s="16">
        <f>TRUNC(SUM(G2337:G2338))</f>
        <v>181279</v>
      </c>
      <c r="H2339" s="23"/>
      <c r="I2339" s="16">
        <f>TRUNC(SUM(I2337:I2338))</f>
        <v>199570</v>
      </c>
      <c r="J2339" s="23"/>
      <c r="K2339" s="16">
        <f>TRUNC(SUM(K2337:K2338))</f>
        <v>220487</v>
      </c>
    </row>
    <row r="2340" spans="2:11" ht="12.95" customHeight="1" x14ac:dyDescent="0.3">
      <c r="B2340" s="50"/>
      <c r="C2340" s="51"/>
      <c r="D2340" s="51"/>
      <c r="E2340" s="22"/>
      <c r="F2340" s="23"/>
      <c r="G2340" s="24"/>
      <c r="H2340" s="23"/>
      <c r="I2340" s="24"/>
      <c r="J2340" s="23"/>
      <c r="K2340" s="24"/>
    </row>
    <row r="2341" spans="2:11" ht="12.95" customHeight="1" x14ac:dyDescent="0.3">
      <c r="B2341" s="66" t="s">
        <v>13</v>
      </c>
      <c r="C2341" s="76"/>
      <c r="D2341" s="76"/>
      <c r="E2341" s="77"/>
      <c r="F2341" s="77"/>
      <c r="G2341" s="26">
        <f>SUM(G2335+G2339)</f>
        <v>184904</v>
      </c>
      <c r="H2341" s="77"/>
      <c r="I2341" s="26">
        <f>SUM(I2335+I2339)</f>
        <v>203561</v>
      </c>
      <c r="J2341" s="77"/>
      <c r="K2341" s="26">
        <f>SUM(K2335+K2339)</f>
        <v>224896</v>
      </c>
    </row>
    <row r="2342" spans="2:11" ht="12.95" customHeight="1" x14ac:dyDescent="0.3">
      <c r="B2342" s="106" t="s">
        <v>3</v>
      </c>
      <c r="C2342" s="107" t="s">
        <v>7</v>
      </c>
      <c r="D2342" s="108" t="s">
        <v>8</v>
      </c>
      <c r="E2342" s="109" t="s">
        <v>4</v>
      </c>
      <c r="F2342" s="105" t="s">
        <v>65</v>
      </c>
      <c r="G2342" s="95"/>
      <c r="H2342" s="105" t="s">
        <v>66</v>
      </c>
      <c r="I2342" s="95"/>
    </row>
    <row r="2343" spans="2:11" ht="12.95" customHeight="1" x14ac:dyDescent="0.3">
      <c r="B2343" s="106"/>
      <c r="C2343" s="107"/>
      <c r="D2343" s="108"/>
      <c r="E2343" s="109"/>
      <c r="F2343" s="74" t="s">
        <v>5</v>
      </c>
      <c r="G2343" s="75" t="s">
        <v>6</v>
      </c>
      <c r="H2343" s="74" t="s">
        <v>5</v>
      </c>
      <c r="I2343" s="75" t="s">
        <v>6</v>
      </c>
    </row>
    <row r="2344" spans="2:11" ht="12.95" customHeight="1" x14ac:dyDescent="0.3">
      <c r="B2344" s="59" t="s">
        <v>150</v>
      </c>
      <c r="C2344" s="59" t="s">
        <v>159</v>
      </c>
      <c r="D2344" s="61" t="s">
        <v>152</v>
      </c>
      <c r="E2344" s="88">
        <v>0</v>
      </c>
      <c r="F2344" s="21">
        <v>52</v>
      </c>
      <c r="G2344" s="3">
        <f t="shared" ref="G2344" si="992">TRUNC($E2344*F2344,1)</f>
        <v>0</v>
      </c>
      <c r="H2344" s="21">
        <v>56</v>
      </c>
      <c r="I2344" s="3">
        <f t="shared" ref="I2344" si="993">TRUNC($E2344*H2344,1)</f>
        <v>0</v>
      </c>
    </row>
    <row r="2345" spans="2:11" ht="12.95" customHeight="1" x14ac:dyDescent="0.3">
      <c r="B2345" s="42" t="s">
        <v>53</v>
      </c>
      <c r="C2345" s="43" t="s">
        <v>56</v>
      </c>
      <c r="D2345" s="44" t="s">
        <v>15</v>
      </c>
      <c r="E2345" s="45"/>
      <c r="F2345" s="21">
        <v>1</v>
      </c>
      <c r="G2345" s="5">
        <f>TRUNC(SUM(G2348:G2349)*0.02,1)</f>
        <v>4793.6000000000004</v>
      </c>
      <c r="H2345" s="21">
        <v>1</v>
      </c>
      <c r="I2345" s="5">
        <f>TRUNC(SUM(I2348:I2349)*0.02,1)</f>
        <v>5159.3999999999996</v>
      </c>
    </row>
    <row r="2346" spans="2:11" ht="12.95" customHeight="1" x14ac:dyDescent="0.3">
      <c r="B2346" s="46" t="s">
        <v>10</v>
      </c>
      <c r="C2346" s="51"/>
      <c r="D2346" s="51"/>
      <c r="E2346" s="22"/>
      <c r="F2346" s="23"/>
      <c r="G2346" s="16">
        <f>TRUNC(SUM(G2344:G2345))</f>
        <v>4793</v>
      </c>
      <c r="H2346" s="23"/>
      <c r="I2346" s="16">
        <f>TRUNC(SUM(I2344:I2345))</f>
        <v>5159</v>
      </c>
    </row>
    <row r="2347" spans="2:11" ht="12.95" customHeight="1" x14ac:dyDescent="0.3">
      <c r="B2347" s="50"/>
      <c r="C2347" s="51"/>
      <c r="D2347" s="51"/>
      <c r="E2347" s="22"/>
      <c r="F2347" s="23"/>
      <c r="G2347" s="24"/>
      <c r="H2347" s="23"/>
      <c r="I2347" s="24"/>
    </row>
    <row r="2348" spans="2:11" ht="12.95" customHeight="1" x14ac:dyDescent="0.3">
      <c r="B2348" s="52" t="s">
        <v>29</v>
      </c>
      <c r="C2348" s="53"/>
      <c r="D2348" s="54" t="s">
        <v>9</v>
      </c>
      <c r="E2348" s="55">
        <v>262580</v>
      </c>
      <c r="F2348" s="25">
        <v>0.69</v>
      </c>
      <c r="G2348" s="3">
        <f t="shared" ref="G2348:G2349" si="994">TRUNC($E2348*F2348,1)</f>
        <v>181180.2</v>
      </c>
      <c r="H2348" s="25">
        <v>0.74</v>
      </c>
      <c r="I2348" s="3">
        <f t="shared" ref="I2348:I2349" si="995">TRUNC($E2348*H2348,1)</f>
        <v>194309.2</v>
      </c>
    </row>
    <row r="2349" spans="2:11" ht="12.95" customHeight="1" x14ac:dyDescent="0.3">
      <c r="B2349" s="52" t="s">
        <v>1</v>
      </c>
      <c r="C2349" s="53"/>
      <c r="D2349" s="54" t="s">
        <v>9</v>
      </c>
      <c r="E2349" s="57">
        <v>172068</v>
      </c>
      <c r="F2349" s="25">
        <v>0.34</v>
      </c>
      <c r="G2349" s="3">
        <f t="shared" si="994"/>
        <v>58503.1</v>
      </c>
      <c r="H2349" s="25">
        <v>0.37</v>
      </c>
      <c r="I2349" s="3">
        <f t="shared" si="995"/>
        <v>63665.1</v>
      </c>
    </row>
    <row r="2350" spans="2:11" ht="12.95" customHeight="1" x14ac:dyDescent="0.3">
      <c r="B2350" s="58" t="s">
        <v>11</v>
      </c>
      <c r="C2350" s="51"/>
      <c r="D2350" s="51"/>
      <c r="E2350" s="22"/>
      <c r="F2350" s="23"/>
      <c r="G2350" s="16">
        <f>TRUNC(SUM(G2348:G2349))</f>
        <v>239683</v>
      </c>
      <c r="H2350" s="23"/>
      <c r="I2350" s="16">
        <f>TRUNC(SUM(I2348:I2349))</f>
        <v>257974</v>
      </c>
    </row>
    <row r="2351" spans="2:11" ht="12.95" customHeight="1" x14ac:dyDescent="0.3">
      <c r="B2351" s="50"/>
      <c r="C2351" s="51"/>
      <c r="D2351" s="51"/>
      <c r="E2351" s="22"/>
      <c r="F2351" s="23"/>
      <c r="G2351" s="24"/>
      <c r="H2351" s="23"/>
      <c r="I2351" s="24"/>
    </row>
    <row r="2352" spans="2:11" ht="12.95" customHeight="1" x14ac:dyDescent="0.3">
      <c r="B2352" s="66" t="s">
        <v>13</v>
      </c>
      <c r="C2352" s="76"/>
      <c r="D2352" s="76"/>
      <c r="E2352" s="77"/>
      <c r="F2352" s="77"/>
      <c r="G2352" s="26">
        <f>SUM(G2346+G2350)</f>
        <v>244476</v>
      </c>
      <c r="H2352" s="77"/>
      <c r="I2352" s="26">
        <f>SUM(I2346+I2350)</f>
        <v>263133</v>
      </c>
    </row>
  </sheetData>
  <mergeCells count="1291">
    <mergeCell ref="J2331:K2331"/>
    <mergeCell ref="B2342:B2343"/>
    <mergeCell ref="C2342:C2343"/>
    <mergeCell ref="D2342:D2343"/>
    <mergeCell ref="E2342:E2343"/>
    <mergeCell ref="F2342:G2342"/>
    <mergeCell ref="H2342:I2342"/>
    <mergeCell ref="B2331:B2332"/>
    <mergeCell ref="C2331:C2332"/>
    <mergeCell ref="D2331:D2332"/>
    <mergeCell ref="E2331:E2332"/>
    <mergeCell ref="F2331:G2331"/>
    <mergeCell ref="H2331:I2331"/>
    <mergeCell ref="J2309:K2309"/>
    <mergeCell ref="B2320:B2321"/>
    <mergeCell ref="C2320:C2321"/>
    <mergeCell ref="D2320:D2321"/>
    <mergeCell ref="E2320:E2321"/>
    <mergeCell ref="F2320:G2320"/>
    <mergeCell ref="H2320:I2320"/>
    <mergeCell ref="J2320:K2320"/>
    <mergeCell ref="B2309:B2310"/>
    <mergeCell ref="C2309:C2310"/>
    <mergeCell ref="D2309:D2310"/>
    <mergeCell ref="E2309:E2310"/>
    <mergeCell ref="F2309:G2309"/>
    <mergeCell ref="H2309:I2309"/>
    <mergeCell ref="J2287:K2287"/>
    <mergeCell ref="L2287:M2287"/>
    <mergeCell ref="B2298:B2299"/>
    <mergeCell ref="C2298:C2299"/>
    <mergeCell ref="D2298:D2299"/>
    <mergeCell ref="E2298:E2299"/>
    <mergeCell ref="F2298:G2298"/>
    <mergeCell ref="H2298:I2298"/>
    <mergeCell ref="B2287:B2288"/>
    <mergeCell ref="C2287:C2288"/>
    <mergeCell ref="D2287:D2288"/>
    <mergeCell ref="E2287:E2288"/>
    <mergeCell ref="F2287:G2287"/>
    <mergeCell ref="H2287:I2287"/>
    <mergeCell ref="H2265:I2265"/>
    <mergeCell ref="J2265:K2265"/>
    <mergeCell ref="L2265:M2265"/>
    <mergeCell ref="B2276:B2277"/>
    <mergeCell ref="C2276:C2277"/>
    <mergeCell ref="D2276:D2277"/>
    <mergeCell ref="E2276:E2277"/>
    <mergeCell ref="F2276:G2276"/>
    <mergeCell ref="H2276:I2276"/>
    <mergeCell ref="J2276:K2276"/>
    <mergeCell ref="B2254:B2255"/>
    <mergeCell ref="C2254:C2255"/>
    <mergeCell ref="D2254:D2255"/>
    <mergeCell ref="E2254:E2255"/>
    <mergeCell ref="F2254:G2254"/>
    <mergeCell ref="B2265:B2266"/>
    <mergeCell ref="C2265:C2266"/>
    <mergeCell ref="D2265:D2266"/>
    <mergeCell ref="E2265:E2266"/>
    <mergeCell ref="F2265:G2265"/>
    <mergeCell ref="B2241:B2243"/>
    <mergeCell ref="C2241:C2243"/>
    <mergeCell ref="D2241:D2243"/>
    <mergeCell ref="E2241:E2243"/>
    <mergeCell ref="F2241:K2241"/>
    <mergeCell ref="F2242:G2242"/>
    <mergeCell ref="H2242:I2242"/>
    <mergeCell ref="J2242:K2242"/>
    <mergeCell ref="B2230:B2232"/>
    <mergeCell ref="C2230:C2232"/>
    <mergeCell ref="D2230:D2232"/>
    <mergeCell ref="E2230:E2232"/>
    <mergeCell ref="F2230:K2230"/>
    <mergeCell ref="F2231:G2231"/>
    <mergeCell ref="H2231:I2231"/>
    <mergeCell ref="J2231:K2231"/>
    <mergeCell ref="B2219:B2221"/>
    <mergeCell ref="C2219:C2221"/>
    <mergeCell ref="D2219:D2221"/>
    <mergeCell ref="E2219:E2221"/>
    <mergeCell ref="F2219:K2219"/>
    <mergeCell ref="F2220:G2220"/>
    <mergeCell ref="H2220:I2220"/>
    <mergeCell ref="J2220:K2220"/>
    <mergeCell ref="B2208:B2210"/>
    <mergeCell ref="C2208:C2210"/>
    <mergeCell ref="D2208:D2210"/>
    <mergeCell ref="E2208:E2210"/>
    <mergeCell ref="F2208:K2208"/>
    <mergeCell ref="F2209:G2209"/>
    <mergeCell ref="H2209:I2209"/>
    <mergeCell ref="J2209:K2209"/>
    <mergeCell ref="B2197:B2199"/>
    <mergeCell ref="C2197:C2199"/>
    <mergeCell ref="D2197:D2199"/>
    <mergeCell ref="E2197:E2199"/>
    <mergeCell ref="F2197:K2197"/>
    <mergeCell ref="F2198:G2198"/>
    <mergeCell ref="H2198:I2198"/>
    <mergeCell ref="J2198:K2198"/>
    <mergeCell ref="B2186:B2188"/>
    <mergeCell ref="C2186:C2188"/>
    <mergeCell ref="D2186:D2188"/>
    <mergeCell ref="E2186:E2188"/>
    <mergeCell ref="F2186:K2186"/>
    <mergeCell ref="F2187:G2187"/>
    <mergeCell ref="H2187:I2187"/>
    <mergeCell ref="J2187:K2187"/>
    <mergeCell ref="B2175:B2177"/>
    <mergeCell ref="C2175:C2177"/>
    <mergeCell ref="D2175:D2177"/>
    <mergeCell ref="E2175:E2177"/>
    <mergeCell ref="F2175:K2175"/>
    <mergeCell ref="F2176:G2176"/>
    <mergeCell ref="H2176:I2176"/>
    <mergeCell ref="J2176:K2176"/>
    <mergeCell ref="B2164:B2166"/>
    <mergeCell ref="C2164:C2166"/>
    <mergeCell ref="D2164:D2166"/>
    <mergeCell ref="E2164:E2166"/>
    <mergeCell ref="F2164:K2164"/>
    <mergeCell ref="F2165:G2165"/>
    <mergeCell ref="H2165:I2165"/>
    <mergeCell ref="J2165:K2165"/>
    <mergeCell ref="J2132:K2132"/>
    <mergeCell ref="L2132:M2132"/>
    <mergeCell ref="B2147:B2148"/>
    <mergeCell ref="C2147:C2148"/>
    <mergeCell ref="D2147:D2148"/>
    <mergeCell ref="E2147:E2148"/>
    <mergeCell ref="F2147:G2147"/>
    <mergeCell ref="H2147:I2147"/>
    <mergeCell ref="J2147:K2147"/>
    <mergeCell ref="B2132:B2133"/>
    <mergeCell ref="C2132:C2133"/>
    <mergeCell ref="D2132:D2133"/>
    <mergeCell ref="E2132:E2133"/>
    <mergeCell ref="F2132:G2132"/>
    <mergeCell ref="H2132:I2132"/>
    <mergeCell ref="J2100:K2100"/>
    <mergeCell ref="L2100:M2100"/>
    <mergeCell ref="B2117:B2118"/>
    <mergeCell ref="C2117:C2118"/>
    <mergeCell ref="D2117:D2118"/>
    <mergeCell ref="E2117:E2118"/>
    <mergeCell ref="F2117:G2117"/>
    <mergeCell ref="H2117:I2117"/>
    <mergeCell ref="J2117:K2117"/>
    <mergeCell ref="L2117:M2117"/>
    <mergeCell ref="B2100:B2101"/>
    <mergeCell ref="C2100:C2101"/>
    <mergeCell ref="D2100:D2101"/>
    <mergeCell ref="E2100:E2101"/>
    <mergeCell ref="F2100:G2100"/>
    <mergeCell ref="H2100:I2100"/>
    <mergeCell ref="J2070:K2070"/>
    <mergeCell ref="L2070:M2070"/>
    <mergeCell ref="B2085:B2086"/>
    <mergeCell ref="C2085:C2086"/>
    <mergeCell ref="D2085:D2086"/>
    <mergeCell ref="E2085:E2086"/>
    <mergeCell ref="F2085:G2085"/>
    <mergeCell ref="H2085:I2085"/>
    <mergeCell ref="J2085:K2085"/>
    <mergeCell ref="L2085:M2085"/>
    <mergeCell ref="B2070:B2071"/>
    <mergeCell ref="C2070:C2071"/>
    <mergeCell ref="D2070:D2071"/>
    <mergeCell ref="E2070:E2071"/>
    <mergeCell ref="F2070:G2070"/>
    <mergeCell ref="H2070:I2070"/>
    <mergeCell ref="B2060:B2061"/>
    <mergeCell ref="C2060:C2061"/>
    <mergeCell ref="D2060:D2061"/>
    <mergeCell ref="E2060:E2061"/>
    <mergeCell ref="F2060:G2060"/>
    <mergeCell ref="H2060:I2060"/>
    <mergeCell ref="B2043:B2045"/>
    <mergeCell ref="C2043:C2045"/>
    <mergeCell ref="D2043:D2045"/>
    <mergeCell ref="E2043:E2045"/>
    <mergeCell ref="F2043:I2043"/>
    <mergeCell ref="F2044:G2044"/>
    <mergeCell ref="H2044:I2044"/>
    <mergeCell ref="B2028:B2030"/>
    <mergeCell ref="C2028:C2030"/>
    <mergeCell ref="D2028:D2030"/>
    <mergeCell ref="E2028:E2030"/>
    <mergeCell ref="F2028:M2028"/>
    <mergeCell ref="F2029:G2029"/>
    <mergeCell ref="H2029:I2029"/>
    <mergeCell ref="J2029:K2029"/>
    <mergeCell ref="L2029:M2029"/>
    <mergeCell ref="B2013:B2015"/>
    <mergeCell ref="C2013:C2015"/>
    <mergeCell ref="D2013:D2015"/>
    <mergeCell ref="E2013:E2015"/>
    <mergeCell ref="F2013:K2013"/>
    <mergeCell ref="F2014:G2014"/>
    <mergeCell ref="H2014:I2014"/>
    <mergeCell ref="J2014:K2014"/>
    <mergeCell ref="B1998:B2000"/>
    <mergeCell ref="C1998:C2000"/>
    <mergeCell ref="D1998:D2000"/>
    <mergeCell ref="E1998:E2000"/>
    <mergeCell ref="F1998:K1998"/>
    <mergeCell ref="F1999:G1999"/>
    <mergeCell ref="H1999:I1999"/>
    <mergeCell ref="J1999:K1999"/>
    <mergeCell ref="B1983:B1985"/>
    <mergeCell ref="C1983:C1985"/>
    <mergeCell ref="D1983:D1985"/>
    <mergeCell ref="E1983:E1985"/>
    <mergeCell ref="F1983:I1983"/>
    <mergeCell ref="F1984:G1984"/>
    <mergeCell ref="H1984:I1984"/>
    <mergeCell ref="B1968:B1970"/>
    <mergeCell ref="C1968:C1970"/>
    <mergeCell ref="D1968:D1970"/>
    <mergeCell ref="E1968:E1970"/>
    <mergeCell ref="F1968:K1968"/>
    <mergeCell ref="F1969:G1969"/>
    <mergeCell ref="H1969:I1969"/>
    <mergeCell ref="J1969:K1969"/>
    <mergeCell ref="B1953:B1955"/>
    <mergeCell ref="C1953:C1955"/>
    <mergeCell ref="D1953:D1955"/>
    <mergeCell ref="E1953:E1955"/>
    <mergeCell ref="F1953:K1953"/>
    <mergeCell ref="F1954:G1954"/>
    <mergeCell ref="H1954:I1954"/>
    <mergeCell ref="J1954:K1954"/>
    <mergeCell ref="B1938:B1940"/>
    <mergeCell ref="C1938:C1940"/>
    <mergeCell ref="D1938:D1940"/>
    <mergeCell ref="E1938:E1940"/>
    <mergeCell ref="F1938:K1938"/>
    <mergeCell ref="F1939:G1939"/>
    <mergeCell ref="H1939:I1939"/>
    <mergeCell ref="J1939:K1939"/>
    <mergeCell ref="B1923:B1925"/>
    <mergeCell ref="C1923:C1925"/>
    <mergeCell ref="D1923:D1925"/>
    <mergeCell ref="E1923:E1925"/>
    <mergeCell ref="F1923:K1923"/>
    <mergeCell ref="F1924:G1924"/>
    <mergeCell ref="H1924:I1924"/>
    <mergeCell ref="J1924:K1924"/>
    <mergeCell ref="B1908:B1910"/>
    <mergeCell ref="C1908:C1910"/>
    <mergeCell ref="D1908:D1910"/>
    <mergeCell ref="E1908:E1910"/>
    <mergeCell ref="F1908:M1908"/>
    <mergeCell ref="F1909:G1909"/>
    <mergeCell ref="H1909:I1909"/>
    <mergeCell ref="J1909:K1909"/>
    <mergeCell ref="L1909:M1909"/>
    <mergeCell ref="B1893:B1895"/>
    <mergeCell ref="C1893:C1895"/>
    <mergeCell ref="D1893:D1895"/>
    <mergeCell ref="E1893:E1895"/>
    <mergeCell ref="F1893:K1893"/>
    <mergeCell ref="F1894:G1894"/>
    <mergeCell ref="H1894:I1894"/>
    <mergeCell ref="J1894:K1894"/>
    <mergeCell ref="B1878:B1880"/>
    <mergeCell ref="C1878:C1880"/>
    <mergeCell ref="D1878:D1880"/>
    <mergeCell ref="E1878:E1880"/>
    <mergeCell ref="F1878:K1878"/>
    <mergeCell ref="F1879:G1879"/>
    <mergeCell ref="H1879:I1879"/>
    <mergeCell ref="J1879:K1879"/>
    <mergeCell ref="B1863:B1865"/>
    <mergeCell ref="C1863:C1865"/>
    <mergeCell ref="D1863:D1865"/>
    <mergeCell ref="E1863:E1865"/>
    <mergeCell ref="F1863:I1863"/>
    <mergeCell ref="F1864:G1864"/>
    <mergeCell ref="H1864:I1864"/>
    <mergeCell ref="B1848:B1850"/>
    <mergeCell ref="C1848:C1850"/>
    <mergeCell ref="D1848:D1850"/>
    <mergeCell ref="E1848:E1850"/>
    <mergeCell ref="F1848:M1848"/>
    <mergeCell ref="F1849:G1849"/>
    <mergeCell ref="H1849:I1849"/>
    <mergeCell ref="J1849:K1849"/>
    <mergeCell ref="L1849:M1849"/>
    <mergeCell ref="J1816:K1816"/>
    <mergeCell ref="B1833:B1835"/>
    <mergeCell ref="C1833:C1835"/>
    <mergeCell ref="D1833:D1835"/>
    <mergeCell ref="E1833:E1835"/>
    <mergeCell ref="F1833:M1833"/>
    <mergeCell ref="F1834:G1834"/>
    <mergeCell ref="H1834:I1834"/>
    <mergeCell ref="J1834:K1834"/>
    <mergeCell ref="L1834:M1834"/>
    <mergeCell ref="B1816:B1817"/>
    <mergeCell ref="C1816:C1817"/>
    <mergeCell ref="D1816:D1817"/>
    <mergeCell ref="E1816:E1817"/>
    <mergeCell ref="F1816:G1816"/>
    <mergeCell ref="H1816:I1816"/>
    <mergeCell ref="J1786:K1786"/>
    <mergeCell ref="B1801:B1802"/>
    <mergeCell ref="C1801:C1802"/>
    <mergeCell ref="D1801:D1802"/>
    <mergeCell ref="E1801:E1802"/>
    <mergeCell ref="F1801:G1801"/>
    <mergeCell ref="H1801:I1801"/>
    <mergeCell ref="J1801:K1801"/>
    <mergeCell ref="B1786:B1787"/>
    <mergeCell ref="C1786:C1787"/>
    <mergeCell ref="D1786:D1787"/>
    <mergeCell ref="E1786:E1787"/>
    <mergeCell ref="F1786:G1786"/>
    <mergeCell ref="H1786:I1786"/>
    <mergeCell ref="B1771:B1772"/>
    <mergeCell ref="C1771:C1772"/>
    <mergeCell ref="D1771:D1772"/>
    <mergeCell ref="E1771:E1772"/>
    <mergeCell ref="F1771:G1771"/>
    <mergeCell ref="H1771:I1771"/>
    <mergeCell ref="B1756:B1757"/>
    <mergeCell ref="C1756:C1757"/>
    <mergeCell ref="D1756:D1757"/>
    <mergeCell ref="E1756:E1757"/>
    <mergeCell ref="F1756:G1756"/>
    <mergeCell ref="H1756:I1756"/>
    <mergeCell ref="J1734:K1734"/>
    <mergeCell ref="B1744:B1745"/>
    <mergeCell ref="C1744:C1745"/>
    <mergeCell ref="D1744:D1745"/>
    <mergeCell ref="E1744:E1745"/>
    <mergeCell ref="F1744:G1744"/>
    <mergeCell ref="H1744:I1744"/>
    <mergeCell ref="B1734:B1735"/>
    <mergeCell ref="C1734:C1735"/>
    <mergeCell ref="D1734:D1735"/>
    <mergeCell ref="E1734:E1735"/>
    <mergeCell ref="F1734:G1734"/>
    <mergeCell ref="H1734:I1734"/>
    <mergeCell ref="J1704:K1704"/>
    <mergeCell ref="B1719:B1720"/>
    <mergeCell ref="C1719:C1720"/>
    <mergeCell ref="D1719:D1720"/>
    <mergeCell ref="E1719:E1720"/>
    <mergeCell ref="F1719:G1719"/>
    <mergeCell ref="H1719:I1719"/>
    <mergeCell ref="J1719:K1719"/>
    <mergeCell ref="B1704:B1705"/>
    <mergeCell ref="C1704:C1705"/>
    <mergeCell ref="D1704:D1705"/>
    <mergeCell ref="E1704:E1705"/>
    <mergeCell ref="F1704:G1704"/>
    <mergeCell ref="H1704:I1704"/>
    <mergeCell ref="B1689:B1690"/>
    <mergeCell ref="C1689:C1690"/>
    <mergeCell ref="D1689:D1690"/>
    <mergeCell ref="E1689:E1690"/>
    <mergeCell ref="F1689:G1689"/>
    <mergeCell ref="H1689:I1689"/>
    <mergeCell ref="J1659:K1659"/>
    <mergeCell ref="B1674:B1675"/>
    <mergeCell ref="C1674:C1675"/>
    <mergeCell ref="D1674:D1675"/>
    <mergeCell ref="E1674:E1675"/>
    <mergeCell ref="F1674:G1674"/>
    <mergeCell ref="H1674:I1674"/>
    <mergeCell ref="J1674:K1674"/>
    <mergeCell ref="B1659:B1660"/>
    <mergeCell ref="C1659:C1660"/>
    <mergeCell ref="D1659:D1660"/>
    <mergeCell ref="E1659:E1660"/>
    <mergeCell ref="F1659:G1659"/>
    <mergeCell ref="H1659:I1659"/>
    <mergeCell ref="J1629:K1629"/>
    <mergeCell ref="L1629:M1629"/>
    <mergeCell ref="B1644:B1645"/>
    <mergeCell ref="C1644:C1645"/>
    <mergeCell ref="D1644:D1645"/>
    <mergeCell ref="E1644:E1645"/>
    <mergeCell ref="F1644:G1644"/>
    <mergeCell ref="H1644:I1644"/>
    <mergeCell ref="J1644:K1644"/>
    <mergeCell ref="B1629:B1630"/>
    <mergeCell ref="C1629:C1630"/>
    <mergeCell ref="D1629:D1630"/>
    <mergeCell ref="E1629:E1630"/>
    <mergeCell ref="F1629:G1629"/>
    <mergeCell ref="H1629:I1629"/>
    <mergeCell ref="J1606:K1606"/>
    <mergeCell ref="L1606:M1606"/>
    <mergeCell ref="B1616:B1617"/>
    <mergeCell ref="C1616:C1617"/>
    <mergeCell ref="D1616:D1617"/>
    <mergeCell ref="E1616:E1617"/>
    <mergeCell ref="F1616:G1616"/>
    <mergeCell ref="H1616:I1616"/>
    <mergeCell ref="J1616:K1616"/>
    <mergeCell ref="B1606:B1607"/>
    <mergeCell ref="C1606:C1607"/>
    <mergeCell ref="D1606:D1607"/>
    <mergeCell ref="E1606:E1607"/>
    <mergeCell ref="F1606:G1606"/>
    <mergeCell ref="H1606:I1606"/>
    <mergeCell ref="B1588:B1590"/>
    <mergeCell ref="C1588:C1590"/>
    <mergeCell ref="D1588:D1590"/>
    <mergeCell ref="E1588:E1590"/>
    <mergeCell ref="F1588:I1588"/>
    <mergeCell ref="F1589:G1589"/>
    <mergeCell ref="H1589:I1589"/>
    <mergeCell ref="B1572:B1574"/>
    <mergeCell ref="C1572:C1574"/>
    <mergeCell ref="D1572:D1574"/>
    <mergeCell ref="E1572:E1574"/>
    <mergeCell ref="F1572:K1572"/>
    <mergeCell ref="F1573:G1573"/>
    <mergeCell ref="H1573:I1573"/>
    <mergeCell ref="J1573:K1573"/>
    <mergeCell ref="B1556:B1558"/>
    <mergeCell ref="C1556:C1558"/>
    <mergeCell ref="D1556:D1558"/>
    <mergeCell ref="E1556:E1558"/>
    <mergeCell ref="F1556:K1556"/>
    <mergeCell ref="F1557:G1557"/>
    <mergeCell ref="H1557:I1557"/>
    <mergeCell ref="J1557:K1557"/>
    <mergeCell ref="B1540:B1542"/>
    <mergeCell ref="C1540:C1542"/>
    <mergeCell ref="D1540:D1542"/>
    <mergeCell ref="E1540:E1542"/>
    <mergeCell ref="F1540:I1540"/>
    <mergeCell ref="F1541:G1541"/>
    <mergeCell ref="H1541:I1541"/>
    <mergeCell ref="B1524:B1526"/>
    <mergeCell ref="C1524:C1526"/>
    <mergeCell ref="D1524:D1526"/>
    <mergeCell ref="E1524:E1526"/>
    <mergeCell ref="F1524:I1524"/>
    <mergeCell ref="F1525:G1525"/>
    <mergeCell ref="H1525:I1525"/>
    <mergeCell ref="B1508:B1510"/>
    <mergeCell ref="C1508:C1510"/>
    <mergeCell ref="D1508:D1510"/>
    <mergeCell ref="E1508:E1510"/>
    <mergeCell ref="F1508:M1508"/>
    <mergeCell ref="F1509:G1509"/>
    <mergeCell ref="H1509:I1509"/>
    <mergeCell ref="J1509:K1509"/>
    <mergeCell ref="L1509:M1509"/>
    <mergeCell ref="B1492:B1494"/>
    <mergeCell ref="C1492:C1494"/>
    <mergeCell ref="D1492:D1494"/>
    <mergeCell ref="E1492:E1494"/>
    <mergeCell ref="F1492:M1492"/>
    <mergeCell ref="F1493:G1493"/>
    <mergeCell ref="H1493:I1493"/>
    <mergeCell ref="J1493:K1493"/>
    <mergeCell ref="L1493:M1493"/>
    <mergeCell ref="B1481:B1483"/>
    <mergeCell ref="C1481:C1483"/>
    <mergeCell ref="D1481:D1483"/>
    <mergeCell ref="E1481:E1483"/>
    <mergeCell ref="F1481:I1481"/>
    <mergeCell ref="F1482:G1482"/>
    <mergeCell ref="H1482:I1482"/>
    <mergeCell ref="B1465:B1467"/>
    <mergeCell ref="C1465:C1467"/>
    <mergeCell ref="D1465:D1467"/>
    <mergeCell ref="E1465:E1467"/>
    <mergeCell ref="F1465:I1465"/>
    <mergeCell ref="F1466:G1466"/>
    <mergeCell ref="H1466:I1466"/>
    <mergeCell ref="B1449:B1451"/>
    <mergeCell ref="C1449:C1451"/>
    <mergeCell ref="D1449:D1451"/>
    <mergeCell ref="E1449:E1451"/>
    <mergeCell ref="F1449:K1449"/>
    <mergeCell ref="F1450:G1450"/>
    <mergeCell ref="H1450:I1450"/>
    <mergeCell ref="J1450:K1450"/>
    <mergeCell ref="B1433:B1435"/>
    <mergeCell ref="C1433:C1435"/>
    <mergeCell ref="D1433:D1435"/>
    <mergeCell ref="E1433:E1435"/>
    <mergeCell ref="F1433:K1433"/>
    <mergeCell ref="F1434:G1434"/>
    <mergeCell ref="H1434:I1434"/>
    <mergeCell ref="J1434:K1434"/>
    <mergeCell ref="B1417:B1419"/>
    <mergeCell ref="C1417:C1419"/>
    <mergeCell ref="D1417:D1419"/>
    <mergeCell ref="E1417:E1419"/>
    <mergeCell ref="F1417:I1417"/>
    <mergeCell ref="F1418:G1418"/>
    <mergeCell ref="H1418:I1418"/>
    <mergeCell ref="B1401:B1403"/>
    <mergeCell ref="C1401:C1403"/>
    <mergeCell ref="D1401:D1403"/>
    <mergeCell ref="E1401:E1403"/>
    <mergeCell ref="F1401:I1401"/>
    <mergeCell ref="F1402:G1402"/>
    <mergeCell ref="H1402:I1402"/>
    <mergeCell ref="B1385:B1387"/>
    <mergeCell ref="C1385:C1387"/>
    <mergeCell ref="D1385:D1387"/>
    <mergeCell ref="E1385:E1387"/>
    <mergeCell ref="F1385:M1385"/>
    <mergeCell ref="F1386:G1386"/>
    <mergeCell ref="H1386:I1386"/>
    <mergeCell ref="J1386:K1386"/>
    <mergeCell ref="L1386:M1386"/>
    <mergeCell ref="B1369:B1371"/>
    <mergeCell ref="C1369:C1371"/>
    <mergeCell ref="D1369:D1371"/>
    <mergeCell ref="E1369:E1371"/>
    <mergeCell ref="F1369:M1369"/>
    <mergeCell ref="F1370:G1370"/>
    <mergeCell ref="H1370:I1370"/>
    <mergeCell ref="J1370:K1370"/>
    <mergeCell ref="L1370:M1370"/>
    <mergeCell ref="J1341:K1341"/>
    <mergeCell ref="B1358:B1360"/>
    <mergeCell ref="C1358:C1360"/>
    <mergeCell ref="D1358:D1360"/>
    <mergeCell ref="E1358:E1360"/>
    <mergeCell ref="F1358:I1358"/>
    <mergeCell ref="F1359:G1359"/>
    <mergeCell ref="H1359:I1359"/>
    <mergeCell ref="B1341:B1342"/>
    <mergeCell ref="C1341:C1342"/>
    <mergeCell ref="D1341:D1342"/>
    <mergeCell ref="E1341:E1342"/>
    <mergeCell ref="F1341:G1341"/>
    <mergeCell ref="H1341:I1341"/>
    <mergeCell ref="J1311:K1311"/>
    <mergeCell ref="L1311:M1311"/>
    <mergeCell ref="B1326:B1327"/>
    <mergeCell ref="C1326:C1327"/>
    <mergeCell ref="D1326:D1327"/>
    <mergeCell ref="E1326:E1327"/>
    <mergeCell ref="F1326:G1326"/>
    <mergeCell ref="H1326:I1326"/>
    <mergeCell ref="J1326:K1326"/>
    <mergeCell ref="L1326:M1326"/>
    <mergeCell ref="B1311:B1312"/>
    <mergeCell ref="C1311:C1312"/>
    <mergeCell ref="D1311:D1312"/>
    <mergeCell ref="E1311:E1312"/>
    <mergeCell ref="F1311:G1311"/>
    <mergeCell ref="H1311:I1311"/>
    <mergeCell ref="B1294:B1295"/>
    <mergeCell ref="C1294:C1295"/>
    <mergeCell ref="D1294:D1295"/>
    <mergeCell ref="E1294:E1295"/>
    <mergeCell ref="F1294:G1294"/>
    <mergeCell ref="H1294:I1294"/>
    <mergeCell ref="B1279:B1280"/>
    <mergeCell ref="C1279:C1280"/>
    <mergeCell ref="D1279:D1280"/>
    <mergeCell ref="E1279:E1280"/>
    <mergeCell ref="F1279:G1279"/>
    <mergeCell ref="H1279:I1279"/>
    <mergeCell ref="J1249:K1249"/>
    <mergeCell ref="B1264:B1265"/>
    <mergeCell ref="C1264:C1265"/>
    <mergeCell ref="D1264:D1265"/>
    <mergeCell ref="E1264:E1265"/>
    <mergeCell ref="F1264:G1264"/>
    <mergeCell ref="H1264:I1264"/>
    <mergeCell ref="J1264:K1264"/>
    <mergeCell ref="B1249:B1250"/>
    <mergeCell ref="C1249:C1250"/>
    <mergeCell ref="D1249:D1250"/>
    <mergeCell ref="E1249:E1250"/>
    <mergeCell ref="F1249:G1249"/>
    <mergeCell ref="H1249:I1249"/>
    <mergeCell ref="B1235:B1237"/>
    <mergeCell ref="C1235:C1237"/>
    <mergeCell ref="D1235:D1237"/>
    <mergeCell ref="E1235:E1237"/>
    <mergeCell ref="F1235:M1235"/>
    <mergeCell ref="F1236:G1236"/>
    <mergeCell ref="H1236:I1236"/>
    <mergeCell ref="J1236:K1236"/>
    <mergeCell ref="L1236:M1236"/>
    <mergeCell ref="B1224:B1226"/>
    <mergeCell ref="C1224:C1226"/>
    <mergeCell ref="D1224:D1226"/>
    <mergeCell ref="E1224:E1226"/>
    <mergeCell ref="F1224:M1224"/>
    <mergeCell ref="F1225:G1225"/>
    <mergeCell ref="H1225:I1225"/>
    <mergeCell ref="J1225:K1225"/>
    <mergeCell ref="L1225:M1225"/>
    <mergeCell ref="J1201:K1201"/>
    <mergeCell ref="B1213:B1215"/>
    <mergeCell ref="C1213:C1215"/>
    <mergeCell ref="D1213:D1215"/>
    <mergeCell ref="E1213:E1215"/>
    <mergeCell ref="F1213:M1213"/>
    <mergeCell ref="F1214:G1214"/>
    <mergeCell ref="H1214:I1214"/>
    <mergeCell ref="J1214:K1214"/>
    <mergeCell ref="L1214:M1214"/>
    <mergeCell ref="B1201:B1202"/>
    <mergeCell ref="C1201:C1202"/>
    <mergeCell ref="D1201:D1202"/>
    <mergeCell ref="E1201:E1202"/>
    <mergeCell ref="F1201:G1201"/>
    <mergeCell ref="H1201:I1201"/>
    <mergeCell ref="J1181:K1181"/>
    <mergeCell ref="L1181:M1181"/>
    <mergeCell ref="B1191:B1192"/>
    <mergeCell ref="C1191:C1192"/>
    <mergeCell ref="D1191:D1192"/>
    <mergeCell ref="E1191:E1192"/>
    <mergeCell ref="F1191:G1191"/>
    <mergeCell ref="H1191:I1191"/>
    <mergeCell ref="J1191:K1191"/>
    <mergeCell ref="B1181:B1182"/>
    <mergeCell ref="C1181:C1182"/>
    <mergeCell ref="D1181:D1182"/>
    <mergeCell ref="E1181:E1182"/>
    <mergeCell ref="F1181:G1181"/>
    <mergeCell ref="H1181:I1181"/>
    <mergeCell ref="J1161:K1161"/>
    <mergeCell ref="L1161:M1161"/>
    <mergeCell ref="B1171:B1172"/>
    <mergeCell ref="C1171:C1172"/>
    <mergeCell ref="D1171:D1172"/>
    <mergeCell ref="E1171:E1172"/>
    <mergeCell ref="F1171:G1171"/>
    <mergeCell ref="H1171:I1171"/>
    <mergeCell ref="J1171:K1171"/>
    <mergeCell ref="L1171:M1171"/>
    <mergeCell ref="B1161:B1162"/>
    <mergeCell ref="C1161:C1162"/>
    <mergeCell ref="D1161:D1162"/>
    <mergeCell ref="E1161:E1162"/>
    <mergeCell ref="F1161:G1161"/>
    <mergeCell ref="H1161:I1161"/>
    <mergeCell ref="J1119:K1119"/>
    <mergeCell ref="B1139:B1141"/>
    <mergeCell ref="C1139:C1141"/>
    <mergeCell ref="D1139:D1141"/>
    <mergeCell ref="E1139:E1141"/>
    <mergeCell ref="F1139:G1139"/>
    <mergeCell ref="H1139:I1139"/>
    <mergeCell ref="J1139:K1139"/>
    <mergeCell ref="B1119:B1121"/>
    <mergeCell ref="C1119:C1121"/>
    <mergeCell ref="D1119:D1121"/>
    <mergeCell ref="E1119:E1121"/>
    <mergeCell ref="F1119:G1119"/>
    <mergeCell ref="H1119:I1119"/>
    <mergeCell ref="J1079:K1079"/>
    <mergeCell ref="B1099:B1101"/>
    <mergeCell ref="C1099:C1101"/>
    <mergeCell ref="D1099:D1101"/>
    <mergeCell ref="E1099:E1101"/>
    <mergeCell ref="F1099:G1099"/>
    <mergeCell ref="H1099:I1099"/>
    <mergeCell ref="J1099:K1099"/>
    <mergeCell ref="B1079:B1081"/>
    <mergeCell ref="C1079:C1081"/>
    <mergeCell ref="D1079:D1081"/>
    <mergeCell ref="E1079:E1081"/>
    <mergeCell ref="F1079:G1079"/>
    <mergeCell ref="H1079:I1079"/>
    <mergeCell ref="J1037:K1037"/>
    <mergeCell ref="B1059:B1061"/>
    <mergeCell ref="C1059:C1061"/>
    <mergeCell ref="D1059:D1061"/>
    <mergeCell ref="E1059:E1061"/>
    <mergeCell ref="F1059:G1059"/>
    <mergeCell ref="H1059:I1059"/>
    <mergeCell ref="J1059:K1059"/>
    <mergeCell ref="B1037:B1039"/>
    <mergeCell ref="C1037:C1039"/>
    <mergeCell ref="D1037:D1039"/>
    <mergeCell ref="E1037:E1039"/>
    <mergeCell ref="F1037:G1037"/>
    <mergeCell ref="H1037:I1037"/>
    <mergeCell ref="B1017:B1019"/>
    <mergeCell ref="C1017:C1019"/>
    <mergeCell ref="D1017:D1019"/>
    <mergeCell ref="E1017:E1019"/>
    <mergeCell ref="F1017:G1017"/>
    <mergeCell ref="H1017:I1017"/>
    <mergeCell ref="J977:K977"/>
    <mergeCell ref="B997:B999"/>
    <mergeCell ref="C997:C999"/>
    <mergeCell ref="D997:D999"/>
    <mergeCell ref="E997:E999"/>
    <mergeCell ref="F997:G997"/>
    <mergeCell ref="H997:I997"/>
    <mergeCell ref="J997:K997"/>
    <mergeCell ref="B977:B979"/>
    <mergeCell ref="C977:C979"/>
    <mergeCell ref="D977:D979"/>
    <mergeCell ref="E977:E979"/>
    <mergeCell ref="F977:G977"/>
    <mergeCell ref="H977:I977"/>
    <mergeCell ref="J937:K937"/>
    <mergeCell ref="B957:B959"/>
    <mergeCell ref="C957:C959"/>
    <mergeCell ref="D957:D959"/>
    <mergeCell ref="E957:E959"/>
    <mergeCell ref="F957:G957"/>
    <mergeCell ref="H957:I957"/>
    <mergeCell ref="J957:K957"/>
    <mergeCell ref="B937:B939"/>
    <mergeCell ref="C937:C939"/>
    <mergeCell ref="D937:D939"/>
    <mergeCell ref="E937:E939"/>
    <mergeCell ref="F937:G937"/>
    <mergeCell ref="H937:I937"/>
    <mergeCell ref="J914:K914"/>
    <mergeCell ref="B924:B925"/>
    <mergeCell ref="C924:C925"/>
    <mergeCell ref="D924:D925"/>
    <mergeCell ref="E924:E925"/>
    <mergeCell ref="F924:G924"/>
    <mergeCell ref="H924:I924"/>
    <mergeCell ref="J924:K924"/>
    <mergeCell ref="B914:B915"/>
    <mergeCell ref="C914:C915"/>
    <mergeCell ref="D914:D915"/>
    <mergeCell ref="E914:E915"/>
    <mergeCell ref="F914:G914"/>
    <mergeCell ref="H914:I914"/>
    <mergeCell ref="B892:B894"/>
    <mergeCell ref="C892:C894"/>
    <mergeCell ref="D892:D894"/>
    <mergeCell ref="E892:E894"/>
    <mergeCell ref="F892:G892"/>
    <mergeCell ref="H892:I892"/>
    <mergeCell ref="J860:K860"/>
    <mergeCell ref="L860:M860"/>
    <mergeCell ref="B872:B874"/>
    <mergeCell ref="C872:C874"/>
    <mergeCell ref="D872:D874"/>
    <mergeCell ref="E872:E874"/>
    <mergeCell ref="F872:G872"/>
    <mergeCell ref="B860:B862"/>
    <mergeCell ref="C860:C862"/>
    <mergeCell ref="D860:D862"/>
    <mergeCell ref="E860:E862"/>
    <mergeCell ref="F860:G860"/>
    <mergeCell ref="H860:I860"/>
    <mergeCell ref="J836:K836"/>
    <mergeCell ref="B848:B850"/>
    <mergeCell ref="C848:C850"/>
    <mergeCell ref="D848:D850"/>
    <mergeCell ref="E848:E850"/>
    <mergeCell ref="F848:G848"/>
    <mergeCell ref="H848:I848"/>
    <mergeCell ref="J848:K848"/>
    <mergeCell ref="B836:B838"/>
    <mergeCell ref="C836:C838"/>
    <mergeCell ref="D836:D838"/>
    <mergeCell ref="E836:E838"/>
    <mergeCell ref="F836:G836"/>
    <mergeCell ref="H836:I836"/>
    <mergeCell ref="J810:K810"/>
    <mergeCell ref="B824:B826"/>
    <mergeCell ref="C824:C826"/>
    <mergeCell ref="D824:D826"/>
    <mergeCell ref="E824:E826"/>
    <mergeCell ref="F824:G824"/>
    <mergeCell ref="H824:I824"/>
    <mergeCell ref="J824:K824"/>
    <mergeCell ref="B810:B812"/>
    <mergeCell ref="C810:C812"/>
    <mergeCell ref="D810:D812"/>
    <mergeCell ref="E810:E812"/>
    <mergeCell ref="F810:G810"/>
    <mergeCell ref="H810:I810"/>
    <mergeCell ref="J784:K784"/>
    <mergeCell ref="B796:B798"/>
    <mergeCell ref="C796:C798"/>
    <mergeCell ref="D796:D798"/>
    <mergeCell ref="E796:E798"/>
    <mergeCell ref="F796:G796"/>
    <mergeCell ref="H796:I796"/>
    <mergeCell ref="J796:K796"/>
    <mergeCell ref="B784:B786"/>
    <mergeCell ref="C784:C786"/>
    <mergeCell ref="D784:D786"/>
    <mergeCell ref="E784:E786"/>
    <mergeCell ref="F784:G784"/>
    <mergeCell ref="H784:I784"/>
    <mergeCell ref="J761:K761"/>
    <mergeCell ref="B772:B774"/>
    <mergeCell ref="C772:C774"/>
    <mergeCell ref="D772:D774"/>
    <mergeCell ref="E772:E774"/>
    <mergeCell ref="F772:G772"/>
    <mergeCell ref="H772:I772"/>
    <mergeCell ref="J772:K772"/>
    <mergeCell ref="B761:B763"/>
    <mergeCell ref="C761:C763"/>
    <mergeCell ref="D761:D763"/>
    <mergeCell ref="E761:E763"/>
    <mergeCell ref="F761:G761"/>
    <mergeCell ref="H761:I761"/>
    <mergeCell ref="J740:K740"/>
    <mergeCell ref="B749:B751"/>
    <mergeCell ref="C749:C751"/>
    <mergeCell ref="D749:D751"/>
    <mergeCell ref="E749:E751"/>
    <mergeCell ref="F749:G749"/>
    <mergeCell ref="H749:I749"/>
    <mergeCell ref="B740:B742"/>
    <mergeCell ref="C740:C742"/>
    <mergeCell ref="D740:D742"/>
    <mergeCell ref="E740:E742"/>
    <mergeCell ref="F740:G740"/>
    <mergeCell ref="H740:I740"/>
    <mergeCell ref="B729:B731"/>
    <mergeCell ref="C729:C731"/>
    <mergeCell ref="D729:D731"/>
    <mergeCell ref="E729:E731"/>
    <mergeCell ref="F729:G729"/>
    <mergeCell ref="H729:I729"/>
    <mergeCell ref="B716:B718"/>
    <mergeCell ref="C716:C718"/>
    <mergeCell ref="D716:D718"/>
    <mergeCell ref="E716:E718"/>
    <mergeCell ref="F716:K716"/>
    <mergeCell ref="F717:G717"/>
    <mergeCell ref="H717:I717"/>
    <mergeCell ref="J717:K717"/>
    <mergeCell ref="B706:B708"/>
    <mergeCell ref="C706:C708"/>
    <mergeCell ref="D706:D708"/>
    <mergeCell ref="E706:E708"/>
    <mergeCell ref="F706:K706"/>
    <mergeCell ref="F707:G707"/>
    <mergeCell ref="H707:I707"/>
    <mergeCell ref="J707:K707"/>
    <mergeCell ref="B696:B698"/>
    <mergeCell ref="C696:C698"/>
    <mergeCell ref="D696:D698"/>
    <mergeCell ref="E696:E698"/>
    <mergeCell ref="F696:K696"/>
    <mergeCell ref="F697:G697"/>
    <mergeCell ref="H697:I697"/>
    <mergeCell ref="J697:K697"/>
    <mergeCell ref="B686:B688"/>
    <mergeCell ref="C686:C688"/>
    <mergeCell ref="D686:D688"/>
    <mergeCell ref="E686:E688"/>
    <mergeCell ref="F686:M686"/>
    <mergeCell ref="F687:G687"/>
    <mergeCell ref="H687:I687"/>
    <mergeCell ref="J687:K687"/>
    <mergeCell ref="L687:M687"/>
    <mergeCell ref="B676:B678"/>
    <mergeCell ref="C676:C678"/>
    <mergeCell ref="D676:D678"/>
    <mergeCell ref="E676:E678"/>
    <mergeCell ref="F676:K676"/>
    <mergeCell ref="F677:G677"/>
    <mergeCell ref="H677:I677"/>
    <mergeCell ref="J677:K677"/>
    <mergeCell ref="B666:B668"/>
    <mergeCell ref="C666:C668"/>
    <mergeCell ref="D666:D668"/>
    <mergeCell ref="E666:E668"/>
    <mergeCell ref="F666:K666"/>
    <mergeCell ref="F667:G667"/>
    <mergeCell ref="H667:I667"/>
    <mergeCell ref="J667:K667"/>
    <mergeCell ref="B656:B658"/>
    <mergeCell ref="C656:C658"/>
    <mergeCell ref="D656:D658"/>
    <mergeCell ref="E656:E658"/>
    <mergeCell ref="F656:K656"/>
    <mergeCell ref="F657:G657"/>
    <mergeCell ref="H657:I657"/>
    <mergeCell ref="J657:K657"/>
    <mergeCell ref="B646:B648"/>
    <mergeCell ref="C646:C648"/>
    <mergeCell ref="D646:D648"/>
    <mergeCell ref="E646:E648"/>
    <mergeCell ref="F646:M646"/>
    <mergeCell ref="F647:G647"/>
    <mergeCell ref="H647:I647"/>
    <mergeCell ref="J647:K647"/>
    <mergeCell ref="L647:M647"/>
    <mergeCell ref="B636:B638"/>
    <mergeCell ref="C636:C638"/>
    <mergeCell ref="D636:D638"/>
    <mergeCell ref="E636:E638"/>
    <mergeCell ref="F636:M636"/>
    <mergeCell ref="F637:G637"/>
    <mergeCell ref="H637:I637"/>
    <mergeCell ref="J637:K637"/>
    <mergeCell ref="L637:M637"/>
    <mergeCell ref="B626:B628"/>
    <mergeCell ref="C626:C628"/>
    <mergeCell ref="D626:D628"/>
    <mergeCell ref="E626:E628"/>
    <mergeCell ref="F626:M626"/>
    <mergeCell ref="F627:G627"/>
    <mergeCell ref="H627:I627"/>
    <mergeCell ref="J627:K627"/>
    <mergeCell ref="L627:M627"/>
    <mergeCell ref="B616:B618"/>
    <mergeCell ref="C616:C618"/>
    <mergeCell ref="D616:D618"/>
    <mergeCell ref="E616:E618"/>
    <mergeCell ref="F616:K616"/>
    <mergeCell ref="F617:G617"/>
    <mergeCell ref="H617:I617"/>
    <mergeCell ref="J617:K617"/>
    <mergeCell ref="B606:B608"/>
    <mergeCell ref="C606:C608"/>
    <mergeCell ref="D606:D608"/>
    <mergeCell ref="E606:E608"/>
    <mergeCell ref="F606:K606"/>
    <mergeCell ref="F607:G607"/>
    <mergeCell ref="H607:I607"/>
    <mergeCell ref="J607:K607"/>
    <mergeCell ref="B598:B600"/>
    <mergeCell ref="C598:C600"/>
    <mergeCell ref="D598:D600"/>
    <mergeCell ref="E598:E600"/>
    <mergeCell ref="F598:K598"/>
    <mergeCell ref="F599:G599"/>
    <mergeCell ref="H599:I599"/>
    <mergeCell ref="J599:K599"/>
    <mergeCell ref="B590:B592"/>
    <mergeCell ref="C590:C592"/>
    <mergeCell ref="D590:D592"/>
    <mergeCell ref="E590:E592"/>
    <mergeCell ref="F590:K590"/>
    <mergeCell ref="F591:G591"/>
    <mergeCell ref="H591:I591"/>
    <mergeCell ref="J591:K591"/>
    <mergeCell ref="B582:B584"/>
    <mergeCell ref="C582:C584"/>
    <mergeCell ref="D582:D584"/>
    <mergeCell ref="E582:E584"/>
    <mergeCell ref="F582:K582"/>
    <mergeCell ref="F583:G583"/>
    <mergeCell ref="H583:I583"/>
    <mergeCell ref="J583:K583"/>
    <mergeCell ref="B574:B576"/>
    <mergeCell ref="C574:C576"/>
    <mergeCell ref="D574:D576"/>
    <mergeCell ref="E574:E576"/>
    <mergeCell ref="F574:K574"/>
    <mergeCell ref="F575:G575"/>
    <mergeCell ref="H575:I575"/>
    <mergeCell ref="J575:K575"/>
    <mergeCell ref="B566:B568"/>
    <mergeCell ref="C566:C568"/>
    <mergeCell ref="D566:D568"/>
    <mergeCell ref="E566:E568"/>
    <mergeCell ref="F566:M566"/>
    <mergeCell ref="F567:G567"/>
    <mergeCell ref="H567:I567"/>
    <mergeCell ref="J567:K567"/>
    <mergeCell ref="L567:M567"/>
    <mergeCell ref="B558:B560"/>
    <mergeCell ref="C558:C560"/>
    <mergeCell ref="D558:D560"/>
    <mergeCell ref="E558:E560"/>
    <mergeCell ref="F558:K558"/>
    <mergeCell ref="F559:G559"/>
    <mergeCell ref="H559:I559"/>
    <mergeCell ref="J559:K559"/>
    <mergeCell ref="B550:B552"/>
    <mergeCell ref="C550:C552"/>
    <mergeCell ref="D550:D552"/>
    <mergeCell ref="E550:E552"/>
    <mergeCell ref="F550:K550"/>
    <mergeCell ref="F551:G551"/>
    <mergeCell ref="H551:I551"/>
    <mergeCell ref="J551:K551"/>
    <mergeCell ref="B542:B544"/>
    <mergeCell ref="C542:C544"/>
    <mergeCell ref="D542:D544"/>
    <mergeCell ref="E542:E544"/>
    <mergeCell ref="F542:K542"/>
    <mergeCell ref="F543:G543"/>
    <mergeCell ref="H543:I543"/>
    <mergeCell ref="J543:K543"/>
    <mergeCell ref="B534:B536"/>
    <mergeCell ref="C534:C536"/>
    <mergeCell ref="D534:D536"/>
    <mergeCell ref="E534:E536"/>
    <mergeCell ref="F534:K534"/>
    <mergeCell ref="F535:G535"/>
    <mergeCell ref="H535:I535"/>
    <mergeCell ref="J535:K535"/>
    <mergeCell ref="B520:B523"/>
    <mergeCell ref="C520:C523"/>
    <mergeCell ref="D520:D523"/>
    <mergeCell ref="E520:E523"/>
    <mergeCell ref="F520:K520"/>
    <mergeCell ref="F521:G521"/>
    <mergeCell ref="H521:I521"/>
    <mergeCell ref="J521:K521"/>
    <mergeCell ref="B508:B511"/>
    <mergeCell ref="C508:C511"/>
    <mergeCell ref="D508:D511"/>
    <mergeCell ref="E508:E511"/>
    <mergeCell ref="F508:K508"/>
    <mergeCell ref="F509:G509"/>
    <mergeCell ref="H509:I509"/>
    <mergeCell ref="J509:K509"/>
    <mergeCell ref="B496:B499"/>
    <mergeCell ref="C496:C499"/>
    <mergeCell ref="D496:D499"/>
    <mergeCell ref="E496:E499"/>
    <mergeCell ref="F496:M496"/>
    <mergeCell ref="F497:G497"/>
    <mergeCell ref="H497:I497"/>
    <mergeCell ref="J497:K497"/>
    <mergeCell ref="L497:M497"/>
    <mergeCell ref="B484:B487"/>
    <mergeCell ref="C484:C487"/>
    <mergeCell ref="D484:D487"/>
    <mergeCell ref="E484:E487"/>
    <mergeCell ref="F484:I484"/>
    <mergeCell ref="F485:G485"/>
    <mergeCell ref="H485:I485"/>
    <mergeCell ref="B472:B475"/>
    <mergeCell ref="C472:C475"/>
    <mergeCell ref="D472:D475"/>
    <mergeCell ref="E472:E475"/>
    <mergeCell ref="F472:K472"/>
    <mergeCell ref="F473:G473"/>
    <mergeCell ref="H473:I473"/>
    <mergeCell ref="J473:K473"/>
    <mergeCell ref="B460:B463"/>
    <mergeCell ref="C460:C463"/>
    <mergeCell ref="D460:D463"/>
    <mergeCell ref="E460:E463"/>
    <mergeCell ref="F460:K460"/>
    <mergeCell ref="F461:G461"/>
    <mergeCell ref="H461:I461"/>
    <mergeCell ref="J461:K461"/>
    <mergeCell ref="B448:B451"/>
    <mergeCell ref="C448:C451"/>
    <mergeCell ref="D448:D451"/>
    <mergeCell ref="E448:E451"/>
    <mergeCell ref="F448:K448"/>
    <mergeCell ref="F449:G449"/>
    <mergeCell ref="H449:I449"/>
    <mergeCell ref="J449:K449"/>
    <mergeCell ref="B436:B439"/>
    <mergeCell ref="C436:C439"/>
    <mergeCell ref="D436:D439"/>
    <mergeCell ref="E436:E439"/>
    <mergeCell ref="F436:K436"/>
    <mergeCell ref="F437:G437"/>
    <mergeCell ref="H437:I437"/>
    <mergeCell ref="J437:K437"/>
    <mergeCell ref="B424:B427"/>
    <mergeCell ref="C424:C427"/>
    <mergeCell ref="D424:D427"/>
    <mergeCell ref="E424:E427"/>
    <mergeCell ref="F424:K424"/>
    <mergeCell ref="F425:G425"/>
    <mergeCell ref="H425:I425"/>
    <mergeCell ref="J425:K425"/>
    <mergeCell ref="B412:B415"/>
    <mergeCell ref="C412:C415"/>
    <mergeCell ref="D412:D415"/>
    <mergeCell ref="E412:E415"/>
    <mergeCell ref="F412:M412"/>
    <mergeCell ref="F413:G413"/>
    <mergeCell ref="H413:I413"/>
    <mergeCell ref="J413:K413"/>
    <mergeCell ref="L413:M413"/>
    <mergeCell ref="B400:B403"/>
    <mergeCell ref="C400:C403"/>
    <mergeCell ref="D400:D403"/>
    <mergeCell ref="E400:E403"/>
    <mergeCell ref="F400:I400"/>
    <mergeCell ref="F401:G401"/>
    <mergeCell ref="H401:I401"/>
    <mergeCell ref="B388:B391"/>
    <mergeCell ref="C388:C391"/>
    <mergeCell ref="D388:D391"/>
    <mergeCell ref="E388:E391"/>
    <mergeCell ref="F388:K388"/>
    <mergeCell ref="F389:G389"/>
    <mergeCell ref="H389:I389"/>
    <mergeCell ref="J389:K389"/>
    <mergeCell ref="B376:B379"/>
    <mergeCell ref="C376:C379"/>
    <mergeCell ref="D376:D379"/>
    <mergeCell ref="E376:E379"/>
    <mergeCell ref="F376:K376"/>
    <mergeCell ref="F377:G377"/>
    <mergeCell ref="H377:I377"/>
    <mergeCell ref="J377:K377"/>
    <mergeCell ref="B364:B367"/>
    <mergeCell ref="C364:C367"/>
    <mergeCell ref="D364:D367"/>
    <mergeCell ref="E364:E367"/>
    <mergeCell ref="F364:K364"/>
    <mergeCell ref="F365:G365"/>
    <mergeCell ref="H365:I365"/>
    <mergeCell ref="J365:K365"/>
    <mergeCell ref="J344:K344"/>
    <mergeCell ref="L344:M344"/>
    <mergeCell ref="B353:B355"/>
    <mergeCell ref="C353:C355"/>
    <mergeCell ref="D353:D355"/>
    <mergeCell ref="E353:E355"/>
    <mergeCell ref="F353:G353"/>
    <mergeCell ref="H353:I353"/>
    <mergeCell ref="B344:B346"/>
    <mergeCell ref="C344:C346"/>
    <mergeCell ref="D344:D346"/>
    <mergeCell ref="E344:E346"/>
    <mergeCell ref="F344:G344"/>
    <mergeCell ref="H344:I344"/>
    <mergeCell ref="B323:B325"/>
    <mergeCell ref="C323:C325"/>
    <mergeCell ref="D323:D325"/>
    <mergeCell ref="E323:E325"/>
    <mergeCell ref="F323:G323"/>
    <mergeCell ref="H323:I323"/>
    <mergeCell ref="L285:M285"/>
    <mergeCell ref="B304:B306"/>
    <mergeCell ref="C304:C306"/>
    <mergeCell ref="D304:D306"/>
    <mergeCell ref="E304:E306"/>
    <mergeCell ref="F304:G304"/>
    <mergeCell ref="H304:I304"/>
    <mergeCell ref="J304:K304"/>
    <mergeCell ref="J266:K266"/>
    <mergeCell ref="B285:B287"/>
    <mergeCell ref="C285:C287"/>
    <mergeCell ref="D285:D287"/>
    <mergeCell ref="E285:E287"/>
    <mergeCell ref="F285:G285"/>
    <mergeCell ref="H285:I285"/>
    <mergeCell ref="J285:K285"/>
    <mergeCell ref="B266:B268"/>
    <mergeCell ref="C266:C268"/>
    <mergeCell ref="D266:D268"/>
    <mergeCell ref="E266:E268"/>
    <mergeCell ref="F266:G266"/>
    <mergeCell ref="H266:I266"/>
    <mergeCell ref="J228:K228"/>
    <mergeCell ref="L228:M228"/>
    <mergeCell ref="B247:B249"/>
    <mergeCell ref="C247:C249"/>
    <mergeCell ref="D247:D249"/>
    <mergeCell ref="E247:E249"/>
    <mergeCell ref="F247:G247"/>
    <mergeCell ref="H247:I247"/>
    <mergeCell ref="J247:K247"/>
    <mergeCell ref="L247:M247"/>
    <mergeCell ref="B228:B230"/>
    <mergeCell ref="C228:C230"/>
    <mergeCell ref="D228:D230"/>
    <mergeCell ref="E228:E230"/>
    <mergeCell ref="F228:G228"/>
    <mergeCell ref="H228:I228"/>
    <mergeCell ref="J207:K207"/>
    <mergeCell ref="B216:B217"/>
    <mergeCell ref="C216:C217"/>
    <mergeCell ref="D216:D217"/>
    <mergeCell ref="E216:E217"/>
    <mergeCell ref="F216:G216"/>
    <mergeCell ref="H216:I216"/>
    <mergeCell ref="J216:K216"/>
    <mergeCell ref="B207:B208"/>
    <mergeCell ref="C207:C208"/>
    <mergeCell ref="D207:D208"/>
    <mergeCell ref="E207:E208"/>
    <mergeCell ref="F207:G207"/>
    <mergeCell ref="H207:I207"/>
    <mergeCell ref="J189:K189"/>
    <mergeCell ref="L189:M189"/>
    <mergeCell ref="B198:B199"/>
    <mergeCell ref="C198:C199"/>
    <mergeCell ref="D198:D199"/>
    <mergeCell ref="E198:E199"/>
    <mergeCell ref="F198:G198"/>
    <mergeCell ref="H198:I198"/>
    <mergeCell ref="J198:K198"/>
    <mergeCell ref="B189:B190"/>
    <mergeCell ref="C189:C190"/>
    <mergeCell ref="D189:D190"/>
    <mergeCell ref="E189:E190"/>
    <mergeCell ref="F189:G189"/>
    <mergeCell ref="H189:I189"/>
    <mergeCell ref="J169:K169"/>
    <mergeCell ref="L169:M169"/>
    <mergeCell ref="B180:B181"/>
    <mergeCell ref="C180:C181"/>
    <mergeCell ref="D180:D181"/>
    <mergeCell ref="E180:E181"/>
    <mergeCell ref="F180:G180"/>
    <mergeCell ref="H180:I180"/>
    <mergeCell ref="J180:K180"/>
    <mergeCell ref="L180:M180"/>
    <mergeCell ref="B169:B171"/>
    <mergeCell ref="C169:C171"/>
    <mergeCell ref="D169:D171"/>
    <mergeCell ref="E169:E171"/>
    <mergeCell ref="F169:G169"/>
    <mergeCell ref="H169:I169"/>
    <mergeCell ref="J137:K137"/>
    <mergeCell ref="B152:B154"/>
    <mergeCell ref="C152:C154"/>
    <mergeCell ref="D152:D154"/>
    <mergeCell ref="E152:E154"/>
    <mergeCell ref="F152:G152"/>
    <mergeCell ref="H152:I152"/>
    <mergeCell ref="B137:B139"/>
    <mergeCell ref="C137:C139"/>
    <mergeCell ref="D137:D139"/>
    <mergeCell ref="E137:E139"/>
    <mergeCell ref="F137:G137"/>
    <mergeCell ref="H137:I137"/>
    <mergeCell ref="J107:K107"/>
    <mergeCell ref="B122:B124"/>
    <mergeCell ref="C122:C124"/>
    <mergeCell ref="D122:D124"/>
    <mergeCell ref="E122:E124"/>
    <mergeCell ref="F122:G122"/>
    <mergeCell ref="H122:I122"/>
    <mergeCell ref="B107:B109"/>
    <mergeCell ref="C107:C109"/>
    <mergeCell ref="D107:D109"/>
    <mergeCell ref="E107:E109"/>
    <mergeCell ref="F107:G107"/>
    <mergeCell ref="H107:I107"/>
    <mergeCell ref="B92:B94"/>
    <mergeCell ref="C92:C94"/>
    <mergeCell ref="D92:D94"/>
    <mergeCell ref="E92:E94"/>
    <mergeCell ref="F92:G92"/>
    <mergeCell ref="H92:I92"/>
    <mergeCell ref="J66:K66"/>
    <mergeCell ref="L66:M66"/>
    <mergeCell ref="B77:B79"/>
    <mergeCell ref="C77:C79"/>
    <mergeCell ref="D77:D79"/>
    <mergeCell ref="E77:E79"/>
    <mergeCell ref="F77:G77"/>
    <mergeCell ref="H77:I77"/>
    <mergeCell ref="J77:K77"/>
    <mergeCell ref="B66:B68"/>
    <mergeCell ref="C66:C68"/>
    <mergeCell ref="D66:D68"/>
    <mergeCell ref="E66:E68"/>
    <mergeCell ref="F66:G66"/>
    <mergeCell ref="H66:I66"/>
    <mergeCell ref="B49:B51"/>
    <mergeCell ref="C49:C51"/>
    <mergeCell ref="D49:D51"/>
    <mergeCell ref="E49:E51"/>
    <mergeCell ref="F49:G49"/>
    <mergeCell ref="H49:I49"/>
    <mergeCell ref="B34:B36"/>
    <mergeCell ref="C34:C36"/>
    <mergeCell ref="D34:D36"/>
    <mergeCell ref="E34:E36"/>
    <mergeCell ref="F34:G34"/>
    <mergeCell ref="H34:I34"/>
    <mergeCell ref="J4:K4"/>
    <mergeCell ref="B19:B21"/>
    <mergeCell ref="C19:C21"/>
    <mergeCell ref="D19:D21"/>
    <mergeCell ref="E19:E21"/>
    <mergeCell ref="F19:G19"/>
    <mergeCell ref="H19:I19"/>
    <mergeCell ref="B4:B6"/>
    <mergeCell ref="C4:C6"/>
    <mergeCell ref="D4:D6"/>
    <mergeCell ref="E4:E6"/>
    <mergeCell ref="F4:G4"/>
    <mergeCell ref="H4:I4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관부설 및 접합공사(상반기)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2020-02-19T06:17:41Z</cp:lastPrinted>
  <dcterms:created xsi:type="dcterms:W3CDTF">2020-02-14T01:58:29Z</dcterms:created>
  <dcterms:modified xsi:type="dcterms:W3CDTF">2026-01-01T07:58:54Z</dcterms:modified>
</cp:coreProperties>
</file>