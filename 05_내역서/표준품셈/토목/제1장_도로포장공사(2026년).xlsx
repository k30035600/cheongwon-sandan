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1BDC9477-8E70-4C0B-9AF8-012F4D2C93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도로포장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8" i="6" l="1"/>
  <c r="G999" i="6"/>
  <c r="G1608" i="6"/>
  <c r="G1607" i="6"/>
  <c r="G1606" i="6"/>
  <c r="G1592" i="6"/>
  <c r="G1589" i="6"/>
  <c r="G1590" i="6" s="1"/>
  <c r="G1579" i="6"/>
  <c r="G1578" i="6"/>
  <c r="G1575" i="6"/>
  <c r="G1574" i="6"/>
  <c r="G1573" i="6"/>
  <c r="G1572" i="6"/>
  <c r="G1569" i="6"/>
  <c r="G1570" i="6" s="1"/>
  <c r="G1559" i="6"/>
  <c r="G1558" i="6"/>
  <c r="G1546" i="6"/>
  <c r="G1545" i="6"/>
  <c r="G1533" i="6"/>
  <c r="G1534" i="6" s="1"/>
  <c r="G1530" i="6"/>
  <c r="G1529" i="6"/>
  <c r="G1528" i="6"/>
  <c r="G1527" i="6"/>
  <c r="G1523" i="6"/>
  <c r="G1513" i="6"/>
  <c r="G1514" i="6" s="1"/>
  <c r="I1509" i="6"/>
  <c r="I1508" i="6"/>
  <c r="I1504" i="6"/>
  <c r="K1495" i="6"/>
  <c r="K1496" i="6" s="1"/>
  <c r="K1486" i="6"/>
  <c r="I1474" i="6"/>
  <c r="I1472" i="6"/>
  <c r="K1455" i="6"/>
  <c r="K1454" i="6"/>
  <c r="I1441" i="6"/>
  <c r="I1442" i="6" s="1"/>
  <c r="I1438" i="6"/>
  <c r="I1437" i="6"/>
  <c r="G1432" i="6"/>
  <c r="K1423" i="6"/>
  <c r="K1424" i="6" s="1"/>
  <c r="G1420" i="6"/>
  <c r="G1418" i="6"/>
  <c r="G1414" i="6"/>
  <c r="G1405" i="6"/>
  <c r="G1406" i="6" s="1"/>
  <c r="I1402" i="6"/>
  <c r="I1401" i="6"/>
  <c r="G1387" i="6"/>
  <c r="G1388" i="6" s="1"/>
  <c r="K1383" i="6"/>
  <c r="I1367" i="6"/>
  <c r="G1363" i="6"/>
  <c r="I1362" i="6"/>
  <c r="G1355" i="6"/>
  <c r="G1346" i="6"/>
  <c r="G1345" i="6"/>
  <c r="I1342" i="6"/>
  <c r="G1339" i="6"/>
  <c r="G1335" i="6"/>
  <c r="I1334" i="6"/>
  <c r="G1325" i="6"/>
  <c r="K1321" i="6"/>
  <c r="K1319" i="6"/>
  <c r="G1314" i="6"/>
  <c r="K1303" i="6"/>
  <c r="M1299" i="6"/>
  <c r="K1298" i="6"/>
  <c r="M1298" i="6"/>
  <c r="M1297" i="6"/>
  <c r="M1294" i="6" s="1"/>
  <c r="G1293" i="6"/>
  <c r="I1283" i="6"/>
  <c r="I1284" i="6" s="1"/>
  <c r="G1279" i="6"/>
  <c r="M1278" i="6"/>
  <c r="M1274" i="6"/>
  <c r="I1254" i="6"/>
  <c r="K1245" i="6"/>
  <c r="K1246" i="6" s="1"/>
  <c r="K1240" i="6"/>
  <c r="K1236" i="6"/>
  <c r="K1223" i="6"/>
  <c r="G1207" i="6"/>
  <c r="G1206" i="6"/>
  <c r="G1187" i="6"/>
  <c r="G1186" i="6"/>
  <c r="G1182" i="6"/>
  <c r="G1171" i="6"/>
  <c r="G1172" i="6" s="1"/>
  <c r="I1168" i="6"/>
  <c r="I1167" i="6"/>
  <c r="G1147" i="6"/>
  <c r="I1146" i="6"/>
  <c r="I1141" i="6"/>
  <c r="I1130" i="6"/>
  <c r="I1126" i="6"/>
  <c r="G1123" i="6"/>
  <c r="I1119" i="6"/>
  <c r="M1109" i="6"/>
  <c r="M1110" i="6" s="1"/>
  <c r="K1106" i="6"/>
  <c r="G1105" i="6"/>
  <c r="M1104" i="6"/>
  <c r="G1087" i="6"/>
  <c r="I1086" i="6"/>
  <c r="I1082" i="6"/>
  <c r="G1080" i="6"/>
  <c r="G1079" i="6"/>
  <c r="I1078" i="6"/>
  <c r="I1074" i="6"/>
  <c r="G1072" i="6"/>
  <c r="M1061" i="6"/>
  <c r="M1062" i="6" s="1"/>
  <c r="I1057" i="6"/>
  <c r="G1056" i="6"/>
  <c r="I1041" i="6"/>
  <c r="I1034" i="6"/>
  <c r="I1033" i="6"/>
  <c r="I1030" i="6"/>
  <c r="I1018" i="6"/>
  <c r="I1019" i="6" s="1"/>
  <c r="G1015" i="6"/>
  <c r="K1014" i="6"/>
  <c r="G1009" i="6"/>
  <c r="K989" i="6"/>
  <c r="M988" i="6"/>
  <c r="M984" i="6"/>
  <c r="I983" i="6"/>
  <c r="I967" i="6"/>
  <c r="I963" i="6"/>
  <c r="G962" i="6"/>
  <c r="I961" i="6"/>
  <c r="I957" i="6"/>
  <c r="M946" i="6"/>
  <c r="M947" i="6" s="1"/>
  <c r="I943" i="6"/>
  <c r="K942" i="6"/>
  <c r="K941" i="6"/>
  <c r="M927" i="6"/>
  <c r="M928" i="6" s="1"/>
  <c r="I924" i="6"/>
  <c r="K923" i="6"/>
  <c r="M922" i="6"/>
  <c r="M919" i="6"/>
  <c r="M920" i="6" s="1"/>
  <c r="G908" i="6"/>
  <c r="G907" i="6"/>
  <c r="G895" i="6"/>
  <c r="G894" i="6"/>
  <c r="G882" i="6"/>
  <c r="G881" i="6"/>
  <c r="K869" i="6"/>
  <c r="G855" i="6"/>
  <c r="G854" i="6"/>
  <c r="I841" i="6"/>
  <c r="G829" i="6"/>
  <c r="G828" i="6"/>
  <c r="K824" i="6"/>
  <c r="K823" i="6"/>
  <c r="K820" i="6"/>
  <c r="K816" i="6"/>
  <c r="K814" i="6"/>
  <c r="I805" i="6"/>
  <c r="I806" i="6" s="1"/>
  <c r="I802" i="6"/>
  <c r="I801" i="6"/>
  <c r="G785" i="6"/>
  <c r="G786" i="6" s="1"/>
  <c r="G782" i="6"/>
  <c r="G781" i="6"/>
  <c r="G780" i="6"/>
  <c r="G776" i="6"/>
  <c r="G767" i="6"/>
  <c r="G766" i="6"/>
  <c r="G765" i="6"/>
  <c r="G764" i="6"/>
  <c r="G763" i="6"/>
  <c r="G760" i="6"/>
  <c r="G759" i="6"/>
  <c r="G758" i="6"/>
  <c r="G757" i="6"/>
  <c r="G756" i="6"/>
  <c r="G755" i="6"/>
  <c r="G754" i="6"/>
  <c r="G751" i="6"/>
  <c r="G750" i="6"/>
  <c r="G749" i="6"/>
  <c r="G748" i="6"/>
  <c r="G747" i="6"/>
  <c r="G738" i="6"/>
  <c r="G737" i="6"/>
  <c r="G736" i="6"/>
  <c r="G735" i="6"/>
  <c r="G732" i="6"/>
  <c r="G731" i="6"/>
  <c r="G730" i="6"/>
  <c r="G729" i="6"/>
  <c r="G728" i="6"/>
  <c r="G727" i="6"/>
  <c r="G724" i="6"/>
  <c r="G723" i="6"/>
  <c r="G722" i="6"/>
  <c r="G721" i="6"/>
  <c r="G712" i="6"/>
  <c r="G711" i="6"/>
  <c r="G708" i="6"/>
  <c r="G707" i="6"/>
  <c r="G706" i="6"/>
  <c r="G705" i="6"/>
  <c r="G704" i="6"/>
  <c r="G700" i="6"/>
  <c r="G699" i="6"/>
  <c r="G690" i="6"/>
  <c r="G689" i="6"/>
  <c r="G686" i="6"/>
  <c r="G685" i="6"/>
  <c r="G684" i="6"/>
  <c r="G683" i="6"/>
  <c r="G682" i="6"/>
  <c r="G678" i="6"/>
  <c r="G677" i="6"/>
  <c r="G666" i="6"/>
  <c r="G665" i="6"/>
  <c r="G662" i="6"/>
  <c r="G661" i="6"/>
  <c r="G660" i="6"/>
  <c r="G659" i="6"/>
  <c r="G658" i="6"/>
  <c r="G654" i="6"/>
  <c r="G653" i="6"/>
  <c r="G644" i="6"/>
  <c r="G643" i="6"/>
  <c r="G640" i="6"/>
  <c r="G639" i="6"/>
  <c r="G638" i="6"/>
  <c r="G637" i="6"/>
  <c r="G636" i="6"/>
  <c r="G632" i="6"/>
  <c r="G631" i="6"/>
  <c r="G619" i="6"/>
  <c r="G618" i="6"/>
  <c r="G609" i="6"/>
  <c r="G610" i="6" s="1"/>
  <c r="G606" i="6"/>
  <c r="G605" i="6"/>
  <c r="G604" i="6"/>
  <c r="G600" i="6"/>
  <c r="M589" i="6"/>
  <c r="G588" i="6"/>
  <c r="M587" i="6"/>
  <c r="M586" i="6"/>
  <c r="K582" i="6"/>
  <c r="G572" i="6"/>
  <c r="G570" i="6"/>
  <c r="K567" i="6"/>
  <c r="K566" i="6"/>
  <c r="K565" i="6"/>
  <c r="K563" i="6"/>
  <c r="K562" i="6"/>
  <c r="K559" i="6"/>
  <c r="I558" i="6"/>
  <c r="G557" i="6"/>
  <c r="K546" i="6"/>
  <c r="K545" i="6"/>
  <c r="K544" i="6"/>
  <c r="G541" i="6"/>
  <c r="G540" i="6"/>
  <c r="G539" i="6"/>
  <c r="G538" i="6"/>
  <c r="G537" i="6"/>
  <c r="G536" i="6"/>
  <c r="K533" i="6"/>
  <c r="K531" i="6"/>
  <c r="I520" i="6"/>
  <c r="I519" i="6"/>
  <c r="K507" i="6"/>
  <c r="K506" i="6"/>
  <c r="I485" i="6"/>
  <c r="I484" i="6"/>
  <c r="I480" i="6"/>
  <c r="G478" i="6"/>
  <c r="G466" i="6"/>
  <c r="I465" i="6"/>
  <c r="I464" i="6"/>
  <c r="G461" i="6"/>
  <c r="I457" i="6"/>
  <c r="I456" i="6"/>
  <c r="I453" i="6"/>
  <c r="I452" i="6"/>
  <c r="I438" i="6"/>
  <c r="I437" i="6"/>
  <c r="I433" i="6"/>
  <c r="G431" i="6"/>
  <c r="G430" i="6"/>
  <c r="I429" i="6"/>
  <c r="G426" i="6"/>
  <c r="I425" i="6"/>
  <c r="G423" i="6"/>
  <c r="G412" i="6"/>
  <c r="I411" i="6"/>
  <c r="I410" i="6"/>
  <c r="I406" i="6"/>
  <c r="G404" i="6"/>
  <c r="I403" i="6"/>
  <c r="I402" i="6"/>
  <c r="I400" i="6"/>
  <c r="I396" i="6"/>
  <c r="G395" i="6"/>
  <c r="I394" i="6"/>
  <c r="G383" i="6"/>
  <c r="G382" i="6"/>
  <c r="G381" i="6"/>
  <c r="G380" i="6"/>
  <c r="G379" i="6"/>
  <c r="G378" i="6"/>
  <c r="G375" i="6"/>
  <c r="G374" i="6"/>
  <c r="G373" i="6"/>
  <c r="G372" i="6"/>
  <c r="G371" i="6"/>
  <c r="G370" i="6"/>
  <c r="G369" i="6"/>
  <c r="G368" i="6"/>
  <c r="G365" i="6"/>
  <c r="G364" i="6"/>
  <c r="G363" i="6"/>
  <c r="G362" i="6"/>
  <c r="G361" i="6"/>
  <c r="G360" i="6"/>
  <c r="G351" i="6"/>
  <c r="G350" i="6"/>
  <c r="G349" i="6"/>
  <c r="G348" i="6"/>
  <c r="G345" i="6"/>
  <c r="G344" i="6"/>
  <c r="G343" i="6"/>
  <c r="G342" i="6"/>
  <c r="G341" i="6"/>
  <c r="G340" i="6"/>
  <c r="G337" i="6"/>
  <c r="G336" i="6"/>
  <c r="G335" i="6"/>
  <c r="G334" i="6"/>
  <c r="M325" i="6"/>
  <c r="M324" i="6"/>
  <c r="G323" i="6"/>
  <c r="M322" i="6"/>
  <c r="M321" i="6"/>
  <c r="M317" i="6"/>
  <c r="G316" i="6"/>
  <c r="K312" i="6"/>
  <c r="G309" i="6"/>
  <c r="M308" i="6"/>
  <c r="M306" i="6"/>
  <c r="G305" i="6"/>
  <c r="I293" i="6"/>
  <c r="I292" i="6"/>
  <c r="I290" i="6"/>
  <c r="I289" i="6"/>
  <c r="I286" i="6"/>
  <c r="I285" i="6"/>
  <c r="G284" i="6"/>
  <c r="I283" i="6"/>
  <c r="G282" i="6"/>
  <c r="I281" i="6"/>
  <c r="G280" i="6"/>
  <c r="I279" i="6"/>
  <c r="G275" i="6"/>
  <c r="I274" i="6"/>
  <c r="I273" i="6"/>
  <c r="G272" i="6"/>
  <c r="G271" i="6"/>
  <c r="G260" i="6"/>
  <c r="G259" i="6"/>
  <c r="G258" i="6"/>
  <c r="G257" i="6"/>
  <c r="G254" i="6"/>
  <c r="G253" i="6"/>
  <c r="G252" i="6"/>
  <c r="G251" i="6"/>
  <c r="G250" i="6"/>
  <c r="G249" i="6"/>
  <c r="G246" i="6"/>
  <c r="G245" i="6"/>
  <c r="G244" i="6"/>
  <c r="G243" i="6"/>
  <c r="I235" i="6"/>
  <c r="I234" i="6"/>
  <c r="I231" i="6"/>
  <c r="G230" i="6"/>
  <c r="I229" i="6"/>
  <c r="I226" i="6"/>
  <c r="I225" i="6"/>
  <c r="G215" i="6"/>
  <c r="G214" i="6"/>
  <c r="G213" i="6"/>
  <c r="G210" i="6"/>
  <c r="G209" i="6"/>
  <c r="G208" i="6"/>
  <c r="G207" i="6"/>
  <c r="G204" i="6"/>
  <c r="G203" i="6"/>
  <c r="G202" i="6"/>
  <c r="G193" i="6"/>
  <c r="G192" i="6"/>
  <c r="G191" i="6"/>
  <c r="G188" i="6"/>
  <c r="G187" i="6"/>
  <c r="G186" i="6"/>
  <c r="G185" i="6"/>
  <c r="G184" i="6"/>
  <c r="G181" i="6"/>
  <c r="G180" i="6"/>
  <c r="G179" i="6"/>
  <c r="G170" i="6"/>
  <c r="G169" i="6"/>
  <c r="G168" i="6"/>
  <c r="G165" i="6"/>
  <c r="G164" i="6"/>
  <c r="G163" i="6"/>
  <c r="G162" i="6"/>
  <c r="G161" i="6"/>
  <c r="G158" i="6"/>
  <c r="G157" i="6"/>
  <c r="G156" i="6"/>
  <c r="G146" i="6"/>
  <c r="G145" i="6"/>
  <c r="G144" i="6"/>
  <c r="G141" i="6"/>
  <c r="G140" i="6"/>
  <c r="G139" i="6"/>
  <c r="G138" i="6"/>
  <c r="G135" i="6"/>
  <c r="G134" i="6"/>
  <c r="G133" i="6"/>
  <c r="G124" i="6"/>
  <c r="G123" i="6"/>
  <c r="G122" i="6"/>
  <c r="G119" i="6"/>
  <c r="G118" i="6"/>
  <c r="G117" i="6"/>
  <c r="G116" i="6"/>
  <c r="G115" i="6"/>
  <c r="G112" i="6"/>
  <c r="G111" i="6"/>
  <c r="G110" i="6"/>
  <c r="G101" i="6"/>
  <c r="G100" i="6"/>
  <c r="G99" i="6"/>
  <c r="G96" i="6"/>
  <c r="G95" i="6"/>
  <c r="G94" i="6"/>
  <c r="G93" i="6"/>
  <c r="G92" i="6"/>
  <c r="G89" i="6"/>
  <c r="G88" i="6"/>
  <c r="G87" i="6"/>
  <c r="G77" i="6"/>
  <c r="G76" i="6"/>
  <c r="G75" i="6"/>
  <c r="G72" i="6"/>
  <c r="G71" i="6"/>
  <c r="G70" i="6"/>
  <c r="G69" i="6"/>
  <c r="G66" i="6"/>
  <c r="G65" i="6"/>
  <c r="G64" i="6"/>
  <c r="G55" i="6"/>
  <c r="G54" i="6"/>
  <c r="G53" i="6"/>
  <c r="G50" i="6"/>
  <c r="G49" i="6"/>
  <c r="G48" i="6"/>
  <c r="G47" i="6"/>
  <c r="G46" i="6"/>
  <c r="G43" i="6"/>
  <c r="G42" i="6"/>
  <c r="G41" i="6"/>
  <c r="G32" i="6"/>
  <c r="G31" i="6"/>
  <c r="G30" i="6"/>
  <c r="G27" i="6"/>
  <c r="G26" i="6"/>
  <c r="G25" i="6"/>
  <c r="G24" i="6"/>
  <c r="G23" i="6"/>
  <c r="G20" i="6"/>
  <c r="G19" i="6"/>
  <c r="G18" i="6"/>
  <c r="I8" i="6"/>
  <c r="G7" i="6"/>
  <c r="G1609" i="6" l="1"/>
  <c r="G1611" i="6" s="1"/>
  <c r="G247" i="6"/>
  <c r="G620" i="6"/>
  <c r="G622" i="6" s="1"/>
  <c r="G623" i="6" s="1"/>
  <c r="G292" i="6"/>
  <c r="I1298" i="6"/>
  <c r="I1186" i="6"/>
  <c r="I1513" i="6"/>
  <c r="I1514" i="6" s="1"/>
  <c r="G607" i="6"/>
  <c r="I236" i="6"/>
  <c r="G645" i="6"/>
  <c r="I1405" i="6"/>
  <c r="I1406" i="6" s="1"/>
  <c r="I824" i="6"/>
  <c r="M941" i="6"/>
  <c r="K557" i="6"/>
  <c r="G783" i="6"/>
  <c r="G533" i="6"/>
  <c r="I423" i="6"/>
  <c r="G824" i="6"/>
  <c r="G8" i="6"/>
  <c r="G9" i="6" s="1"/>
  <c r="G11" i="6" s="1"/>
  <c r="G12" i="6" s="1"/>
  <c r="I1245" i="6"/>
  <c r="I1246" i="6" s="1"/>
  <c r="I557" i="6"/>
  <c r="I404" i="6"/>
  <c r="I1104" i="6"/>
  <c r="I539" i="6"/>
  <c r="I586" i="6"/>
  <c r="I1080" i="6"/>
  <c r="G1034" i="6"/>
  <c r="G1278" i="6"/>
  <c r="G1275" i="6" s="1"/>
  <c r="I1278" i="6"/>
  <c r="I533" i="6"/>
  <c r="I271" i="6"/>
  <c r="I1589" i="6"/>
  <c r="I1590" i="6" s="1"/>
  <c r="I466" i="6"/>
  <c r="I1079" i="6"/>
  <c r="G394" i="6"/>
  <c r="K539" i="6"/>
  <c r="K586" i="6"/>
  <c r="G293" i="6"/>
  <c r="I321" i="6"/>
  <c r="I395" i="6"/>
  <c r="I869" i="6"/>
  <c r="I984" i="6"/>
  <c r="K1015" i="6"/>
  <c r="G869" i="6"/>
  <c r="I962" i="6"/>
  <c r="I1015" i="6"/>
  <c r="G1167" i="6"/>
  <c r="G1438" i="6"/>
  <c r="I1495" i="6"/>
  <c r="I1496" i="6" s="1"/>
  <c r="I478" i="6"/>
  <c r="G820" i="6"/>
  <c r="G437" i="6"/>
  <c r="K536" i="6"/>
  <c r="G558" i="6"/>
  <c r="I1072" i="6"/>
  <c r="G235" i="6"/>
  <c r="I426" i="6"/>
  <c r="G411" i="6"/>
  <c r="K519" i="6"/>
  <c r="K558" i="6"/>
  <c r="K560" i="6" s="1"/>
  <c r="I1109" i="6"/>
  <c r="I1110" i="6" s="1"/>
  <c r="G1240" i="6"/>
  <c r="G279" i="6"/>
  <c r="K541" i="6"/>
  <c r="I1087" i="6"/>
  <c r="K520" i="6"/>
  <c r="I823" i="6"/>
  <c r="K1297" i="6"/>
  <c r="K1294" i="6" s="1"/>
  <c r="I306" i="6"/>
  <c r="G325" i="6"/>
  <c r="G403" i="6"/>
  <c r="I412" i="6"/>
  <c r="I430" i="6"/>
  <c r="G465" i="6"/>
  <c r="I538" i="6"/>
  <c r="I559" i="6"/>
  <c r="G927" i="6"/>
  <c r="G928" i="6" s="1"/>
  <c r="I1056" i="6"/>
  <c r="I1053" i="6" s="1"/>
  <c r="I1335" i="6"/>
  <c r="I1355" i="6"/>
  <c r="G1402" i="6"/>
  <c r="I1432" i="6"/>
  <c r="I1455" i="6"/>
  <c r="G1000" i="6"/>
  <c r="G1002" i="6" s="1"/>
  <c r="G231" i="6"/>
  <c r="K309" i="6"/>
  <c r="I828" i="6"/>
  <c r="G922" i="6"/>
  <c r="I1187" i="6"/>
  <c r="I1299" i="6"/>
  <c r="G1342" i="6"/>
  <c r="G1362" i="6"/>
  <c r="I1592" i="6"/>
  <c r="K321" i="6"/>
  <c r="I536" i="6"/>
  <c r="G963" i="6"/>
  <c r="M1106" i="6"/>
  <c r="G1168" i="6"/>
  <c r="G1441" i="6"/>
  <c r="G1442" i="6" s="1"/>
  <c r="G1524" i="6"/>
  <c r="G1525" i="6" s="1"/>
  <c r="G346" i="6"/>
  <c r="M923" i="6"/>
  <c r="G1109" i="6"/>
  <c r="G1110" i="6" s="1"/>
  <c r="M1303" i="6"/>
  <c r="I1345" i="6"/>
  <c r="I1363" i="6"/>
  <c r="G1508" i="6"/>
  <c r="I541" i="6"/>
  <c r="G1041" i="6"/>
  <c r="I1171" i="6"/>
  <c r="I1172" i="6" s="1"/>
  <c r="G1274" i="6"/>
  <c r="G1334" i="6"/>
  <c r="G1454" i="6"/>
  <c r="G1486" i="6"/>
  <c r="K305" i="6"/>
  <c r="I1240" i="6"/>
  <c r="I1346" i="6"/>
  <c r="I1454" i="6"/>
  <c r="I1486" i="6"/>
  <c r="G1509" i="6"/>
  <c r="G559" i="6"/>
  <c r="G909" i="6"/>
  <c r="I280" i="6"/>
  <c r="I325" i="6"/>
  <c r="K538" i="6"/>
  <c r="G851" i="6"/>
  <c r="G852" i="6" s="1"/>
  <c r="G919" i="6"/>
  <c r="G920" i="6" s="1"/>
  <c r="K1056" i="6"/>
  <c r="G984" i="6"/>
  <c r="G283" i="6"/>
  <c r="I506" i="6"/>
  <c r="I540" i="6"/>
  <c r="G587" i="6"/>
  <c r="K828" i="6"/>
  <c r="I275" i="6"/>
  <c r="K540" i="6"/>
  <c r="I587" i="6"/>
  <c r="I820" i="6"/>
  <c r="I284" i="6"/>
  <c r="I322" i="6"/>
  <c r="K829" i="6"/>
  <c r="I305" i="6"/>
  <c r="I461" i="6"/>
  <c r="I537" i="6"/>
  <c r="M588" i="6"/>
  <c r="M590" i="6" s="1"/>
  <c r="K537" i="6"/>
  <c r="G1030" i="6"/>
  <c r="K1109" i="6"/>
  <c r="K1110" i="6" s="1"/>
  <c r="I1274" i="6"/>
  <c r="G1401" i="6"/>
  <c r="K1274" i="6"/>
  <c r="K325" i="6"/>
  <c r="I431" i="6"/>
  <c r="G586" i="6"/>
  <c r="G713" i="6"/>
  <c r="I919" i="6"/>
  <c r="I920" i="6" s="1"/>
  <c r="G90" i="6"/>
  <c r="G44" i="6"/>
  <c r="G136" i="6"/>
  <c r="M313" i="6"/>
  <c r="G313" i="6"/>
  <c r="I486" i="6"/>
  <c r="G486" i="6"/>
  <c r="G842" i="6"/>
  <c r="I842" i="6"/>
  <c r="I843" i="6" s="1"/>
  <c r="K868" i="6"/>
  <c r="K870" i="6" s="1"/>
  <c r="I868" i="6"/>
  <c r="G868" i="6"/>
  <c r="G1039" i="6"/>
  <c r="I1039" i="6"/>
  <c r="G1124" i="6"/>
  <c r="I1124" i="6"/>
  <c r="I1166" i="6"/>
  <c r="G1166" i="6"/>
  <c r="K1313" i="6"/>
  <c r="I1313" i="6"/>
  <c r="G1313" i="6"/>
  <c r="G51" i="6"/>
  <c r="G67" i="6"/>
  <c r="G120" i="6"/>
  <c r="I291" i="6"/>
  <c r="G291" i="6"/>
  <c r="M307" i="6"/>
  <c r="G307" i="6"/>
  <c r="G352" i="6"/>
  <c r="I434" i="6"/>
  <c r="G434" i="6"/>
  <c r="I439" i="6"/>
  <c r="G439" i="6"/>
  <c r="I458" i="6"/>
  <c r="G458" i="6"/>
  <c r="I521" i="6"/>
  <c r="G752" i="6"/>
  <c r="G761" i="6"/>
  <c r="G827" i="6"/>
  <c r="G830" i="6" s="1"/>
  <c r="K827" i="6"/>
  <c r="I827" i="6"/>
  <c r="G1131" i="6"/>
  <c r="I1131" i="6"/>
  <c r="I1132" i="6" s="1"/>
  <c r="G1191" i="6"/>
  <c r="I1191" i="6"/>
  <c r="G1347" i="6"/>
  <c r="K1378" i="6"/>
  <c r="I1378" i="6"/>
  <c r="G1378" i="6"/>
  <c r="G33" i="6"/>
  <c r="G102" i="6"/>
  <c r="G125" i="6"/>
  <c r="G276" i="6"/>
  <c r="I276" i="6"/>
  <c r="I492" i="6"/>
  <c r="G492" i="6"/>
  <c r="M592" i="6"/>
  <c r="M593" i="6" s="1"/>
  <c r="K592" i="6"/>
  <c r="K593" i="6" s="1"/>
  <c r="I592" i="6"/>
  <c r="I593" i="6" s="1"/>
  <c r="G592" i="6"/>
  <c r="G593" i="6" s="1"/>
  <c r="M977" i="6"/>
  <c r="I977" i="6"/>
  <c r="G977" i="6"/>
  <c r="I1260" i="6"/>
  <c r="G1260" i="6"/>
  <c r="G21" i="6"/>
  <c r="G78" i="6"/>
  <c r="G97" i="6"/>
  <c r="G113" i="6"/>
  <c r="G171" i="6"/>
  <c r="G182" i="6"/>
  <c r="M312" i="6"/>
  <c r="I312" i="6"/>
  <c r="G312" i="6"/>
  <c r="G315" i="6"/>
  <c r="K315" i="6"/>
  <c r="I315" i="6"/>
  <c r="G366" i="6"/>
  <c r="I490" i="6"/>
  <c r="G490" i="6"/>
  <c r="K532" i="6"/>
  <c r="K534" i="6" s="1"/>
  <c r="I532" i="6"/>
  <c r="G532" i="6"/>
  <c r="G542" i="6"/>
  <c r="G966" i="6"/>
  <c r="I966" i="6"/>
  <c r="I968" i="6" s="1"/>
  <c r="G1120" i="6"/>
  <c r="I1120" i="6"/>
  <c r="I1150" i="6"/>
  <c r="I1151" i="6" s="1"/>
  <c r="G1150" i="6"/>
  <c r="G1151" i="6" s="1"/>
  <c r="I1185" i="6"/>
  <c r="G1185" i="6"/>
  <c r="K1242" i="6"/>
  <c r="I1242" i="6"/>
  <c r="G1242" i="6"/>
  <c r="I1258" i="6"/>
  <c r="G1258" i="6"/>
  <c r="M1280" i="6"/>
  <c r="K1280" i="6"/>
  <c r="G194" i="6"/>
  <c r="G205" i="6"/>
  <c r="G211" i="6"/>
  <c r="I227" i="6"/>
  <c r="M316" i="6"/>
  <c r="I316" i="6"/>
  <c r="I450" i="6"/>
  <c r="G450" i="6"/>
  <c r="I460" i="6"/>
  <c r="G460" i="6"/>
  <c r="G739" i="6"/>
  <c r="G768" i="6"/>
  <c r="I796" i="6"/>
  <c r="G796" i="6"/>
  <c r="K822" i="6"/>
  <c r="I822" i="6"/>
  <c r="G822" i="6"/>
  <c r="M937" i="6"/>
  <c r="G937" i="6"/>
  <c r="G1100" i="6"/>
  <c r="K1100" i="6"/>
  <c r="I1100" i="6"/>
  <c r="I1127" i="6"/>
  <c r="G1127" i="6"/>
  <c r="G601" i="6"/>
  <c r="G602" i="6" s="1"/>
  <c r="M943" i="6"/>
  <c r="G943" i="6"/>
  <c r="G983" i="6"/>
  <c r="K983" i="6"/>
  <c r="G989" i="6"/>
  <c r="I989" i="6"/>
  <c r="M1057" i="6"/>
  <c r="G1057" i="6"/>
  <c r="G1053" i="6" s="1"/>
  <c r="K1314" i="6"/>
  <c r="I1314" i="6"/>
  <c r="I1356" i="6"/>
  <c r="G1356" i="6"/>
  <c r="I1366" i="6"/>
  <c r="I1368" i="6" s="1"/>
  <c r="G1366" i="6"/>
  <c r="K1419" i="6"/>
  <c r="I1419" i="6"/>
  <c r="K1456" i="6"/>
  <c r="K1457" i="6" s="1"/>
  <c r="I1456" i="6"/>
  <c r="G1456" i="6"/>
  <c r="I1468" i="6"/>
  <c r="G1468" i="6"/>
  <c r="I1593" i="6"/>
  <c r="G1593" i="6"/>
  <c r="G396" i="6"/>
  <c r="G400" i="6"/>
  <c r="G402" i="6"/>
  <c r="G410" i="6"/>
  <c r="G438" i="6"/>
  <c r="G453" i="6"/>
  <c r="G457" i="6"/>
  <c r="G464" i="6"/>
  <c r="G485" i="6"/>
  <c r="K503" i="6"/>
  <c r="K504" i="6" s="1"/>
  <c r="G507" i="6"/>
  <c r="G519" i="6"/>
  <c r="G520" i="6"/>
  <c r="G531" i="6"/>
  <c r="K589" i="6"/>
  <c r="G802" i="6"/>
  <c r="K821" i="6"/>
  <c r="K817" i="6" s="1"/>
  <c r="G821" i="6"/>
  <c r="M942" i="6"/>
  <c r="G942" i="6"/>
  <c r="G1035" i="6"/>
  <c r="I1035" i="6"/>
  <c r="G1088" i="6"/>
  <c r="I1088" i="6"/>
  <c r="I1121" i="6"/>
  <c r="K1218" i="6"/>
  <c r="I1218" i="6"/>
  <c r="K1241" i="6"/>
  <c r="K1237" i="6" s="1"/>
  <c r="K1238" i="6" s="1"/>
  <c r="G1241" i="6"/>
  <c r="G1237" i="6" s="1"/>
  <c r="M1283" i="6"/>
  <c r="M1284" i="6" s="1"/>
  <c r="K1283" i="6"/>
  <c r="K1284" i="6" s="1"/>
  <c r="M1292" i="6"/>
  <c r="I1292" i="6"/>
  <c r="M1304" i="6"/>
  <c r="I1304" i="6"/>
  <c r="G1304" i="6"/>
  <c r="I1341" i="6"/>
  <c r="G1341" i="6"/>
  <c r="G1419" i="6"/>
  <c r="G1421" i="6" s="1"/>
  <c r="K1459" i="6"/>
  <c r="K1460" i="6" s="1"/>
  <c r="I1459" i="6"/>
  <c r="I1460" i="6" s="1"/>
  <c r="G1474" i="6"/>
  <c r="I272" i="6"/>
  <c r="G306" i="6"/>
  <c r="I309" i="6"/>
  <c r="G321" i="6"/>
  <c r="G322" i="6"/>
  <c r="G376" i="6"/>
  <c r="G406" i="6"/>
  <c r="G433" i="6"/>
  <c r="G506" i="6"/>
  <c r="I507" i="6"/>
  <c r="I531" i="6"/>
  <c r="I821" i="6"/>
  <c r="G823" i="6"/>
  <c r="I829" i="6"/>
  <c r="G841" i="6"/>
  <c r="G878" i="6"/>
  <c r="G879" i="6" s="1"/>
  <c r="G904" i="6"/>
  <c r="G905" i="6" s="1"/>
  <c r="G924" i="6"/>
  <c r="K924" i="6"/>
  <c r="I927" i="6"/>
  <c r="I928" i="6" s="1"/>
  <c r="I942" i="6"/>
  <c r="G957" i="6"/>
  <c r="G967" i="6"/>
  <c r="M1009" i="6"/>
  <c r="I1009" i="6"/>
  <c r="M1018" i="6"/>
  <c r="M1019" i="6" s="1"/>
  <c r="G1018" i="6"/>
  <c r="G1019" i="6" s="1"/>
  <c r="G1104" i="6"/>
  <c r="G1119" i="6"/>
  <c r="I1123" i="6"/>
  <c r="G1130" i="6"/>
  <c r="G1141" i="6"/>
  <c r="I1147" i="6"/>
  <c r="I1182" i="6"/>
  <c r="G1203" i="6"/>
  <c r="G1204" i="6" s="1"/>
  <c r="G1218" i="6"/>
  <c r="I1241" i="6"/>
  <c r="G1245" i="6"/>
  <c r="G1246" i="6" s="1"/>
  <c r="G1254" i="6"/>
  <c r="M1279" i="6"/>
  <c r="M1275" i="6" s="1"/>
  <c r="M1276" i="6" s="1"/>
  <c r="G1283" i="6"/>
  <c r="G1284" i="6" s="1"/>
  <c r="G1292" i="6"/>
  <c r="K1304" i="6"/>
  <c r="K1305" i="6" s="1"/>
  <c r="I1361" i="6"/>
  <c r="G1361" i="6"/>
  <c r="G1367" i="6"/>
  <c r="K1418" i="6"/>
  <c r="I1418" i="6"/>
  <c r="K1420" i="6"/>
  <c r="I1420" i="6"/>
  <c r="G1459" i="6"/>
  <c r="G1460" i="6" s="1"/>
  <c r="G1472" i="6"/>
  <c r="I1597" i="6"/>
  <c r="I1598" i="6" s="1"/>
  <c r="G1597" i="6"/>
  <c r="G1598" i="6" s="1"/>
  <c r="G1298" i="6"/>
  <c r="G1299" i="6"/>
  <c r="I1339" i="6"/>
  <c r="G1437" i="6"/>
  <c r="G1455" i="6"/>
  <c r="G1495" i="6"/>
  <c r="G1496" i="6" s="1"/>
  <c r="G1504" i="6"/>
  <c r="G663" i="6"/>
  <c r="G655" i="6"/>
  <c r="G656" i="6" s="1"/>
  <c r="G28" i="6"/>
  <c r="G255" i="6"/>
  <c r="G261" i="6"/>
  <c r="G56" i="6"/>
  <c r="G73" i="6"/>
  <c r="G166" i="6"/>
  <c r="G216" i="6"/>
  <c r="G641" i="6"/>
  <c r="G633" i="6"/>
  <c r="G634" i="6" s="1"/>
  <c r="G142" i="6"/>
  <c r="G147" i="6"/>
  <c r="G159" i="6"/>
  <c r="G189" i="6"/>
  <c r="K547" i="6"/>
  <c r="I294" i="6"/>
  <c r="G294" i="6"/>
  <c r="G687" i="6"/>
  <c r="G679" i="6"/>
  <c r="G680" i="6" s="1"/>
  <c r="I800" i="6"/>
  <c r="G800" i="6"/>
  <c r="K825" i="6"/>
  <c r="I982" i="6"/>
  <c r="G982" i="6"/>
  <c r="M982" i="6"/>
  <c r="K1058" i="6"/>
  <c r="I1058" i="6"/>
  <c r="M1058" i="6"/>
  <c r="G1058" i="6"/>
  <c r="I1125" i="6"/>
  <c r="G1125" i="6"/>
  <c r="I1222" i="6"/>
  <c r="G1222" i="6"/>
  <c r="K1222" i="6"/>
  <c r="G1555" i="6"/>
  <c r="G1556" i="6" s="1"/>
  <c r="G1560" i="6"/>
  <c r="G226" i="6"/>
  <c r="G234" i="6"/>
  <c r="G274" i="6"/>
  <c r="G286" i="6"/>
  <c r="G290" i="6"/>
  <c r="I314" i="6"/>
  <c r="G314" i="6"/>
  <c r="I318" i="6"/>
  <c r="G318" i="6"/>
  <c r="K324" i="6"/>
  <c r="I432" i="6"/>
  <c r="G432" i="6"/>
  <c r="G452" i="6"/>
  <c r="G480" i="6"/>
  <c r="I564" i="6"/>
  <c r="G564" i="6"/>
  <c r="I815" i="6"/>
  <c r="G815" i="6"/>
  <c r="K982" i="6"/>
  <c r="I1029" i="6"/>
  <c r="I1031" i="6" s="1"/>
  <c r="G1029" i="6"/>
  <c r="I1077" i="6"/>
  <c r="G1077" i="6"/>
  <c r="I7" i="6"/>
  <c r="I9" i="6" s="1"/>
  <c r="I11" i="6" s="1"/>
  <c r="I12" i="6" s="1"/>
  <c r="G225" i="6"/>
  <c r="G229" i="6"/>
  <c r="I230" i="6"/>
  <c r="I232" i="6" s="1"/>
  <c r="G273" i="6"/>
  <c r="G281" i="6"/>
  <c r="I282" i="6"/>
  <c r="G285" i="6"/>
  <c r="G289" i="6"/>
  <c r="I308" i="6"/>
  <c r="G308" i="6"/>
  <c r="K313" i="6"/>
  <c r="I313" i="6"/>
  <c r="K314" i="6"/>
  <c r="K317" i="6"/>
  <c r="I317" i="6"/>
  <c r="K318" i="6"/>
  <c r="G338" i="6"/>
  <c r="G384" i="6"/>
  <c r="I393" i="6"/>
  <c r="G393" i="6"/>
  <c r="I405" i="6"/>
  <c r="G405" i="6"/>
  <c r="I409" i="6"/>
  <c r="G409" i="6"/>
  <c r="G429" i="6"/>
  <c r="G456" i="6"/>
  <c r="I491" i="6"/>
  <c r="G491" i="6"/>
  <c r="K508" i="6"/>
  <c r="I516" i="6"/>
  <c r="I517" i="6" s="1"/>
  <c r="K564" i="6"/>
  <c r="K568" i="6" s="1"/>
  <c r="K570" i="6"/>
  <c r="I570" i="6"/>
  <c r="K572" i="6"/>
  <c r="I572" i="6"/>
  <c r="I589" i="6"/>
  <c r="G589" i="6"/>
  <c r="G691" i="6"/>
  <c r="G725" i="6"/>
  <c r="G733" i="6"/>
  <c r="G801" i="6"/>
  <c r="K815" i="6"/>
  <c r="G961" i="6"/>
  <c r="I1014" i="6"/>
  <c r="G1014" i="6"/>
  <c r="M1014" i="6"/>
  <c r="I1052" i="6"/>
  <c r="G1052" i="6"/>
  <c r="M1052" i="6"/>
  <c r="I1073" i="6"/>
  <c r="G1073" i="6"/>
  <c r="I1089" i="6"/>
  <c r="G1089" i="6"/>
  <c r="I1181" i="6"/>
  <c r="G1181" i="6"/>
  <c r="G1183" i="6" s="1"/>
  <c r="K1492" i="6"/>
  <c r="I1492" i="6"/>
  <c r="G1492" i="6"/>
  <c r="I324" i="6"/>
  <c r="G324" i="6"/>
  <c r="I487" i="6"/>
  <c r="G487" i="6"/>
  <c r="K571" i="6"/>
  <c r="I571" i="6"/>
  <c r="K985" i="6"/>
  <c r="I985" i="6"/>
  <c r="M985" i="6"/>
  <c r="G985" i="6"/>
  <c r="I1081" i="6"/>
  <c r="G1081" i="6"/>
  <c r="K1227" i="6"/>
  <c r="K1228" i="6" s="1"/>
  <c r="I1227" i="6"/>
  <c r="I1228" i="6" s="1"/>
  <c r="G1227" i="6"/>
  <c r="G1228" i="6" s="1"/>
  <c r="I1318" i="6"/>
  <c r="G1318" i="6"/>
  <c r="K1318" i="6"/>
  <c r="I1510" i="6"/>
  <c r="I1511" i="6" s="1"/>
  <c r="G1510" i="6"/>
  <c r="K323" i="6"/>
  <c r="I323" i="6"/>
  <c r="I401" i="6"/>
  <c r="G401" i="6"/>
  <c r="G425" i="6"/>
  <c r="I459" i="6"/>
  <c r="G459" i="6"/>
  <c r="G484" i="6"/>
  <c r="I544" i="6"/>
  <c r="G544" i="6"/>
  <c r="I546" i="6"/>
  <c r="G546" i="6"/>
  <c r="I562" i="6"/>
  <c r="G562" i="6"/>
  <c r="I566" i="6"/>
  <c r="G566" i="6"/>
  <c r="G571" i="6"/>
  <c r="G573" i="6" s="1"/>
  <c r="I582" i="6"/>
  <c r="G582" i="6"/>
  <c r="K978" i="6"/>
  <c r="I978" i="6"/>
  <c r="M978" i="6"/>
  <c r="G978" i="6"/>
  <c r="K1013" i="6"/>
  <c r="I1013" i="6"/>
  <c r="M1013" i="6"/>
  <c r="G1013" i="6"/>
  <c r="K1105" i="6"/>
  <c r="I1105" i="6"/>
  <c r="M1105" i="6"/>
  <c r="M1101" i="6" s="1"/>
  <c r="I1384" i="6"/>
  <c r="G1384" i="6"/>
  <c r="K1384" i="6"/>
  <c r="I1505" i="6"/>
  <c r="I1506" i="6" s="1"/>
  <c r="K307" i="6"/>
  <c r="I307" i="6"/>
  <c r="K308" i="6"/>
  <c r="M314" i="6"/>
  <c r="G317" i="6"/>
  <c r="M318" i="6"/>
  <c r="M323" i="6"/>
  <c r="M326" i="6" s="1"/>
  <c r="I397" i="6"/>
  <c r="G397" i="6"/>
  <c r="I413" i="6"/>
  <c r="G413" i="6"/>
  <c r="I424" i="6"/>
  <c r="G424" i="6"/>
  <c r="I440" i="6"/>
  <c r="G440" i="6"/>
  <c r="I451" i="6"/>
  <c r="G451" i="6"/>
  <c r="I467" i="6"/>
  <c r="G467" i="6"/>
  <c r="I479" i="6"/>
  <c r="G479" i="6"/>
  <c r="G481" i="6" s="1"/>
  <c r="I483" i="6"/>
  <c r="G483" i="6"/>
  <c r="I545" i="6"/>
  <c r="G545" i="6"/>
  <c r="I563" i="6"/>
  <c r="G563" i="6"/>
  <c r="I565" i="6"/>
  <c r="G565" i="6"/>
  <c r="I567" i="6"/>
  <c r="G567" i="6"/>
  <c r="M582" i="6"/>
  <c r="K588" i="6"/>
  <c r="I588" i="6"/>
  <c r="G667" i="6"/>
  <c r="G709" i="6"/>
  <c r="G701" i="6"/>
  <c r="G702" i="6" s="1"/>
  <c r="G777" i="6"/>
  <c r="G778" i="6" s="1"/>
  <c r="G805" i="6"/>
  <c r="G806" i="6" s="1"/>
  <c r="I814" i="6"/>
  <c r="G814" i="6"/>
  <c r="I816" i="6"/>
  <c r="G816" i="6"/>
  <c r="G896" i="6"/>
  <c r="G891" i="6"/>
  <c r="G892" i="6" s="1"/>
  <c r="I1036" i="6"/>
  <c r="G1036" i="6"/>
  <c r="K1052" i="6"/>
  <c r="I1085" i="6"/>
  <c r="G1085" i="6"/>
  <c r="G1208" i="6"/>
  <c r="I1224" i="6"/>
  <c r="G1224" i="6"/>
  <c r="K1224" i="6"/>
  <c r="K1300" i="6"/>
  <c r="I1300" i="6"/>
  <c r="M1300" i="6"/>
  <c r="M1301" i="6" s="1"/>
  <c r="G1300" i="6"/>
  <c r="I1320" i="6"/>
  <c r="G1320" i="6"/>
  <c r="K1320" i="6"/>
  <c r="M305" i="6"/>
  <c r="K306" i="6"/>
  <c r="M309" i="6"/>
  <c r="M315" i="6"/>
  <c r="K316" i="6"/>
  <c r="K322" i="6"/>
  <c r="K587" i="6"/>
  <c r="I923" i="6"/>
  <c r="G923" i="6"/>
  <c r="I941" i="6"/>
  <c r="G941" i="6"/>
  <c r="K946" i="6"/>
  <c r="K947" i="6" s="1"/>
  <c r="I946" i="6"/>
  <c r="I947" i="6" s="1"/>
  <c r="I988" i="6"/>
  <c r="G988" i="6"/>
  <c r="I1040" i="6"/>
  <c r="G1040" i="6"/>
  <c r="I1061" i="6"/>
  <c r="I1062" i="6" s="1"/>
  <c r="G1061" i="6"/>
  <c r="G1062" i="6" s="1"/>
  <c r="I1145" i="6"/>
  <c r="G1145" i="6"/>
  <c r="I1162" i="6"/>
  <c r="G1162" i="6"/>
  <c r="I1192" i="6"/>
  <c r="G1192" i="6"/>
  <c r="K1324" i="6"/>
  <c r="I1324" i="6"/>
  <c r="G1324" i="6"/>
  <c r="G1326" i="6" s="1"/>
  <c r="I1382" i="6"/>
  <c r="G1382" i="6"/>
  <c r="K1382" i="6"/>
  <c r="G1547" i="6"/>
  <c r="G1542" i="6"/>
  <c r="G1543" i="6" s="1"/>
  <c r="G856" i="6"/>
  <c r="G883" i="6"/>
  <c r="K922" i="6"/>
  <c r="I922" i="6"/>
  <c r="K937" i="6"/>
  <c r="I937" i="6"/>
  <c r="K938" i="6"/>
  <c r="G946" i="6"/>
  <c r="G947" i="6" s="1"/>
  <c r="I956" i="6"/>
  <c r="I958" i="6" s="1"/>
  <c r="G956" i="6"/>
  <c r="I960" i="6"/>
  <c r="G960" i="6"/>
  <c r="K988" i="6"/>
  <c r="K990" i="6" s="1"/>
  <c r="G1033" i="6"/>
  <c r="K1061" i="6"/>
  <c r="K1062" i="6" s="1"/>
  <c r="G1074" i="6"/>
  <c r="G1078" i="6"/>
  <c r="G1082" i="6"/>
  <c r="G1086" i="6"/>
  <c r="I1106" i="6"/>
  <c r="G1106" i="6"/>
  <c r="G1126" i="6"/>
  <c r="K1293" i="6"/>
  <c r="I1293" i="6"/>
  <c r="M1293" i="6"/>
  <c r="K1490" i="6"/>
  <c r="I1490" i="6"/>
  <c r="G1490" i="6"/>
  <c r="K919" i="6"/>
  <c r="K920" i="6" s="1"/>
  <c r="M924" i="6"/>
  <c r="K927" i="6"/>
  <c r="K928" i="6" s="1"/>
  <c r="K943" i="6"/>
  <c r="K944" i="6" s="1"/>
  <c r="K977" i="6"/>
  <c r="M983" i="6"/>
  <c r="K984" i="6"/>
  <c r="M989" i="6"/>
  <c r="M990" i="6" s="1"/>
  <c r="K1009" i="6"/>
  <c r="M1015" i="6"/>
  <c r="K1018" i="6"/>
  <c r="K1019" i="6" s="1"/>
  <c r="M1056" i="6"/>
  <c r="K1057" i="6"/>
  <c r="M1100" i="6"/>
  <c r="K1104" i="6"/>
  <c r="I1188" i="6"/>
  <c r="G1188" i="6"/>
  <c r="I1280" i="6"/>
  <c r="G1280" i="6"/>
  <c r="I1303" i="6"/>
  <c r="G1303" i="6"/>
  <c r="I1319" i="6"/>
  <c r="G1319" i="6"/>
  <c r="I1321" i="6"/>
  <c r="G1321" i="6"/>
  <c r="I1400" i="6"/>
  <c r="G1400" i="6"/>
  <c r="I1450" i="6"/>
  <c r="G1450" i="6"/>
  <c r="K1450" i="6"/>
  <c r="I1473" i="6"/>
  <c r="I1475" i="6" s="1"/>
  <c r="G1473" i="6"/>
  <c r="I1477" i="6"/>
  <c r="I1478" i="6" s="1"/>
  <c r="G1477" i="6"/>
  <c r="G1478" i="6" s="1"/>
  <c r="I1594" i="6"/>
  <c r="G1594" i="6"/>
  <c r="G1146" i="6"/>
  <c r="I1223" i="6"/>
  <c r="G1223" i="6"/>
  <c r="I1236" i="6"/>
  <c r="G1236" i="6"/>
  <c r="I1259" i="6"/>
  <c r="G1259" i="6"/>
  <c r="I1263" i="6"/>
  <c r="I1264" i="6" s="1"/>
  <c r="G1263" i="6"/>
  <c r="G1264" i="6" s="1"/>
  <c r="K1279" i="6"/>
  <c r="I1279" i="6"/>
  <c r="I1297" i="6"/>
  <c r="G1297" i="6"/>
  <c r="K1325" i="6"/>
  <c r="I1325" i="6"/>
  <c r="I1340" i="6"/>
  <c r="G1340" i="6"/>
  <c r="K1278" i="6"/>
  <c r="K1292" i="6"/>
  <c r="K1299" i="6"/>
  <c r="I1383" i="6"/>
  <c r="G1383" i="6"/>
  <c r="I1396" i="6"/>
  <c r="G1396" i="6"/>
  <c r="I1423" i="6"/>
  <c r="I1424" i="6" s="1"/>
  <c r="G1423" i="6"/>
  <c r="G1424" i="6" s="1"/>
  <c r="I1436" i="6"/>
  <c r="G1436" i="6"/>
  <c r="K1451" i="6"/>
  <c r="K1491" i="6"/>
  <c r="I1491" i="6"/>
  <c r="G1531" i="6"/>
  <c r="G1576" i="6"/>
  <c r="G1580" i="6"/>
  <c r="I1360" i="6"/>
  <c r="G1360" i="6"/>
  <c r="K1387" i="6"/>
  <c r="K1388" i="6" s="1"/>
  <c r="I1387" i="6"/>
  <c r="I1388" i="6" s="1"/>
  <c r="K1414" i="6"/>
  <c r="I1414" i="6"/>
  <c r="G1491" i="6"/>
  <c r="I1237" i="6" l="1"/>
  <c r="I1183" i="6"/>
  <c r="G858" i="6"/>
  <c r="G859" i="6" s="1"/>
  <c r="I1451" i="6"/>
  <c r="I1347" i="6"/>
  <c r="G612" i="6"/>
  <c r="G613" i="6" s="1"/>
  <c r="I1059" i="6"/>
  <c r="G669" i="6"/>
  <c r="G670" i="6" s="1"/>
  <c r="M1305" i="6"/>
  <c r="G958" i="6"/>
  <c r="I1101" i="6"/>
  <c r="I1102" i="6" s="1"/>
  <c r="G843" i="6"/>
  <c r="G127" i="6"/>
  <c r="G128" i="6" s="1"/>
  <c r="G583" i="6"/>
  <c r="I435" i="6"/>
  <c r="M938" i="6"/>
  <c r="M939" i="6" s="1"/>
  <c r="G1457" i="6"/>
  <c r="I441" i="6"/>
  <c r="G1582" i="6"/>
  <c r="G1583" i="6" s="1"/>
  <c r="G1107" i="6"/>
  <c r="G1511" i="6"/>
  <c r="G1536" i="6"/>
  <c r="G1537" i="6" s="1"/>
  <c r="I277" i="6"/>
  <c r="G1121" i="6"/>
  <c r="G1243" i="6"/>
  <c r="I865" i="6"/>
  <c r="I866" i="6" s="1"/>
  <c r="G441" i="6"/>
  <c r="G1261" i="6"/>
  <c r="G788" i="6"/>
  <c r="G789" i="6" s="1"/>
  <c r="G1505" i="6"/>
  <c r="I560" i="6"/>
  <c r="I1255" i="6"/>
  <c r="I1256" i="6" s="1"/>
  <c r="I1266" i="6" s="1"/>
  <c r="I1267" i="6" s="1"/>
  <c r="G534" i="6"/>
  <c r="I817" i="6"/>
  <c r="I818" i="6" s="1"/>
  <c r="G817" i="6"/>
  <c r="G818" i="6" s="1"/>
  <c r="G1281" i="6"/>
  <c r="K865" i="6"/>
  <c r="K866" i="6" s="1"/>
  <c r="K872" i="6" s="1"/>
  <c r="K873" i="6" s="1"/>
  <c r="G560" i="6"/>
  <c r="G1451" i="6"/>
  <c r="G1452" i="6" s="1"/>
  <c r="M925" i="6"/>
  <c r="M930" i="6" s="1"/>
  <c r="M931" i="6" s="1"/>
  <c r="I590" i="6"/>
  <c r="I1042" i="6"/>
  <c r="K1415" i="6"/>
  <c r="K1416" i="6" s="1"/>
  <c r="G310" i="6"/>
  <c r="K818" i="6"/>
  <c r="I1075" i="6"/>
  <c r="I481" i="6"/>
  <c r="I542" i="6"/>
  <c r="G1075" i="6"/>
  <c r="I462" i="6"/>
  <c r="I990" i="6"/>
  <c r="I468" i="6"/>
  <c r="G263" i="6"/>
  <c r="G264" i="6" s="1"/>
  <c r="G1132" i="6"/>
  <c r="M944" i="6"/>
  <c r="K516" i="6"/>
  <c r="K517" i="6" s="1"/>
  <c r="G1163" i="6"/>
  <c r="G1164" i="6" s="1"/>
  <c r="I1090" i="6"/>
  <c r="G326" i="6"/>
  <c r="G1238" i="6"/>
  <c r="M1281" i="6"/>
  <c r="M1286" i="6" s="1"/>
  <c r="M1287" i="6" s="1"/>
  <c r="G1562" i="6"/>
  <c r="G1563" i="6" s="1"/>
  <c r="G1101" i="6"/>
  <c r="G1102" i="6" s="1"/>
  <c r="G1276" i="6"/>
  <c r="I1037" i="6"/>
  <c r="K510" i="6"/>
  <c r="K511" i="6" s="1"/>
  <c r="I508" i="6"/>
  <c r="I1275" i="6"/>
  <c r="I1276" i="6" s="1"/>
  <c r="I825" i="6"/>
  <c r="G468" i="6"/>
  <c r="I1305" i="6"/>
  <c r="G885" i="6"/>
  <c r="G886" i="6" s="1"/>
  <c r="G1210" i="6"/>
  <c r="G1211" i="6" s="1"/>
  <c r="G227" i="6"/>
  <c r="G35" i="6"/>
  <c r="G36" i="6" s="1"/>
  <c r="I1261" i="6"/>
  <c r="I523" i="6"/>
  <c r="I524" i="6" s="1"/>
  <c r="K326" i="6"/>
  <c r="I326" i="6"/>
  <c r="G1506" i="6"/>
  <c r="G80" i="6"/>
  <c r="G81" i="6" s="1"/>
  <c r="I1193" i="6"/>
  <c r="I493" i="6"/>
  <c r="G590" i="6"/>
  <c r="G1595" i="6"/>
  <c r="G1600" i="6" s="1"/>
  <c r="G1601" i="6" s="1"/>
  <c r="K310" i="6"/>
  <c r="K521" i="6"/>
  <c r="G435" i="6"/>
  <c r="G277" i="6"/>
  <c r="K830" i="6"/>
  <c r="I925" i="6"/>
  <c r="I930" i="6" s="1"/>
  <c r="I931" i="6" s="1"/>
  <c r="G1031" i="6"/>
  <c r="I407" i="6"/>
  <c r="G911" i="6"/>
  <c r="G912" i="6" s="1"/>
  <c r="I1343" i="6"/>
  <c r="I427" i="6"/>
  <c r="G493" i="6"/>
  <c r="M319" i="6"/>
  <c r="I238" i="6"/>
  <c r="K542" i="6"/>
  <c r="K549" i="6" s="1"/>
  <c r="K550" i="6" s="1"/>
  <c r="I1421" i="6"/>
  <c r="G825" i="6"/>
  <c r="G503" i="6"/>
  <c r="G504" i="6" s="1"/>
  <c r="I830" i="6"/>
  <c r="K1421" i="6"/>
  <c r="G236" i="6"/>
  <c r="M583" i="6"/>
  <c r="M584" i="6" s="1"/>
  <c r="M595" i="6" s="1"/>
  <c r="G104" i="6"/>
  <c r="G105" i="6" s="1"/>
  <c r="I1128" i="6"/>
  <c r="I1134" i="6" s="1"/>
  <c r="I1135" i="6" s="1"/>
  <c r="G1042" i="6"/>
  <c r="I310" i="6"/>
  <c r="I287" i="6"/>
  <c r="G1475" i="6"/>
  <c r="G319" i="6"/>
  <c r="G1189" i="6"/>
  <c r="I964" i="6"/>
  <c r="I970" i="6" s="1"/>
  <c r="I971" i="6" s="1"/>
  <c r="I319" i="6"/>
  <c r="I328" i="6" s="1"/>
  <c r="I329" i="6" s="1"/>
  <c r="I1243" i="6"/>
  <c r="K1301" i="6"/>
  <c r="I1457" i="6"/>
  <c r="I870" i="6"/>
  <c r="K319" i="6"/>
  <c r="G58" i="6"/>
  <c r="G59" i="6" s="1"/>
  <c r="I838" i="6"/>
  <c r="I839" i="6" s="1"/>
  <c r="I845" i="6" s="1"/>
  <c r="I846" i="6" s="1"/>
  <c r="K925" i="6"/>
  <c r="K930" i="6" s="1"/>
  <c r="K931" i="6" s="1"/>
  <c r="G427" i="6"/>
  <c r="G407" i="6"/>
  <c r="I1452" i="6"/>
  <c r="G990" i="6"/>
  <c r="I1189" i="6"/>
  <c r="G232" i="6"/>
  <c r="G1169" i="6"/>
  <c r="G925" i="6"/>
  <c r="G930" i="6" s="1"/>
  <c r="G931" i="6" s="1"/>
  <c r="G454" i="6"/>
  <c r="I503" i="6"/>
  <c r="I504" i="6" s="1"/>
  <c r="G770" i="6"/>
  <c r="G771" i="6" s="1"/>
  <c r="I295" i="6"/>
  <c r="I1336" i="6"/>
  <c r="I1337" i="6" s="1"/>
  <c r="G1054" i="6"/>
  <c r="I1238" i="6"/>
  <c r="G1305" i="6"/>
  <c r="I1281" i="6"/>
  <c r="K1059" i="6"/>
  <c r="M1295" i="6"/>
  <c r="G1037" i="6"/>
  <c r="G1193" i="6"/>
  <c r="G741" i="6"/>
  <c r="G742" i="6" s="1"/>
  <c r="G386" i="6"/>
  <c r="G387" i="6" s="1"/>
  <c r="G1059" i="6"/>
  <c r="G149" i="6"/>
  <c r="G150" i="6" s="1"/>
  <c r="G218" i="6"/>
  <c r="G219" i="6" s="1"/>
  <c r="G508" i="6"/>
  <c r="G1368" i="6"/>
  <c r="G968" i="6"/>
  <c r="G1415" i="6"/>
  <c r="G1416" i="6" s="1"/>
  <c r="G1426" i="6" s="1"/>
  <c r="G1427" i="6" s="1"/>
  <c r="G1469" i="6"/>
  <c r="G1470" i="6" s="1"/>
  <c r="I568" i="6"/>
  <c r="I547" i="6"/>
  <c r="G354" i="6"/>
  <c r="G355" i="6" s="1"/>
  <c r="G287" i="6"/>
  <c r="K1243" i="6"/>
  <c r="K1248" i="6" s="1"/>
  <c r="K1249" i="6" s="1"/>
  <c r="G196" i="6"/>
  <c r="G197" i="6" s="1"/>
  <c r="G838" i="6"/>
  <c r="G839" i="6" s="1"/>
  <c r="G870" i="6"/>
  <c r="G865" i="6"/>
  <c r="G866" i="6" s="1"/>
  <c r="G872" i="6" s="1"/>
  <c r="G873" i="6" s="1"/>
  <c r="I1595" i="6"/>
  <c r="I1600" i="6" s="1"/>
  <c r="I1601" i="6" s="1"/>
  <c r="I1516" i="6"/>
  <c r="I1517" i="6" s="1"/>
  <c r="I1415" i="6"/>
  <c r="I1416" i="6" s="1"/>
  <c r="K939" i="6"/>
  <c r="K949" i="6" s="1"/>
  <c r="K950" i="6" s="1"/>
  <c r="M310" i="6"/>
  <c r="G898" i="6"/>
  <c r="G899" i="6" s="1"/>
  <c r="I454" i="6"/>
  <c r="I1083" i="6"/>
  <c r="G1128" i="6"/>
  <c r="G693" i="6"/>
  <c r="G694" i="6" s="1"/>
  <c r="G173" i="6"/>
  <c r="G174" i="6" s="1"/>
  <c r="I534" i="6"/>
  <c r="G521" i="6"/>
  <c r="G516" i="6"/>
  <c r="G517" i="6" s="1"/>
  <c r="I1169" i="6"/>
  <c r="I1163" i="6"/>
  <c r="I1164" i="6" s="1"/>
  <c r="I1301" i="6"/>
  <c r="I1294" i="6"/>
  <c r="I1295" i="6" s="1"/>
  <c r="G1016" i="6"/>
  <c r="G1010" i="6"/>
  <c r="G1011" i="6" s="1"/>
  <c r="K1053" i="6"/>
  <c r="K1054" i="6" s="1"/>
  <c r="I803" i="6"/>
  <c r="I797" i="6"/>
  <c r="I798" i="6" s="1"/>
  <c r="K1295" i="6"/>
  <c r="I1403" i="6"/>
  <c r="I1397" i="6"/>
  <c r="I1398" i="6" s="1"/>
  <c r="M1053" i="6"/>
  <c r="M1054" i="6" s="1"/>
  <c r="M1059" i="6"/>
  <c r="I1326" i="6"/>
  <c r="G1364" i="6"/>
  <c r="G1357" i="6"/>
  <c r="G1358" i="6" s="1"/>
  <c r="K1275" i="6"/>
  <c r="K1276" i="6" s="1"/>
  <c r="K1281" i="6"/>
  <c r="G1336" i="6"/>
  <c r="G1337" i="6" s="1"/>
  <c r="G1343" i="6"/>
  <c r="K1107" i="6"/>
  <c r="K1101" i="6"/>
  <c r="K1102" i="6" s="1"/>
  <c r="I1487" i="6"/>
  <c r="I1488" i="6" s="1"/>
  <c r="I1493" i="6"/>
  <c r="G1379" i="6"/>
  <c r="G1380" i="6" s="1"/>
  <c r="G1385" i="6"/>
  <c r="K1326" i="6"/>
  <c r="I1148" i="6"/>
  <c r="I1142" i="6"/>
  <c r="I1143" i="6" s="1"/>
  <c r="K590" i="6"/>
  <c r="K583" i="6"/>
  <c r="K584" i="6" s="1"/>
  <c r="K595" i="6" s="1"/>
  <c r="G488" i="6"/>
  <c r="I1016" i="6"/>
  <c r="I1010" i="6"/>
  <c r="I1011" i="6" s="1"/>
  <c r="G584" i="6"/>
  <c r="G1315" i="6"/>
  <c r="G1316" i="6" s="1"/>
  <c r="G1322" i="6"/>
  <c r="M1107" i="6"/>
  <c r="G647" i="6"/>
  <c r="G648" i="6" s="1"/>
  <c r="I583" i="6"/>
  <c r="I584" i="6" s="1"/>
  <c r="I573" i="6"/>
  <c r="G462" i="6"/>
  <c r="G414" i="6"/>
  <c r="G398" i="6"/>
  <c r="I1044" i="6"/>
  <c r="I1045" i="6" s="1"/>
  <c r="K1225" i="6"/>
  <c r="K1219" i="6"/>
  <c r="K1220" i="6" s="1"/>
  <c r="G1397" i="6"/>
  <c r="G1398" i="6" s="1"/>
  <c r="G1403" i="6"/>
  <c r="G938" i="6"/>
  <c r="G939" i="6" s="1"/>
  <c r="G944" i="6"/>
  <c r="I1469" i="6"/>
  <c r="I1470" i="6" s="1"/>
  <c r="I1480" i="6" s="1"/>
  <c r="I1481" i="6" s="1"/>
  <c r="I1225" i="6"/>
  <c r="I1219" i="6"/>
  <c r="I1220" i="6" s="1"/>
  <c r="G979" i="6"/>
  <c r="G980" i="6" s="1"/>
  <c r="G986" i="6"/>
  <c r="K1452" i="6"/>
  <c r="K1462" i="6" s="1"/>
  <c r="K1463" i="6" s="1"/>
  <c r="G1487" i="6"/>
  <c r="G1488" i="6" s="1"/>
  <c r="G1493" i="6"/>
  <c r="G964" i="6"/>
  <c r="K1385" i="6"/>
  <c r="K1379" i="6"/>
  <c r="K1380" i="6" s="1"/>
  <c r="G1148" i="6"/>
  <c r="G1142" i="6"/>
  <c r="G1143" i="6" s="1"/>
  <c r="I938" i="6"/>
  <c r="I939" i="6" s="1"/>
  <c r="I944" i="6"/>
  <c r="G1090" i="6"/>
  <c r="G715" i="6"/>
  <c r="G716" i="6" s="1"/>
  <c r="M1010" i="6"/>
  <c r="M1011" i="6" s="1"/>
  <c r="M1016" i="6"/>
  <c r="K1322" i="6"/>
  <c r="K1315" i="6"/>
  <c r="K1316" i="6" s="1"/>
  <c r="I986" i="6"/>
  <c r="I979" i="6"/>
  <c r="I980" i="6" s="1"/>
  <c r="G1439" i="6"/>
  <c r="G1433" i="6"/>
  <c r="G1434" i="6" s="1"/>
  <c r="I1364" i="6"/>
  <c r="I1357" i="6"/>
  <c r="I1358" i="6" s="1"/>
  <c r="I1439" i="6"/>
  <c r="I1433" i="6"/>
  <c r="I1434" i="6" s="1"/>
  <c r="G1255" i="6"/>
  <c r="G1256" i="6" s="1"/>
  <c r="G1294" i="6"/>
  <c r="G1295" i="6" s="1"/>
  <c r="G1301" i="6"/>
  <c r="M1102" i="6"/>
  <c r="K1493" i="6"/>
  <c r="K1487" i="6"/>
  <c r="K1488" i="6" s="1"/>
  <c r="I1107" i="6"/>
  <c r="G1549" i="6"/>
  <c r="G1550" i="6" s="1"/>
  <c r="I1385" i="6"/>
  <c r="I1379" i="6"/>
  <c r="I1380" i="6" s="1"/>
  <c r="I488" i="6"/>
  <c r="K1010" i="6"/>
  <c r="K1011" i="6" s="1"/>
  <c r="K1016" i="6"/>
  <c r="G568" i="6"/>
  <c r="G547" i="6"/>
  <c r="I1322" i="6"/>
  <c r="I1315" i="6"/>
  <c r="I1316" i="6" s="1"/>
  <c r="I1054" i="6"/>
  <c r="K573" i="6"/>
  <c r="K575" i="6" s="1"/>
  <c r="K576" i="6" s="1"/>
  <c r="I414" i="6"/>
  <c r="I398" i="6"/>
  <c r="G295" i="6"/>
  <c r="G1083" i="6"/>
  <c r="K986" i="6"/>
  <c r="K979" i="6"/>
  <c r="K980" i="6" s="1"/>
  <c r="G1219" i="6"/>
  <c r="G1220" i="6" s="1"/>
  <c r="G1225" i="6"/>
  <c r="M979" i="6"/>
  <c r="M980" i="6" s="1"/>
  <c r="M986" i="6"/>
  <c r="G803" i="6"/>
  <c r="G797" i="6"/>
  <c r="G798" i="6" s="1"/>
  <c r="G1516" i="6" l="1"/>
  <c r="G1517" i="6" s="1"/>
  <c r="I1064" i="6"/>
  <c r="I1065" i="6" s="1"/>
  <c r="K1307" i="6"/>
  <c r="K1308" i="6" s="1"/>
  <c r="G845" i="6"/>
  <c r="G846" i="6" s="1"/>
  <c r="G1112" i="6"/>
  <c r="G1113" i="6" s="1"/>
  <c r="G1248" i="6"/>
  <c r="G1249" i="6" s="1"/>
  <c r="M1307" i="6"/>
  <c r="M1308" i="6" s="1"/>
  <c r="G1462" i="6"/>
  <c r="G1463" i="6" s="1"/>
  <c r="G1286" i="6"/>
  <c r="G1287" i="6" s="1"/>
  <c r="I595" i="6"/>
  <c r="I470" i="6"/>
  <c r="I471" i="6" s="1"/>
  <c r="I992" i="6"/>
  <c r="I993" i="6" s="1"/>
  <c r="M328" i="6"/>
  <c r="M329" i="6" s="1"/>
  <c r="K832" i="6"/>
  <c r="I510" i="6"/>
  <c r="I511" i="6" s="1"/>
  <c r="I443" i="6"/>
  <c r="I444" i="6" s="1"/>
  <c r="G970" i="6"/>
  <c r="G971" i="6" s="1"/>
  <c r="G575" i="6"/>
  <c r="G576" i="6" s="1"/>
  <c r="G1266" i="6"/>
  <c r="G1267" i="6" s="1"/>
  <c r="I832" i="6"/>
  <c r="M1064" i="6"/>
  <c r="M1065" i="6" s="1"/>
  <c r="G1480" i="6"/>
  <c r="G1481" i="6" s="1"/>
  <c r="M1112" i="6"/>
  <c r="M1113" i="6" s="1"/>
  <c r="I872" i="6"/>
  <c r="I873" i="6" s="1"/>
  <c r="G1134" i="6"/>
  <c r="G1135" i="6" s="1"/>
  <c r="I1462" i="6"/>
  <c r="I1463" i="6" s="1"/>
  <c r="K328" i="6"/>
  <c r="K329" i="6" s="1"/>
  <c r="G1021" i="6"/>
  <c r="G1022" i="6" s="1"/>
  <c r="K1390" i="6"/>
  <c r="K1391" i="6" s="1"/>
  <c r="I1349" i="6"/>
  <c r="I1350" i="6" s="1"/>
  <c r="G443" i="6"/>
  <c r="G444" i="6" s="1"/>
  <c r="G1195" i="6"/>
  <c r="G1196" i="6" s="1"/>
  <c r="G238" i="6"/>
  <c r="G549" i="6"/>
  <c r="G550" i="6" s="1"/>
  <c r="G328" i="6"/>
  <c r="G329" i="6" s="1"/>
  <c r="G523" i="6"/>
  <c r="G524" i="6" s="1"/>
  <c r="I1426" i="6"/>
  <c r="I1427" i="6" s="1"/>
  <c r="G1044" i="6"/>
  <c r="G1045" i="6" s="1"/>
  <c r="I1195" i="6"/>
  <c r="I1196" i="6" s="1"/>
  <c r="I297" i="6"/>
  <c r="I298" i="6" s="1"/>
  <c r="I1092" i="6"/>
  <c r="I1093" i="6" s="1"/>
  <c r="M949" i="6"/>
  <c r="M950" i="6" s="1"/>
  <c r="G297" i="6"/>
  <c r="G298" i="6" s="1"/>
  <c r="I1286" i="6"/>
  <c r="I1287" i="6" s="1"/>
  <c r="K523" i="6"/>
  <c r="K524" i="6" s="1"/>
  <c r="G832" i="6"/>
  <c r="G1408" i="6"/>
  <c r="G1409" i="6" s="1"/>
  <c r="I1444" i="6"/>
  <c r="I1445" i="6" s="1"/>
  <c r="G595" i="6"/>
  <c r="M992" i="6"/>
  <c r="M993" i="6" s="1"/>
  <c r="K1426" i="6"/>
  <c r="K1427" i="6" s="1"/>
  <c r="I1021" i="6"/>
  <c r="I1022" i="6" s="1"/>
  <c r="I1174" i="6"/>
  <c r="I1175" i="6" s="1"/>
  <c r="G1064" i="6"/>
  <c r="G1065" i="6" s="1"/>
  <c r="M1021" i="6"/>
  <c r="M1022" i="6" s="1"/>
  <c r="G1390" i="6"/>
  <c r="G1391" i="6" s="1"/>
  <c r="G510" i="6"/>
  <c r="G511" i="6" s="1"/>
  <c r="I1112" i="6"/>
  <c r="I1113" i="6" s="1"/>
  <c r="G1328" i="6"/>
  <c r="G1329" i="6" s="1"/>
  <c r="K1064" i="6"/>
  <c r="K1065" i="6" s="1"/>
  <c r="I495" i="6"/>
  <c r="I496" i="6" s="1"/>
  <c r="G1174" i="6"/>
  <c r="G1175" i="6" s="1"/>
  <c r="G1370" i="6"/>
  <c r="G1371" i="6" s="1"/>
  <c r="G1498" i="6"/>
  <c r="G1499" i="6" s="1"/>
  <c r="G495" i="6"/>
  <c r="G496" i="6" s="1"/>
  <c r="G470" i="6"/>
  <c r="G471" i="6" s="1"/>
  <c r="I1248" i="6"/>
  <c r="I1249" i="6" s="1"/>
  <c r="K992" i="6"/>
  <c r="K993" i="6" s="1"/>
  <c r="K1286" i="6"/>
  <c r="K1287" i="6" s="1"/>
  <c r="I575" i="6"/>
  <c r="I576" i="6" s="1"/>
  <c r="G808" i="6"/>
  <c r="G809" i="6" s="1"/>
  <c r="G1092" i="6"/>
  <c r="G1093" i="6" s="1"/>
  <c r="K1021" i="6"/>
  <c r="K1022" i="6" s="1"/>
  <c r="I1390" i="6"/>
  <c r="I1391" i="6" s="1"/>
  <c r="G1444" i="6"/>
  <c r="G1445" i="6" s="1"/>
  <c r="I549" i="6"/>
  <c r="I550" i="6" s="1"/>
  <c r="I949" i="6"/>
  <c r="I950" i="6" s="1"/>
  <c r="G992" i="6"/>
  <c r="G993" i="6" s="1"/>
  <c r="G949" i="6"/>
  <c r="G950" i="6" s="1"/>
  <c r="I1498" i="6"/>
  <c r="I1499" i="6" s="1"/>
  <c r="G1230" i="6"/>
  <c r="G1231" i="6" s="1"/>
  <c r="K1498" i="6"/>
  <c r="K1499" i="6" s="1"/>
  <c r="G1307" i="6"/>
  <c r="G1308" i="6" s="1"/>
  <c r="I1370" i="6"/>
  <c r="I1371" i="6" s="1"/>
  <c r="K1328" i="6"/>
  <c r="K1329" i="6" s="1"/>
  <c r="G1153" i="6"/>
  <c r="G1154" i="6" s="1"/>
  <c r="I1408" i="6"/>
  <c r="I1409" i="6" s="1"/>
  <c r="I1230" i="6"/>
  <c r="I1231" i="6" s="1"/>
  <c r="K1230" i="6"/>
  <c r="K1231" i="6" s="1"/>
  <c r="G416" i="6"/>
  <c r="G417" i="6" s="1"/>
  <c r="K1112" i="6"/>
  <c r="K1113" i="6" s="1"/>
  <c r="G1349" i="6"/>
  <c r="G1350" i="6" s="1"/>
  <c r="I808" i="6"/>
  <c r="I809" i="6" s="1"/>
  <c r="I1307" i="6"/>
  <c r="I1308" i="6" s="1"/>
  <c r="I416" i="6"/>
  <c r="I417" i="6" s="1"/>
  <c r="I1328" i="6"/>
  <c r="I1329" i="6" s="1"/>
  <c r="I1153" i="6"/>
  <c r="I1154" i="6" s="1"/>
</calcChain>
</file>

<file path=xl/sharedStrings.xml><?xml version="1.0" encoding="utf-8"?>
<sst xmlns="http://schemas.openxmlformats.org/spreadsheetml/2006/main" count="3230" uniqueCount="298">
  <si>
    <t>공기압축기</t>
  </si>
  <si>
    <t>10.3㎥/min</t>
  </si>
  <si>
    <t>17.0㎥/min</t>
  </si>
  <si>
    <t>포장공</t>
  </si>
  <si>
    <t>대형브레이커</t>
  </si>
  <si>
    <t>1.0㎥</t>
  </si>
  <si>
    <t>2.7㎥/min</t>
  </si>
  <si>
    <t>모터그레이더</t>
  </si>
  <si>
    <t>보통인부</t>
  </si>
  <si>
    <t>비계공</t>
  </si>
  <si>
    <t>착암공</t>
  </si>
  <si>
    <t>트럭탑재형크레인</t>
  </si>
  <si>
    <t>철공</t>
  </si>
  <si>
    <t>철근공</t>
  </si>
  <si>
    <t>로더(타이어)</t>
  </si>
  <si>
    <t>머캐덤롤러</t>
  </si>
  <si>
    <t>3m</t>
  </si>
  <si>
    <t>0.2㎥</t>
  </si>
  <si>
    <t>진동롤러</t>
  </si>
  <si>
    <t>16,000ℓ</t>
  </si>
  <si>
    <t>라인마커</t>
  </si>
  <si>
    <t>10㎞/hr</t>
  </si>
  <si>
    <t>텐덤롤러</t>
  </si>
  <si>
    <t>0.6㎥</t>
  </si>
  <si>
    <t>아스팔트피니셔</t>
  </si>
  <si>
    <t>1.7m</t>
  </si>
  <si>
    <t>타이어롤러</t>
  </si>
  <si>
    <t>5~8ton</t>
  </si>
  <si>
    <t>콘크리트피니셔</t>
  </si>
  <si>
    <t>12ton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</si>
  <si>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</si>
  <si>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</si>
  <si>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</si>
  <si>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</si>
  <si>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</si>
  <si>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</si>
  <si>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공구손료</t>
    <phoneticPr fontId="5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</si>
  <si>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</si>
  <si>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</si>
  <si>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</si>
  <si>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</si>
  <si>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인력품의 3%</t>
    <phoneticPr fontId="3" type="noConversion"/>
  </si>
  <si>
    <t>합   계</t>
    <phoneticPr fontId="3" type="noConversion"/>
  </si>
  <si>
    <t>5ton</t>
  </si>
  <si>
    <t>hr</t>
    <phoneticPr fontId="3" type="noConversion"/>
  </si>
  <si>
    <t>식</t>
    <phoneticPr fontId="3" type="noConversion"/>
  </si>
  <si>
    <t>규격</t>
    <phoneticPr fontId="5" type="noConversion"/>
  </si>
  <si>
    <t>10ton</t>
  </si>
  <si>
    <t>hr</t>
  </si>
  <si>
    <t>플레이트콤팩터</t>
  </si>
  <si>
    <t>1.5ton</t>
  </si>
  <si>
    <t>3,800ℓ</t>
    <phoneticPr fontId="3" type="noConversion"/>
  </si>
  <si>
    <t>5,500ℓ</t>
  </si>
  <si>
    <t>특별인부</t>
  </si>
  <si>
    <t>트럭</t>
  </si>
  <si>
    <t>2.5ton</t>
  </si>
  <si>
    <t>제 1 장 도로포장공사</t>
    <phoneticPr fontId="3" type="noConversion"/>
  </si>
  <si>
    <t>1-1 공통사항</t>
  </si>
  <si>
    <t>(일당)</t>
    <phoneticPr fontId="3" type="noConversion"/>
  </si>
  <si>
    <t>1-2-1 인력식 소규모장비 포설</t>
  </si>
  <si>
    <t>1-2 동상방지층</t>
    <phoneticPr fontId="3" type="noConversion"/>
  </si>
  <si>
    <t>살수차</t>
  </si>
  <si>
    <t>1-2-2 기계포설(길어깨)</t>
  </si>
  <si>
    <t>3.6m</t>
  </si>
  <si>
    <t>진동롤러(자주식)</t>
    <phoneticPr fontId="3" type="noConversion"/>
  </si>
  <si>
    <t>0.7ton</t>
    <phoneticPr fontId="3" type="noConversion"/>
  </si>
  <si>
    <t>진동롤러(핸드가이드식)</t>
    <phoneticPr fontId="3" type="noConversion"/>
  </si>
  <si>
    <t>1-3 보조기층</t>
    <phoneticPr fontId="3" type="noConversion"/>
  </si>
  <si>
    <t>1-3-1 인력식 소규모장비 포설</t>
  </si>
  <si>
    <t>1-3-2 기계포설(길어깨)</t>
  </si>
  <si>
    <t>1-4 입도조정기층</t>
    <phoneticPr fontId="3" type="noConversion"/>
  </si>
  <si>
    <t>1-4-1 인력식 소규모장비 포설</t>
  </si>
  <si>
    <t>1-4-2 기계포설(길어깨)</t>
  </si>
  <si>
    <t>1-5 아스콘 포장</t>
    <phoneticPr fontId="3" type="noConversion"/>
  </si>
  <si>
    <t>인력식(시공량:8,000㎡)</t>
    <phoneticPr fontId="3" type="noConversion"/>
  </si>
  <si>
    <t>기계식(시공량:20,000㎡)</t>
    <phoneticPr fontId="3" type="noConversion"/>
  </si>
  <si>
    <t>400ℓ</t>
    <phoneticPr fontId="3" type="noConversion"/>
  </si>
  <si>
    <t>아스팔트스프레어(수동식살포기)</t>
    <phoneticPr fontId="3" type="noConversion"/>
  </si>
  <si>
    <t>아스팔트디스트리뷰터(폭 2.4m)</t>
    <phoneticPr fontId="3" type="noConversion"/>
  </si>
  <si>
    <t>1-5-1 텍코팅 및 프라임 코팅 살포</t>
  </si>
  <si>
    <t>2m≤시공폭&lt;3m</t>
    <phoneticPr fontId="3" type="noConversion"/>
  </si>
  <si>
    <t>3m≤시공폭</t>
    <phoneticPr fontId="3" type="noConversion"/>
  </si>
  <si>
    <t>10-12ton</t>
  </si>
  <si>
    <t>8-15ton</t>
  </si>
  <si>
    <t>탠덤롤러</t>
  </si>
  <si>
    <t>5~8ton</t>
    <phoneticPr fontId="3" type="noConversion"/>
  </si>
  <si>
    <t>8~15ton</t>
    <phoneticPr fontId="3" type="noConversion"/>
  </si>
  <si>
    <t>10~12ton</t>
    <phoneticPr fontId="3" type="noConversion"/>
  </si>
  <si>
    <t>보통인부</t>
    <phoneticPr fontId="3" type="noConversion"/>
  </si>
  <si>
    <t>0.57㎥</t>
  </si>
  <si>
    <t>8-10ton</t>
  </si>
  <si>
    <t>3.0m</t>
  </si>
  <si>
    <t>1-6 콘크리트 포장</t>
    <phoneticPr fontId="3" type="noConversion"/>
  </si>
  <si>
    <t>1-6-1 린 콘크리트 기층 포설</t>
  </si>
  <si>
    <t>콘크리트페이버</t>
  </si>
  <si>
    <t>커터</t>
  </si>
  <si>
    <t>320~400㎜</t>
  </si>
  <si>
    <t>인력품의 5%</t>
    <phoneticPr fontId="3" type="noConversion"/>
  </si>
  <si>
    <t>믹서</t>
  </si>
  <si>
    <t>인력품의 2%</t>
    <phoneticPr fontId="3" type="noConversion"/>
  </si>
  <si>
    <t>문형식+표지판(8㎡이하 2개)</t>
    <phoneticPr fontId="3" type="noConversion"/>
  </si>
  <si>
    <t>편지식+표지판(12㎡이하 1개)</t>
    <phoneticPr fontId="3" type="noConversion"/>
  </si>
  <si>
    <t>복주식+표지판(8㎡이하 1개)</t>
    <phoneticPr fontId="3" type="noConversion"/>
  </si>
  <si>
    <t>5ton(복주식)</t>
  </si>
  <si>
    <t>25ton(편지식)</t>
  </si>
  <si>
    <t>50ton(문형식)</t>
  </si>
  <si>
    <t>도로반사경+지주(1면)</t>
    <phoneticPr fontId="3" type="noConversion"/>
  </si>
  <si>
    <t>도로반사경+지주(2면)</t>
    <phoneticPr fontId="3" type="noConversion"/>
  </si>
  <si>
    <t>흙속매설용</t>
    <phoneticPr fontId="3" type="noConversion"/>
  </si>
  <si>
    <t>가드레일용</t>
    <phoneticPr fontId="3" type="noConversion"/>
  </si>
  <si>
    <t>옹벽용</t>
    <phoneticPr fontId="3" type="noConversion"/>
  </si>
  <si>
    <t>1. 차선 밑그림</t>
  </si>
  <si>
    <t>2. 수용성형 페인트 수동식</t>
  </si>
  <si>
    <t>4.5ton</t>
  </si>
  <si>
    <t>3. 수용성형 페인트 기계식</t>
  </si>
  <si>
    <t>인력품의 10%</t>
    <phoneticPr fontId="3" type="noConversion"/>
  </si>
  <si>
    <t>4. 융착식 도료 수동식</t>
  </si>
  <si>
    <t>1. 지주 설치</t>
  </si>
  <si>
    <t>2. 판 설치</t>
    <phoneticPr fontId="3" type="noConversion"/>
  </si>
  <si>
    <t>지주간격 2m</t>
    <phoneticPr fontId="3" type="noConversion"/>
  </si>
  <si>
    <t>지주간격 4m</t>
    <phoneticPr fontId="3" type="noConversion"/>
  </si>
  <si>
    <t>크롤러드릴(공기식)</t>
  </si>
  <si>
    <t>105.9㎾</t>
  </si>
  <si>
    <t>1. 앵커볼트 설치</t>
  </si>
  <si>
    <t>2. 지주설치</t>
  </si>
  <si>
    <t>지주높이 3m 이하</t>
    <phoneticPr fontId="3" type="noConversion"/>
  </si>
  <si>
    <t>지주높이 7m 이하</t>
    <phoneticPr fontId="3" type="noConversion"/>
  </si>
  <si>
    <t>지주높이 9m 이하</t>
    <phoneticPr fontId="3" type="noConversion"/>
  </si>
  <si>
    <t>지주높이 11m 이하</t>
    <phoneticPr fontId="3" type="noConversion"/>
  </si>
  <si>
    <t>지주높이 5m 이하</t>
    <phoneticPr fontId="3" type="noConversion"/>
  </si>
  <si>
    <t>3. 방음판 설치</t>
  </si>
  <si>
    <t>용접공</t>
  </si>
  <si>
    <t>1. 지주설치</t>
  </si>
  <si>
    <t>2. 와이어 설치</t>
  </si>
  <si>
    <t>3. 철망설치</t>
    <phoneticPr fontId="3" type="noConversion"/>
  </si>
  <si>
    <t>1. 기초 착암</t>
  </si>
  <si>
    <t>소형브레이커</t>
  </si>
  <si>
    <t>50ton</t>
  </si>
  <si>
    <t>2. 철망 설치 및 와이어로프</t>
  </si>
  <si>
    <t>포장공</t>
    <phoneticPr fontId="5" type="noConversion"/>
  </si>
  <si>
    <t>인</t>
    <phoneticPr fontId="5" type="noConversion"/>
  </si>
  <si>
    <t>1-1-2 유도선 설치 및 해체</t>
    <phoneticPr fontId="5" type="noConversion"/>
  </si>
  <si>
    <t>구분</t>
    <phoneticPr fontId="3" type="noConversion"/>
  </si>
  <si>
    <t>포설공</t>
    <phoneticPr fontId="3" type="noConversion"/>
  </si>
  <si>
    <t>1-2-3 기계포설(본선)</t>
  </si>
  <si>
    <t>1-3-3 기계포설(본선)</t>
  </si>
  <si>
    <t>1-4-3 기계포설(본선)</t>
  </si>
  <si>
    <t>1-5-2 아스팔트 기층 소규모포설</t>
  </si>
  <si>
    <t>1-5-3 아스팔트 기층 기계포설(소형장비)</t>
  </si>
  <si>
    <t>1층 포설두께</t>
    <phoneticPr fontId="3" type="noConversion"/>
  </si>
  <si>
    <t>1-5-4 아스팔트 기층 기계포설(대형장비)</t>
  </si>
  <si>
    <t>1-5-5 아스팔트 표층 소규모포설</t>
    <phoneticPr fontId="3" type="noConversion"/>
  </si>
  <si>
    <t>1-5-6 아스팔트 표층 기계포설(소형장비)</t>
  </si>
  <si>
    <t>1-5-7 아스팔트 표층 기계포설(대형장비)</t>
  </si>
  <si>
    <t>1-6-2 표층 인력포설</t>
  </si>
  <si>
    <t>A-Type (콘크리트 믹서트럭으로 직접 타설하는 경우)</t>
    <phoneticPr fontId="3" type="noConversion"/>
  </si>
  <si>
    <t>B-Type (콘크리트 믹서트럭 후진 진입 또는 경운기 등으로 운반하여 타설하는 경우)</t>
    <phoneticPr fontId="3" type="noConversion"/>
  </si>
  <si>
    <t>1-6-3 콘크리트 표층 기계포설(소형장비)</t>
  </si>
  <si>
    <t>161㎾</t>
    <phoneticPr fontId="3" type="noConversion"/>
  </si>
  <si>
    <t>소형장비(콘크리트 페이버)를 사용한 콘크리트포장의 표층 포설</t>
    <phoneticPr fontId="3" type="noConversion"/>
  </si>
  <si>
    <t>1-6-4 콘크리트 표층 기계포설(대형장비)</t>
  </si>
  <si>
    <t>대형장비(콘크리트 페이버)를 사용한 콘크리트포장의 표층 포설</t>
    <phoneticPr fontId="3" type="noConversion"/>
  </si>
  <si>
    <t>크레인(타이어)</t>
  </si>
  <si>
    <t>300㎾</t>
    <phoneticPr fontId="3" type="noConversion"/>
  </si>
  <si>
    <t>1-6-5 기계포설 장비조립 및 해체</t>
  </si>
  <si>
    <t>기계설비공</t>
    <phoneticPr fontId="3" type="noConversion"/>
  </si>
  <si>
    <t>100ton</t>
    <phoneticPr fontId="3" type="noConversion"/>
  </si>
  <si>
    <t>외부 반출/반입</t>
    <phoneticPr fontId="3" type="noConversion"/>
  </si>
  <si>
    <t>작업구간 이동</t>
    <phoneticPr fontId="3" type="noConversion"/>
  </si>
  <si>
    <t>(회당)</t>
    <phoneticPr fontId="3" type="noConversion"/>
  </si>
  <si>
    <t>조립 (소요일수 3일)</t>
    <phoneticPr fontId="3" type="noConversion"/>
  </si>
  <si>
    <t>해체 (소요일수 2일)</t>
    <phoneticPr fontId="3" type="noConversion"/>
  </si>
  <si>
    <t>조립 (소요일수 2일)</t>
    <phoneticPr fontId="3" type="noConversion"/>
  </si>
  <si>
    <t>해체 (소요일수 1일)</t>
    <phoneticPr fontId="3" type="noConversion"/>
  </si>
  <si>
    <t>1-6-6 포장줄눈 절단</t>
  </si>
  <si>
    <t>1-6-7 포장줄눈 설치</t>
  </si>
  <si>
    <t>1-7 저속도로포장</t>
    <phoneticPr fontId="3" type="noConversion"/>
  </si>
  <si>
    <t>1-8 교통시설공</t>
    <phoneticPr fontId="3" type="noConversion"/>
  </si>
  <si>
    <t>1-8-1 교통 안전표지판 설치</t>
    <phoneticPr fontId="3" type="noConversion"/>
  </si>
  <si>
    <t>1-8-2 도로 표지판 설치</t>
    <phoneticPr fontId="3" type="noConversion"/>
  </si>
  <si>
    <t>1-8-3 도로반사경 설치</t>
    <phoneticPr fontId="3" type="noConversion"/>
  </si>
  <si>
    <t>1-8-4 도로표지병 설치</t>
    <phoneticPr fontId="3" type="noConversion"/>
  </si>
  <si>
    <t>1-8-5 시선유도표지 설치</t>
    <phoneticPr fontId="3" type="noConversion"/>
  </si>
  <si>
    <t>1-8-6 볼라드 설치</t>
    <phoneticPr fontId="3" type="noConversion"/>
  </si>
  <si>
    <t>1-8-7 주차 블록 설치</t>
    <phoneticPr fontId="3" type="noConversion"/>
  </si>
  <si>
    <t>1-8-8 차선규제봉 설치</t>
    <phoneticPr fontId="3" type="noConversion"/>
  </si>
  <si>
    <t>1-8-9 차선도색</t>
    <phoneticPr fontId="3" type="noConversion"/>
  </si>
  <si>
    <t>1-8-10 가드레일 설치</t>
    <phoneticPr fontId="3" type="noConversion"/>
  </si>
  <si>
    <t>1-8-11 중앙분리대 설치(가드레일식)</t>
    <phoneticPr fontId="3" type="noConversion"/>
  </si>
  <si>
    <t>1-8-12 중앙분리대 설치(콘크리트포설식)</t>
    <phoneticPr fontId="3" type="noConversion"/>
  </si>
  <si>
    <t>1-8-14 표시못 설치</t>
    <phoneticPr fontId="3" type="noConversion"/>
  </si>
  <si>
    <t>1-8-15 L형측구 설치(포설식)</t>
    <phoneticPr fontId="3" type="noConversion"/>
  </si>
  <si>
    <t>A-Type</t>
    <phoneticPr fontId="5" type="noConversion"/>
  </si>
  <si>
    <t>B-Type</t>
    <phoneticPr fontId="5" type="noConversion"/>
  </si>
  <si>
    <t>(공원, 단지·택지조성공사의 보도 등 장비이동 및 적재가 용이한 구간)</t>
    <phoneticPr fontId="5" type="noConversion"/>
  </si>
  <si>
    <t>(차도인접, 주택가 보도 등 장비이동 및 적재 공간이 협소한 구간)</t>
    <phoneticPr fontId="5" type="noConversion"/>
  </si>
  <si>
    <t>1-9 부대공</t>
    <phoneticPr fontId="3" type="noConversion"/>
  </si>
  <si>
    <t>1-9-1 방음벽 설치</t>
    <phoneticPr fontId="3" type="noConversion"/>
  </si>
  <si>
    <t>고소작업차</t>
    <phoneticPr fontId="3" type="noConversion"/>
  </si>
  <si>
    <t>3ton</t>
    <phoneticPr fontId="3" type="noConversion"/>
  </si>
  <si>
    <t>1-9-2 보차도 및 도로경계블록 설치</t>
  </si>
  <si>
    <t>A-Type 직선구간</t>
    <phoneticPr fontId="3" type="noConversion"/>
  </si>
  <si>
    <t>B-Type 직선구간</t>
    <phoneticPr fontId="3" type="noConversion"/>
  </si>
  <si>
    <t>A-Type 곡선구간</t>
    <phoneticPr fontId="3" type="noConversion"/>
  </si>
  <si>
    <t>B-Type 곡선구간</t>
    <phoneticPr fontId="3" type="noConversion"/>
  </si>
  <si>
    <t>500㎜미만 (시공량 70m)</t>
    <phoneticPr fontId="3" type="noConversion"/>
  </si>
  <si>
    <t>500㎜이상 (시공량 40m)</t>
    <phoneticPr fontId="3" type="noConversion"/>
  </si>
  <si>
    <t>1-9-3 낙석방지책 설치</t>
    <phoneticPr fontId="3" type="noConversion"/>
  </si>
  <si>
    <t>1-9-4 낙석방지망 설치</t>
  </si>
  <si>
    <t>[참고자료] 낙석방지망 재료량</t>
    <phoneticPr fontId="3" type="noConversion"/>
  </si>
  <si>
    <t>(㎡당)</t>
    <phoneticPr fontId="3" type="noConversion"/>
  </si>
  <si>
    <t>수량</t>
    <phoneticPr fontId="3" type="noConversion"/>
  </si>
  <si>
    <t>금액</t>
    <phoneticPr fontId="3" type="noConversion"/>
  </si>
  <si>
    <t>철망</t>
    <phoneticPr fontId="3" type="noConversion"/>
  </si>
  <si>
    <t>결속선</t>
    <phoneticPr fontId="3" type="noConversion"/>
  </si>
  <si>
    <t>에폭시</t>
    <phoneticPr fontId="3" type="noConversion"/>
  </si>
  <si>
    <t>㎡</t>
  </si>
  <si>
    <t>m</t>
    <phoneticPr fontId="3" type="noConversion"/>
  </si>
  <si>
    <t>㎏</t>
    <phoneticPr fontId="3" type="noConversion"/>
  </si>
  <si>
    <t>포켓식의 경우에만 계상</t>
    <phoneticPr fontId="3" type="noConversion"/>
  </si>
  <si>
    <t>m당 단가</t>
    <phoneticPr fontId="3" type="noConversion"/>
  </si>
  <si>
    <t>시공량(m)</t>
    <phoneticPr fontId="3" type="noConversion"/>
  </si>
  <si>
    <t>설치간격 10m이하</t>
    <phoneticPr fontId="3" type="noConversion"/>
  </si>
  <si>
    <t>설치간격 6m이하</t>
    <phoneticPr fontId="3" type="noConversion"/>
  </si>
  <si>
    <t>시공량(㎥)</t>
    <phoneticPr fontId="3" type="noConversion"/>
  </si>
  <si>
    <t>㎥당 단가</t>
    <phoneticPr fontId="3" type="noConversion"/>
  </si>
  <si>
    <t>5~7㎝</t>
    <phoneticPr fontId="3" type="noConversion"/>
  </si>
  <si>
    <t>8~10㎝</t>
    <phoneticPr fontId="3" type="noConversion"/>
  </si>
  <si>
    <t>1층포설두께(5~7㎝)</t>
    <phoneticPr fontId="3" type="noConversion"/>
  </si>
  <si>
    <t>1층포설두께(8~10㎝)</t>
    <phoneticPr fontId="3" type="noConversion"/>
  </si>
  <si>
    <t>시공량(㎡)</t>
    <phoneticPr fontId="3" type="noConversion"/>
  </si>
  <si>
    <t>㎡당 단가</t>
    <phoneticPr fontId="3" type="noConversion"/>
  </si>
  <si>
    <t>2m≤시공폭＜3m</t>
    <phoneticPr fontId="3" type="noConversion"/>
  </si>
  <si>
    <t>일반포장</t>
    <phoneticPr fontId="3" type="noConversion"/>
  </si>
  <si>
    <t>터널포장</t>
    <phoneticPr fontId="3" type="noConversion"/>
  </si>
  <si>
    <t>20㎝</t>
    <phoneticPr fontId="3" type="noConversion"/>
  </si>
  <si>
    <t>30㎝</t>
    <phoneticPr fontId="3" type="noConversion"/>
  </si>
  <si>
    <t>40㎝</t>
    <phoneticPr fontId="3" type="noConversion"/>
  </si>
  <si>
    <t>공항포장</t>
    <phoneticPr fontId="3" type="noConversion"/>
  </si>
  <si>
    <t>시공량(개소)</t>
    <phoneticPr fontId="3" type="noConversion"/>
  </si>
  <si>
    <t>지주</t>
    <phoneticPr fontId="3" type="noConversion"/>
  </si>
  <si>
    <t>표지판</t>
    <phoneticPr fontId="3" type="noConversion"/>
  </si>
  <si>
    <t>개소당 단가</t>
    <phoneticPr fontId="3" type="noConversion"/>
  </si>
  <si>
    <t>시공량(본)</t>
    <phoneticPr fontId="3" type="noConversion"/>
  </si>
  <si>
    <t>본당 단가</t>
    <phoneticPr fontId="3" type="noConversion"/>
  </si>
  <si>
    <t>실선</t>
    <phoneticPr fontId="3" type="noConversion"/>
  </si>
  <si>
    <t>파선</t>
    <phoneticPr fontId="3" type="noConversion"/>
  </si>
  <si>
    <t>횡단보도, 주차장</t>
    <phoneticPr fontId="3" type="noConversion"/>
  </si>
  <si>
    <t>문자, 기호</t>
    <phoneticPr fontId="3" type="noConversion"/>
  </si>
  <si>
    <t>2W</t>
    <phoneticPr fontId="3" type="noConversion"/>
  </si>
  <si>
    <t>3W</t>
    <phoneticPr fontId="3" type="noConversion"/>
  </si>
  <si>
    <t>높이 0.81m</t>
    <phoneticPr fontId="3" type="noConversion"/>
  </si>
  <si>
    <t>높이 1.27m</t>
    <phoneticPr fontId="3" type="noConversion"/>
  </si>
  <si>
    <t>H=0.5m이하</t>
    <phoneticPr fontId="5" type="noConversion"/>
  </si>
  <si>
    <t>H=1.2m</t>
    <phoneticPr fontId="5" type="noConversion"/>
  </si>
  <si>
    <t>개당 단가</t>
    <phoneticPr fontId="3" type="noConversion"/>
  </si>
  <si>
    <t>시공량(개)</t>
    <phoneticPr fontId="3" type="noConversion"/>
  </si>
  <si>
    <t>지주간격 3m</t>
    <phoneticPr fontId="3" type="noConversion"/>
  </si>
  <si>
    <t>방음벽 개당 면적 1㎡이하</t>
    <phoneticPr fontId="3" type="noConversion"/>
  </si>
  <si>
    <t>방음벽 개당 면적 2㎡이하</t>
    <phoneticPr fontId="3" type="noConversion"/>
  </si>
  <si>
    <t>방음벽 개당 면적 3㎡이하</t>
    <phoneticPr fontId="3" type="noConversion"/>
  </si>
  <si>
    <t>방음벽 개당 면적 4㎡이하</t>
    <phoneticPr fontId="3" type="noConversion"/>
  </si>
  <si>
    <t>300㎜미만</t>
    <phoneticPr fontId="3" type="noConversion"/>
  </si>
  <si>
    <t>350㎜미만</t>
    <phoneticPr fontId="3" type="noConversion"/>
  </si>
  <si>
    <t>400㎜미만</t>
    <phoneticPr fontId="3" type="noConversion"/>
  </si>
  <si>
    <t>500㎜미만</t>
    <phoneticPr fontId="3" type="noConversion"/>
  </si>
  <si>
    <t>500㎜이상</t>
    <phoneticPr fontId="3" type="noConversion"/>
  </si>
  <si>
    <t>기계식</t>
    <phoneticPr fontId="3" type="noConversion"/>
  </si>
  <si>
    <t>인력식</t>
    <phoneticPr fontId="3" type="noConversion"/>
  </si>
  <si>
    <t>크레인(타이어)</t>
    <phoneticPr fontId="3" type="noConversion"/>
  </si>
  <si>
    <t>0.4㎥</t>
    <phoneticPr fontId="3" type="noConversion"/>
  </si>
  <si>
    <t>1-7-1 보도용 블록 설치(소형)</t>
  </si>
  <si>
    <t>1-7-2 보도용 블록 설치(대형)</t>
    <phoneticPr fontId="3" type="noConversion"/>
  </si>
  <si>
    <t>1-7-3 투수아스팔트 표층 소규모포설</t>
    <phoneticPr fontId="3" type="noConversion"/>
  </si>
  <si>
    <t>1-7-4 투수아스팔트 표층 기계포설(소형장비)</t>
    <phoneticPr fontId="3" type="noConversion"/>
  </si>
  <si>
    <t>1-7-5 탄성포장재 포설</t>
    <phoneticPr fontId="3" type="noConversion"/>
  </si>
  <si>
    <t>A-Type</t>
    <phoneticPr fontId="3" type="noConversion"/>
  </si>
  <si>
    <t>B-Type</t>
    <phoneticPr fontId="3" type="noConversion"/>
  </si>
  <si>
    <t>일반도로 및 인도내에 표시못 위치가</t>
    <phoneticPr fontId="3" type="noConversion"/>
  </si>
  <si>
    <t>밀집되어 있는 구간</t>
    <phoneticPr fontId="3" type="noConversion"/>
  </si>
  <si>
    <t>골목길 또는 주택가에 소화전 또는 수도관로 표시를</t>
    <phoneticPr fontId="3" type="noConversion"/>
  </si>
  <si>
    <t>위해 표시못 위치가 산재되어 있는 구간</t>
    <phoneticPr fontId="3" type="noConversion"/>
  </si>
  <si>
    <t>인력품의 %</t>
    <phoneticPr fontId="3" type="noConversion"/>
  </si>
  <si>
    <t>콘크리트피니셔</t>
    <phoneticPr fontId="3" type="noConversion"/>
  </si>
  <si>
    <t>105.9㎾</t>
    <phoneticPr fontId="3" type="noConversion"/>
  </si>
  <si>
    <t>0.2㎥</t>
    <phoneticPr fontId="3" type="noConversion"/>
  </si>
  <si>
    <t>1-5-8 쇄석 매스틱 아스팔트(SMA) 표층 포설</t>
  </si>
  <si>
    <t>1-5-9 배수성·저소음 아스팔트 표층 포설</t>
  </si>
  <si>
    <t>5. 상온경화형 플라스틱 도료 구동식</t>
  </si>
  <si>
    <t>1-8-13 유색포장(미끄럼방지)</t>
  </si>
  <si>
    <t>도장공</t>
    <phoneticPr fontId="3" type="noConversion"/>
  </si>
  <si>
    <t>굴착기(무한궤도)</t>
  </si>
  <si>
    <t>굴착기</t>
  </si>
  <si>
    <t>(10㎡당)</t>
    <phoneticPr fontId="3" type="noConversion"/>
  </si>
  <si>
    <t>페인트 재료량 및 유리알 살포량은 별도 계상하고, 기타 자재의 수량은 다음을 참고</t>
    <phoneticPr fontId="3" type="noConversion"/>
  </si>
  <si>
    <t>※ 위 재료량은 할증이 포함되어 있다.</t>
    <phoneticPr fontId="3" type="noConversion"/>
  </si>
  <si>
    <t>프라이머</t>
  </si>
  <si>
    <t>프로판가스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</si>
</sst>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76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180" fontId="9" fillId="0" borderId="6" xfId="1" applyNumberFormat="1" applyFont="1" applyFill="1" applyBorder="1" applyAlignment="1">
      <alignment horizontal="center" vertical="center"/>
    </xf>
    <xf numFmtId="0" fontId="14" fillId="0" borderId="0" xfId="6" applyFont="1" applyAlignment="1">
      <alignment vertical="center"/>
    </xf>
    <xf numFmtId="181" fontId="9" fillId="0" borderId="6" xfId="7" applyNumberFormat="1" applyFont="1" applyFill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8" fillId="0" borderId="0" xfId="6" applyFont="1" applyAlignment="1">
      <alignment horizontal="centerContinuous" vertical="center"/>
    </xf>
    <xf numFmtId="41" fontId="18" fillId="0" borderId="0" xfId="7" applyFont="1" applyFill="1" applyBorder="1" applyAlignment="1">
      <alignment vertical="center"/>
    </xf>
    <xf numFmtId="0" fontId="14" fillId="0" borderId="0" xfId="0" applyFont="1">
      <alignment vertical="center"/>
    </xf>
    <xf numFmtId="41" fontId="20" fillId="0" borderId="5" xfId="5" applyFont="1" applyFill="1" applyBorder="1" applyAlignment="1">
      <alignment vertical="center"/>
    </xf>
    <xf numFmtId="41" fontId="20" fillId="0" borderId="6" xfId="5" applyFont="1" applyFill="1" applyBorder="1" applyAlignment="1">
      <alignment vertical="center"/>
    </xf>
    <xf numFmtId="41" fontId="19" fillId="0" borderId="5" xfId="7" applyFont="1" applyFill="1" applyBorder="1" applyAlignment="1">
      <alignment vertical="center"/>
    </xf>
    <xf numFmtId="41" fontId="19" fillId="0" borderId="6" xfId="7" applyFont="1" applyFill="1" applyBorder="1" applyAlignment="1">
      <alignment vertical="center"/>
    </xf>
    <xf numFmtId="0" fontId="9" fillId="0" borderId="0" xfId="0" applyFont="1">
      <alignment vertical="center"/>
    </xf>
    <xf numFmtId="183" fontId="10" fillId="0" borderId="5" xfId="8" applyNumberFormat="1" applyFont="1" applyFill="1" applyBorder="1" applyAlignment="1">
      <alignment vertical="center"/>
    </xf>
    <xf numFmtId="41" fontId="19" fillId="0" borderId="6" xfId="8" applyFont="1" applyFill="1" applyBorder="1" applyAlignment="1">
      <alignment vertical="center"/>
    </xf>
    <xf numFmtId="41" fontId="9" fillId="0" borderId="5" xfId="8" applyFont="1" applyFill="1" applyBorder="1" applyAlignment="1">
      <alignment vertical="center"/>
    </xf>
    <xf numFmtId="185" fontId="23" fillId="0" borderId="0" xfId="4" applyNumberFormat="1" applyFont="1" applyAlignment="1">
      <alignment vertical="center"/>
    </xf>
    <xf numFmtId="0" fontId="6" fillId="0" borderId="0" xfId="0" applyFont="1" applyAlignment="1"/>
    <xf numFmtId="41" fontId="10" fillId="0" borderId="5" xfId="1" applyFont="1" applyFill="1" applyBorder="1" applyAlignment="1">
      <alignment vertical="center"/>
    </xf>
    <xf numFmtId="41" fontId="10" fillId="0" borderId="5" xfId="8" applyFont="1" applyFill="1" applyBorder="1" applyAlignment="1">
      <alignment vertical="center"/>
    </xf>
    <xf numFmtId="41" fontId="10" fillId="0" borderId="6" xfId="7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3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/>
    </xf>
    <xf numFmtId="3" fontId="12" fillId="0" borderId="2" xfId="3" applyNumberFormat="1" applyFont="1" applyBorder="1" applyAlignment="1">
      <alignment horizontal="center" vertical="center" shrinkToFit="1"/>
    </xf>
    <xf numFmtId="3" fontId="12" fillId="0" borderId="12" xfId="3" applyNumberFormat="1" applyFont="1" applyBorder="1" applyAlignment="1">
      <alignment horizontal="center" vertical="center" shrinkToFit="1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41" fontId="11" fillId="0" borderId="5" xfId="2" applyNumberFormat="1" applyFont="1" applyBorder="1" applyAlignment="1">
      <alignment vertical="center"/>
    </xf>
    <xf numFmtId="41" fontId="12" fillId="0" borderId="5" xfId="1" applyFont="1" applyFill="1" applyBorder="1" applyAlignment="1">
      <alignment vertical="center"/>
    </xf>
    <xf numFmtId="0" fontId="19" fillId="0" borderId="4" xfId="3" applyFont="1" applyBorder="1" applyAlignment="1">
      <alignment vertical="center"/>
    </xf>
    <xf numFmtId="0" fontId="21" fillId="0" borderId="5" xfId="3" applyFont="1" applyBorder="1" applyAlignment="1">
      <alignment vertical="center" shrinkToFit="1"/>
    </xf>
    <xf numFmtId="0" fontId="21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10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vertical="center" shrinkToFit="1"/>
    </xf>
    <xf numFmtId="0" fontId="9" fillId="0" borderId="9" xfId="3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 shrinkToFit="1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9" fillId="0" borderId="10" xfId="6" applyFont="1" applyBorder="1" applyAlignment="1">
      <alignment horizontal="center" vertical="center"/>
    </xf>
    <xf numFmtId="49" fontId="17" fillId="0" borderId="0" xfId="2" applyNumberFormat="1" applyFont="1" applyAlignment="1">
      <alignment horizontal="centerContinuous" vertical="center"/>
    </xf>
    <xf numFmtId="0" fontId="17" fillId="0" borderId="0" xfId="2" applyFont="1" applyAlignment="1">
      <alignment horizontal="centerContinuous" vertical="center"/>
    </xf>
    <xf numFmtId="0" fontId="9" fillId="0" borderId="7" xfId="6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0" fontId="9" fillId="0" borderId="4" xfId="2" applyFont="1" applyBorder="1" applyAlignment="1">
      <alignment horizontal="center" vertical="center"/>
    </xf>
    <xf numFmtId="41" fontId="11" fillId="0" borderId="6" xfId="0" applyNumberFormat="1" applyFont="1" applyBorder="1">
      <alignment vertical="center"/>
    </xf>
    <xf numFmtId="180" fontId="9" fillId="0" borderId="0" xfId="8" applyNumberFormat="1" applyFont="1" applyFill="1" applyBorder="1" applyAlignment="1">
      <alignment vertical="center"/>
    </xf>
    <xf numFmtId="180" fontId="9" fillId="0" borderId="0" xfId="8" applyNumberFormat="1" applyFont="1" applyFill="1" applyBorder="1" applyAlignment="1">
      <alignment horizontal="center" vertical="center"/>
    </xf>
    <xf numFmtId="0" fontId="9" fillId="0" borderId="4" xfId="2" applyFont="1" applyBorder="1" applyAlignment="1">
      <alignment horizontal="left" vertical="center" shrinkToFit="1"/>
    </xf>
    <xf numFmtId="0" fontId="19" fillId="0" borderId="4" xfId="6" applyFont="1" applyBorder="1" applyAlignment="1">
      <alignment horizontal="left" vertical="center"/>
    </xf>
    <xf numFmtId="0" fontId="22" fillId="0" borderId="4" xfId="2" applyFont="1" applyBorder="1" applyAlignment="1">
      <alignment horizontal="left" vertical="center"/>
    </xf>
    <xf numFmtId="182" fontId="9" fillId="0" borderId="0" xfId="8" applyNumberFormat="1" applyFont="1" applyFill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41" fontId="10" fillId="0" borderId="0" xfId="8" applyFont="1" applyFill="1" applyBorder="1" applyAlignment="1">
      <alignment vertical="center"/>
    </xf>
    <xf numFmtId="0" fontId="10" fillId="0" borderId="0" xfId="2" applyFont="1" applyAlignment="1">
      <alignment vertical="center"/>
    </xf>
    <xf numFmtId="183" fontId="10" fillId="0" borderId="0" xfId="8" applyNumberFormat="1" applyFont="1" applyFill="1" applyBorder="1" applyAlignment="1">
      <alignment vertical="center"/>
    </xf>
    <xf numFmtId="0" fontId="10" fillId="0" borderId="5" xfId="2" applyFont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41" fontId="9" fillId="0" borderId="5" xfId="2" applyNumberFormat="1" applyFont="1" applyBorder="1" applyAlignment="1">
      <alignment vertical="center"/>
    </xf>
    <xf numFmtId="182" fontId="9" fillId="0" borderId="5" xfId="8" applyNumberFormat="1" applyFont="1" applyFill="1" applyBorder="1" applyAlignment="1">
      <alignment vertical="center"/>
    </xf>
    <xf numFmtId="41" fontId="10" fillId="0" borderId="6" xfId="8" applyFont="1" applyFill="1" applyBorder="1" applyAlignment="1">
      <alignment vertical="center"/>
    </xf>
    <xf numFmtId="0" fontId="22" fillId="0" borderId="9" xfId="2" applyFont="1" applyBorder="1" applyAlignment="1">
      <alignment horizontal="left" vertical="center"/>
    </xf>
    <xf numFmtId="0" fontId="10" fillId="0" borderId="7" xfId="2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41" fontId="10" fillId="0" borderId="8" xfId="8" applyFont="1" applyFill="1" applyBorder="1" applyAlignment="1">
      <alignment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1" fontId="11" fillId="0" borderId="5" xfId="0" applyNumberFormat="1" applyFont="1" applyBorder="1">
      <alignment vertical="center"/>
    </xf>
    <xf numFmtId="0" fontId="9" fillId="0" borderId="4" xfId="6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5" xfId="6" applyFont="1" applyBorder="1" applyAlignment="1">
      <alignment horizontal="right" vertical="center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centerContinuous" vertical="center"/>
    </xf>
    <xf numFmtId="0" fontId="9" fillId="0" borderId="8" xfId="6" applyFont="1" applyBorder="1" applyAlignment="1">
      <alignment horizontal="center" vertical="center"/>
    </xf>
    <xf numFmtId="0" fontId="21" fillId="0" borderId="4" xfId="6" applyFont="1" applyBorder="1" applyAlignment="1">
      <alignment horizontal="left" vertical="center"/>
    </xf>
    <xf numFmtId="0" fontId="21" fillId="0" borderId="5" xfId="3" applyFont="1" applyBorder="1" applyAlignment="1">
      <alignment horizontal="center" vertical="center"/>
    </xf>
    <xf numFmtId="0" fontId="19" fillId="0" borderId="5" xfId="6" applyFont="1" applyBorder="1" applyAlignment="1">
      <alignment vertical="center"/>
    </xf>
    <xf numFmtId="0" fontId="9" fillId="0" borderId="5" xfId="6" applyFont="1" applyBorder="1" applyAlignment="1">
      <alignment vertical="center"/>
    </xf>
    <xf numFmtId="0" fontId="9" fillId="0" borderId="6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41" fontId="9" fillId="0" borderId="5" xfId="1" applyFont="1" applyFill="1" applyBorder="1" applyAlignment="1">
      <alignment vertical="center"/>
    </xf>
    <xf numFmtId="182" fontId="19" fillId="0" borderId="5" xfId="1" applyNumberFormat="1" applyFont="1" applyFill="1" applyBorder="1" applyAlignment="1">
      <alignment vertical="center"/>
    </xf>
    <xf numFmtId="182" fontId="9" fillId="0" borderId="5" xfId="1" applyNumberFormat="1" applyFont="1" applyFill="1" applyBorder="1" applyAlignment="1">
      <alignment vertical="center"/>
    </xf>
    <xf numFmtId="0" fontId="9" fillId="0" borderId="5" xfId="0" applyFont="1" applyBorder="1">
      <alignment vertical="center"/>
    </xf>
    <xf numFmtId="41" fontId="11" fillId="0" borderId="10" xfId="0" applyNumberFormat="1" applyFont="1" applyBorder="1">
      <alignment vertical="center"/>
    </xf>
    <xf numFmtId="0" fontId="9" fillId="0" borderId="4" xfId="0" applyFont="1" applyBorder="1">
      <alignment vertical="center"/>
    </xf>
    <xf numFmtId="0" fontId="9" fillId="0" borderId="5" xfId="0" applyFont="1" applyBorder="1" applyAlignment="1">
      <alignment vertical="center" shrinkToFit="1"/>
    </xf>
    <xf numFmtId="0" fontId="9" fillId="0" borderId="4" xfId="6" applyFont="1" applyBorder="1" applyAlignment="1">
      <alignment vertical="center" shrinkToFit="1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41" fontId="9" fillId="0" borderId="5" xfId="0" applyNumberFormat="1" applyFont="1" applyBorder="1">
      <alignment vertical="center"/>
    </xf>
    <xf numFmtId="41" fontId="9" fillId="0" borderId="6" xfId="0" applyNumberFormat="1" applyFont="1" applyBorder="1">
      <alignment vertical="center"/>
    </xf>
    <xf numFmtId="180" fontId="9" fillId="0" borderId="5" xfId="8" applyNumberFormat="1" applyFont="1" applyFill="1" applyBorder="1" applyAlignment="1">
      <alignment vertical="center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9" fillId="0" borderId="7" xfId="3" applyFont="1" applyBorder="1" applyAlignment="1">
      <alignment horizontal="center" vertical="center" shrinkToFit="1"/>
    </xf>
    <xf numFmtId="0" fontId="9" fillId="0" borderId="10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shrinkToFit="1"/>
    </xf>
    <xf numFmtId="0" fontId="9" fillId="0" borderId="12" xfId="6" applyFont="1" applyBorder="1" applyAlignment="1">
      <alignment horizontal="center" vertical="center" shrinkToFit="1"/>
    </xf>
    <xf numFmtId="0" fontId="12" fillId="0" borderId="11" xfId="3" applyFont="1" applyBorder="1" applyAlignment="1">
      <alignment horizontal="center" vertical="center" shrinkToFit="1"/>
    </xf>
    <xf numFmtId="0" fontId="12" fillId="0" borderId="13" xfId="3" applyFont="1" applyBorder="1" applyAlignment="1">
      <alignment horizontal="center" vertical="center" shrinkToFit="1"/>
    </xf>
    <xf numFmtId="0" fontId="12" fillId="0" borderId="14" xfId="3" applyFont="1" applyBorder="1" applyAlignment="1">
      <alignment horizontal="center" vertical="center" shrinkToFit="1"/>
    </xf>
    <xf numFmtId="0" fontId="12" fillId="0" borderId="8" xfId="3" applyFont="1" applyBorder="1" applyAlignment="1">
      <alignment horizontal="center" vertical="center" shrinkToFit="1"/>
    </xf>
    <xf numFmtId="0" fontId="12" fillId="0" borderId="9" xfId="3" applyFont="1" applyBorder="1" applyAlignment="1">
      <alignment horizontal="center" vertical="center" shrinkToFit="1"/>
    </xf>
    <xf numFmtId="0" fontId="12" fillId="0" borderId="15" xfId="3" applyFont="1" applyBorder="1" applyAlignment="1">
      <alignment horizontal="center" vertical="center" shrinkToFit="1"/>
    </xf>
    <xf numFmtId="0" fontId="12" fillId="0" borderId="2" xfId="3" applyFont="1" applyBorder="1" applyAlignment="1">
      <alignment horizontal="center" vertical="center" shrinkToFit="1"/>
    </xf>
    <xf numFmtId="0" fontId="9" fillId="0" borderId="8" xfId="6" applyFont="1" applyBorder="1" applyAlignment="1">
      <alignment horizontal="center" vertical="center" wrapText="1"/>
    </xf>
    <xf numFmtId="0" fontId="9" fillId="0" borderId="15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14" xfId="6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 shrinkToFit="1"/>
    </xf>
    <xf numFmtId="0" fontId="9" fillId="0" borderId="14" xfId="6" applyFont="1" applyBorder="1" applyAlignment="1">
      <alignment horizontal="center" vertical="center" shrinkToFit="1"/>
    </xf>
    <xf numFmtId="0" fontId="9" fillId="0" borderId="8" xfId="6" applyFont="1" applyBorder="1" applyAlignment="1">
      <alignment horizontal="center" vertical="center" shrinkToFit="1"/>
    </xf>
    <xf numFmtId="0" fontId="9" fillId="0" borderId="15" xfId="6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 shrinkToFit="1"/>
    </xf>
    <xf numFmtId="0" fontId="12" fillId="0" borderId="7" xfId="3" applyFont="1" applyBorder="1" applyAlignment="1">
      <alignment horizontal="center" vertical="center" shrinkToFit="1"/>
    </xf>
    <xf numFmtId="0" fontId="12" fillId="0" borderId="11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shrinkToFit="1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0B73-6F70-4E44-9729-DC84F7CB55AB}">
  <sheetPr>
    <pageSetUpPr fitToPage="1"/>
  </sheetPr>
  <dimension ref="A1:P1611"/>
  <sheetViews>
    <sheetView tabSelected="1" zoomScaleNormal="100" workbookViewId="0">
      <selection activeCell="I22" sqref="I22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30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5" ht="12.95" customHeight="1" x14ac:dyDescent="0.3">
      <c r="A1" s="22"/>
      <c r="B1" s="27" t="s">
        <v>56</v>
      </c>
      <c r="C1" s="28"/>
      <c r="D1" s="29"/>
    </row>
    <row r="2" spans="1:15" ht="12.95" customHeight="1" x14ac:dyDescent="0.15">
      <c r="A2" s="23"/>
      <c r="B2" s="29" t="s">
        <v>57</v>
      </c>
    </row>
    <row r="3" spans="1:15" ht="12.95" customHeight="1" x14ac:dyDescent="0.3">
      <c r="B3" s="31" t="s">
        <v>141</v>
      </c>
      <c r="C3" s="32"/>
      <c r="D3" s="32"/>
      <c r="E3" s="32"/>
      <c r="F3" s="32"/>
      <c r="G3" s="32"/>
      <c r="H3" s="32"/>
      <c r="I3" s="33" t="s">
        <v>58</v>
      </c>
    </row>
    <row r="4" spans="1:15" ht="12.95" customHeight="1" x14ac:dyDescent="0.3">
      <c r="B4" s="127" t="s">
        <v>142</v>
      </c>
      <c r="C4" s="130" t="s">
        <v>34</v>
      </c>
      <c r="D4" s="133" t="s">
        <v>35</v>
      </c>
      <c r="E4" s="136" t="s">
        <v>31</v>
      </c>
      <c r="F4" s="175" t="s">
        <v>223</v>
      </c>
      <c r="G4" s="139"/>
      <c r="H4" s="139" t="s">
        <v>222</v>
      </c>
      <c r="I4" s="140"/>
    </row>
    <row r="5" spans="1:15" ht="12.95" customHeight="1" x14ac:dyDescent="0.3">
      <c r="B5" s="128"/>
      <c r="C5" s="131"/>
      <c r="D5" s="134"/>
      <c r="E5" s="137"/>
      <c r="F5" s="34" t="s">
        <v>221</v>
      </c>
      <c r="G5" s="36">
        <v>1350</v>
      </c>
      <c r="H5" s="34" t="s">
        <v>221</v>
      </c>
      <c r="I5" s="37">
        <v>1560</v>
      </c>
    </row>
    <row r="6" spans="1:15" ht="12.95" customHeight="1" x14ac:dyDescent="0.3">
      <c r="B6" s="129"/>
      <c r="C6" s="132"/>
      <c r="D6" s="135"/>
      <c r="E6" s="138"/>
      <c r="F6" s="38" t="s">
        <v>32</v>
      </c>
      <c r="G6" s="39" t="s">
        <v>33</v>
      </c>
      <c r="H6" s="38" t="s">
        <v>32</v>
      </c>
      <c r="I6" s="39" t="s">
        <v>33</v>
      </c>
    </row>
    <row r="7" spans="1:15" ht="12.95" customHeight="1" x14ac:dyDescent="0.3">
      <c r="B7" s="40" t="s">
        <v>53</v>
      </c>
      <c r="C7" s="41"/>
      <c r="D7" s="42" t="s">
        <v>37</v>
      </c>
      <c r="E7" s="43">
        <v>226122</v>
      </c>
      <c r="F7" s="44">
        <v>2</v>
      </c>
      <c r="G7" s="2">
        <f t="shared" ref="G7:G8" si="0">TRUNC($E7*F7,1)</f>
        <v>452244</v>
      </c>
      <c r="H7" s="44">
        <v>2</v>
      </c>
      <c r="I7" s="3">
        <f t="shared" ref="I7:I8" si="1">TRUNC($E7*H7,1)</f>
        <v>452244</v>
      </c>
    </row>
    <row r="8" spans="1:15" ht="12.95" customHeight="1" x14ac:dyDescent="0.3">
      <c r="B8" s="40" t="s">
        <v>8</v>
      </c>
      <c r="C8" s="41"/>
      <c r="D8" s="42" t="s">
        <v>37</v>
      </c>
      <c r="E8" s="43">
        <v>172068</v>
      </c>
      <c r="F8" s="44">
        <v>1</v>
      </c>
      <c r="G8" s="2">
        <f t="shared" si="0"/>
        <v>172068</v>
      </c>
      <c r="H8" s="44">
        <v>1</v>
      </c>
      <c r="I8" s="3">
        <f t="shared" si="1"/>
        <v>172068</v>
      </c>
    </row>
    <row r="9" spans="1:15" ht="12.95" customHeight="1" x14ac:dyDescent="0.3">
      <c r="B9" s="45" t="s">
        <v>39</v>
      </c>
      <c r="C9" s="46"/>
      <c r="D9" s="47"/>
      <c r="E9" s="48"/>
      <c r="F9" s="48"/>
      <c r="G9" s="14">
        <f>TRUNC(SUM(G7:G8))</f>
        <v>624312</v>
      </c>
      <c r="H9" s="48"/>
      <c r="I9" s="15">
        <f>TRUNC(SUM(I7:I8))</f>
        <v>624312</v>
      </c>
    </row>
    <row r="10" spans="1:15" ht="12.95" customHeight="1" x14ac:dyDescent="0.3">
      <c r="B10" s="49"/>
      <c r="C10" s="41"/>
      <c r="D10" s="42"/>
      <c r="E10" s="50"/>
      <c r="F10" s="50"/>
      <c r="G10" s="6"/>
      <c r="H10" s="50"/>
      <c r="I10" s="7"/>
    </row>
    <row r="11" spans="1:15" ht="12.95" customHeight="1" x14ac:dyDescent="0.3">
      <c r="B11" s="51" t="s">
        <v>42</v>
      </c>
      <c r="C11" s="41"/>
      <c r="D11" s="42"/>
      <c r="E11" s="50"/>
      <c r="F11" s="50"/>
      <c r="G11" s="7">
        <f>SUM(G9)</f>
        <v>624312</v>
      </c>
      <c r="H11" s="50"/>
      <c r="I11" s="7">
        <f>SUM(I9)</f>
        <v>624312</v>
      </c>
    </row>
    <row r="12" spans="1:15" ht="12.95" customHeight="1" x14ac:dyDescent="0.3">
      <c r="B12" s="52" t="s">
        <v>220</v>
      </c>
      <c r="C12" s="53"/>
      <c r="D12" s="54"/>
      <c r="E12" s="55"/>
      <c r="F12" s="55"/>
      <c r="G12" s="8">
        <f>TRUNC(G11/G5)</f>
        <v>462</v>
      </c>
      <c r="H12" s="55"/>
      <c r="I12" s="8">
        <f>TRUNC(I11/I5)</f>
        <v>400</v>
      </c>
    </row>
    <row r="13" spans="1:15" ht="12.95" customHeight="1" x14ac:dyDescent="0.3">
      <c r="B13" s="56"/>
      <c r="C13" s="57"/>
      <c r="D13" s="56"/>
      <c r="E13" s="58"/>
      <c r="F13" s="59"/>
      <c r="G13" s="59"/>
      <c r="H13" s="59"/>
      <c r="I13" s="59"/>
      <c r="O13" s="18"/>
    </row>
    <row r="14" spans="1:15" ht="12.95" customHeight="1" x14ac:dyDescent="0.3">
      <c r="B14" s="29" t="s">
        <v>60</v>
      </c>
      <c r="N14" s="18"/>
      <c r="O14" s="18"/>
    </row>
    <row r="15" spans="1:15" ht="12.95" customHeight="1" x14ac:dyDescent="0.3">
      <c r="B15" s="60" t="s">
        <v>59</v>
      </c>
      <c r="C15" s="61"/>
      <c r="D15" s="62"/>
      <c r="E15" s="63"/>
      <c r="F15" s="62"/>
      <c r="G15" s="33" t="s">
        <v>58</v>
      </c>
      <c r="H15" s="62"/>
      <c r="I15" s="62"/>
      <c r="J15" s="62"/>
      <c r="K15" s="62"/>
      <c r="L15" s="62"/>
      <c r="M15" s="62"/>
      <c r="N15" s="18"/>
      <c r="O15" s="18"/>
    </row>
    <row r="16" spans="1:15" ht="12.95" customHeight="1" x14ac:dyDescent="0.3">
      <c r="B16" s="161" t="s">
        <v>30</v>
      </c>
      <c r="C16" s="163" t="s">
        <v>46</v>
      </c>
      <c r="D16" s="125" t="s">
        <v>35</v>
      </c>
      <c r="E16" s="145" t="s">
        <v>31</v>
      </c>
      <c r="F16" s="34" t="s">
        <v>224</v>
      </c>
      <c r="G16" s="37">
        <v>165</v>
      </c>
      <c r="H16" s="65"/>
      <c r="I16" s="66"/>
      <c r="J16" s="18"/>
      <c r="K16" s="18"/>
      <c r="L16" s="18"/>
      <c r="M16" s="18"/>
      <c r="N16" s="18"/>
      <c r="O16" s="18"/>
    </row>
    <row r="17" spans="2:15" ht="12.95" customHeight="1" x14ac:dyDescent="0.3">
      <c r="B17" s="162"/>
      <c r="C17" s="164"/>
      <c r="D17" s="125"/>
      <c r="E17" s="147"/>
      <c r="F17" s="38" t="s">
        <v>32</v>
      </c>
      <c r="G17" s="39" t="s">
        <v>33</v>
      </c>
      <c r="H17" s="65"/>
      <c r="I17" s="66"/>
      <c r="J17" s="18"/>
      <c r="K17" s="18"/>
      <c r="L17" s="18"/>
      <c r="M17" s="18"/>
      <c r="N17" s="18"/>
      <c r="O17" s="18"/>
    </row>
    <row r="18" spans="2:15" ht="12.95" customHeight="1" x14ac:dyDescent="0.3">
      <c r="B18" s="68" t="s">
        <v>291</v>
      </c>
      <c r="C18" s="68" t="s">
        <v>23</v>
      </c>
      <c r="D18" s="69" t="s">
        <v>48</v>
      </c>
      <c r="E18" s="70">
        <v>18733</v>
      </c>
      <c r="F18" s="21">
        <v>8</v>
      </c>
      <c r="G18" s="3">
        <f t="shared" ref="G18:G20" si="2">TRUNC($E18*F18,1)</f>
        <v>149864</v>
      </c>
      <c r="H18" s="71"/>
      <c r="I18" s="72"/>
      <c r="J18" s="18"/>
      <c r="K18" s="18"/>
      <c r="L18" s="18"/>
      <c r="M18" s="18"/>
      <c r="N18" s="18"/>
      <c r="O18" s="18"/>
    </row>
    <row r="19" spans="2:15" ht="12.95" customHeight="1" x14ac:dyDescent="0.3">
      <c r="B19" s="73" t="s">
        <v>66</v>
      </c>
      <c r="C19" s="68" t="s">
        <v>65</v>
      </c>
      <c r="D19" s="69" t="s">
        <v>48</v>
      </c>
      <c r="E19" s="70">
        <v>3742</v>
      </c>
      <c r="F19" s="21">
        <v>8</v>
      </c>
      <c r="G19" s="3">
        <f t="shared" si="2"/>
        <v>29936</v>
      </c>
      <c r="H19" s="71"/>
      <c r="I19" s="72"/>
      <c r="J19" s="18"/>
      <c r="K19" s="18"/>
      <c r="L19" s="18"/>
      <c r="M19" s="18"/>
      <c r="N19" s="18"/>
      <c r="O19" s="18"/>
    </row>
    <row r="20" spans="2:15" ht="12.95" customHeight="1" x14ac:dyDescent="0.3">
      <c r="B20" s="68" t="s">
        <v>61</v>
      </c>
      <c r="C20" s="68" t="s">
        <v>52</v>
      </c>
      <c r="D20" s="69" t="s">
        <v>48</v>
      </c>
      <c r="E20" s="70">
        <v>18200</v>
      </c>
      <c r="F20" s="21">
        <v>4</v>
      </c>
      <c r="G20" s="3">
        <f t="shared" si="2"/>
        <v>72800</v>
      </c>
      <c r="H20" s="62"/>
      <c r="I20" s="62"/>
      <c r="J20" s="18"/>
      <c r="K20" s="18"/>
      <c r="L20" s="18"/>
      <c r="M20" s="18"/>
      <c r="N20" s="18"/>
      <c r="O20" s="18"/>
    </row>
    <row r="21" spans="2:15" ht="12.95" customHeight="1" x14ac:dyDescent="0.3">
      <c r="B21" s="74" t="s">
        <v>38</v>
      </c>
      <c r="C21" s="75"/>
      <c r="D21" s="75"/>
      <c r="E21" s="24"/>
      <c r="F21" s="25"/>
      <c r="G21" s="20">
        <f>TRUNC(SUM(G18:G20))</f>
        <v>252600</v>
      </c>
      <c r="H21" s="76"/>
      <c r="I21" s="72"/>
      <c r="J21" s="18"/>
      <c r="K21" s="18"/>
      <c r="L21" s="18"/>
      <c r="M21" s="18"/>
      <c r="N21" s="18"/>
      <c r="O21" s="18"/>
    </row>
    <row r="22" spans="2:15" ht="12.95" customHeight="1" x14ac:dyDescent="0.3">
      <c r="B22" s="77"/>
      <c r="C22" s="75"/>
      <c r="D22" s="75"/>
      <c r="E22" s="24"/>
      <c r="F22" s="25"/>
      <c r="G22" s="78"/>
      <c r="H22" s="76"/>
      <c r="I22" s="72"/>
      <c r="J22" s="18"/>
      <c r="K22" s="18"/>
      <c r="L22" s="18"/>
      <c r="M22" s="18"/>
      <c r="N22" s="18"/>
      <c r="O22" s="18"/>
    </row>
    <row r="23" spans="2:15" ht="12.95" customHeight="1" x14ac:dyDescent="0.3">
      <c r="B23" s="40" t="s">
        <v>143</v>
      </c>
      <c r="C23" s="41"/>
      <c r="D23" s="42" t="s">
        <v>37</v>
      </c>
      <c r="E23" s="70">
        <v>221015</v>
      </c>
      <c r="F23" s="21">
        <v>2</v>
      </c>
      <c r="G23" s="3">
        <f t="shared" ref="G23:G27" si="3">TRUNC($E23*F23,1)</f>
        <v>442030</v>
      </c>
      <c r="H23" s="62"/>
      <c r="I23" s="62"/>
      <c r="J23" s="18"/>
      <c r="K23" s="18"/>
      <c r="L23" s="18"/>
      <c r="M23" s="18"/>
      <c r="N23" s="18"/>
      <c r="O23" s="18"/>
    </row>
    <row r="24" spans="2:15" ht="12.95" customHeight="1" x14ac:dyDescent="0.3">
      <c r="B24" s="40" t="s">
        <v>8</v>
      </c>
      <c r="C24" s="41"/>
      <c r="D24" s="42" t="s">
        <v>37</v>
      </c>
      <c r="E24" s="70">
        <v>172068</v>
      </c>
      <c r="F24" s="21">
        <v>2</v>
      </c>
      <c r="G24" s="3">
        <f t="shared" si="3"/>
        <v>344136</v>
      </c>
      <c r="H24" s="79"/>
      <c r="I24" s="78"/>
      <c r="J24" s="18"/>
      <c r="K24" s="18"/>
      <c r="L24" s="18"/>
      <c r="M24" s="18"/>
      <c r="N24" s="18"/>
      <c r="O24" s="18"/>
    </row>
    <row r="25" spans="2:15" ht="12.95" customHeight="1" x14ac:dyDescent="0.3">
      <c r="B25" s="68" t="s">
        <v>291</v>
      </c>
      <c r="C25" s="68" t="s">
        <v>23</v>
      </c>
      <c r="D25" s="69" t="s">
        <v>48</v>
      </c>
      <c r="E25" s="70">
        <v>58925</v>
      </c>
      <c r="F25" s="21">
        <v>8</v>
      </c>
      <c r="G25" s="3">
        <f t="shared" si="3"/>
        <v>471400</v>
      </c>
      <c r="H25" s="79"/>
      <c r="I25" s="78"/>
      <c r="J25" s="18"/>
      <c r="K25" s="18"/>
      <c r="L25" s="18"/>
      <c r="M25" s="18"/>
      <c r="N25" s="18"/>
      <c r="O25" s="18"/>
    </row>
    <row r="26" spans="2:15" ht="12.95" customHeight="1" x14ac:dyDescent="0.3">
      <c r="B26" s="73" t="s">
        <v>66</v>
      </c>
      <c r="C26" s="68" t="s">
        <v>65</v>
      </c>
      <c r="D26" s="69" t="s">
        <v>48</v>
      </c>
      <c r="E26" s="70">
        <v>36190</v>
      </c>
      <c r="F26" s="21">
        <v>8</v>
      </c>
      <c r="G26" s="3">
        <f t="shared" si="3"/>
        <v>289520</v>
      </c>
      <c r="H26" s="79"/>
      <c r="I26" s="78"/>
      <c r="J26" s="18"/>
      <c r="K26" s="18"/>
      <c r="L26" s="18"/>
      <c r="M26" s="18"/>
      <c r="N26" s="18"/>
      <c r="O26" s="18"/>
    </row>
    <row r="27" spans="2:15" ht="12.95" customHeight="1" x14ac:dyDescent="0.3">
      <c r="B27" s="68" t="s">
        <v>61</v>
      </c>
      <c r="C27" s="68" t="s">
        <v>52</v>
      </c>
      <c r="D27" s="69" t="s">
        <v>48</v>
      </c>
      <c r="E27" s="70">
        <v>49698</v>
      </c>
      <c r="F27" s="21">
        <v>4</v>
      </c>
      <c r="G27" s="3">
        <f t="shared" si="3"/>
        <v>198792</v>
      </c>
      <c r="H27" s="79"/>
      <c r="I27" s="78"/>
      <c r="J27" s="18"/>
      <c r="K27" s="18"/>
      <c r="L27" s="18"/>
      <c r="M27" s="18"/>
      <c r="N27" s="18"/>
      <c r="O27" s="18"/>
    </row>
    <row r="28" spans="2:15" ht="12.95" customHeight="1" x14ac:dyDescent="0.3">
      <c r="B28" s="45" t="s">
        <v>39</v>
      </c>
      <c r="C28" s="75"/>
      <c r="D28" s="75"/>
      <c r="E28" s="24"/>
      <c r="F28" s="25"/>
      <c r="G28" s="20">
        <f>TRUNC(SUM(G23:G27))</f>
        <v>1745878</v>
      </c>
      <c r="H28" s="18"/>
      <c r="I28" s="18"/>
      <c r="J28" s="18"/>
      <c r="K28" s="18"/>
      <c r="L28" s="18"/>
      <c r="M28" s="18"/>
      <c r="N28" s="18"/>
      <c r="O28" s="18"/>
    </row>
    <row r="29" spans="2:15" ht="12.95" customHeight="1" x14ac:dyDescent="0.3">
      <c r="B29" s="77"/>
      <c r="C29" s="75"/>
      <c r="D29" s="75"/>
      <c r="E29" s="24"/>
      <c r="F29" s="25"/>
      <c r="G29" s="78"/>
      <c r="H29" s="18"/>
      <c r="I29" s="18"/>
      <c r="J29" s="18"/>
      <c r="K29" s="18"/>
      <c r="L29" s="18"/>
      <c r="M29" s="18"/>
      <c r="N29" s="18"/>
      <c r="O29" s="18"/>
    </row>
    <row r="30" spans="2:15" ht="12.95" customHeight="1" x14ac:dyDescent="0.3">
      <c r="B30" s="68" t="s">
        <v>291</v>
      </c>
      <c r="C30" s="68" t="s">
        <v>23</v>
      </c>
      <c r="D30" s="69" t="s">
        <v>48</v>
      </c>
      <c r="E30" s="70">
        <v>23423</v>
      </c>
      <c r="F30" s="21">
        <v>8</v>
      </c>
      <c r="G30" s="3">
        <f t="shared" ref="G30:G32" si="4">TRUNC($E30*F30,1)</f>
        <v>187384</v>
      </c>
      <c r="H30" s="18"/>
      <c r="I30" s="18"/>
      <c r="J30" s="18"/>
      <c r="K30" s="18"/>
      <c r="L30" s="18"/>
      <c r="M30" s="18"/>
      <c r="N30" s="18"/>
      <c r="O30" s="18"/>
    </row>
    <row r="31" spans="2:15" ht="12.95" customHeight="1" x14ac:dyDescent="0.3">
      <c r="B31" s="73" t="s">
        <v>66</v>
      </c>
      <c r="C31" s="68" t="s">
        <v>65</v>
      </c>
      <c r="D31" s="69" t="s">
        <v>48</v>
      </c>
      <c r="E31" s="70">
        <v>1967</v>
      </c>
      <c r="F31" s="21">
        <v>8</v>
      </c>
      <c r="G31" s="3">
        <f t="shared" si="4"/>
        <v>15736</v>
      </c>
      <c r="H31" s="18"/>
      <c r="I31" s="18"/>
      <c r="J31" s="18"/>
      <c r="K31" s="18"/>
      <c r="L31" s="18"/>
      <c r="M31" s="18"/>
      <c r="N31" s="18"/>
      <c r="O31" s="18"/>
    </row>
    <row r="32" spans="2:15" ht="12.95" customHeight="1" x14ac:dyDescent="0.3">
      <c r="B32" s="68" t="s">
        <v>61</v>
      </c>
      <c r="C32" s="68" t="s">
        <v>52</v>
      </c>
      <c r="D32" s="69" t="s">
        <v>48</v>
      </c>
      <c r="E32" s="70">
        <v>9986</v>
      </c>
      <c r="F32" s="21">
        <v>4</v>
      </c>
      <c r="G32" s="3">
        <f t="shared" si="4"/>
        <v>39944</v>
      </c>
      <c r="H32" s="80"/>
      <c r="I32" s="78"/>
      <c r="J32" s="18"/>
      <c r="K32" s="18"/>
      <c r="L32" s="18"/>
      <c r="M32" s="18"/>
      <c r="N32" s="18"/>
      <c r="O32" s="18"/>
    </row>
    <row r="33" spans="2:14" ht="12.95" customHeight="1" x14ac:dyDescent="0.3">
      <c r="B33" s="74" t="s">
        <v>40</v>
      </c>
      <c r="C33" s="75"/>
      <c r="D33" s="75"/>
      <c r="E33" s="81"/>
      <c r="F33" s="19"/>
      <c r="G33" s="20">
        <f>TRUNC(SUM(G30:G32))</f>
        <v>243064</v>
      </c>
      <c r="H33" s="18"/>
      <c r="I33" s="18"/>
      <c r="J33" s="18"/>
      <c r="K33" s="18"/>
      <c r="L33" s="18"/>
      <c r="M33" s="18"/>
      <c r="N33" s="18"/>
    </row>
    <row r="34" spans="2:14" ht="12.95" customHeight="1" x14ac:dyDescent="0.3">
      <c r="B34" s="82"/>
      <c r="C34" s="68"/>
      <c r="D34" s="68"/>
      <c r="E34" s="83"/>
      <c r="F34" s="84"/>
      <c r="G34" s="72"/>
      <c r="H34" s="79"/>
      <c r="I34" s="78"/>
      <c r="J34" s="18"/>
      <c r="K34" s="18"/>
      <c r="L34" s="18"/>
      <c r="M34" s="18"/>
    </row>
    <row r="35" spans="2:14" ht="12.95" customHeight="1" x14ac:dyDescent="0.3">
      <c r="B35" s="51" t="s">
        <v>42</v>
      </c>
      <c r="C35" s="75"/>
      <c r="D35" s="75"/>
      <c r="E35" s="81"/>
      <c r="F35" s="81"/>
      <c r="G35" s="85">
        <f>SUM(G21+G28+G33)</f>
        <v>2241542</v>
      </c>
      <c r="H35" s="18"/>
      <c r="I35" s="18"/>
      <c r="J35" s="18"/>
      <c r="K35" s="18"/>
      <c r="L35" s="18"/>
      <c r="M35" s="18"/>
    </row>
    <row r="36" spans="2:14" ht="12.95" customHeight="1" x14ac:dyDescent="0.3">
      <c r="B36" s="52" t="s">
        <v>225</v>
      </c>
      <c r="C36" s="86"/>
      <c r="D36" s="86"/>
      <c r="E36" s="87"/>
      <c r="F36" s="87"/>
      <c r="G36" s="8">
        <f>TRUNC(G35/G16)</f>
        <v>13585</v>
      </c>
      <c r="H36" s="18"/>
      <c r="I36" s="18"/>
      <c r="J36" s="18"/>
      <c r="K36" s="18"/>
      <c r="L36" s="18"/>
      <c r="M36" s="18"/>
    </row>
    <row r="37" spans="2:14" ht="12.95" customHeight="1" x14ac:dyDescent="0.3">
      <c r="B37" s="8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2:14" ht="12.95" customHeight="1" x14ac:dyDescent="0.3">
      <c r="B38" s="60" t="s">
        <v>62</v>
      </c>
      <c r="C38" s="61"/>
      <c r="D38" s="62"/>
      <c r="E38" s="63"/>
      <c r="F38" s="62"/>
      <c r="G38" s="33" t="s">
        <v>58</v>
      </c>
      <c r="H38" s="62"/>
      <c r="I38" s="62"/>
      <c r="J38" s="62"/>
      <c r="K38" s="62"/>
      <c r="L38" s="62"/>
      <c r="M38" s="62"/>
    </row>
    <row r="39" spans="2:14" ht="12.95" customHeight="1" x14ac:dyDescent="0.3">
      <c r="B39" s="161" t="s">
        <v>30</v>
      </c>
      <c r="C39" s="163" t="s">
        <v>46</v>
      </c>
      <c r="D39" s="125" t="s">
        <v>35</v>
      </c>
      <c r="E39" s="145" t="s">
        <v>31</v>
      </c>
      <c r="F39" s="34" t="s">
        <v>224</v>
      </c>
      <c r="G39" s="37">
        <v>250</v>
      </c>
      <c r="H39" s="65"/>
      <c r="I39" s="66"/>
      <c r="J39" s="18"/>
      <c r="K39" s="18"/>
      <c r="L39" s="18"/>
      <c r="M39" s="18"/>
    </row>
    <row r="40" spans="2:14" ht="12.95" customHeight="1" x14ac:dyDescent="0.3">
      <c r="B40" s="162"/>
      <c r="C40" s="164"/>
      <c r="D40" s="125"/>
      <c r="E40" s="147"/>
      <c r="F40" s="38" t="s">
        <v>32</v>
      </c>
      <c r="G40" s="39" t="s">
        <v>33</v>
      </c>
      <c r="H40" s="65"/>
      <c r="I40" s="66"/>
      <c r="J40" s="18"/>
      <c r="K40" s="18"/>
      <c r="L40" s="18"/>
      <c r="M40" s="18"/>
    </row>
    <row r="41" spans="2:14" ht="12.95" customHeight="1" x14ac:dyDescent="0.3">
      <c r="B41" s="68" t="s">
        <v>291</v>
      </c>
      <c r="C41" s="68" t="s">
        <v>5</v>
      </c>
      <c r="D41" s="69" t="s">
        <v>48</v>
      </c>
      <c r="E41" s="70">
        <v>35814</v>
      </c>
      <c r="F41" s="21">
        <v>8</v>
      </c>
      <c r="G41" s="3">
        <f t="shared" ref="G41:G43" si="5">TRUNC($E41*F41,1)</f>
        <v>286512</v>
      </c>
      <c r="H41" s="71"/>
      <c r="I41" s="72"/>
      <c r="J41" s="18"/>
      <c r="K41" s="18"/>
      <c r="L41" s="18"/>
      <c r="M41" s="18"/>
    </row>
    <row r="42" spans="2:14" ht="12.95" customHeight="1" x14ac:dyDescent="0.3">
      <c r="B42" s="68" t="s">
        <v>64</v>
      </c>
      <c r="C42" s="68" t="s">
        <v>29</v>
      </c>
      <c r="D42" s="69" t="s">
        <v>48</v>
      </c>
      <c r="E42" s="70">
        <v>30921</v>
      </c>
      <c r="F42" s="21">
        <v>8</v>
      </c>
      <c r="G42" s="3">
        <f t="shared" si="5"/>
        <v>247368</v>
      </c>
      <c r="H42" s="71"/>
      <c r="I42" s="72"/>
      <c r="J42" s="18"/>
      <c r="K42" s="18"/>
      <c r="L42" s="18"/>
      <c r="M42" s="18"/>
    </row>
    <row r="43" spans="2:14" ht="12.95" customHeight="1" x14ac:dyDescent="0.3">
      <c r="B43" s="68" t="s">
        <v>61</v>
      </c>
      <c r="C43" s="68" t="s">
        <v>19</v>
      </c>
      <c r="D43" s="69" t="s">
        <v>48</v>
      </c>
      <c r="E43" s="70">
        <v>25246</v>
      </c>
      <c r="F43" s="21">
        <v>4</v>
      </c>
      <c r="G43" s="3">
        <f t="shared" si="5"/>
        <v>100984</v>
      </c>
      <c r="H43" s="62"/>
      <c r="I43" s="62"/>
      <c r="J43" s="18"/>
      <c r="K43" s="18"/>
      <c r="L43" s="18"/>
      <c r="M43" s="18"/>
    </row>
    <row r="44" spans="2:14" ht="12.95" customHeight="1" x14ac:dyDescent="0.3">
      <c r="B44" s="74" t="s">
        <v>38</v>
      </c>
      <c r="C44" s="75"/>
      <c r="D44" s="75"/>
      <c r="E44" s="24"/>
      <c r="F44" s="25"/>
      <c r="G44" s="20">
        <f>TRUNC(SUM(G41:G43))</f>
        <v>634864</v>
      </c>
      <c r="H44" s="76"/>
      <c r="I44" s="72"/>
      <c r="J44" s="18"/>
      <c r="K44" s="18"/>
      <c r="L44" s="18"/>
      <c r="M44" s="18"/>
    </row>
    <row r="45" spans="2:14" ht="12.95" customHeight="1" x14ac:dyDescent="0.3">
      <c r="B45" s="77"/>
      <c r="C45" s="75"/>
      <c r="D45" s="75"/>
      <c r="E45" s="24"/>
      <c r="F45" s="25"/>
      <c r="G45" s="78"/>
      <c r="H45" s="76"/>
      <c r="I45" s="72"/>
      <c r="J45" s="18"/>
      <c r="K45" s="18"/>
      <c r="L45" s="18"/>
      <c r="M45" s="18"/>
    </row>
    <row r="46" spans="2:14" ht="12.95" customHeight="1" x14ac:dyDescent="0.3">
      <c r="B46" s="40" t="s">
        <v>143</v>
      </c>
      <c r="C46" s="41"/>
      <c r="D46" s="42" t="s">
        <v>37</v>
      </c>
      <c r="E46" s="70">
        <v>221015</v>
      </c>
      <c r="F46" s="21">
        <v>2</v>
      </c>
      <c r="G46" s="3">
        <f t="shared" ref="G46:G50" si="6">TRUNC($E46*F46,1)</f>
        <v>442030</v>
      </c>
      <c r="H46" s="62"/>
      <c r="I46" s="62"/>
      <c r="J46" s="18"/>
      <c r="K46" s="18"/>
      <c r="L46" s="18"/>
      <c r="M46" s="18"/>
    </row>
    <row r="47" spans="2:14" ht="12.95" customHeight="1" x14ac:dyDescent="0.3">
      <c r="B47" s="40" t="s">
        <v>8</v>
      </c>
      <c r="C47" s="41"/>
      <c r="D47" s="42" t="s">
        <v>37</v>
      </c>
      <c r="E47" s="70">
        <v>172068</v>
      </c>
      <c r="F47" s="21">
        <v>2</v>
      </c>
      <c r="G47" s="3">
        <f t="shared" si="6"/>
        <v>344136</v>
      </c>
      <c r="H47" s="79"/>
      <c r="I47" s="78"/>
      <c r="J47" s="18"/>
      <c r="K47" s="18"/>
      <c r="L47" s="18"/>
      <c r="M47" s="18"/>
    </row>
    <row r="48" spans="2:14" ht="12.95" customHeight="1" x14ac:dyDescent="0.3">
      <c r="B48" s="68" t="s">
        <v>291</v>
      </c>
      <c r="C48" s="68" t="s">
        <v>5</v>
      </c>
      <c r="D48" s="69" t="s">
        <v>48</v>
      </c>
      <c r="E48" s="70">
        <v>58925</v>
      </c>
      <c r="F48" s="21">
        <v>8</v>
      </c>
      <c r="G48" s="3">
        <f t="shared" si="6"/>
        <v>471400</v>
      </c>
      <c r="H48" s="79"/>
      <c r="I48" s="78"/>
      <c r="J48" s="18"/>
      <c r="K48" s="18"/>
      <c r="L48" s="18"/>
      <c r="M48" s="18"/>
    </row>
    <row r="49" spans="2:13" ht="12.95" customHeight="1" x14ac:dyDescent="0.3">
      <c r="B49" s="68" t="s">
        <v>64</v>
      </c>
      <c r="C49" s="68" t="s">
        <v>29</v>
      </c>
      <c r="D49" s="69" t="s">
        <v>48</v>
      </c>
      <c r="E49" s="70">
        <v>58925</v>
      </c>
      <c r="F49" s="21">
        <v>8</v>
      </c>
      <c r="G49" s="3">
        <f t="shared" si="6"/>
        <v>471400</v>
      </c>
      <c r="H49" s="79"/>
      <c r="I49" s="78"/>
      <c r="J49" s="18"/>
      <c r="K49" s="18"/>
      <c r="L49" s="18"/>
      <c r="M49" s="18"/>
    </row>
    <row r="50" spans="2:13" ht="12.95" customHeight="1" x14ac:dyDescent="0.3">
      <c r="B50" s="68" t="s">
        <v>61</v>
      </c>
      <c r="C50" s="68" t="s">
        <v>19</v>
      </c>
      <c r="D50" s="69" t="s">
        <v>48</v>
      </c>
      <c r="E50" s="70">
        <v>49698</v>
      </c>
      <c r="F50" s="21">
        <v>4</v>
      </c>
      <c r="G50" s="3">
        <f t="shared" si="6"/>
        <v>198792</v>
      </c>
      <c r="H50" s="79"/>
      <c r="I50" s="78"/>
      <c r="J50" s="18"/>
      <c r="K50" s="18"/>
      <c r="L50" s="18"/>
      <c r="M50" s="18"/>
    </row>
    <row r="51" spans="2:13" ht="12.95" customHeight="1" x14ac:dyDescent="0.3">
      <c r="B51" s="45" t="s">
        <v>39</v>
      </c>
      <c r="C51" s="75"/>
      <c r="D51" s="75"/>
      <c r="E51" s="24"/>
      <c r="F51" s="25"/>
      <c r="G51" s="20">
        <f>TRUNC(SUM(G46:G50))</f>
        <v>1927758</v>
      </c>
      <c r="H51" s="18"/>
      <c r="I51" s="18"/>
      <c r="J51" s="18"/>
      <c r="K51" s="18"/>
      <c r="L51" s="18"/>
      <c r="M51" s="18"/>
    </row>
    <row r="52" spans="2:13" ht="12.95" customHeight="1" x14ac:dyDescent="0.3">
      <c r="B52" s="77"/>
      <c r="C52" s="75"/>
      <c r="D52" s="75"/>
      <c r="E52" s="24"/>
      <c r="F52" s="25"/>
      <c r="G52" s="78"/>
      <c r="H52" s="18"/>
      <c r="I52" s="18"/>
      <c r="J52" s="18"/>
      <c r="K52" s="18"/>
      <c r="L52" s="18"/>
      <c r="M52" s="18"/>
    </row>
    <row r="53" spans="2:13" ht="12.95" customHeight="1" x14ac:dyDescent="0.3">
      <c r="B53" s="68" t="s">
        <v>291</v>
      </c>
      <c r="C53" s="68" t="s">
        <v>5</v>
      </c>
      <c r="D53" s="69" t="s">
        <v>48</v>
      </c>
      <c r="E53" s="70">
        <v>29621</v>
      </c>
      <c r="F53" s="21">
        <v>8</v>
      </c>
      <c r="G53" s="3">
        <f t="shared" ref="G53:G55" si="7">TRUNC($E53*F53,1)</f>
        <v>236968</v>
      </c>
      <c r="H53" s="18"/>
      <c r="I53" s="18"/>
      <c r="J53" s="18"/>
      <c r="K53" s="18"/>
      <c r="L53" s="18"/>
      <c r="M53" s="18"/>
    </row>
    <row r="54" spans="2:13" ht="12.95" customHeight="1" x14ac:dyDescent="0.3">
      <c r="B54" s="68" t="s">
        <v>64</v>
      </c>
      <c r="C54" s="68" t="s">
        <v>29</v>
      </c>
      <c r="D54" s="69" t="s">
        <v>48</v>
      </c>
      <c r="E54" s="70">
        <v>29191</v>
      </c>
      <c r="F54" s="21">
        <v>8</v>
      </c>
      <c r="G54" s="3">
        <f t="shared" si="7"/>
        <v>233528</v>
      </c>
      <c r="H54" s="18"/>
      <c r="I54" s="18"/>
      <c r="J54" s="18"/>
      <c r="K54" s="18"/>
      <c r="L54" s="18"/>
      <c r="M54" s="18"/>
    </row>
    <row r="55" spans="2:13" ht="12.95" customHeight="1" x14ac:dyDescent="0.3">
      <c r="B55" s="68" t="s">
        <v>61</v>
      </c>
      <c r="C55" s="68" t="s">
        <v>19</v>
      </c>
      <c r="D55" s="69" t="s">
        <v>48</v>
      </c>
      <c r="E55" s="70">
        <v>19154</v>
      </c>
      <c r="F55" s="21">
        <v>4</v>
      </c>
      <c r="G55" s="3">
        <f t="shared" si="7"/>
        <v>76616</v>
      </c>
      <c r="H55" s="80"/>
      <c r="I55" s="78"/>
      <c r="J55" s="18"/>
      <c r="K55" s="18"/>
      <c r="L55" s="18"/>
      <c r="M55" s="18"/>
    </row>
    <row r="56" spans="2:13" ht="12.95" customHeight="1" x14ac:dyDescent="0.3">
      <c r="B56" s="74" t="s">
        <v>40</v>
      </c>
      <c r="C56" s="75"/>
      <c r="D56" s="75"/>
      <c r="E56" s="81"/>
      <c r="F56" s="19"/>
      <c r="G56" s="20">
        <f>TRUNC(SUM(G53:G55))</f>
        <v>547112</v>
      </c>
      <c r="H56" s="18"/>
      <c r="I56" s="18"/>
      <c r="J56" s="18"/>
      <c r="K56" s="18"/>
      <c r="L56" s="18"/>
      <c r="M56" s="18"/>
    </row>
    <row r="57" spans="2:13" ht="12.95" customHeight="1" x14ac:dyDescent="0.3">
      <c r="B57" s="82"/>
      <c r="C57" s="68"/>
      <c r="D57" s="68"/>
      <c r="E57" s="83"/>
      <c r="F57" s="84"/>
      <c r="G57" s="72"/>
      <c r="H57" s="79"/>
      <c r="I57" s="78"/>
      <c r="J57" s="18"/>
      <c r="K57" s="18"/>
      <c r="L57" s="18"/>
      <c r="M57" s="18"/>
    </row>
    <row r="58" spans="2:13" ht="12.95" customHeight="1" x14ac:dyDescent="0.3">
      <c r="B58" s="51" t="s">
        <v>42</v>
      </c>
      <c r="C58" s="75"/>
      <c r="D58" s="75"/>
      <c r="E58" s="81"/>
      <c r="F58" s="81"/>
      <c r="G58" s="85">
        <f>SUM(G44+G51+G56)</f>
        <v>3109734</v>
      </c>
      <c r="H58" s="18"/>
      <c r="I58" s="18"/>
      <c r="J58" s="18"/>
      <c r="K58" s="18"/>
      <c r="L58" s="18"/>
      <c r="M58" s="18"/>
    </row>
    <row r="59" spans="2:13" ht="12.95" customHeight="1" x14ac:dyDescent="0.3">
      <c r="B59" s="52" t="s">
        <v>225</v>
      </c>
      <c r="C59" s="86"/>
      <c r="D59" s="86"/>
      <c r="E59" s="87"/>
      <c r="F59" s="87"/>
      <c r="G59" s="8">
        <f>TRUNC(G58/G39)</f>
        <v>12438</v>
      </c>
      <c r="H59" s="18"/>
      <c r="I59" s="18"/>
      <c r="J59" s="18"/>
      <c r="K59" s="18"/>
      <c r="L59" s="18"/>
      <c r="M59" s="18"/>
    </row>
    <row r="60" spans="2:13" ht="12.95" customHeight="1" x14ac:dyDescent="0.3">
      <c r="B60" s="8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2:13" ht="12.95" customHeight="1" x14ac:dyDescent="0.3">
      <c r="B61" s="60" t="s">
        <v>144</v>
      </c>
      <c r="C61" s="61"/>
      <c r="D61" s="62"/>
      <c r="E61" s="63"/>
      <c r="F61" s="62"/>
      <c r="G61" s="33" t="s">
        <v>58</v>
      </c>
      <c r="H61" s="62"/>
      <c r="I61" s="62"/>
      <c r="J61" s="62"/>
      <c r="K61" s="62"/>
      <c r="L61" s="62"/>
      <c r="M61" s="62"/>
    </row>
    <row r="62" spans="2:13" ht="12.95" customHeight="1" x14ac:dyDescent="0.3">
      <c r="B62" s="161" t="s">
        <v>30</v>
      </c>
      <c r="C62" s="163" t="s">
        <v>46</v>
      </c>
      <c r="D62" s="125" t="s">
        <v>35</v>
      </c>
      <c r="E62" s="145" t="s">
        <v>31</v>
      </c>
      <c r="F62" s="34" t="s">
        <v>224</v>
      </c>
      <c r="G62" s="37">
        <v>600</v>
      </c>
      <c r="H62" s="65"/>
      <c r="I62" s="66"/>
      <c r="J62" s="18"/>
      <c r="K62" s="18"/>
      <c r="L62" s="18"/>
      <c r="M62" s="18"/>
    </row>
    <row r="63" spans="2:13" ht="12.95" customHeight="1" x14ac:dyDescent="0.3">
      <c r="B63" s="162"/>
      <c r="C63" s="164"/>
      <c r="D63" s="125"/>
      <c r="E63" s="147"/>
      <c r="F63" s="38" t="s">
        <v>32</v>
      </c>
      <c r="G63" s="39" t="s">
        <v>33</v>
      </c>
      <c r="H63" s="65"/>
      <c r="I63" s="66"/>
      <c r="J63" s="18"/>
      <c r="K63" s="18"/>
      <c r="L63" s="18"/>
      <c r="M63" s="18"/>
    </row>
    <row r="64" spans="2:13" ht="12.95" customHeight="1" x14ac:dyDescent="0.3">
      <c r="B64" s="68" t="s">
        <v>7</v>
      </c>
      <c r="C64" s="68" t="s">
        <v>63</v>
      </c>
      <c r="D64" s="69" t="s">
        <v>48</v>
      </c>
      <c r="E64" s="70">
        <v>33899</v>
      </c>
      <c r="F64" s="21">
        <v>8</v>
      </c>
      <c r="G64" s="3">
        <f t="shared" ref="G64:G66" si="8">TRUNC($E64*F64,1)</f>
        <v>271192</v>
      </c>
      <c r="H64" s="71"/>
      <c r="I64" s="72"/>
      <c r="J64" s="18"/>
      <c r="K64" s="18"/>
      <c r="L64" s="18"/>
      <c r="M64" s="18"/>
    </row>
    <row r="65" spans="2:13" ht="12.95" customHeight="1" x14ac:dyDescent="0.3">
      <c r="B65" s="68" t="s">
        <v>64</v>
      </c>
      <c r="C65" s="68" t="s">
        <v>29</v>
      </c>
      <c r="D65" s="69" t="s">
        <v>48</v>
      </c>
      <c r="E65" s="70">
        <v>30921</v>
      </c>
      <c r="F65" s="21">
        <v>8</v>
      </c>
      <c r="G65" s="3">
        <f t="shared" si="8"/>
        <v>247368</v>
      </c>
      <c r="H65" s="71"/>
      <c r="I65" s="72"/>
      <c r="J65" s="18"/>
      <c r="K65" s="18"/>
      <c r="L65" s="18"/>
      <c r="M65" s="18"/>
    </row>
    <row r="66" spans="2:13" ht="12.95" customHeight="1" x14ac:dyDescent="0.3">
      <c r="B66" s="68" t="s">
        <v>61</v>
      </c>
      <c r="C66" s="68" t="s">
        <v>19</v>
      </c>
      <c r="D66" s="69" t="s">
        <v>48</v>
      </c>
      <c r="E66" s="70">
        <v>25246</v>
      </c>
      <c r="F66" s="21">
        <v>4</v>
      </c>
      <c r="G66" s="3">
        <f t="shared" si="8"/>
        <v>100984</v>
      </c>
      <c r="H66" s="62"/>
      <c r="I66" s="62"/>
      <c r="J66" s="18"/>
      <c r="K66" s="18"/>
      <c r="L66" s="18"/>
      <c r="M66" s="18"/>
    </row>
    <row r="67" spans="2:13" ht="12.95" customHeight="1" x14ac:dyDescent="0.3">
      <c r="B67" s="74" t="s">
        <v>38</v>
      </c>
      <c r="C67" s="75"/>
      <c r="D67" s="75"/>
      <c r="E67" s="24"/>
      <c r="F67" s="25"/>
      <c r="G67" s="20">
        <f>TRUNC(SUM(G64:G66))</f>
        <v>619544</v>
      </c>
      <c r="H67" s="76"/>
      <c r="I67" s="72"/>
      <c r="J67" s="18"/>
      <c r="K67" s="18"/>
      <c r="L67" s="18"/>
      <c r="M67" s="18"/>
    </row>
    <row r="68" spans="2:13" ht="12.95" customHeight="1" x14ac:dyDescent="0.3">
      <c r="B68" s="77"/>
      <c r="C68" s="75"/>
      <c r="D68" s="75"/>
      <c r="E68" s="24"/>
      <c r="F68" s="25"/>
      <c r="G68" s="78"/>
      <c r="H68" s="76"/>
      <c r="I68" s="72"/>
      <c r="J68" s="18"/>
      <c r="K68" s="18"/>
      <c r="L68" s="18"/>
      <c r="M68" s="18"/>
    </row>
    <row r="69" spans="2:13" ht="12.95" customHeight="1" x14ac:dyDescent="0.3">
      <c r="B69" s="40" t="s">
        <v>143</v>
      </c>
      <c r="C69" s="41"/>
      <c r="D69" s="42" t="s">
        <v>37</v>
      </c>
      <c r="E69" s="70">
        <v>221015</v>
      </c>
      <c r="F69" s="21">
        <v>2</v>
      </c>
      <c r="G69" s="3">
        <f t="shared" ref="G69:G72" si="9">TRUNC($E69*F69,1)</f>
        <v>442030</v>
      </c>
      <c r="H69" s="62"/>
      <c r="I69" s="62"/>
      <c r="J69" s="18"/>
      <c r="K69" s="18"/>
      <c r="L69" s="18"/>
      <c r="M69" s="18"/>
    </row>
    <row r="70" spans="2:13" ht="12.95" customHeight="1" x14ac:dyDescent="0.3">
      <c r="B70" s="68" t="s">
        <v>7</v>
      </c>
      <c r="C70" s="68" t="s">
        <v>63</v>
      </c>
      <c r="D70" s="69" t="s">
        <v>48</v>
      </c>
      <c r="E70" s="70">
        <v>58925</v>
      </c>
      <c r="F70" s="21">
        <v>8</v>
      </c>
      <c r="G70" s="3">
        <f t="shared" si="9"/>
        <v>471400</v>
      </c>
      <c r="H70" s="79"/>
      <c r="I70" s="78"/>
      <c r="J70" s="18"/>
      <c r="K70" s="18"/>
      <c r="L70" s="18"/>
      <c r="M70" s="18"/>
    </row>
    <row r="71" spans="2:13" ht="12.95" customHeight="1" x14ac:dyDescent="0.3">
      <c r="B71" s="68" t="s">
        <v>64</v>
      </c>
      <c r="C71" s="68" t="s">
        <v>29</v>
      </c>
      <c r="D71" s="69" t="s">
        <v>48</v>
      </c>
      <c r="E71" s="70">
        <v>58925</v>
      </c>
      <c r="F71" s="21">
        <v>8</v>
      </c>
      <c r="G71" s="3">
        <f t="shared" si="9"/>
        <v>471400</v>
      </c>
      <c r="H71" s="79"/>
      <c r="I71" s="78"/>
      <c r="J71" s="18"/>
      <c r="K71" s="18"/>
      <c r="L71" s="18"/>
      <c r="M71" s="18"/>
    </row>
    <row r="72" spans="2:13" ht="12.95" customHeight="1" x14ac:dyDescent="0.3">
      <c r="B72" s="68" t="s">
        <v>61</v>
      </c>
      <c r="C72" s="68" t="s">
        <v>19</v>
      </c>
      <c r="D72" s="69" t="s">
        <v>48</v>
      </c>
      <c r="E72" s="70">
        <v>49698</v>
      </c>
      <c r="F72" s="21">
        <v>4</v>
      </c>
      <c r="G72" s="3">
        <f t="shared" si="9"/>
        <v>198792</v>
      </c>
      <c r="H72" s="79"/>
      <c r="I72" s="78"/>
      <c r="J72" s="18"/>
      <c r="K72" s="18"/>
      <c r="L72" s="18"/>
      <c r="M72" s="18"/>
    </row>
    <row r="73" spans="2:13" ht="12.95" customHeight="1" x14ac:dyDescent="0.3">
      <c r="B73" s="45" t="s">
        <v>39</v>
      </c>
      <c r="C73" s="75"/>
      <c r="D73" s="75"/>
      <c r="E73" s="24"/>
      <c r="F73" s="25"/>
      <c r="G73" s="20">
        <f>TRUNC(SUM(G69:G72))</f>
        <v>1583622</v>
      </c>
      <c r="H73" s="18"/>
      <c r="I73" s="18"/>
      <c r="J73" s="18"/>
      <c r="K73" s="18"/>
      <c r="L73" s="18"/>
      <c r="M73" s="18"/>
    </row>
    <row r="74" spans="2:13" ht="12.95" customHeight="1" x14ac:dyDescent="0.3">
      <c r="B74" s="77"/>
      <c r="C74" s="75"/>
      <c r="D74" s="75"/>
      <c r="E74" s="24"/>
      <c r="F74" s="25"/>
      <c r="G74" s="78"/>
      <c r="H74" s="18"/>
      <c r="I74" s="18"/>
      <c r="J74" s="18"/>
      <c r="K74" s="18"/>
      <c r="L74" s="18"/>
      <c r="M74" s="18"/>
    </row>
    <row r="75" spans="2:13" ht="12.95" customHeight="1" x14ac:dyDescent="0.3">
      <c r="B75" s="68" t="s">
        <v>7</v>
      </c>
      <c r="C75" s="68" t="s">
        <v>63</v>
      </c>
      <c r="D75" s="69" t="s">
        <v>48</v>
      </c>
      <c r="E75" s="70">
        <v>46851</v>
      </c>
      <c r="F75" s="21">
        <v>8</v>
      </c>
      <c r="G75" s="3">
        <f t="shared" ref="G75:G77" si="10">TRUNC($E75*F75,1)</f>
        <v>374808</v>
      </c>
      <c r="H75" s="18"/>
      <c r="I75" s="18"/>
      <c r="J75" s="18"/>
      <c r="K75" s="18"/>
      <c r="L75" s="18"/>
      <c r="M75" s="18"/>
    </row>
    <row r="76" spans="2:13" ht="12.95" customHeight="1" x14ac:dyDescent="0.3">
      <c r="B76" s="68" t="s">
        <v>64</v>
      </c>
      <c r="C76" s="68" t="s">
        <v>29</v>
      </c>
      <c r="D76" s="69" t="s">
        <v>48</v>
      </c>
      <c r="E76" s="70">
        <v>29191</v>
      </c>
      <c r="F76" s="21">
        <v>8</v>
      </c>
      <c r="G76" s="3">
        <f t="shared" si="10"/>
        <v>233528</v>
      </c>
      <c r="H76" s="18"/>
      <c r="I76" s="18"/>
      <c r="J76" s="18"/>
      <c r="K76" s="18"/>
      <c r="L76" s="18"/>
      <c r="M76" s="18"/>
    </row>
    <row r="77" spans="2:13" ht="12.95" customHeight="1" x14ac:dyDescent="0.3">
      <c r="B77" s="68" t="s">
        <v>61</v>
      </c>
      <c r="C77" s="68" t="s">
        <v>19</v>
      </c>
      <c r="D77" s="69" t="s">
        <v>48</v>
      </c>
      <c r="E77" s="70">
        <v>19154</v>
      </c>
      <c r="F77" s="21">
        <v>4</v>
      </c>
      <c r="G77" s="3">
        <f t="shared" si="10"/>
        <v>76616</v>
      </c>
      <c r="H77" s="80"/>
      <c r="I77" s="78"/>
      <c r="J77" s="18"/>
      <c r="K77" s="18"/>
      <c r="L77" s="18"/>
      <c r="M77" s="18"/>
    </row>
    <row r="78" spans="2:13" ht="12.95" customHeight="1" x14ac:dyDescent="0.3">
      <c r="B78" s="74" t="s">
        <v>40</v>
      </c>
      <c r="C78" s="75"/>
      <c r="D78" s="75"/>
      <c r="E78" s="81"/>
      <c r="F78" s="19"/>
      <c r="G78" s="20">
        <f>TRUNC(SUM(G75:G77))</f>
        <v>684952</v>
      </c>
      <c r="H78" s="18"/>
      <c r="I78" s="18"/>
      <c r="J78" s="18"/>
      <c r="K78" s="18"/>
      <c r="L78" s="18"/>
      <c r="M78" s="18"/>
    </row>
    <row r="79" spans="2:13" ht="12.95" customHeight="1" x14ac:dyDescent="0.3">
      <c r="B79" s="82"/>
      <c r="C79" s="68"/>
      <c r="D79" s="68"/>
      <c r="E79" s="83"/>
      <c r="F79" s="84"/>
      <c r="G79" s="72"/>
      <c r="H79" s="79"/>
      <c r="I79" s="78"/>
      <c r="J79" s="18"/>
      <c r="K79" s="18"/>
      <c r="L79" s="18"/>
      <c r="M79" s="18"/>
    </row>
    <row r="80" spans="2:13" ht="12.95" customHeight="1" x14ac:dyDescent="0.3">
      <c r="B80" s="51" t="s">
        <v>42</v>
      </c>
      <c r="C80" s="75"/>
      <c r="D80" s="75"/>
      <c r="E80" s="81"/>
      <c r="F80" s="81"/>
      <c r="G80" s="85">
        <f>SUM(G67+G73+G78)</f>
        <v>2888118</v>
      </c>
      <c r="H80" s="18"/>
      <c r="I80" s="18"/>
      <c r="J80" s="18"/>
      <c r="K80" s="18"/>
      <c r="L80" s="18"/>
      <c r="M80" s="18"/>
    </row>
    <row r="81" spans="2:13" ht="12.95" customHeight="1" x14ac:dyDescent="0.3">
      <c r="B81" s="52" t="s">
        <v>225</v>
      </c>
      <c r="C81" s="86"/>
      <c r="D81" s="86"/>
      <c r="E81" s="87"/>
      <c r="F81" s="87"/>
      <c r="G81" s="8">
        <f>TRUNC(G80/G62)</f>
        <v>4813</v>
      </c>
      <c r="H81" s="18"/>
      <c r="I81" s="18"/>
      <c r="J81" s="18"/>
      <c r="K81" s="18"/>
      <c r="L81" s="18"/>
      <c r="M81" s="18"/>
    </row>
    <row r="82" spans="2:13" ht="12.95" customHeight="1" x14ac:dyDescent="0.3">
      <c r="B82" s="8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2:13" ht="12.95" customHeight="1" x14ac:dyDescent="0.3">
      <c r="B83" s="29" t="s">
        <v>67</v>
      </c>
    </row>
    <row r="84" spans="2:13" ht="12.95" customHeight="1" x14ac:dyDescent="0.3">
      <c r="B84" s="60" t="s">
        <v>68</v>
      </c>
      <c r="C84" s="61"/>
      <c r="D84" s="62"/>
      <c r="E84" s="63"/>
      <c r="F84" s="62"/>
      <c r="G84" s="33" t="s">
        <v>58</v>
      </c>
      <c r="H84" s="62"/>
      <c r="I84" s="62"/>
      <c r="J84" s="62"/>
      <c r="K84" s="62"/>
      <c r="L84" s="62"/>
      <c r="M84" s="62"/>
    </row>
    <row r="85" spans="2:13" ht="12.95" customHeight="1" x14ac:dyDescent="0.3">
      <c r="B85" s="161" t="s">
        <v>30</v>
      </c>
      <c r="C85" s="163" t="s">
        <v>46</v>
      </c>
      <c r="D85" s="125" t="s">
        <v>35</v>
      </c>
      <c r="E85" s="145" t="s">
        <v>31</v>
      </c>
      <c r="F85" s="34" t="s">
        <v>224</v>
      </c>
      <c r="G85" s="37">
        <v>150</v>
      </c>
      <c r="H85" s="65"/>
      <c r="I85" s="66"/>
      <c r="J85" s="18"/>
      <c r="K85" s="18"/>
      <c r="L85" s="18"/>
      <c r="M85" s="18"/>
    </row>
    <row r="86" spans="2:13" ht="12.95" customHeight="1" x14ac:dyDescent="0.3">
      <c r="B86" s="162"/>
      <c r="C86" s="164"/>
      <c r="D86" s="125"/>
      <c r="E86" s="147"/>
      <c r="F86" s="38" t="s">
        <v>32</v>
      </c>
      <c r="G86" s="39" t="s">
        <v>33</v>
      </c>
      <c r="H86" s="65"/>
      <c r="I86" s="66"/>
      <c r="J86" s="18"/>
      <c r="K86" s="18"/>
      <c r="L86" s="18"/>
      <c r="M86" s="18"/>
    </row>
    <row r="87" spans="2:13" ht="12.95" customHeight="1" x14ac:dyDescent="0.3">
      <c r="B87" s="68" t="s">
        <v>291</v>
      </c>
      <c r="C87" s="68" t="s">
        <v>23</v>
      </c>
      <c r="D87" s="69" t="s">
        <v>48</v>
      </c>
      <c r="E87" s="70">
        <v>18733</v>
      </c>
      <c r="F87" s="21">
        <v>8</v>
      </c>
      <c r="G87" s="3">
        <f t="shared" ref="G87:G89" si="11">TRUNC($E87*F87,1)</f>
        <v>149864</v>
      </c>
      <c r="H87" s="71"/>
      <c r="I87" s="72"/>
      <c r="J87" s="18"/>
      <c r="K87" s="18"/>
      <c r="L87" s="18"/>
      <c r="M87" s="18"/>
    </row>
    <row r="88" spans="2:13" ht="12.95" customHeight="1" x14ac:dyDescent="0.3">
      <c r="B88" s="73" t="s">
        <v>66</v>
      </c>
      <c r="C88" s="68" t="s">
        <v>65</v>
      </c>
      <c r="D88" s="69" t="s">
        <v>48</v>
      </c>
      <c r="E88" s="70">
        <v>3742</v>
      </c>
      <c r="F88" s="21">
        <v>8</v>
      </c>
      <c r="G88" s="3">
        <f t="shared" si="11"/>
        <v>29936</v>
      </c>
      <c r="H88" s="71"/>
      <c r="I88" s="72"/>
      <c r="J88" s="18"/>
      <c r="K88" s="18"/>
      <c r="L88" s="18"/>
      <c r="M88" s="18"/>
    </row>
    <row r="89" spans="2:13" ht="12.95" customHeight="1" x14ac:dyDescent="0.3">
      <c r="B89" s="68" t="s">
        <v>61</v>
      </c>
      <c r="C89" s="68" t="s">
        <v>52</v>
      </c>
      <c r="D89" s="69" t="s">
        <v>48</v>
      </c>
      <c r="E89" s="70">
        <v>18200</v>
      </c>
      <c r="F89" s="21">
        <v>4</v>
      </c>
      <c r="G89" s="3">
        <f t="shared" si="11"/>
        <v>72800</v>
      </c>
      <c r="H89" s="62"/>
      <c r="I89" s="62"/>
      <c r="J89" s="18"/>
      <c r="K89" s="18"/>
      <c r="L89" s="18"/>
      <c r="M89" s="18"/>
    </row>
    <row r="90" spans="2:13" ht="12.95" customHeight="1" x14ac:dyDescent="0.3">
      <c r="B90" s="74" t="s">
        <v>38</v>
      </c>
      <c r="C90" s="75"/>
      <c r="D90" s="75"/>
      <c r="E90" s="24"/>
      <c r="F90" s="25"/>
      <c r="G90" s="20">
        <f>TRUNC(SUM(G87:G89))</f>
        <v>252600</v>
      </c>
      <c r="H90" s="76"/>
      <c r="I90" s="72"/>
      <c r="J90" s="18"/>
      <c r="K90" s="18"/>
      <c r="L90" s="18"/>
      <c r="M90" s="18"/>
    </row>
    <row r="91" spans="2:13" ht="12.95" customHeight="1" x14ac:dyDescent="0.3">
      <c r="B91" s="77"/>
      <c r="C91" s="75"/>
      <c r="D91" s="75"/>
      <c r="E91" s="24"/>
      <c r="F91" s="25"/>
      <c r="G91" s="78"/>
      <c r="H91" s="76"/>
      <c r="I91" s="72"/>
      <c r="J91" s="18"/>
      <c r="K91" s="18"/>
      <c r="L91" s="18"/>
      <c r="M91" s="18"/>
    </row>
    <row r="92" spans="2:13" ht="12.95" customHeight="1" x14ac:dyDescent="0.3">
      <c r="B92" s="40" t="s">
        <v>143</v>
      </c>
      <c r="C92" s="41"/>
      <c r="D92" s="42" t="s">
        <v>37</v>
      </c>
      <c r="E92" s="70">
        <v>221015</v>
      </c>
      <c r="F92" s="21">
        <v>2</v>
      </c>
      <c r="G92" s="3">
        <f t="shared" ref="G92:G96" si="12">TRUNC($E92*F92,1)</f>
        <v>442030</v>
      </c>
      <c r="H92" s="62"/>
      <c r="I92" s="62"/>
      <c r="J92" s="18"/>
      <c r="K92" s="18"/>
      <c r="L92" s="18"/>
      <c r="M92" s="18"/>
    </row>
    <row r="93" spans="2:13" ht="12.95" customHeight="1" x14ac:dyDescent="0.3">
      <c r="B93" s="40" t="s">
        <v>8</v>
      </c>
      <c r="C93" s="41"/>
      <c r="D93" s="42" t="s">
        <v>37</v>
      </c>
      <c r="E93" s="70">
        <v>172068</v>
      </c>
      <c r="F93" s="21">
        <v>2</v>
      </c>
      <c r="G93" s="3">
        <f t="shared" si="12"/>
        <v>344136</v>
      </c>
      <c r="H93" s="79"/>
      <c r="I93" s="78"/>
      <c r="J93" s="18"/>
      <c r="K93" s="18"/>
      <c r="L93" s="18"/>
      <c r="M93" s="18"/>
    </row>
    <row r="94" spans="2:13" ht="12.95" customHeight="1" x14ac:dyDescent="0.3">
      <c r="B94" s="68" t="s">
        <v>291</v>
      </c>
      <c r="C94" s="68" t="s">
        <v>23</v>
      </c>
      <c r="D94" s="69" t="s">
        <v>48</v>
      </c>
      <c r="E94" s="70">
        <v>58925</v>
      </c>
      <c r="F94" s="21">
        <v>8</v>
      </c>
      <c r="G94" s="3">
        <f t="shared" si="12"/>
        <v>471400</v>
      </c>
      <c r="H94" s="79"/>
      <c r="I94" s="78"/>
      <c r="J94" s="18"/>
      <c r="K94" s="18"/>
      <c r="L94" s="18"/>
      <c r="M94" s="18"/>
    </row>
    <row r="95" spans="2:13" ht="12.95" customHeight="1" x14ac:dyDescent="0.3">
      <c r="B95" s="73" t="s">
        <v>66</v>
      </c>
      <c r="C95" s="68" t="s">
        <v>65</v>
      </c>
      <c r="D95" s="69" t="s">
        <v>48</v>
      </c>
      <c r="E95" s="70">
        <v>36190</v>
      </c>
      <c r="F95" s="21">
        <v>8</v>
      </c>
      <c r="G95" s="3">
        <f t="shared" si="12"/>
        <v>289520</v>
      </c>
      <c r="H95" s="79"/>
      <c r="I95" s="78"/>
      <c r="J95" s="18"/>
      <c r="K95" s="18"/>
      <c r="L95" s="18"/>
      <c r="M95" s="18"/>
    </row>
    <row r="96" spans="2:13" ht="12.95" customHeight="1" x14ac:dyDescent="0.3">
      <c r="B96" s="68" t="s">
        <v>61</v>
      </c>
      <c r="C96" s="68" t="s">
        <v>52</v>
      </c>
      <c r="D96" s="69" t="s">
        <v>48</v>
      </c>
      <c r="E96" s="70">
        <v>49698</v>
      </c>
      <c r="F96" s="21">
        <v>4</v>
      </c>
      <c r="G96" s="3">
        <f t="shared" si="12"/>
        <v>198792</v>
      </c>
      <c r="H96" s="79"/>
      <c r="I96" s="78"/>
      <c r="J96" s="18"/>
      <c r="K96" s="18"/>
      <c r="L96" s="18"/>
      <c r="M96" s="18"/>
    </row>
    <row r="97" spans="2:13" ht="12.95" customHeight="1" x14ac:dyDescent="0.3">
      <c r="B97" s="45" t="s">
        <v>39</v>
      </c>
      <c r="C97" s="75"/>
      <c r="D97" s="75"/>
      <c r="E97" s="24"/>
      <c r="F97" s="25"/>
      <c r="G97" s="20">
        <f>TRUNC(SUM(G92:G96))</f>
        <v>1745878</v>
      </c>
      <c r="H97" s="18"/>
      <c r="I97" s="18"/>
      <c r="J97" s="18"/>
      <c r="K97" s="18"/>
      <c r="L97" s="18"/>
      <c r="M97" s="18"/>
    </row>
    <row r="98" spans="2:13" ht="12.95" customHeight="1" x14ac:dyDescent="0.3">
      <c r="B98" s="77"/>
      <c r="C98" s="75"/>
      <c r="D98" s="75"/>
      <c r="E98" s="24"/>
      <c r="F98" s="25"/>
      <c r="G98" s="78"/>
      <c r="H98" s="18"/>
      <c r="I98" s="18"/>
      <c r="J98" s="18"/>
      <c r="K98" s="18"/>
      <c r="L98" s="18"/>
      <c r="M98" s="18"/>
    </row>
    <row r="99" spans="2:13" ht="12.95" customHeight="1" x14ac:dyDescent="0.3">
      <c r="B99" s="68" t="s">
        <v>291</v>
      </c>
      <c r="C99" s="68" t="s">
        <v>23</v>
      </c>
      <c r="D99" s="69" t="s">
        <v>48</v>
      </c>
      <c r="E99" s="70">
        <v>23423</v>
      </c>
      <c r="F99" s="21">
        <v>8</v>
      </c>
      <c r="G99" s="3">
        <f t="shared" ref="G99:G101" si="13">TRUNC($E99*F99,1)</f>
        <v>187384</v>
      </c>
      <c r="H99" s="18"/>
      <c r="I99" s="18"/>
      <c r="J99" s="18"/>
      <c r="K99" s="18"/>
      <c r="L99" s="18"/>
      <c r="M99" s="18"/>
    </row>
    <row r="100" spans="2:13" ht="12.95" customHeight="1" x14ac:dyDescent="0.3">
      <c r="B100" s="73" t="s">
        <v>66</v>
      </c>
      <c r="C100" s="68" t="s">
        <v>65</v>
      </c>
      <c r="D100" s="69" t="s">
        <v>48</v>
      </c>
      <c r="E100" s="70">
        <v>1967</v>
      </c>
      <c r="F100" s="21">
        <v>8</v>
      </c>
      <c r="G100" s="3">
        <f t="shared" si="13"/>
        <v>15736</v>
      </c>
      <c r="H100" s="18"/>
      <c r="I100" s="18"/>
      <c r="J100" s="18"/>
      <c r="K100" s="18"/>
      <c r="L100" s="18"/>
      <c r="M100" s="18"/>
    </row>
    <row r="101" spans="2:13" ht="12.95" customHeight="1" x14ac:dyDescent="0.3">
      <c r="B101" s="68" t="s">
        <v>61</v>
      </c>
      <c r="C101" s="68" t="s">
        <v>52</v>
      </c>
      <c r="D101" s="69" t="s">
        <v>48</v>
      </c>
      <c r="E101" s="70">
        <v>9986</v>
      </c>
      <c r="F101" s="21">
        <v>4</v>
      </c>
      <c r="G101" s="3">
        <f t="shared" si="13"/>
        <v>39944</v>
      </c>
      <c r="H101" s="80"/>
      <c r="I101" s="78"/>
      <c r="J101" s="18"/>
      <c r="K101" s="18"/>
      <c r="L101" s="18"/>
      <c r="M101" s="18"/>
    </row>
    <row r="102" spans="2:13" ht="12.95" customHeight="1" x14ac:dyDescent="0.3">
      <c r="B102" s="74" t="s">
        <v>40</v>
      </c>
      <c r="C102" s="75"/>
      <c r="D102" s="75"/>
      <c r="E102" s="81"/>
      <c r="F102" s="19"/>
      <c r="G102" s="20">
        <f>TRUNC(SUM(G99:G101))</f>
        <v>243064</v>
      </c>
      <c r="H102" s="18"/>
      <c r="I102" s="18"/>
      <c r="J102" s="18"/>
      <c r="K102" s="18"/>
      <c r="L102" s="18"/>
      <c r="M102" s="18"/>
    </row>
    <row r="103" spans="2:13" ht="12.95" customHeight="1" x14ac:dyDescent="0.3">
      <c r="B103" s="82"/>
      <c r="C103" s="68"/>
      <c r="D103" s="68"/>
      <c r="E103" s="83"/>
      <c r="F103" s="84"/>
      <c r="G103" s="72"/>
      <c r="H103" s="79"/>
      <c r="I103" s="78"/>
      <c r="J103" s="18"/>
      <c r="K103" s="18"/>
      <c r="L103" s="18"/>
      <c r="M103" s="18"/>
    </row>
    <row r="104" spans="2:13" ht="12.95" customHeight="1" x14ac:dyDescent="0.3">
      <c r="B104" s="51" t="s">
        <v>42</v>
      </c>
      <c r="C104" s="75"/>
      <c r="D104" s="75"/>
      <c r="E104" s="81"/>
      <c r="F104" s="81"/>
      <c r="G104" s="85">
        <f>SUM(G90+G97+G102)</f>
        <v>2241542</v>
      </c>
      <c r="H104" s="18"/>
      <c r="I104" s="18"/>
      <c r="J104" s="18"/>
      <c r="K104" s="18"/>
      <c r="L104" s="18"/>
      <c r="M104" s="18"/>
    </row>
    <row r="105" spans="2:13" ht="12.95" customHeight="1" x14ac:dyDescent="0.3">
      <c r="B105" s="52" t="s">
        <v>225</v>
      </c>
      <c r="C105" s="86"/>
      <c r="D105" s="86"/>
      <c r="E105" s="87"/>
      <c r="F105" s="87"/>
      <c r="G105" s="8">
        <f>TRUNC(G104/G85)</f>
        <v>14943</v>
      </c>
      <c r="H105" s="18"/>
      <c r="I105" s="18"/>
      <c r="J105" s="18"/>
      <c r="K105" s="18"/>
      <c r="L105" s="18"/>
      <c r="M105" s="18"/>
    </row>
    <row r="106" spans="2:13" ht="12.95" customHeight="1" x14ac:dyDescent="0.3">
      <c r="B106" s="8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2:13" ht="12.95" customHeight="1" x14ac:dyDescent="0.3">
      <c r="B107" s="60" t="s">
        <v>69</v>
      </c>
      <c r="C107" s="61"/>
      <c r="D107" s="62"/>
      <c r="E107" s="63"/>
      <c r="F107" s="62"/>
      <c r="G107" s="33" t="s">
        <v>58</v>
      </c>
      <c r="H107" s="62"/>
      <c r="I107" s="62"/>
      <c r="J107" s="62"/>
      <c r="K107" s="62"/>
      <c r="L107" s="62"/>
      <c r="M107" s="62"/>
    </row>
    <row r="108" spans="2:13" ht="12.95" customHeight="1" x14ac:dyDescent="0.3">
      <c r="B108" s="161" t="s">
        <v>30</v>
      </c>
      <c r="C108" s="163" t="s">
        <v>46</v>
      </c>
      <c r="D108" s="125" t="s">
        <v>35</v>
      </c>
      <c r="E108" s="145" t="s">
        <v>31</v>
      </c>
      <c r="F108" s="34" t="s">
        <v>224</v>
      </c>
      <c r="G108" s="37">
        <v>225</v>
      </c>
      <c r="H108" s="65"/>
      <c r="I108" s="66"/>
      <c r="J108" s="18"/>
      <c r="K108" s="18"/>
      <c r="L108" s="18"/>
      <c r="M108" s="18"/>
    </row>
    <row r="109" spans="2:13" ht="12.95" customHeight="1" x14ac:dyDescent="0.3">
      <c r="B109" s="162"/>
      <c r="C109" s="164"/>
      <c r="D109" s="125"/>
      <c r="E109" s="147"/>
      <c r="F109" s="38" t="s">
        <v>32</v>
      </c>
      <c r="G109" s="39" t="s">
        <v>33</v>
      </c>
      <c r="H109" s="65"/>
      <c r="I109" s="66"/>
      <c r="J109" s="18"/>
      <c r="K109" s="18"/>
      <c r="L109" s="18"/>
      <c r="M109" s="18"/>
    </row>
    <row r="110" spans="2:13" ht="12.95" customHeight="1" x14ac:dyDescent="0.3">
      <c r="B110" s="68" t="s">
        <v>291</v>
      </c>
      <c r="C110" s="68" t="s">
        <v>5</v>
      </c>
      <c r="D110" s="69" t="s">
        <v>48</v>
      </c>
      <c r="E110" s="70">
        <v>35814</v>
      </c>
      <c r="F110" s="21">
        <v>8</v>
      </c>
      <c r="G110" s="3">
        <f t="shared" ref="G110:G112" si="14">TRUNC($E110*F110,1)</f>
        <v>286512</v>
      </c>
      <c r="H110" s="71"/>
      <c r="I110" s="72"/>
      <c r="J110" s="18"/>
      <c r="K110" s="18"/>
      <c r="L110" s="18"/>
      <c r="M110" s="18"/>
    </row>
    <row r="111" spans="2:13" ht="12.95" customHeight="1" x14ac:dyDescent="0.3">
      <c r="B111" s="68" t="s">
        <v>64</v>
      </c>
      <c r="C111" s="68" t="s">
        <v>29</v>
      </c>
      <c r="D111" s="69" t="s">
        <v>48</v>
      </c>
      <c r="E111" s="70">
        <v>30921</v>
      </c>
      <c r="F111" s="21">
        <v>8</v>
      </c>
      <c r="G111" s="3">
        <f t="shared" si="14"/>
        <v>247368</v>
      </c>
      <c r="H111" s="71"/>
      <c r="I111" s="72"/>
      <c r="J111" s="18"/>
      <c r="K111" s="18"/>
      <c r="L111" s="18"/>
      <c r="M111" s="18"/>
    </row>
    <row r="112" spans="2:13" ht="12.95" customHeight="1" x14ac:dyDescent="0.3">
      <c r="B112" s="68" t="s">
        <v>61</v>
      </c>
      <c r="C112" s="68" t="s">
        <v>19</v>
      </c>
      <c r="D112" s="69" t="s">
        <v>48</v>
      </c>
      <c r="E112" s="70">
        <v>25246</v>
      </c>
      <c r="F112" s="21">
        <v>4</v>
      </c>
      <c r="G112" s="3">
        <f t="shared" si="14"/>
        <v>100984</v>
      </c>
      <c r="H112" s="62"/>
      <c r="I112" s="62"/>
      <c r="J112" s="18"/>
      <c r="K112" s="18"/>
      <c r="L112" s="18"/>
      <c r="M112" s="18"/>
    </row>
    <row r="113" spans="2:13" ht="12.95" customHeight="1" x14ac:dyDescent="0.3">
      <c r="B113" s="74" t="s">
        <v>38</v>
      </c>
      <c r="C113" s="75"/>
      <c r="D113" s="75"/>
      <c r="E113" s="24"/>
      <c r="F113" s="25"/>
      <c r="G113" s="20">
        <f>TRUNC(SUM(G110:G112))</f>
        <v>634864</v>
      </c>
      <c r="H113" s="76"/>
      <c r="I113" s="72"/>
      <c r="J113" s="18"/>
      <c r="K113" s="18"/>
      <c r="L113" s="18"/>
      <c r="M113" s="18"/>
    </row>
    <row r="114" spans="2:13" ht="12.95" customHeight="1" x14ac:dyDescent="0.3">
      <c r="B114" s="77"/>
      <c r="C114" s="75"/>
      <c r="D114" s="75"/>
      <c r="E114" s="24"/>
      <c r="F114" s="25"/>
      <c r="G114" s="78"/>
      <c r="H114" s="76"/>
      <c r="I114" s="72"/>
      <c r="J114" s="18"/>
      <c r="K114" s="18"/>
      <c r="L114" s="18"/>
      <c r="M114" s="18"/>
    </row>
    <row r="115" spans="2:13" ht="12.95" customHeight="1" x14ac:dyDescent="0.3">
      <c r="B115" s="40" t="s">
        <v>143</v>
      </c>
      <c r="C115" s="41"/>
      <c r="D115" s="42" t="s">
        <v>37</v>
      </c>
      <c r="E115" s="70">
        <v>221015</v>
      </c>
      <c r="F115" s="21">
        <v>2</v>
      </c>
      <c r="G115" s="3">
        <f t="shared" ref="G115:G119" si="15">TRUNC($E115*F115,1)</f>
        <v>442030</v>
      </c>
      <c r="H115" s="62"/>
      <c r="I115" s="62"/>
      <c r="J115" s="18"/>
      <c r="K115" s="18"/>
      <c r="L115" s="18"/>
      <c r="M115" s="18"/>
    </row>
    <row r="116" spans="2:13" ht="12.95" customHeight="1" x14ac:dyDescent="0.3">
      <c r="B116" s="40" t="s">
        <v>8</v>
      </c>
      <c r="C116" s="41"/>
      <c r="D116" s="42" t="s">
        <v>37</v>
      </c>
      <c r="E116" s="70">
        <v>172068</v>
      </c>
      <c r="F116" s="21">
        <v>1</v>
      </c>
      <c r="G116" s="3">
        <f t="shared" si="15"/>
        <v>172068</v>
      </c>
      <c r="H116" s="79"/>
      <c r="I116" s="78"/>
      <c r="J116" s="18"/>
      <c r="K116" s="18"/>
      <c r="L116" s="18"/>
      <c r="M116" s="18"/>
    </row>
    <row r="117" spans="2:13" ht="12.95" customHeight="1" x14ac:dyDescent="0.3">
      <c r="B117" s="68" t="s">
        <v>291</v>
      </c>
      <c r="C117" s="68" t="s">
        <v>5</v>
      </c>
      <c r="D117" s="69" t="s">
        <v>48</v>
      </c>
      <c r="E117" s="70">
        <v>58925</v>
      </c>
      <c r="F117" s="21">
        <v>8</v>
      </c>
      <c r="G117" s="3">
        <f t="shared" si="15"/>
        <v>471400</v>
      </c>
      <c r="H117" s="79"/>
      <c r="I117" s="78"/>
      <c r="J117" s="18"/>
      <c r="K117" s="18"/>
      <c r="L117" s="18"/>
      <c r="M117" s="18"/>
    </row>
    <row r="118" spans="2:13" ht="12.95" customHeight="1" x14ac:dyDescent="0.3">
      <c r="B118" s="68" t="s">
        <v>64</v>
      </c>
      <c r="C118" s="68" t="s">
        <v>29</v>
      </c>
      <c r="D118" s="69" t="s">
        <v>48</v>
      </c>
      <c r="E118" s="70">
        <v>58925</v>
      </c>
      <c r="F118" s="21">
        <v>8</v>
      </c>
      <c r="G118" s="3">
        <f t="shared" si="15"/>
        <v>471400</v>
      </c>
      <c r="H118" s="79"/>
      <c r="I118" s="78"/>
      <c r="J118" s="18"/>
      <c r="K118" s="18"/>
      <c r="L118" s="18"/>
      <c r="M118" s="18"/>
    </row>
    <row r="119" spans="2:13" ht="12.95" customHeight="1" x14ac:dyDescent="0.3">
      <c r="B119" s="68" t="s">
        <v>61</v>
      </c>
      <c r="C119" s="68" t="s">
        <v>19</v>
      </c>
      <c r="D119" s="69" t="s">
        <v>48</v>
      </c>
      <c r="E119" s="70">
        <v>49698</v>
      </c>
      <c r="F119" s="21">
        <v>4</v>
      </c>
      <c r="G119" s="3">
        <f t="shared" si="15"/>
        <v>198792</v>
      </c>
      <c r="H119" s="79"/>
      <c r="I119" s="78"/>
      <c r="J119" s="18"/>
      <c r="K119" s="18"/>
      <c r="L119" s="18"/>
      <c r="M119" s="18"/>
    </row>
    <row r="120" spans="2:13" ht="12.95" customHeight="1" x14ac:dyDescent="0.3">
      <c r="B120" s="45" t="s">
        <v>39</v>
      </c>
      <c r="C120" s="75"/>
      <c r="D120" s="75"/>
      <c r="E120" s="24"/>
      <c r="F120" s="25"/>
      <c r="G120" s="20">
        <f>TRUNC(SUM(G115:G119))</f>
        <v>1755690</v>
      </c>
      <c r="H120" s="18"/>
      <c r="I120" s="18"/>
      <c r="J120" s="18"/>
      <c r="K120" s="18"/>
      <c r="L120" s="18"/>
      <c r="M120" s="18"/>
    </row>
    <row r="121" spans="2:13" ht="12.95" customHeight="1" x14ac:dyDescent="0.3">
      <c r="B121" s="77"/>
      <c r="C121" s="75"/>
      <c r="D121" s="75"/>
      <c r="E121" s="24"/>
      <c r="F121" s="25"/>
      <c r="G121" s="78"/>
      <c r="H121" s="18"/>
      <c r="I121" s="18"/>
      <c r="J121" s="18"/>
      <c r="K121" s="18"/>
      <c r="L121" s="18"/>
      <c r="M121" s="18"/>
    </row>
    <row r="122" spans="2:13" ht="12.95" customHeight="1" x14ac:dyDescent="0.3">
      <c r="B122" s="68" t="s">
        <v>291</v>
      </c>
      <c r="C122" s="68" t="s">
        <v>5</v>
      </c>
      <c r="D122" s="69" t="s">
        <v>48</v>
      </c>
      <c r="E122" s="70">
        <v>29621</v>
      </c>
      <c r="F122" s="21">
        <v>8</v>
      </c>
      <c r="G122" s="3">
        <f t="shared" ref="G122:G124" si="16">TRUNC($E122*F122,1)</f>
        <v>236968</v>
      </c>
      <c r="H122" s="18"/>
      <c r="I122" s="18"/>
      <c r="J122" s="18"/>
      <c r="K122" s="18"/>
      <c r="L122" s="18"/>
      <c r="M122" s="18"/>
    </row>
    <row r="123" spans="2:13" ht="12.95" customHeight="1" x14ac:dyDescent="0.3">
      <c r="B123" s="68" t="s">
        <v>64</v>
      </c>
      <c r="C123" s="68" t="s">
        <v>29</v>
      </c>
      <c r="D123" s="69" t="s">
        <v>48</v>
      </c>
      <c r="E123" s="70">
        <v>29191</v>
      </c>
      <c r="F123" s="21">
        <v>8</v>
      </c>
      <c r="G123" s="3">
        <f t="shared" si="16"/>
        <v>233528</v>
      </c>
      <c r="H123" s="18"/>
      <c r="I123" s="18"/>
      <c r="J123" s="18"/>
      <c r="K123" s="18"/>
      <c r="L123" s="18"/>
      <c r="M123" s="18"/>
    </row>
    <row r="124" spans="2:13" ht="12.95" customHeight="1" x14ac:dyDescent="0.3">
      <c r="B124" s="68" t="s">
        <v>61</v>
      </c>
      <c r="C124" s="68" t="s">
        <v>19</v>
      </c>
      <c r="D124" s="69" t="s">
        <v>48</v>
      </c>
      <c r="E124" s="70">
        <v>19154</v>
      </c>
      <c r="F124" s="21">
        <v>4</v>
      </c>
      <c r="G124" s="3">
        <f t="shared" si="16"/>
        <v>76616</v>
      </c>
      <c r="H124" s="80"/>
      <c r="I124" s="78"/>
      <c r="J124" s="18"/>
      <c r="K124" s="18"/>
      <c r="L124" s="18"/>
      <c r="M124" s="18"/>
    </row>
    <row r="125" spans="2:13" ht="12.95" customHeight="1" x14ac:dyDescent="0.3">
      <c r="B125" s="74" t="s">
        <v>40</v>
      </c>
      <c r="C125" s="75"/>
      <c r="D125" s="75"/>
      <c r="E125" s="81"/>
      <c r="F125" s="19"/>
      <c r="G125" s="20">
        <f>TRUNC(SUM(G122:G124))</f>
        <v>547112</v>
      </c>
      <c r="H125" s="18"/>
      <c r="I125" s="18"/>
      <c r="J125" s="18"/>
      <c r="K125" s="18"/>
      <c r="L125" s="18"/>
      <c r="M125" s="18"/>
    </row>
    <row r="126" spans="2:13" ht="12.95" customHeight="1" x14ac:dyDescent="0.3">
      <c r="B126" s="82"/>
      <c r="C126" s="68"/>
      <c r="D126" s="68"/>
      <c r="E126" s="83"/>
      <c r="F126" s="84"/>
      <c r="G126" s="72"/>
      <c r="H126" s="79"/>
      <c r="I126" s="78"/>
      <c r="J126" s="18"/>
      <c r="K126" s="18"/>
      <c r="L126" s="18"/>
      <c r="M126" s="18"/>
    </row>
    <row r="127" spans="2:13" ht="12.95" customHeight="1" x14ac:dyDescent="0.3">
      <c r="B127" s="51" t="s">
        <v>42</v>
      </c>
      <c r="C127" s="75"/>
      <c r="D127" s="75"/>
      <c r="E127" s="81"/>
      <c r="F127" s="81"/>
      <c r="G127" s="85">
        <f>SUM(G113+G120+G125)</f>
        <v>2937666</v>
      </c>
      <c r="H127" s="18"/>
      <c r="I127" s="18"/>
      <c r="J127" s="18"/>
      <c r="K127" s="18"/>
      <c r="L127" s="18"/>
      <c r="M127" s="18"/>
    </row>
    <row r="128" spans="2:13" ht="12.95" customHeight="1" x14ac:dyDescent="0.3">
      <c r="B128" s="52" t="s">
        <v>225</v>
      </c>
      <c r="C128" s="86"/>
      <c r="D128" s="86"/>
      <c r="E128" s="87"/>
      <c r="F128" s="87"/>
      <c r="G128" s="8">
        <f>TRUNC(G127/G108)</f>
        <v>13056</v>
      </c>
      <c r="H128" s="18"/>
      <c r="I128" s="18"/>
      <c r="J128" s="18"/>
      <c r="K128" s="18"/>
      <c r="L128" s="18"/>
      <c r="M128" s="18"/>
    </row>
    <row r="129" spans="2:13" ht="12.95" customHeight="1" x14ac:dyDescent="0.3">
      <c r="B129" s="8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2:13" ht="12.95" customHeight="1" x14ac:dyDescent="0.3">
      <c r="B130" s="60" t="s">
        <v>145</v>
      </c>
      <c r="C130" s="61"/>
      <c r="D130" s="62"/>
      <c r="E130" s="63"/>
      <c r="F130" s="62"/>
      <c r="G130" s="33" t="s">
        <v>58</v>
      </c>
      <c r="H130" s="62"/>
      <c r="I130" s="62"/>
      <c r="J130" s="62"/>
      <c r="K130" s="62"/>
      <c r="L130" s="62"/>
      <c r="M130" s="62"/>
    </row>
    <row r="131" spans="2:13" ht="12.95" customHeight="1" x14ac:dyDescent="0.3">
      <c r="B131" s="161" t="s">
        <v>30</v>
      </c>
      <c r="C131" s="163" t="s">
        <v>46</v>
      </c>
      <c r="D131" s="125" t="s">
        <v>35</v>
      </c>
      <c r="E131" s="145" t="s">
        <v>31</v>
      </c>
      <c r="F131" s="34" t="s">
        <v>224</v>
      </c>
      <c r="G131" s="37">
        <v>550</v>
      </c>
      <c r="H131" s="65"/>
      <c r="I131" s="66"/>
      <c r="J131" s="18"/>
      <c r="K131" s="18"/>
      <c r="L131" s="18"/>
      <c r="M131" s="18"/>
    </row>
    <row r="132" spans="2:13" ht="12.95" customHeight="1" x14ac:dyDescent="0.3">
      <c r="B132" s="162"/>
      <c r="C132" s="164"/>
      <c r="D132" s="125"/>
      <c r="E132" s="147"/>
      <c r="F132" s="38" t="s">
        <v>32</v>
      </c>
      <c r="G132" s="39" t="s">
        <v>33</v>
      </c>
      <c r="H132" s="65"/>
      <c r="I132" s="66"/>
      <c r="J132" s="18"/>
      <c r="K132" s="18"/>
      <c r="L132" s="18"/>
      <c r="M132" s="18"/>
    </row>
    <row r="133" spans="2:13" ht="12.95" customHeight="1" x14ac:dyDescent="0.3">
      <c r="B133" s="68" t="s">
        <v>7</v>
      </c>
      <c r="C133" s="68" t="s">
        <v>63</v>
      </c>
      <c r="D133" s="69" t="s">
        <v>48</v>
      </c>
      <c r="E133" s="70">
        <v>33899</v>
      </c>
      <c r="F133" s="21">
        <v>8</v>
      </c>
      <c r="G133" s="3">
        <f t="shared" ref="G133:G135" si="17">TRUNC($E133*F133,1)</f>
        <v>271192</v>
      </c>
      <c r="H133" s="71"/>
      <c r="I133" s="72"/>
      <c r="J133" s="18"/>
      <c r="K133" s="18"/>
      <c r="L133" s="18"/>
      <c r="M133" s="18"/>
    </row>
    <row r="134" spans="2:13" ht="12.95" customHeight="1" x14ac:dyDescent="0.3">
      <c r="B134" s="68" t="s">
        <v>64</v>
      </c>
      <c r="C134" s="68" t="s">
        <v>29</v>
      </c>
      <c r="D134" s="69" t="s">
        <v>48</v>
      </c>
      <c r="E134" s="70">
        <v>30921</v>
      </c>
      <c r="F134" s="21">
        <v>8</v>
      </c>
      <c r="G134" s="3">
        <f t="shared" si="17"/>
        <v>247368</v>
      </c>
      <c r="H134" s="71"/>
      <c r="I134" s="72"/>
      <c r="J134" s="18"/>
      <c r="K134" s="18"/>
      <c r="L134" s="18"/>
      <c r="M134" s="18"/>
    </row>
    <row r="135" spans="2:13" ht="12.95" customHeight="1" x14ac:dyDescent="0.3">
      <c r="B135" s="68" t="s">
        <v>61</v>
      </c>
      <c r="C135" s="68" t="s">
        <v>19</v>
      </c>
      <c r="D135" s="69" t="s">
        <v>48</v>
      </c>
      <c r="E135" s="70">
        <v>25246</v>
      </c>
      <c r="F135" s="21">
        <v>4</v>
      </c>
      <c r="G135" s="3">
        <f t="shared" si="17"/>
        <v>100984</v>
      </c>
      <c r="H135" s="62"/>
      <c r="I135" s="62"/>
      <c r="J135" s="18"/>
      <c r="K135" s="18"/>
      <c r="L135" s="18"/>
      <c r="M135" s="18"/>
    </row>
    <row r="136" spans="2:13" ht="12.95" customHeight="1" x14ac:dyDescent="0.3">
      <c r="B136" s="74" t="s">
        <v>38</v>
      </c>
      <c r="C136" s="75"/>
      <c r="D136" s="75"/>
      <c r="E136" s="24"/>
      <c r="F136" s="25"/>
      <c r="G136" s="20">
        <f>TRUNC(SUM(G133:G135))</f>
        <v>619544</v>
      </c>
      <c r="H136" s="76"/>
      <c r="I136" s="72"/>
      <c r="J136" s="18"/>
      <c r="K136" s="18"/>
      <c r="L136" s="18"/>
      <c r="M136" s="18"/>
    </row>
    <row r="137" spans="2:13" ht="12.95" customHeight="1" x14ac:dyDescent="0.3">
      <c r="B137" s="77"/>
      <c r="C137" s="75"/>
      <c r="D137" s="75"/>
      <c r="E137" s="24"/>
      <c r="F137" s="25"/>
      <c r="G137" s="78"/>
      <c r="H137" s="76"/>
      <c r="I137" s="72"/>
      <c r="J137" s="18"/>
      <c r="K137" s="18"/>
      <c r="L137" s="18"/>
      <c r="M137" s="18"/>
    </row>
    <row r="138" spans="2:13" ht="12.95" customHeight="1" x14ac:dyDescent="0.3">
      <c r="B138" s="40" t="s">
        <v>143</v>
      </c>
      <c r="C138" s="41"/>
      <c r="D138" s="42" t="s">
        <v>37</v>
      </c>
      <c r="E138" s="70">
        <v>221015</v>
      </c>
      <c r="F138" s="21">
        <v>2</v>
      </c>
      <c r="G138" s="3">
        <f t="shared" ref="G138:G141" si="18">TRUNC($E138*F138,1)</f>
        <v>442030</v>
      </c>
      <c r="H138" s="62"/>
      <c r="I138" s="62"/>
      <c r="J138" s="18"/>
      <c r="K138" s="18"/>
      <c r="L138" s="18"/>
      <c r="M138" s="18"/>
    </row>
    <row r="139" spans="2:13" ht="12.95" customHeight="1" x14ac:dyDescent="0.3">
      <c r="B139" s="68" t="s">
        <v>7</v>
      </c>
      <c r="C139" s="68" t="s">
        <v>63</v>
      </c>
      <c r="D139" s="69" t="s">
        <v>48</v>
      </c>
      <c r="E139" s="70">
        <v>58925</v>
      </c>
      <c r="F139" s="21">
        <v>8</v>
      </c>
      <c r="G139" s="3">
        <f t="shared" si="18"/>
        <v>471400</v>
      </c>
      <c r="H139" s="79"/>
      <c r="I139" s="78"/>
      <c r="J139" s="18"/>
      <c r="K139" s="18"/>
      <c r="L139" s="18"/>
      <c r="M139" s="18"/>
    </row>
    <row r="140" spans="2:13" ht="12.95" customHeight="1" x14ac:dyDescent="0.3">
      <c r="B140" s="68" t="s">
        <v>64</v>
      </c>
      <c r="C140" s="68" t="s">
        <v>29</v>
      </c>
      <c r="D140" s="69" t="s">
        <v>48</v>
      </c>
      <c r="E140" s="70">
        <v>58925</v>
      </c>
      <c r="F140" s="21">
        <v>8</v>
      </c>
      <c r="G140" s="3">
        <f t="shared" si="18"/>
        <v>471400</v>
      </c>
      <c r="H140" s="79"/>
      <c r="I140" s="78"/>
      <c r="J140" s="18"/>
      <c r="K140" s="18"/>
      <c r="L140" s="18"/>
      <c r="M140" s="18"/>
    </row>
    <row r="141" spans="2:13" ht="12.95" customHeight="1" x14ac:dyDescent="0.3">
      <c r="B141" s="68" t="s">
        <v>61</v>
      </c>
      <c r="C141" s="68" t="s">
        <v>19</v>
      </c>
      <c r="D141" s="69" t="s">
        <v>48</v>
      </c>
      <c r="E141" s="70">
        <v>49698</v>
      </c>
      <c r="F141" s="21">
        <v>4</v>
      </c>
      <c r="G141" s="3">
        <f t="shared" si="18"/>
        <v>198792</v>
      </c>
      <c r="H141" s="79"/>
      <c r="I141" s="78"/>
      <c r="J141" s="18"/>
      <c r="K141" s="18"/>
      <c r="L141" s="18"/>
      <c r="M141" s="18"/>
    </row>
    <row r="142" spans="2:13" ht="12.95" customHeight="1" x14ac:dyDescent="0.3">
      <c r="B142" s="45" t="s">
        <v>39</v>
      </c>
      <c r="C142" s="75"/>
      <c r="D142" s="75"/>
      <c r="E142" s="24"/>
      <c r="F142" s="25"/>
      <c r="G142" s="20">
        <f>TRUNC(SUM(G138:G141))</f>
        <v>1583622</v>
      </c>
      <c r="H142" s="18"/>
      <c r="I142" s="18"/>
      <c r="J142" s="18"/>
      <c r="K142" s="18"/>
      <c r="L142" s="18"/>
      <c r="M142" s="18"/>
    </row>
    <row r="143" spans="2:13" ht="12.95" customHeight="1" x14ac:dyDescent="0.3">
      <c r="B143" s="77"/>
      <c r="C143" s="75"/>
      <c r="D143" s="75"/>
      <c r="E143" s="24"/>
      <c r="F143" s="25"/>
      <c r="G143" s="78"/>
      <c r="H143" s="18"/>
      <c r="I143" s="18"/>
      <c r="J143" s="18"/>
      <c r="K143" s="18"/>
      <c r="L143" s="18"/>
      <c r="M143" s="18"/>
    </row>
    <row r="144" spans="2:13" ht="12.95" customHeight="1" x14ac:dyDescent="0.3">
      <c r="B144" s="68" t="s">
        <v>7</v>
      </c>
      <c r="C144" s="68" t="s">
        <v>63</v>
      </c>
      <c r="D144" s="69" t="s">
        <v>48</v>
      </c>
      <c r="E144" s="70">
        <v>46851</v>
      </c>
      <c r="F144" s="21">
        <v>8</v>
      </c>
      <c r="G144" s="3">
        <f t="shared" ref="G144:G146" si="19">TRUNC($E144*F144,1)</f>
        <v>374808</v>
      </c>
      <c r="H144" s="18"/>
      <c r="I144" s="18"/>
      <c r="J144" s="18"/>
      <c r="K144" s="18"/>
      <c r="L144" s="18"/>
      <c r="M144" s="18"/>
    </row>
    <row r="145" spans="2:13" ht="12.95" customHeight="1" x14ac:dyDescent="0.3">
      <c r="B145" s="68" t="s">
        <v>64</v>
      </c>
      <c r="C145" s="68" t="s">
        <v>29</v>
      </c>
      <c r="D145" s="69" t="s">
        <v>48</v>
      </c>
      <c r="E145" s="70">
        <v>29191</v>
      </c>
      <c r="F145" s="21">
        <v>8</v>
      </c>
      <c r="G145" s="3">
        <f t="shared" si="19"/>
        <v>233528</v>
      </c>
      <c r="H145" s="18"/>
      <c r="I145" s="18"/>
      <c r="J145" s="18"/>
      <c r="K145" s="18"/>
      <c r="L145" s="18"/>
      <c r="M145" s="18"/>
    </row>
    <row r="146" spans="2:13" ht="12.95" customHeight="1" x14ac:dyDescent="0.3">
      <c r="B146" s="68" t="s">
        <v>61</v>
      </c>
      <c r="C146" s="68" t="s">
        <v>19</v>
      </c>
      <c r="D146" s="69" t="s">
        <v>48</v>
      </c>
      <c r="E146" s="70">
        <v>19154</v>
      </c>
      <c r="F146" s="21">
        <v>4</v>
      </c>
      <c r="G146" s="3">
        <f t="shared" si="19"/>
        <v>76616</v>
      </c>
      <c r="H146" s="80"/>
      <c r="I146" s="78"/>
      <c r="J146" s="18"/>
      <c r="K146" s="18"/>
      <c r="L146" s="18"/>
      <c r="M146" s="18"/>
    </row>
    <row r="147" spans="2:13" ht="12.95" customHeight="1" x14ac:dyDescent="0.3">
      <c r="B147" s="74" t="s">
        <v>40</v>
      </c>
      <c r="C147" s="75"/>
      <c r="D147" s="75"/>
      <c r="E147" s="81"/>
      <c r="F147" s="19"/>
      <c r="G147" s="20">
        <f>TRUNC(SUM(G144:G146))</f>
        <v>684952</v>
      </c>
      <c r="H147" s="18"/>
      <c r="I147" s="18"/>
      <c r="J147" s="18"/>
      <c r="K147" s="18"/>
      <c r="L147" s="18"/>
      <c r="M147" s="18"/>
    </row>
    <row r="148" spans="2:13" ht="12.95" customHeight="1" x14ac:dyDescent="0.3">
      <c r="B148" s="82"/>
      <c r="C148" s="68"/>
      <c r="D148" s="68"/>
      <c r="E148" s="83"/>
      <c r="F148" s="84"/>
      <c r="G148" s="72"/>
      <c r="H148" s="79"/>
      <c r="I148" s="78"/>
      <c r="J148" s="18"/>
      <c r="K148" s="18"/>
      <c r="L148" s="18"/>
      <c r="M148" s="18"/>
    </row>
    <row r="149" spans="2:13" ht="12.95" customHeight="1" x14ac:dyDescent="0.3">
      <c r="B149" s="51" t="s">
        <v>42</v>
      </c>
      <c r="C149" s="75"/>
      <c r="D149" s="75"/>
      <c r="E149" s="81"/>
      <c r="F149" s="81"/>
      <c r="G149" s="85">
        <f>SUM(G136+G142+G147)</f>
        <v>2888118</v>
      </c>
      <c r="H149" s="18"/>
      <c r="I149" s="18"/>
      <c r="J149" s="18"/>
      <c r="K149" s="18"/>
      <c r="L149" s="18"/>
      <c r="M149" s="18"/>
    </row>
    <row r="150" spans="2:13" ht="12.95" customHeight="1" x14ac:dyDescent="0.3">
      <c r="B150" s="52" t="s">
        <v>225</v>
      </c>
      <c r="C150" s="86"/>
      <c r="D150" s="86"/>
      <c r="E150" s="87"/>
      <c r="F150" s="87"/>
      <c r="G150" s="8">
        <f>TRUNC(G149/G131)</f>
        <v>5251</v>
      </c>
      <c r="H150" s="18"/>
      <c r="I150" s="18"/>
      <c r="J150" s="18"/>
      <c r="K150" s="18"/>
      <c r="L150" s="18"/>
      <c r="M150" s="18"/>
    </row>
    <row r="151" spans="2:13" ht="12.95" customHeight="1" x14ac:dyDescent="0.3">
      <c r="B151" s="8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2:13" ht="12.95" customHeight="1" x14ac:dyDescent="0.3">
      <c r="B152" s="29" t="s">
        <v>70</v>
      </c>
    </row>
    <row r="153" spans="2:13" ht="12.95" customHeight="1" x14ac:dyDescent="0.3">
      <c r="B153" s="60" t="s">
        <v>71</v>
      </c>
      <c r="C153" s="61"/>
      <c r="D153" s="62"/>
      <c r="E153" s="63"/>
      <c r="F153" s="62"/>
      <c r="G153" s="33" t="s">
        <v>58</v>
      </c>
      <c r="H153" s="62"/>
      <c r="I153" s="62"/>
      <c r="J153" s="62"/>
      <c r="K153" s="62"/>
      <c r="L153" s="62"/>
      <c r="M153" s="62"/>
    </row>
    <row r="154" spans="2:13" ht="12.95" customHeight="1" x14ac:dyDescent="0.3">
      <c r="B154" s="161" t="s">
        <v>30</v>
      </c>
      <c r="C154" s="163" t="s">
        <v>46</v>
      </c>
      <c r="D154" s="125" t="s">
        <v>35</v>
      </c>
      <c r="E154" s="145" t="s">
        <v>31</v>
      </c>
      <c r="F154" s="34" t="s">
        <v>224</v>
      </c>
      <c r="G154" s="37">
        <v>135</v>
      </c>
      <c r="H154" s="65"/>
      <c r="I154" s="66"/>
      <c r="J154" s="18"/>
      <c r="K154" s="18"/>
      <c r="L154" s="18"/>
      <c r="M154" s="18"/>
    </row>
    <row r="155" spans="2:13" ht="12.95" customHeight="1" x14ac:dyDescent="0.3">
      <c r="B155" s="162"/>
      <c r="C155" s="164"/>
      <c r="D155" s="125"/>
      <c r="E155" s="147"/>
      <c r="F155" s="38" t="s">
        <v>32</v>
      </c>
      <c r="G155" s="39" t="s">
        <v>33</v>
      </c>
      <c r="H155" s="65"/>
      <c r="I155" s="66"/>
      <c r="J155" s="18"/>
      <c r="K155" s="18"/>
      <c r="L155" s="18"/>
      <c r="M155" s="18"/>
    </row>
    <row r="156" spans="2:13" ht="12.95" customHeight="1" x14ac:dyDescent="0.3">
      <c r="B156" s="68" t="s">
        <v>291</v>
      </c>
      <c r="C156" s="68" t="s">
        <v>23</v>
      </c>
      <c r="D156" s="69" t="s">
        <v>48</v>
      </c>
      <c r="E156" s="70">
        <v>18733</v>
      </c>
      <c r="F156" s="21">
        <v>8</v>
      </c>
      <c r="G156" s="3">
        <f t="shared" ref="G156:G158" si="20">TRUNC($E156*F156,1)</f>
        <v>149864</v>
      </c>
      <c r="H156" s="71"/>
      <c r="I156" s="72"/>
      <c r="J156" s="18"/>
      <c r="K156" s="18"/>
      <c r="L156" s="18"/>
      <c r="M156" s="18"/>
    </row>
    <row r="157" spans="2:13" ht="12.95" customHeight="1" x14ac:dyDescent="0.3">
      <c r="B157" s="73" t="s">
        <v>66</v>
      </c>
      <c r="C157" s="68" t="s">
        <v>65</v>
      </c>
      <c r="D157" s="69" t="s">
        <v>48</v>
      </c>
      <c r="E157" s="70">
        <v>3742</v>
      </c>
      <c r="F157" s="21">
        <v>8</v>
      </c>
      <c r="G157" s="3">
        <f t="shared" si="20"/>
        <v>29936</v>
      </c>
      <c r="H157" s="71"/>
      <c r="I157" s="72"/>
      <c r="J157" s="18"/>
      <c r="K157" s="18"/>
      <c r="L157" s="18"/>
      <c r="M157" s="18"/>
    </row>
    <row r="158" spans="2:13" ht="12.95" customHeight="1" x14ac:dyDescent="0.3">
      <c r="B158" s="68" t="s">
        <v>61</v>
      </c>
      <c r="C158" s="68" t="s">
        <v>52</v>
      </c>
      <c r="D158" s="69" t="s">
        <v>48</v>
      </c>
      <c r="E158" s="70">
        <v>18200</v>
      </c>
      <c r="F158" s="21">
        <v>4</v>
      </c>
      <c r="G158" s="3">
        <f t="shared" si="20"/>
        <v>72800</v>
      </c>
      <c r="H158" s="62"/>
      <c r="I158" s="62"/>
      <c r="J158" s="18"/>
      <c r="K158" s="18"/>
      <c r="L158" s="18"/>
      <c r="M158" s="18"/>
    </row>
    <row r="159" spans="2:13" ht="12.95" customHeight="1" x14ac:dyDescent="0.3">
      <c r="B159" s="74" t="s">
        <v>38</v>
      </c>
      <c r="C159" s="75"/>
      <c r="D159" s="75"/>
      <c r="E159" s="24"/>
      <c r="F159" s="25"/>
      <c r="G159" s="20">
        <f>TRUNC(SUM(G156:G158))</f>
        <v>252600</v>
      </c>
      <c r="H159" s="76"/>
      <c r="I159" s="72"/>
      <c r="J159" s="18"/>
      <c r="K159" s="18"/>
      <c r="L159" s="18"/>
      <c r="M159" s="18"/>
    </row>
    <row r="160" spans="2:13" ht="12.95" customHeight="1" x14ac:dyDescent="0.3">
      <c r="B160" s="77"/>
      <c r="C160" s="75"/>
      <c r="D160" s="75"/>
      <c r="E160" s="24"/>
      <c r="F160" s="25"/>
      <c r="G160" s="78"/>
      <c r="H160" s="76"/>
      <c r="I160" s="72"/>
      <c r="J160" s="18"/>
      <c r="K160" s="18"/>
      <c r="L160" s="18"/>
      <c r="M160" s="18"/>
    </row>
    <row r="161" spans="2:13" ht="12.95" customHeight="1" x14ac:dyDescent="0.3">
      <c r="B161" s="40" t="s">
        <v>143</v>
      </c>
      <c r="C161" s="41"/>
      <c r="D161" s="42" t="s">
        <v>37</v>
      </c>
      <c r="E161" s="70">
        <v>221015</v>
      </c>
      <c r="F161" s="21">
        <v>2</v>
      </c>
      <c r="G161" s="3">
        <f t="shared" ref="G161:G165" si="21">TRUNC($E161*F161,1)</f>
        <v>442030</v>
      </c>
      <c r="H161" s="62"/>
      <c r="I161" s="62"/>
      <c r="J161" s="18"/>
      <c r="K161" s="18"/>
      <c r="L161" s="18"/>
      <c r="M161" s="18"/>
    </row>
    <row r="162" spans="2:13" ht="12.95" customHeight="1" x14ac:dyDescent="0.3">
      <c r="B162" s="40" t="s">
        <v>8</v>
      </c>
      <c r="C162" s="41"/>
      <c r="D162" s="42" t="s">
        <v>37</v>
      </c>
      <c r="E162" s="70">
        <v>172068</v>
      </c>
      <c r="F162" s="21">
        <v>2</v>
      </c>
      <c r="G162" s="3">
        <f t="shared" si="21"/>
        <v>344136</v>
      </c>
      <c r="H162" s="79"/>
      <c r="I162" s="78"/>
      <c r="J162" s="18"/>
      <c r="K162" s="18"/>
      <c r="L162" s="18"/>
      <c r="M162" s="18"/>
    </row>
    <row r="163" spans="2:13" ht="12.95" customHeight="1" x14ac:dyDescent="0.3">
      <c r="B163" s="68" t="s">
        <v>291</v>
      </c>
      <c r="C163" s="68" t="s">
        <v>23</v>
      </c>
      <c r="D163" s="69" t="s">
        <v>48</v>
      </c>
      <c r="E163" s="70">
        <v>58925</v>
      </c>
      <c r="F163" s="21">
        <v>8</v>
      </c>
      <c r="G163" s="3">
        <f t="shared" si="21"/>
        <v>471400</v>
      </c>
      <c r="H163" s="79"/>
      <c r="I163" s="78"/>
      <c r="J163" s="18"/>
      <c r="K163" s="18"/>
      <c r="L163" s="18"/>
      <c r="M163" s="18"/>
    </row>
    <row r="164" spans="2:13" ht="12.95" customHeight="1" x14ac:dyDescent="0.3">
      <c r="B164" s="73" t="s">
        <v>66</v>
      </c>
      <c r="C164" s="68" t="s">
        <v>65</v>
      </c>
      <c r="D164" s="69" t="s">
        <v>48</v>
      </c>
      <c r="E164" s="70">
        <v>36190</v>
      </c>
      <c r="F164" s="21">
        <v>8</v>
      </c>
      <c r="G164" s="3">
        <f t="shared" si="21"/>
        <v>289520</v>
      </c>
      <c r="H164" s="79"/>
      <c r="I164" s="78"/>
      <c r="J164" s="18"/>
      <c r="K164" s="18"/>
      <c r="L164" s="18"/>
      <c r="M164" s="18"/>
    </row>
    <row r="165" spans="2:13" ht="12.95" customHeight="1" x14ac:dyDescent="0.3">
      <c r="B165" s="68" t="s">
        <v>61</v>
      </c>
      <c r="C165" s="68" t="s">
        <v>52</v>
      </c>
      <c r="D165" s="69" t="s">
        <v>48</v>
      </c>
      <c r="E165" s="70">
        <v>49698</v>
      </c>
      <c r="F165" s="21">
        <v>4</v>
      </c>
      <c r="G165" s="3">
        <f t="shared" si="21"/>
        <v>198792</v>
      </c>
      <c r="H165" s="79"/>
      <c r="I165" s="78"/>
      <c r="J165" s="18"/>
      <c r="K165" s="18"/>
      <c r="L165" s="18"/>
      <c r="M165" s="18"/>
    </row>
    <row r="166" spans="2:13" ht="12.95" customHeight="1" x14ac:dyDescent="0.3">
      <c r="B166" s="45" t="s">
        <v>39</v>
      </c>
      <c r="C166" s="75"/>
      <c r="D166" s="75"/>
      <c r="E166" s="24"/>
      <c r="F166" s="25"/>
      <c r="G166" s="20">
        <f>TRUNC(SUM(G161:G165))</f>
        <v>1745878</v>
      </c>
      <c r="H166" s="18"/>
      <c r="I166" s="18"/>
      <c r="J166" s="18"/>
      <c r="K166" s="18"/>
      <c r="L166" s="18"/>
      <c r="M166" s="18"/>
    </row>
    <row r="167" spans="2:13" ht="12.95" customHeight="1" x14ac:dyDescent="0.3">
      <c r="B167" s="77"/>
      <c r="C167" s="75"/>
      <c r="D167" s="75"/>
      <c r="E167" s="24"/>
      <c r="F167" s="25"/>
      <c r="G167" s="78"/>
      <c r="H167" s="18"/>
      <c r="I167" s="18"/>
      <c r="J167" s="18"/>
      <c r="K167" s="18"/>
      <c r="L167" s="18"/>
      <c r="M167" s="18"/>
    </row>
    <row r="168" spans="2:13" ht="12.95" customHeight="1" x14ac:dyDescent="0.3">
      <c r="B168" s="68" t="s">
        <v>291</v>
      </c>
      <c r="C168" s="68" t="s">
        <v>23</v>
      </c>
      <c r="D168" s="69" t="s">
        <v>48</v>
      </c>
      <c r="E168" s="70">
        <v>23423</v>
      </c>
      <c r="F168" s="21">
        <v>8</v>
      </c>
      <c r="G168" s="3">
        <f t="shared" ref="G168:G170" si="22">TRUNC($E168*F168,1)</f>
        <v>187384</v>
      </c>
      <c r="H168" s="18"/>
      <c r="I168" s="18"/>
      <c r="J168" s="18"/>
      <c r="K168" s="18"/>
      <c r="L168" s="18"/>
      <c r="M168" s="18"/>
    </row>
    <row r="169" spans="2:13" ht="12.95" customHeight="1" x14ac:dyDescent="0.3">
      <c r="B169" s="73" t="s">
        <v>66</v>
      </c>
      <c r="C169" s="68" t="s">
        <v>65</v>
      </c>
      <c r="D169" s="69" t="s">
        <v>48</v>
      </c>
      <c r="E169" s="70">
        <v>1967</v>
      </c>
      <c r="F169" s="21">
        <v>8</v>
      </c>
      <c r="G169" s="3">
        <f t="shared" si="22"/>
        <v>15736</v>
      </c>
      <c r="H169" s="18"/>
      <c r="I169" s="18"/>
      <c r="J169" s="18"/>
      <c r="K169" s="18"/>
      <c r="L169" s="18"/>
      <c r="M169" s="18"/>
    </row>
    <row r="170" spans="2:13" ht="12.95" customHeight="1" x14ac:dyDescent="0.3">
      <c r="B170" s="68" t="s">
        <v>61</v>
      </c>
      <c r="C170" s="68" t="s">
        <v>52</v>
      </c>
      <c r="D170" s="69" t="s">
        <v>48</v>
      </c>
      <c r="E170" s="70">
        <v>9986</v>
      </c>
      <c r="F170" s="21">
        <v>4</v>
      </c>
      <c r="G170" s="3">
        <f t="shared" si="22"/>
        <v>39944</v>
      </c>
      <c r="H170" s="80"/>
      <c r="I170" s="78"/>
      <c r="J170" s="18"/>
      <c r="K170" s="18"/>
      <c r="L170" s="18"/>
      <c r="M170" s="18"/>
    </row>
    <row r="171" spans="2:13" ht="12.95" customHeight="1" x14ac:dyDescent="0.3">
      <c r="B171" s="74" t="s">
        <v>40</v>
      </c>
      <c r="C171" s="75"/>
      <c r="D171" s="75"/>
      <c r="E171" s="81"/>
      <c r="F171" s="19"/>
      <c r="G171" s="20">
        <f>TRUNC(SUM(G168:G170))</f>
        <v>243064</v>
      </c>
      <c r="H171" s="18"/>
      <c r="I171" s="18"/>
      <c r="J171" s="18"/>
      <c r="K171" s="18"/>
      <c r="L171" s="18"/>
      <c r="M171" s="18"/>
    </row>
    <row r="172" spans="2:13" ht="12.95" customHeight="1" x14ac:dyDescent="0.3">
      <c r="B172" s="82"/>
      <c r="C172" s="68"/>
      <c r="D172" s="68"/>
      <c r="E172" s="83"/>
      <c r="F172" s="84"/>
      <c r="G172" s="72"/>
      <c r="H172" s="79"/>
      <c r="I172" s="78"/>
      <c r="J172" s="18"/>
      <c r="K172" s="18"/>
      <c r="L172" s="18"/>
      <c r="M172" s="18"/>
    </row>
    <row r="173" spans="2:13" ht="12.95" customHeight="1" x14ac:dyDescent="0.3">
      <c r="B173" s="51" t="s">
        <v>42</v>
      </c>
      <c r="C173" s="75"/>
      <c r="D173" s="75"/>
      <c r="E173" s="81"/>
      <c r="F173" s="81"/>
      <c r="G173" s="85">
        <f>SUM(G159+G166+G171)</f>
        <v>2241542</v>
      </c>
      <c r="H173" s="18"/>
      <c r="I173" s="18"/>
      <c r="J173" s="18"/>
      <c r="K173" s="18"/>
      <c r="L173" s="18"/>
      <c r="M173" s="18"/>
    </row>
    <row r="174" spans="2:13" ht="12.95" customHeight="1" x14ac:dyDescent="0.3">
      <c r="B174" s="52" t="s">
        <v>225</v>
      </c>
      <c r="C174" s="86"/>
      <c r="D174" s="86"/>
      <c r="E174" s="87"/>
      <c r="F174" s="87"/>
      <c r="G174" s="8">
        <f>TRUNC(G173/G154)</f>
        <v>16604</v>
      </c>
      <c r="H174" s="18"/>
      <c r="I174" s="18"/>
      <c r="J174" s="18"/>
      <c r="K174" s="18"/>
      <c r="L174" s="18"/>
      <c r="M174" s="18"/>
    </row>
    <row r="175" spans="2:13" ht="12.95" customHeight="1" x14ac:dyDescent="0.3">
      <c r="B175" s="8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2:13" ht="12.95" customHeight="1" x14ac:dyDescent="0.3">
      <c r="B176" s="60" t="s">
        <v>72</v>
      </c>
      <c r="C176" s="61"/>
      <c r="D176" s="62"/>
      <c r="E176" s="63"/>
      <c r="F176" s="62"/>
      <c r="G176" s="33" t="s">
        <v>58</v>
      </c>
      <c r="H176" s="62"/>
      <c r="I176" s="62"/>
      <c r="J176" s="62"/>
      <c r="K176" s="62"/>
      <c r="L176" s="62"/>
      <c r="M176" s="62"/>
    </row>
    <row r="177" spans="2:13" ht="12.95" customHeight="1" x14ac:dyDescent="0.3">
      <c r="B177" s="161" t="s">
        <v>30</v>
      </c>
      <c r="C177" s="163" t="s">
        <v>46</v>
      </c>
      <c r="D177" s="125" t="s">
        <v>35</v>
      </c>
      <c r="E177" s="145" t="s">
        <v>31</v>
      </c>
      <c r="F177" s="34" t="s">
        <v>224</v>
      </c>
      <c r="G177" s="37">
        <v>200</v>
      </c>
      <c r="H177" s="65"/>
      <c r="I177" s="66"/>
      <c r="J177" s="18"/>
      <c r="K177" s="18"/>
      <c r="L177" s="18"/>
      <c r="M177" s="18"/>
    </row>
    <row r="178" spans="2:13" ht="12.95" customHeight="1" x14ac:dyDescent="0.3">
      <c r="B178" s="162"/>
      <c r="C178" s="164"/>
      <c r="D178" s="125"/>
      <c r="E178" s="147"/>
      <c r="F178" s="38" t="s">
        <v>32</v>
      </c>
      <c r="G178" s="39" t="s">
        <v>33</v>
      </c>
      <c r="H178" s="65"/>
      <c r="I178" s="66"/>
      <c r="J178" s="18"/>
      <c r="K178" s="18"/>
      <c r="L178" s="18"/>
      <c r="M178" s="18"/>
    </row>
    <row r="179" spans="2:13" ht="12.95" customHeight="1" x14ac:dyDescent="0.3">
      <c r="B179" s="68" t="s">
        <v>291</v>
      </c>
      <c r="C179" s="68" t="s">
        <v>5</v>
      </c>
      <c r="D179" s="69" t="s">
        <v>48</v>
      </c>
      <c r="E179" s="70">
        <v>35814</v>
      </c>
      <c r="F179" s="21">
        <v>8</v>
      </c>
      <c r="G179" s="3">
        <f t="shared" ref="G179:G181" si="23">TRUNC($E179*F179,1)</f>
        <v>286512</v>
      </c>
      <c r="H179" s="71"/>
      <c r="I179" s="72"/>
      <c r="J179" s="18"/>
      <c r="K179" s="18"/>
      <c r="L179" s="18"/>
      <c r="M179" s="18"/>
    </row>
    <row r="180" spans="2:13" ht="12.95" customHeight="1" x14ac:dyDescent="0.3">
      <c r="B180" s="68" t="s">
        <v>64</v>
      </c>
      <c r="C180" s="68" t="s">
        <v>29</v>
      </c>
      <c r="D180" s="69" t="s">
        <v>48</v>
      </c>
      <c r="E180" s="70">
        <v>30921</v>
      </c>
      <c r="F180" s="21">
        <v>8</v>
      </c>
      <c r="G180" s="3">
        <f t="shared" si="23"/>
        <v>247368</v>
      </c>
      <c r="H180" s="71"/>
      <c r="I180" s="72"/>
      <c r="J180" s="18"/>
      <c r="K180" s="18"/>
      <c r="L180" s="18"/>
      <c r="M180" s="18"/>
    </row>
    <row r="181" spans="2:13" ht="12.95" customHeight="1" x14ac:dyDescent="0.3">
      <c r="B181" s="68" t="s">
        <v>61</v>
      </c>
      <c r="C181" s="68" t="s">
        <v>19</v>
      </c>
      <c r="D181" s="69" t="s">
        <v>48</v>
      </c>
      <c r="E181" s="70">
        <v>25246</v>
      </c>
      <c r="F181" s="21">
        <v>4</v>
      </c>
      <c r="G181" s="3">
        <f t="shared" si="23"/>
        <v>100984</v>
      </c>
      <c r="H181" s="62"/>
      <c r="I181" s="62"/>
      <c r="J181" s="18"/>
      <c r="K181" s="18"/>
      <c r="L181" s="18"/>
      <c r="M181" s="18"/>
    </row>
    <row r="182" spans="2:13" ht="12.95" customHeight="1" x14ac:dyDescent="0.3">
      <c r="B182" s="74" t="s">
        <v>38</v>
      </c>
      <c r="C182" s="75"/>
      <c r="D182" s="75"/>
      <c r="E182" s="24"/>
      <c r="F182" s="25"/>
      <c r="G182" s="20">
        <f>TRUNC(SUM(G179:G181))</f>
        <v>634864</v>
      </c>
      <c r="H182" s="76"/>
      <c r="I182" s="72"/>
      <c r="J182" s="18"/>
      <c r="K182" s="18"/>
      <c r="L182" s="18"/>
      <c r="M182" s="18"/>
    </row>
    <row r="183" spans="2:13" ht="12.95" customHeight="1" x14ac:dyDescent="0.3">
      <c r="B183" s="77"/>
      <c r="C183" s="75"/>
      <c r="D183" s="75"/>
      <c r="E183" s="24"/>
      <c r="F183" s="25"/>
      <c r="G183" s="78"/>
      <c r="H183" s="76"/>
      <c r="I183" s="72"/>
      <c r="J183" s="18"/>
      <c r="K183" s="18"/>
      <c r="L183" s="18"/>
      <c r="M183" s="18"/>
    </row>
    <row r="184" spans="2:13" ht="12.95" customHeight="1" x14ac:dyDescent="0.3">
      <c r="B184" s="40" t="s">
        <v>143</v>
      </c>
      <c r="C184" s="41"/>
      <c r="D184" s="42" t="s">
        <v>37</v>
      </c>
      <c r="E184" s="70">
        <v>221015</v>
      </c>
      <c r="F184" s="21">
        <v>2</v>
      </c>
      <c r="G184" s="3">
        <f t="shared" ref="G184:G188" si="24">TRUNC($E184*F184,1)</f>
        <v>442030</v>
      </c>
      <c r="H184" s="62"/>
      <c r="I184" s="62"/>
      <c r="J184" s="18"/>
      <c r="K184" s="18"/>
      <c r="L184" s="18"/>
      <c r="M184" s="18"/>
    </row>
    <row r="185" spans="2:13" ht="12.95" customHeight="1" x14ac:dyDescent="0.3">
      <c r="B185" s="40" t="s">
        <v>8</v>
      </c>
      <c r="C185" s="41"/>
      <c r="D185" s="42" t="s">
        <v>37</v>
      </c>
      <c r="E185" s="70">
        <v>172068</v>
      </c>
      <c r="F185" s="21">
        <v>1</v>
      </c>
      <c r="G185" s="3">
        <f t="shared" si="24"/>
        <v>172068</v>
      </c>
      <c r="H185" s="79"/>
      <c r="I185" s="78"/>
      <c r="J185" s="18"/>
      <c r="K185" s="18"/>
      <c r="L185" s="18"/>
      <c r="M185" s="18"/>
    </row>
    <row r="186" spans="2:13" ht="12.95" customHeight="1" x14ac:dyDescent="0.3">
      <c r="B186" s="68" t="s">
        <v>291</v>
      </c>
      <c r="C186" s="68" t="s">
        <v>5</v>
      </c>
      <c r="D186" s="69" t="s">
        <v>48</v>
      </c>
      <c r="E186" s="70">
        <v>58925</v>
      </c>
      <c r="F186" s="21">
        <v>8</v>
      </c>
      <c r="G186" s="3">
        <f t="shared" si="24"/>
        <v>471400</v>
      </c>
      <c r="H186" s="79"/>
      <c r="I186" s="78"/>
      <c r="J186" s="18"/>
      <c r="K186" s="18"/>
      <c r="L186" s="18"/>
      <c r="M186" s="18"/>
    </row>
    <row r="187" spans="2:13" ht="12.95" customHeight="1" x14ac:dyDescent="0.3">
      <c r="B187" s="68" t="s">
        <v>64</v>
      </c>
      <c r="C187" s="68" t="s">
        <v>29</v>
      </c>
      <c r="D187" s="69" t="s">
        <v>48</v>
      </c>
      <c r="E187" s="70">
        <v>58925</v>
      </c>
      <c r="F187" s="21">
        <v>8</v>
      </c>
      <c r="G187" s="3">
        <f t="shared" si="24"/>
        <v>471400</v>
      </c>
      <c r="H187" s="79"/>
      <c r="I187" s="78"/>
      <c r="J187" s="18"/>
      <c r="K187" s="18"/>
      <c r="L187" s="18"/>
      <c r="M187" s="18"/>
    </row>
    <row r="188" spans="2:13" ht="12.95" customHeight="1" x14ac:dyDescent="0.3">
      <c r="B188" s="68" t="s">
        <v>61</v>
      </c>
      <c r="C188" s="68" t="s">
        <v>19</v>
      </c>
      <c r="D188" s="69" t="s">
        <v>48</v>
      </c>
      <c r="E188" s="70">
        <v>49698</v>
      </c>
      <c r="F188" s="21">
        <v>4</v>
      </c>
      <c r="G188" s="3">
        <f t="shared" si="24"/>
        <v>198792</v>
      </c>
      <c r="H188" s="79"/>
      <c r="I188" s="78"/>
      <c r="J188" s="18"/>
      <c r="K188" s="18"/>
      <c r="L188" s="18"/>
      <c r="M188" s="18"/>
    </row>
    <row r="189" spans="2:13" ht="12.95" customHeight="1" x14ac:dyDescent="0.3">
      <c r="B189" s="45" t="s">
        <v>39</v>
      </c>
      <c r="C189" s="75"/>
      <c r="D189" s="75"/>
      <c r="E189" s="24"/>
      <c r="F189" s="25"/>
      <c r="G189" s="20">
        <f>TRUNC(SUM(G184:G188))</f>
        <v>1755690</v>
      </c>
      <c r="H189" s="18"/>
      <c r="I189" s="18"/>
      <c r="J189" s="18"/>
      <c r="K189" s="18"/>
      <c r="L189" s="18"/>
      <c r="M189" s="18"/>
    </row>
    <row r="190" spans="2:13" ht="12.95" customHeight="1" x14ac:dyDescent="0.3">
      <c r="B190" s="77"/>
      <c r="C190" s="75"/>
      <c r="D190" s="75"/>
      <c r="E190" s="24"/>
      <c r="F190" s="25"/>
      <c r="G190" s="78"/>
      <c r="H190" s="18"/>
      <c r="I190" s="18"/>
      <c r="J190" s="18"/>
      <c r="K190" s="18"/>
      <c r="L190" s="18"/>
      <c r="M190" s="18"/>
    </row>
    <row r="191" spans="2:13" ht="12.95" customHeight="1" x14ac:dyDescent="0.3">
      <c r="B191" s="68" t="s">
        <v>291</v>
      </c>
      <c r="C191" s="68" t="s">
        <v>5</v>
      </c>
      <c r="D191" s="69" t="s">
        <v>48</v>
      </c>
      <c r="E191" s="70">
        <v>29621</v>
      </c>
      <c r="F191" s="21">
        <v>8</v>
      </c>
      <c r="G191" s="3">
        <f t="shared" ref="G191:G193" si="25">TRUNC($E191*F191,1)</f>
        <v>236968</v>
      </c>
      <c r="H191" s="18"/>
      <c r="I191" s="18"/>
      <c r="J191" s="18"/>
      <c r="K191" s="18"/>
      <c r="L191" s="18"/>
      <c r="M191" s="18"/>
    </row>
    <row r="192" spans="2:13" ht="12.95" customHeight="1" x14ac:dyDescent="0.3">
      <c r="B192" s="68" t="s">
        <v>64</v>
      </c>
      <c r="C192" s="68" t="s">
        <v>29</v>
      </c>
      <c r="D192" s="69" t="s">
        <v>48</v>
      </c>
      <c r="E192" s="70">
        <v>29191</v>
      </c>
      <c r="F192" s="21">
        <v>8</v>
      </c>
      <c r="G192" s="3">
        <f t="shared" si="25"/>
        <v>233528</v>
      </c>
      <c r="H192" s="18"/>
      <c r="I192" s="18"/>
      <c r="J192" s="18"/>
      <c r="K192" s="18"/>
      <c r="L192" s="18"/>
      <c r="M192" s="18"/>
    </row>
    <row r="193" spans="2:13" ht="12.95" customHeight="1" x14ac:dyDescent="0.3">
      <c r="B193" s="68" t="s">
        <v>61</v>
      </c>
      <c r="C193" s="68" t="s">
        <v>19</v>
      </c>
      <c r="D193" s="69" t="s">
        <v>48</v>
      </c>
      <c r="E193" s="70">
        <v>19154</v>
      </c>
      <c r="F193" s="21">
        <v>4</v>
      </c>
      <c r="G193" s="3">
        <f t="shared" si="25"/>
        <v>76616</v>
      </c>
      <c r="H193" s="80"/>
      <c r="I193" s="78"/>
      <c r="J193" s="18"/>
      <c r="K193" s="18"/>
      <c r="L193" s="18"/>
      <c r="M193" s="18"/>
    </row>
    <row r="194" spans="2:13" ht="12.95" customHeight="1" x14ac:dyDescent="0.3">
      <c r="B194" s="74" t="s">
        <v>40</v>
      </c>
      <c r="C194" s="75"/>
      <c r="D194" s="75"/>
      <c r="E194" s="81"/>
      <c r="F194" s="19"/>
      <c r="G194" s="20">
        <f>TRUNC(SUM(G191:G193))</f>
        <v>547112</v>
      </c>
      <c r="H194" s="18"/>
      <c r="I194" s="18"/>
      <c r="J194" s="18"/>
      <c r="K194" s="18"/>
      <c r="L194" s="18"/>
      <c r="M194" s="18"/>
    </row>
    <row r="195" spans="2:13" ht="12.95" customHeight="1" x14ac:dyDescent="0.3">
      <c r="B195" s="82"/>
      <c r="C195" s="68"/>
      <c r="D195" s="68"/>
      <c r="E195" s="83"/>
      <c r="F195" s="84"/>
      <c r="G195" s="72"/>
      <c r="H195" s="79"/>
      <c r="I195" s="78"/>
      <c r="J195" s="18"/>
      <c r="K195" s="18"/>
      <c r="L195" s="18"/>
      <c r="M195" s="18"/>
    </row>
    <row r="196" spans="2:13" ht="12.95" customHeight="1" x14ac:dyDescent="0.3">
      <c r="B196" s="51" t="s">
        <v>42</v>
      </c>
      <c r="C196" s="75"/>
      <c r="D196" s="75"/>
      <c r="E196" s="81"/>
      <c r="F196" s="81"/>
      <c r="G196" s="85">
        <f>SUM(G182+G189+G194)</f>
        <v>2937666</v>
      </c>
      <c r="H196" s="18"/>
      <c r="I196" s="18"/>
      <c r="J196" s="18"/>
      <c r="K196" s="18"/>
      <c r="L196" s="18"/>
      <c r="M196" s="18"/>
    </row>
    <row r="197" spans="2:13" ht="12.95" customHeight="1" x14ac:dyDescent="0.3">
      <c r="B197" s="52" t="s">
        <v>225</v>
      </c>
      <c r="C197" s="86"/>
      <c r="D197" s="86"/>
      <c r="E197" s="87"/>
      <c r="F197" s="87"/>
      <c r="G197" s="8">
        <f>TRUNC(G196/G177)</f>
        <v>14688</v>
      </c>
      <c r="H197" s="18"/>
      <c r="I197" s="18"/>
      <c r="J197" s="18"/>
      <c r="K197" s="18"/>
      <c r="L197" s="18"/>
      <c r="M197" s="18"/>
    </row>
    <row r="198" spans="2:13" ht="12.95" customHeight="1" x14ac:dyDescent="0.3">
      <c r="B198" s="8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2:13" ht="12.95" customHeight="1" x14ac:dyDescent="0.3">
      <c r="B199" s="60" t="s">
        <v>146</v>
      </c>
      <c r="C199" s="61"/>
      <c r="D199" s="62"/>
      <c r="E199" s="63"/>
      <c r="F199" s="62"/>
      <c r="G199" s="33" t="s">
        <v>58</v>
      </c>
      <c r="H199" s="62"/>
      <c r="I199" s="62"/>
      <c r="J199" s="62"/>
      <c r="K199" s="62"/>
      <c r="L199" s="62"/>
      <c r="M199" s="62"/>
    </row>
    <row r="200" spans="2:13" ht="12.95" customHeight="1" x14ac:dyDescent="0.3">
      <c r="B200" s="161" t="s">
        <v>30</v>
      </c>
      <c r="C200" s="163" t="s">
        <v>46</v>
      </c>
      <c r="D200" s="125" t="s">
        <v>35</v>
      </c>
      <c r="E200" s="145" t="s">
        <v>31</v>
      </c>
      <c r="F200" s="34" t="s">
        <v>224</v>
      </c>
      <c r="G200" s="37">
        <v>500</v>
      </c>
      <c r="H200" s="65"/>
      <c r="I200" s="66"/>
      <c r="J200" s="18"/>
      <c r="K200" s="18"/>
      <c r="L200" s="18"/>
      <c r="M200" s="18"/>
    </row>
    <row r="201" spans="2:13" ht="12.95" customHeight="1" x14ac:dyDescent="0.3">
      <c r="B201" s="162"/>
      <c r="C201" s="164"/>
      <c r="D201" s="125"/>
      <c r="E201" s="147"/>
      <c r="F201" s="38" t="s">
        <v>32</v>
      </c>
      <c r="G201" s="39" t="s">
        <v>33</v>
      </c>
      <c r="H201" s="65"/>
      <c r="I201" s="66"/>
      <c r="J201" s="18"/>
      <c r="K201" s="18"/>
      <c r="L201" s="18"/>
      <c r="M201" s="18"/>
    </row>
    <row r="202" spans="2:13" ht="12.95" customHeight="1" x14ac:dyDescent="0.3">
      <c r="B202" s="68" t="s">
        <v>7</v>
      </c>
      <c r="C202" s="68" t="s">
        <v>63</v>
      </c>
      <c r="D202" s="69" t="s">
        <v>48</v>
      </c>
      <c r="E202" s="70">
        <v>33899</v>
      </c>
      <c r="F202" s="21">
        <v>8</v>
      </c>
      <c r="G202" s="3">
        <f t="shared" ref="G202:G204" si="26">TRUNC($E202*F202,1)</f>
        <v>271192</v>
      </c>
      <c r="H202" s="71"/>
      <c r="I202" s="72"/>
      <c r="J202" s="18"/>
      <c r="K202" s="18"/>
      <c r="L202" s="18"/>
      <c r="M202" s="18"/>
    </row>
    <row r="203" spans="2:13" ht="12.95" customHeight="1" x14ac:dyDescent="0.3">
      <c r="B203" s="68" t="s">
        <v>64</v>
      </c>
      <c r="C203" s="68" t="s">
        <v>29</v>
      </c>
      <c r="D203" s="69" t="s">
        <v>48</v>
      </c>
      <c r="E203" s="70">
        <v>30921</v>
      </c>
      <c r="F203" s="21">
        <v>8</v>
      </c>
      <c r="G203" s="3">
        <f t="shared" si="26"/>
        <v>247368</v>
      </c>
      <c r="H203" s="71"/>
      <c r="I203" s="72"/>
      <c r="J203" s="18"/>
      <c r="K203" s="18"/>
      <c r="L203" s="18"/>
      <c r="M203" s="18"/>
    </row>
    <row r="204" spans="2:13" ht="12.95" customHeight="1" x14ac:dyDescent="0.3">
      <c r="B204" s="68" t="s">
        <v>61</v>
      </c>
      <c r="C204" s="68" t="s">
        <v>19</v>
      </c>
      <c r="D204" s="69" t="s">
        <v>48</v>
      </c>
      <c r="E204" s="70">
        <v>25246</v>
      </c>
      <c r="F204" s="21">
        <v>4</v>
      </c>
      <c r="G204" s="3">
        <f t="shared" si="26"/>
        <v>100984</v>
      </c>
      <c r="H204" s="62"/>
      <c r="I204" s="62"/>
      <c r="J204" s="18"/>
      <c r="K204" s="18"/>
      <c r="L204" s="18"/>
      <c r="M204" s="18"/>
    </row>
    <row r="205" spans="2:13" ht="12.95" customHeight="1" x14ac:dyDescent="0.3">
      <c r="B205" s="74" t="s">
        <v>38</v>
      </c>
      <c r="C205" s="75"/>
      <c r="D205" s="75"/>
      <c r="E205" s="24"/>
      <c r="F205" s="25"/>
      <c r="G205" s="20">
        <f>TRUNC(SUM(G202:G204))</f>
        <v>619544</v>
      </c>
      <c r="H205" s="76"/>
      <c r="I205" s="72"/>
      <c r="J205" s="18"/>
      <c r="K205" s="18"/>
      <c r="L205" s="18"/>
      <c r="M205" s="18"/>
    </row>
    <row r="206" spans="2:13" ht="12.95" customHeight="1" x14ac:dyDescent="0.3">
      <c r="B206" s="77"/>
      <c r="C206" s="75"/>
      <c r="D206" s="75"/>
      <c r="E206" s="24"/>
      <c r="F206" s="25"/>
      <c r="G206" s="78"/>
      <c r="H206" s="76"/>
      <c r="I206" s="72"/>
      <c r="J206" s="18"/>
      <c r="K206" s="18"/>
      <c r="L206" s="18"/>
      <c r="M206" s="18"/>
    </row>
    <row r="207" spans="2:13" ht="12.95" customHeight="1" x14ac:dyDescent="0.3">
      <c r="B207" s="40" t="s">
        <v>143</v>
      </c>
      <c r="C207" s="41"/>
      <c r="D207" s="42" t="s">
        <v>37</v>
      </c>
      <c r="E207" s="70">
        <v>221015</v>
      </c>
      <c r="F207" s="21">
        <v>2</v>
      </c>
      <c r="G207" s="3">
        <f t="shared" ref="G207:G210" si="27">TRUNC($E207*F207,1)</f>
        <v>442030</v>
      </c>
      <c r="H207" s="62"/>
      <c r="I207" s="62"/>
      <c r="J207" s="18"/>
      <c r="K207" s="18"/>
      <c r="L207" s="18"/>
      <c r="M207" s="18"/>
    </row>
    <row r="208" spans="2:13" ht="12.95" customHeight="1" x14ac:dyDescent="0.3">
      <c r="B208" s="68" t="s">
        <v>7</v>
      </c>
      <c r="C208" s="68" t="s">
        <v>63</v>
      </c>
      <c r="D208" s="69" t="s">
        <v>48</v>
      </c>
      <c r="E208" s="70">
        <v>58925</v>
      </c>
      <c r="F208" s="21">
        <v>8</v>
      </c>
      <c r="G208" s="3">
        <f t="shared" si="27"/>
        <v>471400</v>
      </c>
      <c r="H208" s="79"/>
      <c r="I208" s="78"/>
      <c r="J208" s="18"/>
      <c r="K208" s="18"/>
      <c r="L208" s="18"/>
      <c r="M208" s="18"/>
    </row>
    <row r="209" spans="2:13" ht="12.95" customHeight="1" x14ac:dyDescent="0.3">
      <c r="B209" s="68" t="s">
        <v>64</v>
      </c>
      <c r="C209" s="68" t="s">
        <v>29</v>
      </c>
      <c r="D209" s="69" t="s">
        <v>48</v>
      </c>
      <c r="E209" s="70">
        <v>58925</v>
      </c>
      <c r="F209" s="21">
        <v>8</v>
      </c>
      <c r="G209" s="3">
        <f t="shared" si="27"/>
        <v>471400</v>
      </c>
      <c r="H209" s="79"/>
      <c r="I209" s="78"/>
      <c r="J209" s="18"/>
      <c r="K209" s="18"/>
      <c r="L209" s="18"/>
      <c r="M209" s="18"/>
    </row>
    <row r="210" spans="2:13" ht="12.95" customHeight="1" x14ac:dyDescent="0.3">
      <c r="B210" s="68" t="s">
        <v>61</v>
      </c>
      <c r="C210" s="68" t="s">
        <v>19</v>
      </c>
      <c r="D210" s="69" t="s">
        <v>48</v>
      </c>
      <c r="E210" s="70">
        <v>49698</v>
      </c>
      <c r="F210" s="21">
        <v>4</v>
      </c>
      <c r="G210" s="3">
        <f t="shared" si="27"/>
        <v>198792</v>
      </c>
      <c r="H210" s="79"/>
      <c r="I210" s="78"/>
      <c r="J210" s="18"/>
      <c r="K210" s="18"/>
      <c r="L210" s="18"/>
      <c r="M210" s="18"/>
    </row>
    <row r="211" spans="2:13" ht="12.95" customHeight="1" x14ac:dyDescent="0.3">
      <c r="B211" s="45" t="s">
        <v>39</v>
      </c>
      <c r="C211" s="75"/>
      <c r="D211" s="75"/>
      <c r="E211" s="24"/>
      <c r="F211" s="25"/>
      <c r="G211" s="20">
        <f>TRUNC(SUM(G207:G210))</f>
        <v>1583622</v>
      </c>
      <c r="H211" s="18"/>
      <c r="I211" s="18"/>
      <c r="J211" s="18"/>
      <c r="K211" s="18"/>
      <c r="L211" s="18"/>
      <c r="M211" s="18"/>
    </row>
    <row r="212" spans="2:13" ht="12.95" customHeight="1" x14ac:dyDescent="0.3">
      <c r="B212" s="77"/>
      <c r="C212" s="75"/>
      <c r="D212" s="75"/>
      <c r="E212" s="24"/>
      <c r="F212" s="25"/>
      <c r="G212" s="78"/>
      <c r="H212" s="18"/>
      <c r="I212" s="18"/>
      <c r="J212" s="18"/>
      <c r="K212" s="18"/>
      <c r="L212" s="18"/>
      <c r="M212" s="18"/>
    </row>
    <row r="213" spans="2:13" ht="12.95" customHeight="1" x14ac:dyDescent="0.3">
      <c r="B213" s="68" t="s">
        <v>7</v>
      </c>
      <c r="C213" s="68" t="s">
        <v>63</v>
      </c>
      <c r="D213" s="69" t="s">
        <v>48</v>
      </c>
      <c r="E213" s="70">
        <v>46851</v>
      </c>
      <c r="F213" s="21">
        <v>8</v>
      </c>
      <c r="G213" s="3">
        <f t="shared" ref="G213:G215" si="28">TRUNC($E213*F213,1)</f>
        <v>374808</v>
      </c>
      <c r="H213" s="18"/>
      <c r="I213" s="18"/>
      <c r="J213" s="18"/>
      <c r="K213" s="18"/>
      <c r="L213" s="18"/>
      <c r="M213" s="18"/>
    </row>
    <row r="214" spans="2:13" ht="12.95" customHeight="1" x14ac:dyDescent="0.3">
      <c r="B214" s="68" t="s">
        <v>64</v>
      </c>
      <c r="C214" s="68" t="s">
        <v>29</v>
      </c>
      <c r="D214" s="69" t="s">
        <v>48</v>
      </c>
      <c r="E214" s="70">
        <v>29191</v>
      </c>
      <c r="F214" s="21">
        <v>8</v>
      </c>
      <c r="G214" s="3">
        <f t="shared" si="28"/>
        <v>233528</v>
      </c>
      <c r="H214" s="18"/>
      <c r="I214" s="18"/>
      <c r="J214" s="18"/>
      <c r="K214" s="18"/>
      <c r="L214" s="18"/>
      <c r="M214" s="18"/>
    </row>
    <row r="215" spans="2:13" ht="12.95" customHeight="1" x14ac:dyDescent="0.3">
      <c r="B215" s="68" t="s">
        <v>61</v>
      </c>
      <c r="C215" s="68" t="s">
        <v>19</v>
      </c>
      <c r="D215" s="69" t="s">
        <v>48</v>
      </c>
      <c r="E215" s="70">
        <v>19154</v>
      </c>
      <c r="F215" s="21">
        <v>4</v>
      </c>
      <c r="G215" s="3">
        <f t="shared" si="28"/>
        <v>76616</v>
      </c>
      <c r="H215" s="80"/>
      <c r="I215" s="78"/>
      <c r="J215" s="18"/>
      <c r="K215" s="18"/>
      <c r="L215" s="18"/>
      <c r="M215" s="18"/>
    </row>
    <row r="216" spans="2:13" ht="12.95" customHeight="1" x14ac:dyDescent="0.3">
      <c r="B216" s="74" t="s">
        <v>40</v>
      </c>
      <c r="C216" s="75"/>
      <c r="D216" s="75"/>
      <c r="E216" s="81"/>
      <c r="F216" s="19"/>
      <c r="G216" s="20">
        <f>TRUNC(SUM(G213:G215))</f>
        <v>684952</v>
      </c>
      <c r="H216" s="18"/>
      <c r="I216" s="18"/>
      <c r="J216" s="18"/>
      <c r="K216" s="18"/>
      <c r="L216" s="18"/>
      <c r="M216" s="18"/>
    </row>
    <row r="217" spans="2:13" ht="12.95" customHeight="1" x14ac:dyDescent="0.3">
      <c r="B217" s="82"/>
      <c r="C217" s="68"/>
      <c r="D217" s="68"/>
      <c r="E217" s="83"/>
      <c r="F217" s="84"/>
      <c r="G217" s="72"/>
      <c r="H217" s="79"/>
      <c r="I217" s="78"/>
      <c r="J217" s="18"/>
      <c r="K217" s="18"/>
      <c r="L217" s="18"/>
      <c r="M217" s="18"/>
    </row>
    <row r="218" spans="2:13" ht="12.95" customHeight="1" x14ac:dyDescent="0.3">
      <c r="B218" s="51" t="s">
        <v>42</v>
      </c>
      <c r="C218" s="75"/>
      <c r="D218" s="75"/>
      <c r="E218" s="81"/>
      <c r="F218" s="81"/>
      <c r="G218" s="85">
        <f>SUM(G205+G211+G216)</f>
        <v>2888118</v>
      </c>
      <c r="H218" s="18"/>
      <c r="I218" s="18"/>
      <c r="J218" s="18"/>
      <c r="K218" s="18"/>
      <c r="L218" s="18"/>
      <c r="M218" s="18"/>
    </row>
    <row r="219" spans="2:13" ht="12.95" customHeight="1" x14ac:dyDescent="0.3">
      <c r="B219" s="52" t="s">
        <v>225</v>
      </c>
      <c r="C219" s="86"/>
      <c r="D219" s="86"/>
      <c r="E219" s="87"/>
      <c r="F219" s="87"/>
      <c r="G219" s="8">
        <f>TRUNC(G218/G200)</f>
        <v>5776</v>
      </c>
      <c r="H219" s="18"/>
      <c r="I219" s="18"/>
      <c r="J219" s="18"/>
      <c r="K219" s="18"/>
      <c r="L219" s="18"/>
      <c r="M219" s="18"/>
    </row>
    <row r="221" spans="2:13" ht="12.95" customHeight="1" x14ac:dyDescent="0.3">
      <c r="B221" s="29" t="s">
        <v>73</v>
      </c>
    </row>
    <row r="222" spans="2:13" ht="12.95" customHeight="1" x14ac:dyDescent="0.3">
      <c r="B222" s="60" t="s">
        <v>79</v>
      </c>
      <c r="C222" s="61"/>
      <c r="D222" s="62"/>
      <c r="E222" s="63"/>
      <c r="F222" s="62"/>
      <c r="G222" s="33"/>
      <c r="H222" s="62"/>
      <c r="I222" s="33" t="s">
        <v>58</v>
      </c>
      <c r="J222" s="62"/>
      <c r="K222" s="62"/>
      <c r="L222" s="62"/>
      <c r="M222" s="62"/>
    </row>
    <row r="223" spans="2:13" ht="12.95" customHeight="1" x14ac:dyDescent="0.3">
      <c r="B223" s="161" t="s">
        <v>30</v>
      </c>
      <c r="C223" s="163" t="s">
        <v>46</v>
      </c>
      <c r="D223" s="136" t="s">
        <v>35</v>
      </c>
      <c r="E223" s="145" t="s">
        <v>31</v>
      </c>
      <c r="F223" s="139" t="s">
        <v>74</v>
      </c>
      <c r="G223" s="140"/>
      <c r="H223" s="139" t="s">
        <v>75</v>
      </c>
      <c r="I223" s="140"/>
      <c r="J223" s="18"/>
      <c r="K223" s="18"/>
      <c r="L223" s="18"/>
      <c r="M223" s="18"/>
    </row>
    <row r="224" spans="2:13" ht="12.95" customHeight="1" x14ac:dyDescent="0.3">
      <c r="B224" s="162"/>
      <c r="C224" s="164"/>
      <c r="D224" s="138"/>
      <c r="E224" s="147"/>
      <c r="F224" s="38" t="s">
        <v>32</v>
      </c>
      <c r="G224" s="39" t="s">
        <v>33</v>
      </c>
      <c r="H224" s="38" t="s">
        <v>32</v>
      </c>
      <c r="I224" s="39" t="s">
        <v>33</v>
      </c>
      <c r="J224" s="18"/>
      <c r="K224" s="18"/>
      <c r="L224" s="18"/>
      <c r="M224" s="18"/>
    </row>
    <row r="225" spans="2:13" ht="12.95" customHeight="1" x14ac:dyDescent="0.3">
      <c r="B225" s="73" t="s">
        <v>77</v>
      </c>
      <c r="C225" s="68" t="s">
        <v>76</v>
      </c>
      <c r="D225" s="69" t="s">
        <v>48</v>
      </c>
      <c r="E225" s="70">
        <v>2015</v>
      </c>
      <c r="F225" s="21">
        <v>8</v>
      </c>
      <c r="G225" s="3">
        <f t="shared" ref="G225:G226" si="29">TRUNC($E225*F225,1)</f>
        <v>16120</v>
      </c>
      <c r="H225" s="21">
        <v>0</v>
      </c>
      <c r="I225" s="3">
        <f t="shared" ref="I225:I226" si="30">TRUNC($E225*H225,1)</f>
        <v>0</v>
      </c>
      <c r="J225" s="18"/>
      <c r="K225" s="18"/>
      <c r="L225" s="18"/>
      <c r="M225" s="18"/>
    </row>
    <row r="226" spans="2:13" ht="12.95" customHeight="1" x14ac:dyDescent="0.3">
      <c r="B226" s="73" t="s">
        <v>78</v>
      </c>
      <c r="C226" s="68" t="s">
        <v>51</v>
      </c>
      <c r="D226" s="69" t="s">
        <v>48</v>
      </c>
      <c r="E226" s="70">
        <v>20511</v>
      </c>
      <c r="F226" s="21">
        <v>0</v>
      </c>
      <c r="G226" s="3">
        <f t="shared" si="29"/>
        <v>0</v>
      </c>
      <c r="H226" s="21">
        <v>8</v>
      </c>
      <c r="I226" s="3">
        <f t="shared" si="30"/>
        <v>164088</v>
      </c>
      <c r="J226" s="18"/>
      <c r="K226" s="18"/>
      <c r="L226" s="18"/>
      <c r="M226" s="18"/>
    </row>
    <row r="227" spans="2:13" ht="12.95" customHeight="1" x14ac:dyDescent="0.3">
      <c r="B227" s="74" t="s">
        <v>38</v>
      </c>
      <c r="C227" s="75"/>
      <c r="D227" s="75"/>
      <c r="E227" s="24"/>
      <c r="F227" s="25"/>
      <c r="G227" s="20">
        <f>TRUNC(SUM(G225:G226))</f>
        <v>16120</v>
      </c>
      <c r="H227" s="25"/>
      <c r="I227" s="20">
        <f>TRUNC(SUM(I225:I226))</f>
        <v>164088</v>
      </c>
      <c r="J227" s="18"/>
      <c r="K227" s="18"/>
      <c r="L227" s="18"/>
      <c r="M227" s="18"/>
    </row>
    <row r="228" spans="2:13" ht="12.95" customHeight="1" x14ac:dyDescent="0.3">
      <c r="B228" s="77"/>
      <c r="C228" s="75"/>
      <c r="D228" s="75"/>
      <c r="E228" s="24"/>
      <c r="F228" s="25"/>
      <c r="G228" s="78"/>
      <c r="H228" s="25"/>
      <c r="I228" s="78"/>
      <c r="J228" s="18"/>
      <c r="K228" s="18"/>
      <c r="L228" s="18"/>
      <c r="M228" s="18"/>
    </row>
    <row r="229" spans="2:13" ht="12.95" customHeight="1" x14ac:dyDescent="0.3">
      <c r="B229" s="40" t="s">
        <v>8</v>
      </c>
      <c r="C229" s="41"/>
      <c r="D229" s="42" t="s">
        <v>37</v>
      </c>
      <c r="E229" s="70">
        <v>172068</v>
      </c>
      <c r="F229" s="21">
        <v>2</v>
      </c>
      <c r="G229" s="3">
        <f t="shared" ref="G229:G231" si="31">TRUNC($E229*F229,1)</f>
        <v>344136</v>
      </c>
      <c r="H229" s="21">
        <v>1</v>
      </c>
      <c r="I229" s="3">
        <f t="shared" ref="I229:I231" si="32">TRUNC($E229*H229,1)</f>
        <v>172068</v>
      </c>
      <c r="J229" s="18"/>
      <c r="K229" s="18"/>
      <c r="L229" s="18"/>
      <c r="M229" s="18"/>
    </row>
    <row r="230" spans="2:13" ht="12.95" customHeight="1" x14ac:dyDescent="0.3">
      <c r="B230" s="73" t="s">
        <v>77</v>
      </c>
      <c r="C230" s="68" t="s">
        <v>76</v>
      </c>
      <c r="D230" s="69" t="s">
        <v>48</v>
      </c>
      <c r="E230" s="70">
        <v>58925</v>
      </c>
      <c r="F230" s="21">
        <v>8</v>
      </c>
      <c r="G230" s="3">
        <f t="shared" si="31"/>
        <v>471400</v>
      </c>
      <c r="H230" s="21">
        <v>0</v>
      </c>
      <c r="I230" s="3">
        <f t="shared" si="32"/>
        <v>0</v>
      </c>
      <c r="J230" s="18"/>
      <c r="K230" s="18"/>
      <c r="L230" s="18"/>
      <c r="M230" s="18"/>
    </row>
    <row r="231" spans="2:13" ht="12.95" customHeight="1" x14ac:dyDescent="0.3">
      <c r="B231" s="73" t="s">
        <v>78</v>
      </c>
      <c r="C231" s="68" t="s">
        <v>51</v>
      </c>
      <c r="D231" s="69" t="s">
        <v>48</v>
      </c>
      <c r="E231" s="70">
        <v>58925</v>
      </c>
      <c r="F231" s="21">
        <v>0</v>
      </c>
      <c r="G231" s="3">
        <f t="shared" si="31"/>
        <v>0</v>
      </c>
      <c r="H231" s="21">
        <v>8</v>
      </c>
      <c r="I231" s="3">
        <f t="shared" si="32"/>
        <v>471400</v>
      </c>
      <c r="J231" s="18"/>
      <c r="K231" s="18"/>
      <c r="L231" s="18"/>
      <c r="M231" s="18"/>
    </row>
    <row r="232" spans="2:13" ht="12.95" customHeight="1" x14ac:dyDescent="0.3">
      <c r="B232" s="45" t="s">
        <v>39</v>
      </c>
      <c r="C232" s="75"/>
      <c r="D232" s="75"/>
      <c r="E232" s="24"/>
      <c r="F232" s="25"/>
      <c r="G232" s="20">
        <f>TRUNC(SUM(G229:G231))</f>
        <v>815536</v>
      </c>
      <c r="H232" s="25"/>
      <c r="I232" s="20">
        <f>TRUNC(SUM(I229:I231))</f>
        <v>643468</v>
      </c>
      <c r="J232" s="18"/>
      <c r="K232" s="18"/>
      <c r="L232" s="18"/>
      <c r="M232" s="18"/>
    </row>
    <row r="233" spans="2:13" ht="12.95" customHeight="1" x14ac:dyDescent="0.3">
      <c r="B233" s="77"/>
      <c r="C233" s="75"/>
      <c r="D233" s="75"/>
      <c r="E233" s="24"/>
      <c r="F233" s="25"/>
      <c r="G233" s="78"/>
      <c r="H233" s="25"/>
      <c r="I233" s="78"/>
      <c r="J233" s="18"/>
      <c r="K233" s="18"/>
      <c r="L233" s="18"/>
      <c r="M233" s="18"/>
    </row>
    <row r="234" spans="2:13" ht="12.95" customHeight="1" x14ac:dyDescent="0.3">
      <c r="B234" s="73" t="s">
        <v>77</v>
      </c>
      <c r="C234" s="68" t="s">
        <v>76</v>
      </c>
      <c r="D234" s="69" t="s">
        <v>48</v>
      </c>
      <c r="E234" s="70">
        <v>804</v>
      </c>
      <c r="F234" s="21">
        <v>8</v>
      </c>
      <c r="G234" s="3">
        <f t="shared" ref="G234:G235" si="33">TRUNC($E234*F234,1)</f>
        <v>6432</v>
      </c>
      <c r="H234" s="21">
        <v>0</v>
      </c>
      <c r="I234" s="3">
        <f t="shared" ref="I234:I235" si="34">TRUNC($E234*H234,1)</f>
        <v>0</v>
      </c>
      <c r="J234" s="18"/>
      <c r="K234" s="18"/>
      <c r="L234" s="18"/>
      <c r="M234" s="18"/>
    </row>
    <row r="235" spans="2:13" ht="12.95" customHeight="1" x14ac:dyDescent="0.3">
      <c r="B235" s="73" t="s">
        <v>78</v>
      </c>
      <c r="C235" s="68" t="s">
        <v>51</v>
      </c>
      <c r="D235" s="69" t="s">
        <v>48</v>
      </c>
      <c r="E235" s="70">
        <v>16470</v>
      </c>
      <c r="F235" s="21">
        <v>0</v>
      </c>
      <c r="G235" s="3">
        <f t="shared" si="33"/>
        <v>0</v>
      </c>
      <c r="H235" s="21">
        <v>8</v>
      </c>
      <c r="I235" s="3">
        <f t="shared" si="34"/>
        <v>131760</v>
      </c>
      <c r="J235" s="18"/>
      <c r="K235" s="18"/>
      <c r="L235" s="18"/>
      <c r="M235" s="18"/>
    </row>
    <row r="236" spans="2:13" ht="12.95" customHeight="1" x14ac:dyDescent="0.3">
      <c r="B236" s="74" t="s">
        <v>40</v>
      </c>
      <c r="C236" s="75"/>
      <c r="D236" s="75"/>
      <c r="E236" s="81"/>
      <c r="F236" s="19"/>
      <c r="G236" s="20">
        <f>TRUNC(SUM(G234:G235))</f>
        <v>6432</v>
      </c>
      <c r="H236" s="19"/>
      <c r="I236" s="20">
        <f>TRUNC(SUM(I234:I235))</f>
        <v>131760</v>
      </c>
      <c r="J236" s="18"/>
      <c r="K236" s="18"/>
      <c r="L236" s="18"/>
      <c r="M236" s="18"/>
    </row>
    <row r="237" spans="2:13" ht="12.95" customHeight="1" x14ac:dyDescent="0.3">
      <c r="B237" s="82"/>
      <c r="C237" s="68"/>
      <c r="D237" s="68"/>
      <c r="E237" s="83"/>
      <c r="F237" s="84"/>
      <c r="G237" s="72"/>
      <c r="H237" s="84"/>
      <c r="I237" s="72"/>
      <c r="J237" s="18"/>
      <c r="K237" s="18"/>
      <c r="L237" s="18"/>
      <c r="M237" s="18"/>
    </row>
    <row r="238" spans="2:13" ht="12.95" customHeight="1" x14ac:dyDescent="0.3">
      <c r="B238" s="52" t="s">
        <v>42</v>
      </c>
      <c r="C238" s="86"/>
      <c r="D238" s="86"/>
      <c r="E238" s="87"/>
      <c r="F238" s="87"/>
      <c r="G238" s="89">
        <f>SUM(G227+G232+G236)</f>
        <v>838088</v>
      </c>
      <c r="H238" s="87"/>
      <c r="I238" s="89">
        <f>SUM(I227+I232+I236)</f>
        <v>939316</v>
      </c>
      <c r="J238" s="18"/>
      <c r="K238" s="18"/>
      <c r="L238" s="18"/>
      <c r="M238" s="18"/>
    </row>
    <row r="240" spans="2:13" ht="12.95" customHeight="1" x14ac:dyDescent="0.3">
      <c r="B240" s="60" t="s">
        <v>147</v>
      </c>
      <c r="C240" s="61"/>
      <c r="D240" s="62"/>
      <c r="E240" s="63"/>
      <c r="F240" s="62"/>
      <c r="G240" s="33" t="s">
        <v>58</v>
      </c>
      <c r="H240" s="62"/>
      <c r="I240" s="62"/>
      <c r="J240" s="62"/>
      <c r="K240" s="62"/>
      <c r="L240" s="62"/>
      <c r="M240" s="62"/>
    </row>
    <row r="241" spans="2:13" ht="12.95" customHeight="1" x14ac:dyDescent="0.3">
      <c r="B241" s="161" t="s">
        <v>30</v>
      </c>
      <c r="C241" s="163" t="s">
        <v>46</v>
      </c>
      <c r="D241" s="125" t="s">
        <v>35</v>
      </c>
      <c r="E241" s="145" t="s">
        <v>31</v>
      </c>
      <c r="F241" s="34" t="s">
        <v>230</v>
      </c>
      <c r="G241" s="37">
        <v>320</v>
      </c>
      <c r="H241" s="65"/>
      <c r="I241" s="66"/>
      <c r="J241" s="18"/>
      <c r="K241" s="18"/>
      <c r="L241" s="18"/>
      <c r="M241" s="18"/>
    </row>
    <row r="242" spans="2:13" ht="12.95" customHeight="1" x14ac:dyDescent="0.3">
      <c r="B242" s="162"/>
      <c r="C242" s="164"/>
      <c r="D242" s="125"/>
      <c r="E242" s="147"/>
      <c r="F242" s="38" t="s">
        <v>32</v>
      </c>
      <c r="G242" s="39" t="s">
        <v>33</v>
      </c>
      <c r="H242" s="65"/>
      <c r="I242" s="66"/>
      <c r="J242" s="18"/>
      <c r="K242" s="18"/>
      <c r="L242" s="18"/>
      <c r="M242" s="18"/>
    </row>
    <row r="243" spans="2:13" ht="12.95" customHeight="1" x14ac:dyDescent="0.3">
      <c r="B243" s="68" t="s">
        <v>49</v>
      </c>
      <c r="C243" s="68" t="s">
        <v>50</v>
      </c>
      <c r="D243" s="69" t="s">
        <v>48</v>
      </c>
      <c r="E243" s="70">
        <v>1901</v>
      </c>
      <c r="F243" s="21">
        <v>8</v>
      </c>
      <c r="G243" s="3">
        <f t="shared" ref="G243:G246" si="35">TRUNC($E243*F243,1)</f>
        <v>15208</v>
      </c>
      <c r="H243" s="71"/>
      <c r="I243" s="72"/>
      <c r="J243" s="18"/>
      <c r="K243" s="18"/>
      <c r="L243" s="18"/>
      <c r="M243" s="18"/>
    </row>
    <row r="244" spans="2:13" ht="12.95" customHeight="1" x14ac:dyDescent="0.3">
      <c r="B244" s="73" t="s">
        <v>66</v>
      </c>
      <c r="C244" s="68" t="s">
        <v>65</v>
      </c>
      <c r="D244" s="69" t="s">
        <v>48</v>
      </c>
      <c r="E244" s="70">
        <v>3742</v>
      </c>
      <c r="F244" s="21">
        <v>8</v>
      </c>
      <c r="G244" s="3">
        <f t="shared" si="35"/>
        <v>29936</v>
      </c>
      <c r="H244" s="71"/>
      <c r="I244" s="72"/>
      <c r="J244" s="18"/>
      <c r="K244" s="18"/>
      <c r="L244" s="18"/>
      <c r="M244" s="18"/>
    </row>
    <row r="245" spans="2:13" ht="12.95" customHeight="1" x14ac:dyDescent="0.3">
      <c r="B245" s="68" t="s">
        <v>14</v>
      </c>
      <c r="C245" s="68" t="s">
        <v>89</v>
      </c>
      <c r="D245" s="69" t="s">
        <v>48</v>
      </c>
      <c r="E245" s="70">
        <v>7587</v>
      </c>
      <c r="F245" s="21">
        <v>8</v>
      </c>
      <c r="G245" s="3">
        <f t="shared" si="35"/>
        <v>60696</v>
      </c>
      <c r="H245" s="71"/>
      <c r="I245" s="72"/>
      <c r="J245" s="18"/>
      <c r="K245" s="18"/>
      <c r="L245" s="18"/>
      <c r="M245" s="18"/>
    </row>
    <row r="246" spans="2:13" ht="12.95" customHeight="1" x14ac:dyDescent="0.3">
      <c r="B246" s="68" t="s">
        <v>61</v>
      </c>
      <c r="C246" s="68" t="s">
        <v>52</v>
      </c>
      <c r="D246" s="69" t="s">
        <v>48</v>
      </c>
      <c r="E246" s="70">
        <v>18200</v>
      </c>
      <c r="F246" s="21">
        <v>4</v>
      </c>
      <c r="G246" s="3">
        <f t="shared" si="35"/>
        <v>72800</v>
      </c>
      <c r="H246" s="62"/>
      <c r="I246" s="62"/>
      <c r="J246" s="18"/>
      <c r="K246" s="18"/>
      <c r="L246" s="18"/>
      <c r="M246" s="18"/>
    </row>
    <row r="247" spans="2:13" ht="12.95" customHeight="1" x14ac:dyDescent="0.3">
      <c r="B247" s="74" t="s">
        <v>38</v>
      </c>
      <c r="C247" s="75"/>
      <c r="D247" s="75"/>
      <c r="E247" s="24"/>
      <c r="F247" s="25"/>
      <c r="G247" s="20">
        <f>TRUNC(SUM(G243:G246))</f>
        <v>178640</v>
      </c>
      <c r="H247" s="76"/>
      <c r="I247" s="72"/>
      <c r="J247" s="18"/>
      <c r="K247" s="18"/>
      <c r="L247" s="18"/>
      <c r="M247" s="18"/>
    </row>
    <row r="248" spans="2:13" ht="12.95" customHeight="1" x14ac:dyDescent="0.3">
      <c r="B248" s="77"/>
      <c r="C248" s="75"/>
      <c r="D248" s="75"/>
      <c r="E248" s="24"/>
      <c r="F248" s="25"/>
      <c r="G248" s="78"/>
      <c r="H248" s="76"/>
      <c r="I248" s="72"/>
      <c r="J248" s="18"/>
      <c r="K248" s="18"/>
      <c r="L248" s="18"/>
      <c r="M248" s="18"/>
    </row>
    <row r="249" spans="2:13" ht="12.95" customHeight="1" x14ac:dyDescent="0.3">
      <c r="B249" s="40" t="s">
        <v>3</v>
      </c>
      <c r="C249" s="41"/>
      <c r="D249" s="42" t="s">
        <v>37</v>
      </c>
      <c r="E249" s="70">
        <v>273308</v>
      </c>
      <c r="F249" s="21">
        <v>2</v>
      </c>
      <c r="G249" s="3">
        <f t="shared" ref="G249:G254" si="36">TRUNC($E249*F249,1)</f>
        <v>546616</v>
      </c>
      <c r="H249" s="62"/>
      <c r="I249" s="62"/>
      <c r="J249" s="18"/>
      <c r="K249" s="18"/>
      <c r="L249" s="18"/>
      <c r="M249" s="18"/>
    </row>
    <row r="250" spans="2:13" ht="12.95" customHeight="1" x14ac:dyDescent="0.3">
      <c r="B250" s="40" t="s">
        <v>8</v>
      </c>
      <c r="C250" s="41"/>
      <c r="D250" s="42" t="s">
        <v>37</v>
      </c>
      <c r="E250" s="70">
        <v>172068</v>
      </c>
      <c r="F250" s="21">
        <v>1</v>
      </c>
      <c r="G250" s="3">
        <f t="shared" si="36"/>
        <v>172068</v>
      </c>
      <c r="H250" s="79"/>
      <c r="I250" s="78"/>
      <c r="J250" s="18"/>
      <c r="K250" s="18"/>
      <c r="L250" s="18"/>
      <c r="M250" s="18"/>
    </row>
    <row r="251" spans="2:13" ht="12.95" customHeight="1" x14ac:dyDescent="0.3">
      <c r="B251" s="68" t="s">
        <v>49</v>
      </c>
      <c r="C251" s="68" t="s">
        <v>50</v>
      </c>
      <c r="D251" s="69" t="s">
        <v>48</v>
      </c>
      <c r="E251" s="70">
        <v>36190</v>
      </c>
      <c r="F251" s="21">
        <v>8</v>
      </c>
      <c r="G251" s="3">
        <f t="shared" si="36"/>
        <v>289520</v>
      </c>
      <c r="H251" s="79"/>
      <c r="I251" s="78"/>
      <c r="J251" s="18"/>
      <c r="K251" s="18"/>
      <c r="L251" s="18"/>
      <c r="M251" s="18"/>
    </row>
    <row r="252" spans="2:13" ht="12.95" customHeight="1" x14ac:dyDescent="0.3">
      <c r="B252" s="73" t="s">
        <v>66</v>
      </c>
      <c r="C252" s="68" t="s">
        <v>65</v>
      </c>
      <c r="D252" s="69" t="s">
        <v>48</v>
      </c>
      <c r="E252" s="70">
        <v>36190</v>
      </c>
      <c r="F252" s="21">
        <v>8</v>
      </c>
      <c r="G252" s="3">
        <f t="shared" si="36"/>
        <v>289520</v>
      </c>
      <c r="H252" s="79"/>
      <c r="I252" s="78"/>
      <c r="J252" s="18"/>
      <c r="K252" s="18"/>
      <c r="L252" s="18"/>
      <c r="M252" s="18"/>
    </row>
    <row r="253" spans="2:13" ht="12.95" customHeight="1" x14ac:dyDescent="0.3">
      <c r="B253" s="68" t="s">
        <v>14</v>
      </c>
      <c r="C253" s="68" t="s">
        <v>89</v>
      </c>
      <c r="D253" s="69" t="s">
        <v>48</v>
      </c>
      <c r="E253" s="70">
        <v>58925</v>
      </c>
      <c r="F253" s="21">
        <v>8</v>
      </c>
      <c r="G253" s="3">
        <f t="shared" si="36"/>
        <v>471400</v>
      </c>
      <c r="H253" s="71"/>
      <c r="I253" s="72"/>
      <c r="J253" s="18"/>
      <c r="K253" s="18"/>
      <c r="L253" s="18"/>
      <c r="M253" s="18"/>
    </row>
    <row r="254" spans="2:13" ht="12.95" customHeight="1" x14ac:dyDescent="0.3">
      <c r="B254" s="68" t="s">
        <v>61</v>
      </c>
      <c r="C254" s="68" t="s">
        <v>52</v>
      </c>
      <c r="D254" s="69" t="s">
        <v>48</v>
      </c>
      <c r="E254" s="70">
        <v>49698</v>
      </c>
      <c r="F254" s="21">
        <v>4</v>
      </c>
      <c r="G254" s="3">
        <f t="shared" si="36"/>
        <v>198792</v>
      </c>
      <c r="H254" s="79"/>
      <c r="I254" s="78"/>
      <c r="J254" s="18"/>
      <c r="K254" s="18"/>
      <c r="L254" s="18"/>
      <c r="M254" s="18"/>
    </row>
    <row r="255" spans="2:13" ht="12.95" customHeight="1" x14ac:dyDescent="0.3">
      <c r="B255" s="45" t="s">
        <v>39</v>
      </c>
      <c r="C255" s="75"/>
      <c r="D255" s="75"/>
      <c r="E255" s="24"/>
      <c r="F255" s="25"/>
      <c r="G255" s="20">
        <f>TRUNC(SUM(G249:G254))</f>
        <v>1967916</v>
      </c>
      <c r="H255" s="18"/>
      <c r="I255" s="18"/>
      <c r="J255" s="18"/>
      <c r="K255" s="18"/>
      <c r="L255" s="18"/>
      <c r="M255" s="18"/>
    </row>
    <row r="256" spans="2:13" ht="12.95" customHeight="1" x14ac:dyDescent="0.3">
      <c r="B256" s="77"/>
      <c r="C256" s="75"/>
      <c r="D256" s="75"/>
      <c r="E256" s="24"/>
      <c r="F256" s="25"/>
      <c r="G256" s="78"/>
      <c r="H256" s="18"/>
      <c r="I256" s="18"/>
      <c r="J256" s="18"/>
      <c r="K256" s="18"/>
      <c r="L256" s="18"/>
      <c r="M256" s="18"/>
    </row>
    <row r="257" spans="2:13" ht="12.95" customHeight="1" x14ac:dyDescent="0.3">
      <c r="B257" s="68" t="s">
        <v>49</v>
      </c>
      <c r="C257" s="68" t="s">
        <v>50</v>
      </c>
      <c r="D257" s="69" t="s">
        <v>48</v>
      </c>
      <c r="E257" s="70">
        <v>620</v>
      </c>
      <c r="F257" s="21">
        <v>8</v>
      </c>
      <c r="G257" s="3">
        <f t="shared" ref="G257:G260" si="37">TRUNC($E257*F257,1)</f>
        <v>4960</v>
      </c>
      <c r="H257" s="18"/>
      <c r="I257" s="18"/>
      <c r="J257" s="18"/>
      <c r="K257" s="18"/>
      <c r="L257" s="18"/>
      <c r="M257" s="18"/>
    </row>
    <row r="258" spans="2:13" ht="12.95" customHeight="1" x14ac:dyDescent="0.3">
      <c r="B258" s="73" t="s">
        <v>66</v>
      </c>
      <c r="C258" s="68" t="s">
        <v>65</v>
      </c>
      <c r="D258" s="69" t="s">
        <v>48</v>
      </c>
      <c r="E258" s="70">
        <v>1967</v>
      </c>
      <c r="F258" s="21">
        <v>8</v>
      </c>
      <c r="G258" s="3">
        <f t="shared" si="37"/>
        <v>15736</v>
      </c>
      <c r="H258" s="18"/>
      <c r="I258" s="18"/>
      <c r="J258" s="18"/>
      <c r="K258" s="18"/>
      <c r="L258" s="18"/>
      <c r="M258" s="18"/>
    </row>
    <row r="259" spans="2:13" ht="12.95" customHeight="1" x14ac:dyDescent="0.3">
      <c r="B259" s="68" t="s">
        <v>14</v>
      </c>
      <c r="C259" s="68" t="s">
        <v>89</v>
      </c>
      <c r="D259" s="69" t="s">
        <v>48</v>
      </c>
      <c r="E259" s="70">
        <v>7505</v>
      </c>
      <c r="F259" s="21">
        <v>8</v>
      </c>
      <c r="G259" s="3">
        <f t="shared" si="37"/>
        <v>60040</v>
      </c>
      <c r="H259" s="71"/>
      <c r="I259" s="72"/>
      <c r="J259" s="18"/>
      <c r="K259" s="18"/>
      <c r="L259" s="18"/>
      <c r="M259" s="18"/>
    </row>
    <row r="260" spans="2:13" ht="12.95" customHeight="1" x14ac:dyDescent="0.3">
      <c r="B260" s="68" t="s">
        <v>61</v>
      </c>
      <c r="C260" s="68" t="s">
        <v>52</v>
      </c>
      <c r="D260" s="69" t="s">
        <v>48</v>
      </c>
      <c r="E260" s="70">
        <v>9986</v>
      </c>
      <c r="F260" s="21">
        <v>4</v>
      </c>
      <c r="G260" s="3">
        <f t="shared" si="37"/>
        <v>39944</v>
      </c>
      <c r="H260" s="80"/>
      <c r="I260" s="78"/>
      <c r="J260" s="18"/>
      <c r="K260" s="18"/>
      <c r="L260" s="18"/>
      <c r="M260" s="18"/>
    </row>
    <row r="261" spans="2:13" ht="12.95" customHeight="1" x14ac:dyDescent="0.3">
      <c r="B261" s="74" t="s">
        <v>40</v>
      </c>
      <c r="C261" s="75"/>
      <c r="D261" s="75"/>
      <c r="E261" s="81"/>
      <c r="F261" s="19"/>
      <c r="G261" s="20">
        <f>TRUNC(SUM(G257:G260))</f>
        <v>120680</v>
      </c>
      <c r="H261" s="18"/>
      <c r="I261" s="18"/>
      <c r="J261" s="18"/>
      <c r="K261" s="18"/>
      <c r="L261" s="18"/>
      <c r="M261" s="18"/>
    </row>
    <row r="262" spans="2:13" ht="12.95" customHeight="1" x14ac:dyDescent="0.3">
      <c r="B262" s="82"/>
      <c r="C262" s="68"/>
      <c r="D262" s="68"/>
      <c r="E262" s="83"/>
      <c r="F262" s="84"/>
      <c r="G262" s="72"/>
      <c r="H262" s="79"/>
      <c r="I262" s="78"/>
      <c r="J262" s="18"/>
      <c r="K262" s="18"/>
      <c r="L262" s="18"/>
      <c r="M262" s="18"/>
    </row>
    <row r="263" spans="2:13" ht="12.95" customHeight="1" x14ac:dyDescent="0.3">
      <c r="B263" s="51" t="s">
        <v>42</v>
      </c>
      <c r="C263" s="75"/>
      <c r="D263" s="75"/>
      <c r="E263" s="81"/>
      <c r="F263" s="81"/>
      <c r="G263" s="85">
        <f>SUM(G247+G255+G261)</f>
        <v>2267236</v>
      </c>
      <c r="H263" s="18"/>
      <c r="I263" s="18"/>
      <c r="J263" s="18"/>
      <c r="K263" s="18"/>
      <c r="L263" s="18"/>
      <c r="M263" s="18"/>
    </row>
    <row r="264" spans="2:13" ht="12.95" customHeight="1" x14ac:dyDescent="0.3">
      <c r="B264" s="52" t="s">
        <v>231</v>
      </c>
      <c r="C264" s="86"/>
      <c r="D264" s="86"/>
      <c r="E264" s="87"/>
      <c r="F264" s="87"/>
      <c r="G264" s="8">
        <f>TRUNC(G263/G241)</f>
        <v>7085</v>
      </c>
      <c r="H264" s="18"/>
      <c r="I264" s="18"/>
      <c r="J264" s="18"/>
      <c r="K264" s="18"/>
      <c r="L264" s="18"/>
      <c r="M264" s="18"/>
    </row>
    <row r="266" spans="2:13" ht="12.95" customHeight="1" x14ac:dyDescent="0.3">
      <c r="B266" s="60" t="s">
        <v>148</v>
      </c>
      <c r="C266" s="61"/>
      <c r="D266" s="62"/>
      <c r="E266" s="63"/>
      <c r="F266" s="62"/>
      <c r="G266" s="62"/>
      <c r="H266" s="62"/>
      <c r="I266" s="33" t="s">
        <v>58</v>
      </c>
      <c r="J266" s="62"/>
      <c r="K266" s="62"/>
      <c r="L266" s="62"/>
      <c r="M266" s="62"/>
    </row>
    <row r="267" spans="2:13" ht="12.95" customHeight="1" x14ac:dyDescent="0.3">
      <c r="B267" s="142" t="s">
        <v>30</v>
      </c>
      <c r="C267" s="145" t="s">
        <v>34</v>
      </c>
      <c r="D267" s="145" t="s">
        <v>35</v>
      </c>
      <c r="E267" s="145" t="s">
        <v>31</v>
      </c>
      <c r="F267" s="139" t="s">
        <v>149</v>
      </c>
      <c r="G267" s="140"/>
      <c r="H267" s="140"/>
      <c r="I267" s="140"/>
      <c r="J267" s="18"/>
      <c r="K267" s="18"/>
      <c r="L267" s="18"/>
      <c r="M267" s="18"/>
    </row>
    <row r="268" spans="2:13" ht="12.95" customHeight="1" x14ac:dyDescent="0.3">
      <c r="B268" s="143"/>
      <c r="C268" s="146"/>
      <c r="D268" s="146"/>
      <c r="E268" s="146"/>
      <c r="F268" s="139" t="s">
        <v>226</v>
      </c>
      <c r="G268" s="140"/>
      <c r="H268" s="139" t="s">
        <v>227</v>
      </c>
      <c r="I268" s="140"/>
      <c r="J268" s="18"/>
      <c r="K268" s="18"/>
      <c r="L268" s="18"/>
      <c r="M268" s="18"/>
    </row>
    <row r="269" spans="2:13" ht="12.95" customHeight="1" x14ac:dyDescent="0.3">
      <c r="B269" s="143"/>
      <c r="C269" s="146"/>
      <c r="D269" s="146"/>
      <c r="E269" s="146"/>
      <c r="F269" s="34" t="s">
        <v>230</v>
      </c>
      <c r="G269" s="37">
        <v>1750</v>
      </c>
      <c r="H269" s="34" t="s">
        <v>230</v>
      </c>
      <c r="I269" s="37">
        <v>1600</v>
      </c>
      <c r="J269" s="18"/>
      <c r="K269" s="18"/>
      <c r="L269" s="18"/>
      <c r="M269" s="18"/>
    </row>
    <row r="270" spans="2:13" ht="12.95" customHeight="1" x14ac:dyDescent="0.3">
      <c r="B270" s="144"/>
      <c r="C270" s="147"/>
      <c r="D270" s="147"/>
      <c r="E270" s="147"/>
      <c r="F270" s="38" t="s">
        <v>32</v>
      </c>
      <c r="G270" s="39" t="s">
        <v>33</v>
      </c>
      <c r="H270" s="38" t="s">
        <v>32</v>
      </c>
      <c r="I270" s="39" t="s">
        <v>33</v>
      </c>
      <c r="J270" s="18"/>
      <c r="K270" s="18"/>
      <c r="L270" s="18"/>
      <c r="M270" s="18"/>
    </row>
    <row r="271" spans="2:13" ht="12.95" customHeight="1" x14ac:dyDescent="0.3">
      <c r="B271" s="68" t="s">
        <v>24</v>
      </c>
      <c r="C271" s="68" t="s">
        <v>25</v>
      </c>
      <c r="D271" s="69" t="s">
        <v>48</v>
      </c>
      <c r="E271" s="70">
        <v>11275</v>
      </c>
      <c r="F271" s="21">
        <v>8</v>
      </c>
      <c r="G271" s="3">
        <f t="shared" ref="G271:G276" si="38">TRUNC($E271*F271,1)</f>
        <v>90200</v>
      </c>
      <c r="H271" s="21">
        <v>8</v>
      </c>
      <c r="I271" s="3">
        <f t="shared" ref="I271:I276" si="39">TRUNC($E271*H271,1)</f>
        <v>90200</v>
      </c>
      <c r="J271" s="18"/>
      <c r="K271" s="18"/>
      <c r="L271" s="18"/>
      <c r="M271" s="18"/>
    </row>
    <row r="272" spans="2:13" ht="12.95" customHeight="1" x14ac:dyDescent="0.3">
      <c r="B272" s="73" t="s">
        <v>292</v>
      </c>
      <c r="C272" s="68" t="s">
        <v>23</v>
      </c>
      <c r="D272" s="69" t="s">
        <v>48</v>
      </c>
      <c r="E272" s="70">
        <v>18733</v>
      </c>
      <c r="F272" s="21">
        <v>8</v>
      </c>
      <c r="G272" s="3">
        <f t="shared" si="38"/>
        <v>149864</v>
      </c>
      <c r="H272" s="21">
        <v>8</v>
      </c>
      <c r="I272" s="3">
        <f t="shared" si="39"/>
        <v>149864</v>
      </c>
      <c r="J272" s="18"/>
      <c r="K272" s="18"/>
      <c r="L272" s="18"/>
      <c r="M272" s="18"/>
    </row>
    <row r="273" spans="2:15" ht="12.95" customHeight="1" x14ac:dyDescent="0.3">
      <c r="B273" s="73" t="s">
        <v>15</v>
      </c>
      <c r="C273" s="68" t="s">
        <v>90</v>
      </c>
      <c r="D273" s="69" t="s">
        <v>48</v>
      </c>
      <c r="E273" s="70">
        <v>13500</v>
      </c>
      <c r="F273" s="21">
        <v>8</v>
      </c>
      <c r="G273" s="3">
        <f t="shared" si="38"/>
        <v>108000</v>
      </c>
      <c r="H273" s="21">
        <v>8</v>
      </c>
      <c r="I273" s="3">
        <f t="shared" si="39"/>
        <v>108000</v>
      </c>
      <c r="J273" s="18"/>
      <c r="K273" s="18"/>
      <c r="L273" s="18"/>
      <c r="M273" s="18"/>
    </row>
    <row r="274" spans="2:15" ht="12.95" customHeight="1" x14ac:dyDescent="0.3">
      <c r="B274" s="68" t="s">
        <v>26</v>
      </c>
      <c r="C274" s="68" t="s">
        <v>85</v>
      </c>
      <c r="D274" s="69" t="s">
        <v>48</v>
      </c>
      <c r="E274" s="70">
        <v>9073</v>
      </c>
      <c r="F274" s="21">
        <v>8</v>
      </c>
      <c r="G274" s="3">
        <f t="shared" si="38"/>
        <v>72584</v>
      </c>
      <c r="H274" s="21">
        <v>8</v>
      </c>
      <c r="I274" s="3">
        <f t="shared" si="39"/>
        <v>72584</v>
      </c>
      <c r="J274" s="18"/>
      <c r="K274" s="18"/>
      <c r="L274" s="18"/>
      <c r="M274" s="18"/>
    </row>
    <row r="275" spans="2:15" ht="12.95" customHeight="1" x14ac:dyDescent="0.3">
      <c r="B275" s="68" t="s">
        <v>84</v>
      </c>
      <c r="C275" s="68" t="s">
        <v>85</v>
      </c>
      <c r="D275" s="69" t="s">
        <v>48</v>
      </c>
      <c r="E275" s="70">
        <v>8882</v>
      </c>
      <c r="F275" s="21">
        <v>8</v>
      </c>
      <c r="G275" s="3">
        <f t="shared" si="38"/>
        <v>71056</v>
      </c>
      <c r="H275" s="21">
        <v>8</v>
      </c>
      <c r="I275" s="3">
        <f t="shared" si="39"/>
        <v>71056</v>
      </c>
      <c r="J275" s="18"/>
      <c r="K275" s="18"/>
      <c r="L275" s="18"/>
      <c r="M275" s="18"/>
    </row>
    <row r="276" spans="2:15" ht="12.95" customHeight="1" x14ac:dyDescent="0.3">
      <c r="B276" s="68" t="s">
        <v>61</v>
      </c>
      <c r="C276" s="68" t="s">
        <v>52</v>
      </c>
      <c r="D276" s="69" t="s">
        <v>48</v>
      </c>
      <c r="E276" s="70">
        <v>18200</v>
      </c>
      <c r="F276" s="21">
        <v>4</v>
      </c>
      <c r="G276" s="3">
        <f t="shared" si="38"/>
        <v>72800</v>
      </c>
      <c r="H276" s="21">
        <v>4</v>
      </c>
      <c r="I276" s="3">
        <f t="shared" si="39"/>
        <v>72800</v>
      </c>
      <c r="J276" s="18"/>
      <c r="K276" s="18"/>
      <c r="L276" s="18"/>
      <c r="M276" s="18"/>
    </row>
    <row r="277" spans="2:15" ht="12.95" customHeight="1" x14ac:dyDescent="0.3">
      <c r="B277" s="74" t="s">
        <v>38</v>
      </c>
      <c r="C277" s="75"/>
      <c r="D277" s="75"/>
      <c r="E277" s="24"/>
      <c r="F277" s="25"/>
      <c r="G277" s="20">
        <f>TRUNC(SUM(G271:G276))</f>
        <v>564504</v>
      </c>
      <c r="H277" s="25"/>
      <c r="I277" s="20">
        <f>TRUNC(SUM(I271:I276))</f>
        <v>564504</v>
      </c>
      <c r="J277" s="18"/>
      <c r="K277" s="18"/>
      <c r="L277" s="18"/>
      <c r="M277" s="18"/>
    </row>
    <row r="278" spans="2:15" ht="12.95" customHeight="1" x14ac:dyDescent="0.3">
      <c r="B278" s="77"/>
      <c r="C278" s="75"/>
      <c r="D278" s="75"/>
      <c r="E278" s="24"/>
      <c r="F278" s="25"/>
      <c r="G278" s="78"/>
      <c r="H278" s="25"/>
      <c r="I278" s="78"/>
      <c r="J278" s="18"/>
      <c r="K278" s="18"/>
      <c r="L278" s="18"/>
      <c r="M278" s="18"/>
    </row>
    <row r="279" spans="2:15" ht="12.95" customHeight="1" x14ac:dyDescent="0.3">
      <c r="B279" s="40" t="s">
        <v>3</v>
      </c>
      <c r="C279" s="41"/>
      <c r="D279" s="42" t="s">
        <v>37</v>
      </c>
      <c r="E279" s="70">
        <v>273308</v>
      </c>
      <c r="F279" s="21">
        <v>3</v>
      </c>
      <c r="G279" s="3">
        <f t="shared" ref="G279:G286" si="40">TRUNC($E279*F279,1)</f>
        <v>819924</v>
      </c>
      <c r="H279" s="21">
        <v>3</v>
      </c>
      <c r="I279" s="3">
        <f t="shared" ref="I279:I286" si="41">TRUNC($E279*H279,1)</f>
        <v>819924</v>
      </c>
      <c r="J279" s="18"/>
      <c r="K279" s="18"/>
      <c r="L279" s="18"/>
      <c r="M279" s="18"/>
    </row>
    <row r="280" spans="2:15" ht="12.95" customHeight="1" x14ac:dyDescent="0.3">
      <c r="B280" s="40" t="s">
        <v>8</v>
      </c>
      <c r="C280" s="41"/>
      <c r="D280" s="42" t="s">
        <v>37</v>
      </c>
      <c r="E280" s="70">
        <v>172068</v>
      </c>
      <c r="F280" s="21">
        <v>1</v>
      </c>
      <c r="G280" s="3">
        <f t="shared" si="40"/>
        <v>172068</v>
      </c>
      <c r="H280" s="21">
        <v>1</v>
      </c>
      <c r="I280" s="3">
        <f t="shared" si="41"/>
        <v>172068</v>
      </c>
      <c r="J280" s="18"/>
      <c r="K280" s="18"/>
      <c r="L280" s="18"/>
      <c r="M280" s="18"/>
    </row>
    <row r="281" spans="2:15" ht="12.95" customHeight="1" x14ac:dyDescent="0.3">
      <c r="B281" s="68" t="s">
        <v>24</v>
      </c>
      <c r="C281" s="68" t="s">
        <v>25</v>
      </c>
      <c r="D281" s="69" t="s">
        <v>48</v>
      </c>
      <c r="E281" s="70">
        <v>58925</v>
      </c>
      <c r="F281" s="21">
        <v>8</v>
      </c>
      <c r="G281" s="3">
        <f t="shared" si="40"/>
        <v>471400</v>
      </c>
      <c r="H281" s="21">
        <v>8</v>
      </c>
      <c r="I281" s="3">
        <f t="shared" si="41"/>
        <v>471400</v>
      </c>
      <c r="J281" s="18"/>
      <c r="K281" s="18"/>
      <c r="L281" s="18"/>
      <c r="M281" s="18"/>
    </row>
    <row r="282" spans="2:15" ht="12.95" customHeight="1" x14ac:dyDescent="0.3">
      <c r="B282" s="73" t="s">
        <v>292</v>
      </c>
      <c r="C282" s="68" t="s">
        <v>23</v>
      </c>
      <c r="D282" s="69" t="s">
        <v>48</v>
      </c>
      <c r="E282" s="70">
        <v>58925</v>
      </c>
      <c r="F282" s="21">
        <v>8</v>
      </c>
      <c r="G282" s="3">
        <f t="shared" si="40"/>
        <v>471400</v>
      </c>
      <c r="H282" s="21">
        <v>8</v>
      </c>
      <c r="I282" s="3">
        <f t="shared" si="41"/>
        <v>471400</v>
      </c>
      <c r="J282" s="18"/>
      <c r="K282" s="18"/>
      <c r="L282" s="18"/>
      <c r="M282" s="18"/>
    </row>
    <row r="283" spans="2:15" ht="12.95" customHeight="1" x14ac:dyDescent="0.3">
      <c r="B283" s="73" t="s">
        <v>15</v>
      </c>
      <c r="C283" s="68" t="s">
        <v>90</v>
      </c>
      <c r="D283" s="69" t="s">
        <v>48</v>
      </c>
      <c r="E283" s="70">
        <v>58925</v>
      </c>
      <c r="F283" s="21">
        <v>8</v>
      </c>
      <c r="G283" s="3">
        <f t="shared" si="40"/>
        <v>471400</v>
      </c>
      <c r="H283" s="21">
        <v>8</v>
      </c>
      <c r="I283" s="3">
        <f t="shared" si="41"/>
        <v>471400</v>
      </c>
      <c r="J283" s="18"/>
      <c r="K283" s="18"/>
      <c r="L283" s="18"/>
      <c r="M283" s="18"/>
    </row>
    <row r="284" spans="2:15" ht="12.95" customHeight="1" x14ac:dyDescent="0.3">
      <c r="B284" s="68" t="s">
        <v>26</v>
      </c>
      <c r="C284" s="68" t="s">
        <v>27</v>
      </c>
      <c r="D284" s="69" t="s">
        <v>48</v>
      </c>
      <c r="E284" s="70">
        <v>58925</v>
      </c>
      <c r="F284" s="21">
        <v>8</v>
      </c>
      <c r="G284" s="3">
        <f t="shared" si="40"/>
        <v>471400</v>
      </c>
      <c r="H284" s="21">
        <v>8</v>
      </c>
      <c r="I284" s="3">
        <f t="shared" si="41"/>
        <v>471400</v>
      </c>
      <c r="J284" s="18"/>
      <c r="K284" s="18"/>
      <c r="L284" s="18"/>
      <c r="M284" s="18"/>
    </row>
    <row r="285" spans="2:15" ht="12.95" customHeight="1" x14ac:dyDescent="0.3">
      <c r="B285" s="68" t="s">
        <v>84</v>
      </c>
      <c r="C285" s="68" t="s">
        <v>85</v>
      </c>
      <c r="D285" s="69" t="s">
        <v>48</v>
      </c>
      <c r="E285" s="70">
        <v>58925</v>
      </c>
      <c r="F285" s="21">
        <v>8</v>
      </c>
      <c r="G285" s="3">
        <f t="shared" si="40"/>
        <v>471400</v>
      </c>
      <c r="H285" s="21">
        <v>8</v>
      </c>
      <c r="I285" s="3">
        <f t="shared" si="41"/>
        <v>471400</v>
      </c>
      <c r="J285" s="18"/>
      <c r="K285" s="18"/>
      <c r="L285" s="18"/>
      <c r="M285" s="18"/>
    </row>
    <row r="286" spans="2:15" ht="12.95" customHeight="1" x14ac:dyDescent="0.3">
      <c r="B286" s="68" t="s">
        <v>61</v>
      </c>
      <c r="C286" s="68" t="s">
        <v>52</v>
      </c>
      <c r="D286" s="69" t="s">
        <v>48</v>
      </c>
      <c r="E286" s="70">
        <v>49698</v>
      </c>
      <c r="F286" s="21">
        <v>4</v>
      </c>
      <c r="G286" s="3">
        <f t="shared" si="40"/>
        <v>198792</v>
      </c>
      <c r="H286" s="21">
        <v>4</v>
      </c>
      <c r="I286" s="3">
        <f t="shared" si="41"/>
        <v>198792</v>
      </c>
      <c r="J286" s="18"/>
      <c r="K286" s="18"/>
      <c r="L286" s="18"/>
      <c r="M286" s="18"/>
    </row>
    <row r="287" spans="2:15" ht="12.95" customHeight="1" x14ac:dyDescent="0.3">
      <c r="B287" s="45" t="s">
        <v>39</v>
      </c>
      <c r="C287" s="75"/>
      <c r="D287" s="75"/>
      <c r="E287" s="24"/>
      <c r="F287" s="25"/>
      <c r="G287" s="20">
        <f>TRUNC(SUM(G279:G286))</f>
        <v>3547784</v>
      </c>
      <c r="H287" s="25"/>
      <c r="I287" s="20">
        <f>TRUNC(SUM(I279:I286))</f>
        <v>3547784</v>
      </c>
      <c r="J287" s="18"/>
      <c r="K287" s="18"/>
      <c r="L287" s="18"/>
      <c r="M287" s="18"/>
      <c r="O287" s="9"/>
    </row>
    <row r="288" spans="2:15" ht="12.95" customHeight="1" x14ac:dyDescent="0.3">
      <c r="B288" s="77"/>
      <c r="C288" s="75"/>
      <c r="D288" s="75"/>
      <c r="E288" s="24"/>
      <c r="F288" s="25"/>
      <c r="G288" s="78"/>
      <c r="H288" s="25"/>
      <c r="I288" s="78"/>
      <c r="J288" s="18"/>
      <c r="K288" s="18"/>
      <c r="L288" s="18"/>
      <c r="M288" s="18"/>
      <c r="N288" s="9"/>
      <c r="O288" s="9"/>
    </row>
    <row r="289" spans="2:15" ht="12.95" customHeight="1" x14ac:dyDescent="0.3">
      <c r="B289" s="68" t="s">
        <v>24</v>
      </c>
      <c r="C289" s="68" t="s">
        <v>25</v>
      </c>
      <c r="D289" s="69" t="s">
        <v>48</v>
      </c>
      <c r="E289" s="70">
        <v>52633</v>
      </c>
      <c r="F289" s="21">
        <v>8</v>
      </c>
      <c r="G289" s="3">
        <f t="shared" ref="G289:G294" si="42">TRUNC($E289*F289,1)</f>
        <v>421064</v>
      </c>
      <c r="H289" s="21">
        <v>8</v>
      </c>
      <c r="I289" s="3">
        <f t="shared" ref="I289:I294" si="43">TRUNC($E289*H289,1)</f>
        <v>421064</v>
      </c>
      <c r="J289" s="18"/>
      <c r="K289" s="18"/>
      <c r="L289" s="18"/>
      <c r="M289" s="18"/>
      <c r="N289" s="9"/>
    </row>
    <row r="290" spans="2:15" ht="12.95" customHeight="1" x14ac:dyDescent="0.3">
      <c r="B290" s="73" t="s">
        <v>292</v>
      </c>
      <c r="C290" s="68" t="s">
        <v>23</v>
      </c>
      <c r="D290" s="69" t="s">
        <v>48</v>
      </c>
      <c r="E290" s="70">
        <v>23423</v>
      </c>
      <c r="F290" s="21">
        <v>8</v>
      </c>
      <c r="G290" s="3">
        <f t="shared" si="42"/>
        <v>187384</v>
      </c>
      <c r="H290" s="21">
        <v>8</v>
      </c>
      <c r="I290" s="3">
        <f t="shared" si="43"/>
        <v>187384</v>
      </c>
      <c r="J290" s="18"/>
      <c r="K290" s="18"/>
      <c r="L290" s="18"/>
      <c r="M290" s="18"/>
    </row>
    <row r="291" spans="2:15" ht="12.95" customHeight="1" x14ac:dyDescent="0.3">
      <c r="B291" s="73" t="s">
        <v>15</v>
      </c>
      <c r="C291" s="68" t="s">
        <v>90</v>
      </c>
      <c r="D291" s="69" t="s">
        <v>48</v>
      </c>
      <c r="E291" s="70">
        <v>10298</v>
      </c>
      <c r="F291" s="21">
        <v>8</v>
      </c>
      <c r="G291" s="3">
        <f t="shared" si="42"/>
        <v>82384</v>
      </c>
      <c r="H291" s="21">
        <v>8</v>
      </c>
      <c r="I291" s="3">
        <f t="shared" si="43"/>
        <v>82384</v>
      </c>
      <c r="J291" s="18"/>
      <c r="K291" s="18"/>
      <c r="L291" s="18"/>
      <c r="M291" s="18"/>
      <c r="O291" s="4"/>
    </row>
    <row r="292" spans="2:15" ht="12.95" customHeight="1" x14ac:dyDescent="0.3">
      <c r="B292" s="68" t="s">
        <v>26</v>
      </c>
      <c r="C292" s="68" t="s">
        <v>27</v>
      </c>
      <c r="D292" s="69" t="s">
        <v>48</v>
      </c>
      <c r="E292" s="70">
        <v>12230</v>
      </c>
      <c r="F292" s="21">
        <v>8</v>
      </c>
      <c r="G292" s="3">
        <f t="shared" si="42"/>
        <v>97840</v>
      </c>
      <c r="H292" s="21">
        <v>8</v>
      </c>
      <c r="I292" s="3">
        <f t="shared" si="43"/>
        <v>97840</v>
      </c>
      <c r="J292" s="18"/>
      <c r="K292" s="18"/>
      <c r="L292" s="18"/>
      <c r="M292" s="18"/>
      <c r="N292" s="4"/>
      <c r="O292" s="4"/>
    </row>
    <row r="293" spans="2:15" ht="12.95" customHeight="1" x14ac:dyDescent="0.3">
      <c r="B293" s="68" t="s">
        <v>84</v>
      </c>
      <c r="C293" s="68" t="s">
        <v>85</v>
      </c>
      <c r="D293" s="69" t="s">
        <v>48</v>
      </c>
      <c r="E293" s="70">
        <v>9037</v>
      </c>
      <c r="F293" s="21">
        <v>8</v>
      </c>
      <c r="G293" s="3">
        <f t="shared" si="42"/>
        <v>72296</v>
      </c>
      <c r="H293" s="21">
        <v>8</v>
      </c>
      <c r="I293" s="3">
        <f t="shared" si="43"/>
        <v>72296</v>
      </c>
      <c r="J293" s="18"/>
      <c r="K293" s="18"/>
      <c r="L293" s="18"/>
      <c r="M293" s="18"/>
      <c r="N293" s="4"/>
      <c r="O293" s="4"/>
    </row>
    <row r="294" spans="2:15" ht="12.95" customHeight="1" x14ac:dyDescent="0.3">
      <c r="B294" s="68" t="s">
        <v>61</v>
      </c>
      <c r="C294" s="68" t="s">
        <v>52</v>
      </c>
      <c r="D294" s="69" t="s">
        <v>48</v>
      </c>
      <c r="E294" s="70">
        <v>9986</v>
      </c>
      <c r="F294" s="21">
        <v>4</v>
      </c>
      <c r="G294" s="3">
        <f t="shared" si="42"/>
        <v>39944</v>
      </c>
      <c r="H294" s="21">
        <v>4</v>
      </c>
      <c r="I294" s="3">
        <f t="shared" si="43"/>
        <v>39944</v>
      </c>
      <c r="J294" s="18"/>
      <c r="K294" s="18"/>
      <c r="L294" s="18"/>
      <c r="M294" s="18"/>
      <c r="N294" s="4"/>
      <c r="O294" s="4"/>
    </row>
    <row r="295" spans="2:15" ht="12.95" customHeight="1" x14ac:dyDescent="0.3">
      <c r="B295" s="74" t="s">
        <v>40</v>
      </c>
      <c r="C295" s="75"/>
      <c r="D295" s="75"/>
      <c r="E295" s="81"/>
      <c r="F295" s="19"/>
      <c r="G295" s="20">
        <f>TRUNC(SUM(G289:G294))</f>
        <v>900912</v>
      </c>
      <c r="H295" s="19"/>
      <c r="I295" s="20">
        <f>TRUNC(SUM(I289:I294))</f>
        <v>900912</v>
      </c>
      <c r="J295" s="18"/>
      <c r="K295" s="18"/>
      <c r="L295" s="18"/>
      <c r="M295" s="18"/>
      <c r="N295" s="4"/>
      <c r="O295" s="4"/>
    </row>
    <row r="296" spans="2:15" ht="12.95" customHeight="1" x14ac:dyDescent="0.3">
      <c r="B296" s="82"/>
      <c r="C296" s="68"/>
      <c r="D296" s="68"/>
      <c r="E296" s="83"/>
      <c r="F296" s="84"/>
      <c r="G296" s="72"/>
      <c r="H296" s="84"/>
      <c r="I296" s="72"/>
      <c r="J296" s="18"/>
      <c r="K296" s="18"/>
      <c r="L296" s="18"/>
      <c r="M296" s="18"/>
      <c r="N296" s="4"/>
      <c r="O296" s="4"/>
    </row>
    <row r="297" spans="2:15" ht="12.95" customHeight="1" x14ac:dyDescent="0.3">
      <c r="B297" s="51" t="s">
        <v>42</v>
      </c>
      <c r="C297" s="75"/>
      <c r="D297" s="75"/>
      <c r="E297" s="81"/>
      <c r="F297" s="81"/>
      <c r="G297" s="85">
        <f>SUM(G277+G287+G295)</f>
        <v>5013200</v>
      </c>
      <c r="H297" s="81"/>
      <c r="I297" s="85">
        <f>SUM(I277+I287+I295)</f>
        <v>5013200</v>
      </c>
      <c r="J297" s="18"/>
      <c r="K297" s="18"/>
      <c r="L297" s="18"/>
      <c r="M297" s="18"/>
      <c r="N297" s="4"/>
      <c r="O297" s="4"/>
    </row>
    <row r="298" spans="2:15" ht="12.95" customHeight="1" x14ac:dyDescent="0.3">
      <c r="B298" s="52" t="s">
        <v>231</v>
      </c>
      <c r="C298" s="86"/>
      <c r="D298" s="86"/>
      <c r="E298" s="87"/>
      <c r="F298" s="87"/>
      <c r="G298" s="8">
        <f>TRUNC(G297/G269)</f>
        <v>2864</v>
      </c>
      <c r="H298" s="87"/>
      <c r="I298" s="8">
        <f>TRUNC(I297/I269)</f>
        <v>3133</v>
      </c>
      <c r="J298" s="18"/>
      <c r="K298" s="18"/>
      <c r="L298" s="18"/>
      <c r="M298" s="18"/>
      <c r="N298" s="4"/>
      <c r="O298" s="4"/>
    </row>
    <row r="299" spans="2:15" ht="12.95" customHeight="1" x14ac:dyDescent="0.3">
      <c r="N299" s="4"/>
      <c r="O299" s="4"/>
    </row>
    <row r="300" spans="2:15" ht="12.95" customHeight="1" x14ac:dyDescent="0.3">
      <c r="B300" s="60" t="s">
        <v>150</v>
      </c>
      <c r="C300" s="61"/>
      <c r="D300" s="62"/>
      <c r="E300" s="63"/>
      <c r="F300" s="62"/>
      <c r="G300" s="33"/>
      <c r="H300" s="62"/>
      <c r="I300" s="62"/>
      <c r="J300" s="62"/>
      <c r="K300" s="62"/>
      <c r="L300" s="62"/>
      <c r="M300" s="33" t="s">
        <v>58</v>
      </c>
      <c r="N300" s="4"/>
      <c r="O300" s="4"/>
    </row>
    <row r="301" spans="2:15" ht="12.95" customHeight="1" x14ac:dyDescent="0.3">
      <c r="B301" s="142" t="s">
        <v>30</v>
      </c>
      <c r="C301" s="145" t="s">
        <v>34</v>
      </c>
      <c r="D301" s="145" t="s">
        <v>35</v>
      </c>
      <c r="E301" s="145" t="s">
        <v>31</v>
      </c>
      <c r="F301" s="139" t="s">
        <v>80</v>
      </c>
      <c r="G301" s="140"/>
      <c r="H301" s="140"/>
      <c r="I301" s="156"/>
      <c r="J301" s="139" t="s">
        <v>81</v>
      </c>
      <c r="K301" s="140"/>
      <c r="L301" s="140"/>
      <c r="M301" s="140"/>
      <c r="N301" s="4"/>
      <c r="O301" s="4"/>
    </row>
    <row r="302" spans="2:15" ht="12.95" customHeight="1" x14ac:dyDescent="0.3">
      <c r="B302" s="143"/>
      <c r="C302" s="146"/>
      <c r="D302" s="146"/>
      <c r="E302" s="146"/>
      <c r="F302" s="139" t="s">
        <v>228</v>
      </c>
      <c r="G302" s="140"/>
      <c r="H302" s="139" t="s">
        <v>229</v>
      </c>
      <c r="I302" s="140"/>
      <c r="J302" s="139" t="s">
        <v>228</v>
      </c>
      <c r="K302" s="140"/>
      <c r="L302" s="139" t="s">
        <v>229</v>
      </c>
      <c r="M302" s="140"/>
      <c r="N302" s="4"/>
      <c r="O302" s="4"/>
    </row>
    <row r="303" spans="2:15" ht="12.95" customHeight="1" x14ac:dyDescent="0.3">
      <c r="B303" s="143"/>
      <c r="C303" s="146"/>
      <c r="D303" s="146"/>
      <c r="E303" s="146"/>
      <c r="F303" s="34" t="s">
        <v>230</v>
      </c>
      <c r="G303" s="37">
        <v>2700</v>
      </c>
      <c r="H303" s="34" t="s">
        <v>230</v>
      </c>
      <c r="I303" s="37">
        <v>2500</v>
      </c>
      <c r="J303" s="34" t="s">
        <v>230</v>
      </c>
      <c r="K303" s="37">
        <v>4900</v>
      </c>
      <c r="L303" s="34" t="s">
        <v>230</v>
      </c>
      <c r="M303" s="37">
        <v>4500</v>
      </c>
      <c r="N303" s="4"/>
      <c r="O303" s="4"/>
    </row>
    <row r="304" spans="2:15" ht="12.95" customHeight="1" x14ac:dyDescent="0.3">
      <c r="B304" s="144"/>
      <c r="C304" s="147"/>
      <c r="D304" s="147"/>
      <c r="E304" s="147"/>
      <c r="F304" s="38" t="s">
        <v>32</v>
      </c>
      <c r="G304" s="39" t="s">
        <v>33</v>
      </c>
      <c r="H304" s="38" t="s">
        <v>32</v>
      </c>
      <c r="I304" s="39" t="s">
        <v>33</v>
      </c>
      <c r="J304" s="38" t="s">
        <v>32</v>
      </c>
      <c r="K304" s="39" t="s">
        <v>33</v>
      </c>
      <c r="L304" s="38" t="s">
        <v>32</v>
      </c>
      <c r="M304" s="39" t="s">
        <v>33</v>
      </c>
      <c r="N304" s="4"/>
      <c r="O304" s="4"/>
    </row>
    <row r="305" spans="2:15" ht="12.95" customHeight="1" x14ac:dyDescent="0.3">
      <c r="B305" s="68" t="s">
        <v>24</v>
      </c>
      <c r="C305" s="68" t="s">
        <v>16</v>
      </c>
      <c r="D305" s="69" t="s">
        <v>48</v>
      </c>
      <c r="E305" s="70">
        <v>20940</v>
      </c>
      <c r="F305" s="21">
        <v>8</v>
      </c>
      <c r="G305" s="3">
        <f t="shared" ref="G305:G309" si="44">TRUNC($E305*F305,1)</f>
        <v>167520</v>
      </c>
      <c r="H305" s="21">
        <v>8</v>
      </c>
      <c r="I305" s="3">
        <f t="shared" ref="I305:I309" si="45">TRUNC($E305*H305,1)</f>
        <v>167520</v>
      </c>
      <c r="J305" s="21">
        <v>8</v>
      </c>
      <c r="K305" s="3">
        <f t="shared" ref="K305:K309" si="46">TRUNC($E305*J305,1)</f>
        <v>167520</v>
      </c>
      <c r="L305" s="21">
        <v>8</v>
      </c>
      <c r="M305" s="3">
        <f t="shared" ref="M305:M309" si="47">TRUNC($E305*L305,1)</f>
        <v>167520</v>
      </c>
      <c r="N305" s="4"/>
      <c r="O305" s="4"/>
    </row>
    <row r="306" spans="2:15" ht="12.95" customHeight="1" x14ac:dyDescent="0.3">
      <c r="B306" s="68" t="s">
        <v>15</v>
      </c>
      <c r="C306" s="68" t="s">
        <v>87</v>
      </c>
      <c r="D306" s="69" t="s">
        <v>48</v>
      </c>
      <c r="E306" s="70">
        <v>16520</v>
      </c>
      <c r="F306" s="21">
        <v>8</v>
      </c>
      <c r="G306" s="3">
        <f t="shared" si="44"/>
        <v>132160</v>
      </c>
      <c r="H306" s="21">
        <v>8</v>
      </c>
      <c r="I306" s="3">
        <f t="shared" si="45"/>
        <v>132160</v>
      </c>
      <c r="J306" s="21">
        <v>8</v>
      </c>
      <c r="K306" s="3">
        <f t="shared" si="46"/>
        <v>132160</v>
      </c>
      <c r="L306" s="21">
        <v>8</v>
      </c>
      <c r="M306" s="3">
        <f t="shared" si="47"/>
        <v>132160</v>
      </c>
      <c r="N306" s="4"/>
      <c r="O306" s="4"/>
    </row>
    <row r="307" spans="2:15" ht="12.95" customHeight="1" x14ac:dyDescent="0.3">
      <c r="B307" s="68" t="s">
        <v>26</v>
      </c>
      <c r="C307" s="68" t="s">
        <v>86</v>
      </c>
      <c r="D307" s="69" t="s">
        <v>48</v>
      </c>
      <c r="E307" s="70">
        <v>14813</v>
      </c>
      <c r="F307" s="21">
        <v>8</v>
      </c>
      <c r="G307" s="3">
        <f t="shared" si="44"/>
        <v>118504</v>
      </c>
      <c r="H307" s="21">
        <v>8</v>
      </c>
      <c r="I307" s="3">
        <f t="shared" si="45"/>
        <v>118504</v>
      </c>
      <c r="J307" s="21">
        <v>8</v>
      </c>
      <c r="K307" s="3">
        <f t="shared" si="46"/>
        <v>118504</v>
      </c>
      <c r="L307" s="21">
        <v>8</v>
      </c>
      <c r="M307" s="3">
        <f t="shared" si="47"/>
        <v>118504</v>
      </c>
      <c r="N307" s="4"/>
      <c r="O307" s="4"/>
    </row>
    <row r="308" spans="2:15" ht="12.95" customHeight="1" x14ac:dyDescent="0.3">
      <c r="B308" s="68" t="s">
        <v>84</v>
      </c>
      <c r="C308" s="68" t="s">
        <v>85</v>
      </c>
      <c r="D308" s="69" t="s">
        <v>48</v>
      </c>
      <c r="E308" s="70">
        <v>8882</v>
      </c>
      <c r="F308" s="21">
        <v>8</v>
      </c>
      <c r="G308" s="3">
        <f t="shared" si="44"/>
        <v>71056</v>
      </c>
      <c r="H308" s="21">
        <v>8</v>
      </c>
      <c r="I308" s="3">
        <f t="shared" si="45"/>
        <v>71056</v>
      </c>
      <c r="J308" s="21">
        <v>8</v>
      </c>
      <c r="K308" s="3">
        <f t="shared" si="46"/>
        <v>71056</v>
      </c>
      <c r="L308" s="21">
        <v>8</v>
      </c>
      <c r="M308" s="3">
        <f t="shared" si="47"/>
        <v>71056</v>
      </c>
      <c r="N308" s="4"/>
    </row>
    <row r="309" spans="2:15" ht="12.95" customHeight="1" x14ac:dyDescent="0.3">
      <c r="B309" s="68" t="s">
        <v>61</v>
      </c>
      <c r="C309" s="68" t="s">
        <v>19</v>
      </c>
      <c r="D309" s="69" t="s">
        <v>48</v>
      </c>
      <c r="E309" s="70">
        <v>25246</v>
      </c>
      <c r="F309" s="21">
        <v>4</v>
      </c>
      <c r="G309" s="3">
        <f t="shared" si="44"/>
        <v>100984</v>
      </c>
      <c r="H309" s="21">
        <v>4</v>
      </c>
      <c r="I309" s="3">
        <f t="shared" si="45"/>
        <v>100984</v>
      </c>
      <c r="J309" s="21">
        <v>4</v>
      </c>
      <c r="K309" s="3">
        <f t="shared" si="46"/>
        <v>100984</v>
      </c>
      <c r="L309" s="21">
        <v>4</v>
      </c>
      <c r="M309" s="3">
        <f t="shared" si="47"/>
        <v>100984</v>
      </c>
    </row>
    <row r="310" spans="2:15" ht="12.95" customHeight="1" x14ac:dyDescent="0.3">
      <c r="B310" s="74" t="s">
        <v>38</v>
      </c>
      <c r="C310" s="75"/>
      <c r="D310" s="75"/>
      <c r="E310" s="24"/>
      <c r="F310" s="25"/>
      <c r="G310" s="20">
        <f>TRUNC(SUM(G305:G309))</f>
        <v>590224</v>
      </c>
      <c r="H310" s="25"/>
      <c r="I310" s="20">
        <f>TRUNC(SUM(I305:I309))</f>
        <v>590224</v>
      </c>
      <c r="J310" s="25"/>
      <c r="K310" s="20">
        <f>TRUNC(SUM(K305:K309))</f>
        <v>590224</v>
      </c>
      <c r="L310" s="25"/>
      <c r="M310" s="20">
        <f>TRUNC(SUM(M305:M309))</f>
        <v>590224</v>
      </c>
    </row>
    <row r="311" spans="2:15" ht="12.95" customHeight="1" x14ac:dyDescent="0.3">
      <c r="B311" s="77"/>
      <c r="C311" s="75"/>
      <c r="D311" s="75"/>
      <c r="E311" s="24"/>
      <c r="F311" s="25"/>
      <c r="G311" s="78"/>
      <c r="H311" s="25"/>
      <c r="I311" s="78"/>
      <c r="J311" s="25"/>
      <c r="K311" s="78"/>
      <c r="L311" s="25"/>
      <c r="M311" s="78"/>
    </row>
    <row r="312" spans="2:15" ht="12.95" customHeight="1" x14ac:dyDescent="0.3">
      <c r="B312" s="40" t="s">
        <v>3</v>
      </c>
      <c r="C312" s="41"/>
      <c r="D312" s="42" t="s">
        <v>37</v>
      </c>
      <c r="E312" s="70">
        <v>273308</v>
      </c>
      <c r="F312" s="21">
        <v>4</v>
      </c>
      <c r="G312" s="3">
        <f t="shared" ref="G312:G318" si="48">TRUNC($E312*F312,1)</f>
        <v>1093232</v>
      </c>
      <c r="H312" s="21">
        <v>4</v>
      </c>
      <c r="I312" s="3">
        <f t="shared" ref="I312:I318" si="49">TRUNC($E312*H312,1)</f>
        <v>1093232</v>
      </c>
      <c r="J312" s="21">
        <v>4</v>
      </c>
      <c r="K312" s="3">
        <f t="shared" ref="K312:K318" si="50">TRUNC($E312*J312,1)</f>
        <v>1093232</v>
      </c>
      <c r="L312" s="21">
        <v>4</v>
      </c>
      <c r="M312" s="3">
        <f t="shared" ref="M312:M318" si="51">TRUNC($E312*L312,1)</f>
        <v>1093232</v>
      </c>
    </row>
    <row r="313" spans="2:15" ht="12.95" customHeight="1" x14ac:dyDescent="0.3">
      <c r="B313" s="40" t="s">
        <v>88</v>
      </c>
      <c r="C313" s="41"/>
      <c r="D313" s="42" t="s">
        <v>37</v>
      </c>
      <c r="E313" s="70">
        <v>172068</v>
      </c>
      <c r="F313" s="21">
        <v>1</v>
      </c>
      <c r="G313" s="3">
        <f t="shared" si="48"/>
        <v>172068</v>
      </c>
      <c r="H313" s="21">
        <v>1</v>
      </c>
      <c r="I313" s="3">
        <f t="shared" si="49"/>
        <v>172068</v>
      </c>
      <c r="J313" s="21">
        <v>1</v>
      </c>
      <c r="K313" s="3">
        <f t="shared" si="50"/>
        <v>172068</v>
      </c>
      <c r="L313" s="21">
        <v>1</v>
      </c>
      <c r="M313" s="3">
        <f t="shared" si="51"/>
        <v>172068</v>
      </c>
    </row>
    <row r="314" spans="2:15" ht="12.95" customHeight="1" x14ac:dyDescent="0.3">
      <c r="B314" s="68" t="s">
        <v>24</v>
      </c>
      <c r="C314" s="68" t="s">
        <v>16</v>
      </c>
      <c r="D314" s="69" t="s">
        <v>48</v>
      </c>
      <c r="E314" s="70">
        <v>58925</v>
      </c>
      <c r="F314" s="21">
        <v>8</v>
      </c>
      <c r="G314" s="3">
        <f t="shared" si="48"/>
        <v>471400</v>
      </c>
      <c r="H314" s="21">
        <v>8</v>
      </c>
      <c r="I314" s="3">
        <f t="shared" si="49"/>
        <v>471400</v>
      </c>
      <c r="J314" s="21">
        <v>8</v>
      </c>
      <c r="K314" s="3">
        <f t="shared" si="50"/>
        <v>471400</v>
      </c>
      <c r="L314" s="21">
        <v>8</v>
      </c>
      <c r="M314" s="3">
        <f t="shared" si="51"/>
        <v>471400</v>
      </c>
    </row>
    <row r="315" spans="2:15" ht="12.95" customHeight="1" x14ac:dyDescent="0.3">
      <c r="B315" s="68" t="s">
        <v>15</v>
      </c>
      <c r="C315" s="68" t="s">
        <v>87</v>
      </c>
      <c r="D315" s="69" t="s">
        <v>48</v>
      </c>
      <c r="E315" s="70">
        <v>58925</v>
      </c>
      <c r="F315" s="21">
        <v>8</v>
      </c>
      <c r="G315" s="3">
        <f t="shared" si="48"/>
        <v>471400</v>
      </c>
      <c r="H315" s="21">
        <v>8</v>
      </c>
      <c r="I315" s="3">
        <f t="shared" si="49"/>
        <v>471400</v>
      </c>
      <c r="J315" s="21">
        <v>8</v>
      </c>
      <c r="K315" s="3">
        <f t="shared" si="50"/>
        <v>471400</v>
      </c>
      <c r="L315" s="21">
        <v>8</v>
      </c>
      <c r="M315" s="3">
        <f t="shared" si="51"/>
        <v>471400</v>
      </c>
    </row>
    <row r="316" spans="2:15" ht="12.95" customHeight="1" x14ac:dyDescent="0.3">
      <c r="B316" s="68" t="s">
        <v>26</v>
      </c>
      <c r="C316" s="68" t="s">
        <v>86</v>
      </c>
      <c r="D316" s="69" t="s">
        <v>48</v>
      </c>
      <c r="E316" s="70">
        <v>58925</v>
      </c>
      <c r="F316" s="21">
        <v>8</v>
      </c>
      <c r="G316" s="3">
        <f t="shared" si="48"/>
        <v>471400</v>
      </c>
      <c r="H316" s="21">
        <v>8</v>
      </c>
      <c r="I316" s="3">
        <f t="shared" si="49"/>
        <v>471400</v>
      </c>
      <c r="J316" s="21">
        <v>8</v>
      </c>
      <c r="K316" s="3">
        <f t="shared" si="50"/>
        <v>471400</v>
      </c>
      <c r="L316" s="21">
        <v>8</v>
      </c>
      <c r="M316" s="3">
        <f t="shared" si="51"/>
        <v>471400</v>
      </c>
    </row>
    <row r="317" spans="2:15" ht="12.95" customHeight="1" x14ac:dyDescent="0.3">
      <c r="B317" s="68" t="s">
        <v>84</v>
      </c>
      <c r="C317" s="68" t="s">
        <v>85</v>
      </c>
      <c r="D317" s="69" t="s">
        <v>48</v>
      </c>
      <c r="E317" s="70">
        <v>58925</v>
      </c>
      <c r="F317" s="21">
        <v>8</v>
      </c>
      <c r="G317" s="3">
        <f t="shared" si="48"/>
        <v>471400</v>
      </c>
      <c r="H317" s="21">
        <v>8</v>
      </c>
      <c r="I317" s="3">
        <f t="shared" si="49"/>
        <v>471400</v>
      </c>
      <c r="J317" s="21">
        <v>8</v>
      </c>
      <c r="K317" s="3">
        <f t="shared" si="50"/>
        <v>471400</v>
      </c>
      <c r="L317" s="21">
        <v>8</v>
      </c>
      <c r="M317" s="3">
        <f t="shared" si="51"/>
        <v>471400</v>
      </c>
    </row>
    <row r="318" spans="2:15" ht="12.95" customHeight="1" x14ac:dyDescent="0.3">
      <c r="B318" s="68" t="s">
        <v>61</v>
      </c>
      <c r="C318" s="68" t="s">
        <v>19</v>
      </c>
      <c r="D318" s="69" t="s">
        <v>48</v>
      </c>
      <c r="E318" s="70">
        <v>49698</v>
      </c>
      <c r="F318" s="21">
        <v>4</v>
      </c>
      <c r="G318" s="3">
        <f t="shared" si="48"/>
        <v>198792</v>
      </c>
      <c r="H318" s="21">
        <v>4</v>
      </c>
      <c r="I318" s="3">
        <f t="shared" si="49"/>
        <v>198792</v>
      </c>
      <c r="J318" s="21">
        <v>4</v>
      </c>
      <c r="K318" s="3">
        <f t="shared" si="50"/>
        <v>198792</v>
      </c>
      <c r="L318" s="21">
        <v>4</v>
      </c>
      <c r="M318" s="3">
        <f t="shared" si="51"/>
        <v>198792</v>
      </c>
    </row>
    <row r="319" spans="2:15" ht="12.95" customHeight="1" x14ac:dyDescent="0.3">
      <c r="B319" s="45" t="s">
        <v>39</v>
      </c>
      <c r="C319" s="75"/>
      <c r="D319" s="75"/>
      <c r="E319" s="24"/>
      <c r="F319" s="25"/>
      <c r="G319" s="20">
        <f>TRUNC(SUM(G312:G318))</f>
        <v>3349692</v>
      </c>
      <c r="H319" s="25"/>
      <c r="I319" s="20">
        <f>TRUNC(SUM(I312:I318))</f>
        <v>3349692</v>
      </c>
      <c r="J319" s="25"/>
      <c r="K319" s="20">
        <f>TRUNC(SUM(K312:K318))</f>
        <v>3349692</v>
      </c>
      <c r="L319" s="25"/>
      <c r="M319" s="20">
        <f>TRUNC(SUM(M312:M318))</f>
        <v>3349692</v>
      </c>
      <c r="N319" s="9"/>
    </row>
    <row r="320" spans="2:15" ht="12.95" customHeight="1" x14ac:dyDescent="0.3">
      <c r="B320" s="77"/>
      <c r="C320" s="75"/>
      <c r="D320" s="75"/>
      <c r="E320" s="24"/>
      <c r="F320" s="25"/>
      <c r="G320" s="78"/>
      <c r="H320" s="25"/>
      <c r="I320" s="78"/>
      <c r="J320" s="25"/>
      <c r="K320" s="78"/>
      <c r="L320" s="25"/>
      <c r="M320" s="78"/>
      <c r="N320" s="9"/>
    </row>
    <row r="321" spans="2:14" ht="12.95" customHeight="1" x14ac:dyDescent="0.3">
      <c r="B321" s="68" t="s">
        <v>24</v>
      </c>
      <c r="C321" s="68" t="s">
        <v>16</v>
      </c>
      <c r="D321" s="69" t="s">
        <v>48</v>
      </c>
      <c r="E321" s="70">
        <v>59141</v>
      </c>
      <c r="F321" s="21">
        <v>8</v>
      </c>
      <c r="G321" s="3">
        <f t="shared" ref="G321:G325" si="52">TRUNC($E321*F321,1)</f>
        <v>473128</v>
      </c>
      <c r="H321" s="21">
        <v>8</v>
      </c>
      <c r="I321" s="3">
        <f t="shared" ref="I321:I325" si="53">TRUNC($E321*H321,1)</f>
        <v>473128</v>
      </c>
      <c r="J321" s="21">
        <v>8</v>
      </c>
      <c r="K321" s="3">
        <f t="shared" ref="K321:K325" si="54">TRUNC($E321*J321,1)</f>
        <v>473128</v>
      </c>
      <c r="L321" s="21">
        <v>8</v>
      </c>
      <c r="M321" s="3">
        <f t="shared" ref="M321:M325" si="55">TRUNC($E321*L321,1)</f>
        <v>473128</v>
      </c>
      <c r="N321" s="9"/>
    </row>
    <row r="322" spans="2:14" ht="12.95" customHeight="1" x14ac:dyDescent="0.3">
      <c r="B322" s="68" t="s">
        <v>15</v>
      </c>
      <c r="C322" s="68" t="s">
        <v>87</v>
      </c>
      <c r="D322" s="69" t="s">
        <v>48</v>
      </c>
      <c r="E322" s="70">
        <v>12857</v>
      </c>
      <c r="F322" s="21">
        <v>8</v>
      </c>
      <c r="G322" s="3">
        <f t="shared" si="52"/>
        <v>102856</v>
      </c>
      <c r="H322" s="21">
        <v>8</v>
      </c>
      <c r="I322" s="3">
        <f t="shared" si="53"/>
        <v>102856</v>
      </c>
      <c r="J322" s="21">
        <v>8</v>
      </c>
      <c r="K322" s="3">
        <f t="shared" si="54"/>
        <v>102856</v>
      </c>
      <c r="L322" s="21">
        <v>8</v>
      </c>
      <c r="M322" s="3">
        <f t="shared" si="55"/>
        <v>102856</v>
      </c>
      <c r="N322" s="9"/>
    </row>
    <row r="323" spans="2:14" ht="12.95" customHeight="1" x14ac:dyDescent="0.3">
      <c r="B323" s="68" t="s">
        <v>26</v>
      </c>
      <c r="C323" s="68" t="s">
        <v>86</v>
      </c>
      <c r="D323" s="69" t="s">
        <v>48</v>
      </c>
      <c r="E323" s="70">
        <v>19136</v>
      </c>
      <c r="F323" s="21">
        <v>8</v>
      </c>
      <c r="G323" s="3">
        <f t="shared" si="52"/>
        <v>153088</v>
      </c>
      <c r="H323" s="21">
        <v>8</v>
      </c>
      <c r="I323" s="3">
        <f t="shared" si="53"/>
        <v>153088</v>
      </c>
      <c r="J323" s="21">
        <v>8</v>
      </c>
      <c r="K323" s="3">
        <f t="shared" si="54"/>
        <v>153088</v>
      </c>
      <c r="L323" s="21">
        <v>8</v>
      </c>
      <c r="M323" s="3">
        <f t="shared" si="55"/>
        <v>153088</v>
      </c>
      <c r="N323" s="9"/>
    </row>
    <row r="324" spans="2:14" ht="12.95" customHeight="1" x14ac:dyDescent="0.3">
      <c r="B324" s="68" t="s">
        <v>84</v>
      </c>
      <c r="C324" s="68" t="s">
        <v>85</v>
      </c>
      <c r="D324" s="69" t="s">
        <v>48</v>
      </c>
      <c r="E324" s="70">
        <v>9037</v>
      </c>
      <c r="F324" s="21">
        <v>8</v>
      </c>
      <c r="G324" s="3">
        <f t="shared" si="52"/>
        <v>72296</v>
      </c>
      <c r="H324" s="21">
        <v>8</v>
      </c>
      <c r="I324" s="3">
        <f t="shared" si="53"/>
        <v>72296</v>
      </c>
      <c r="J324" s="21">
        <v>8</v>
      </c>
      <c r="K324" s="3">
        <f t="shared" si="54"/>
        <v>72296</v>
      </c>
      <c r="L324" s="21">
        <v>8</v>
      </c>
      <c r="M324" s="3">
        <f t="shared" si="55"/>
        <v>72296</v>
      </c>
      <c r="N324" s="9"/>
    </row>
    <row r="325" spans="2:14" ht="12.95" customHeight="1" x14ac:dyDescent="0.3">
      <c r="B325" s="68" t="s">
        <v>61</v>
      </c>
      <c r="C325" s="68" t="s">
        <v>19</v>
      </c>
      <c r="D325" s="69" t="s">
        <v>48</v>
      </c>
      <c r="E325" s="70">
        <v>19154</v>
      </c>
      <c r="F325" s="21">
        <v>4</v>
      </c>
      <c r="G325" s="3">
        <f t="shared" si="52"/>
        <v>76616</v>
      </c>
      <c r="H325" s="21">
        <v>4</v>
      </c>
      <c r="I325" s="3">
        <f t="shared" si="53"/>
        <v>76616</v>
      </c>
      <c r="J325" s="21">
        <v>4</v>
      </c>
      <c r="K325" s="3">
        <f t="shared" si="54"/>
        <v>76616</v>
      </c>
      <c r="L325" s="21">
        <v>4</v>
      </c>
      <c r="M325" s="3">
        <f t="shared" si="55"/>
        <v>76616</v>
      </c>
      <c r="N325" s="9"/>
    </row>
    <row r="326" spans="2:14" ht="12.95" customHeight="1" x14ac:dyDescent="0.3">
      <c r="B326" s="74" t="s">
        <v>40</v>
      </c>
      <c r="C326" s="75"/>
      <c r="D326" s="75"/>
      <c r="E326" s="81"/>
      <c r="F326" s="19"/>
      <c r="G326" s="20">
        <f>TRUNC(SUM(G321:G325))</f>
        <v>877984</v>
      </c>
      <c r="H326" s="19"/>
      <c r="I326" s="20">
        <f>TRUNC(SUM(I321:I325))</f>
        <v>877984</v>
      </c>
      <c r="J326" s="19"/>
      <c r="K326" s="20">
        <f>TRUNC(SUM(K321:K325))</f>
        <v>877984</v>
      </c>
      <c r="L326" s="19"/>
      <c r="M326" s="20">
        <f>TRUNC(SUM(M321:M325))</f>
        <v>877984</v>
      </c>
    </row>
    <row r="327" spans="2:14" ht="12.95" customHeight="1" x14ac:dyDescent="0.3">
      <c r="B327" s="82"/>
      <c r="C327" s="68"/>
      <c r="D327" s="68"/>
      <c r="E327" s="83"/>
      <c r="F327" s="84"/>
      <c r="G327" s="72"/>
      <c r="H327" s="84"/>
      <c r="I327" s="72"/>
      <c r="J327" s="84"/>
      <c r="K327" s="72"/>
      <c r="L327" s="84"/>
      <c r="M327" s="72"/>
    </row>
    <row r="328" spans="2:14" ht="12.95" customHeight="1" x14ac:dyDescent="0.3">
      <c r="B328" s="51" t="s">
        <v>42</v>
      </c>
      <c r="C328" s="75"/>
      <c r="D328" s="75"/>
      <c r="E328" s="81"/>
      <c r="F328" s="81"/>
      <c r="G328" s="85">
        <f>SUM(G310+G319+G326)</f>
        <v>4817900</v>
      </c>
      <c r="H328" s="81"/>
      <c r="I328" s="85">
        <f>SUM(I310+I319+I326)</f>
        <v>4817900</v>
      </c>
      <c r="J328" s="81"/>
      <c r="K328" s="85">
        <f>SUM(K310+K319+K326)</f>
        <v>4817900</v>
      </c>
      <c r="L328" s="81"/>
      <c r="M328" s="85">
        <f>SUM(M310+M319+M326)</f>
        <v>4817900</v>
      </c>
    </row>
    <row r="329" spans="2:14" ht="12.95" customHeight="1" x14ac:dyDescent="0.3">
      <c r="B329" s="52" t="s">
        <v>231</v>
      </c>
      <c r="C329" s="86"/>
      <c r="D329" s="86"/>
      <c r="E329" s="87"/>
      <c r="F329" s="87"/>
      <c r="G329" s="8">
        <f>TRUNC(G328/G303)</f>
        <v>1784</v>
      </c>
      <c r="H329" s="87"/>
      <c r="I329" s="8">
        <f>TRUNC(I328/I303)</f>
        <v>1927</v>
      </c>
      <c r="J329" s="87"/>
      <c r="K329" s="8">
        <f>TRUNC(K328/K303)</f>
        <v>983</v>
      </c>
      <c r="L329" s="87"/>
      <c r="M329" s="8">
        <f>TRUNC(M328/M303)</f>
        <v>1070</v>
      </c>
    </row>
    <row r="331" spans="2:14" ht="12.95" customHeight="1" x14ac:dyDescent="0.3">
      <c r="B331" s="60" t="s">
        <v>151</v>
      </c>
      <c r="C331" s="61"/>
      <c r="D331" s="62"/>
      <c r="E331" s="63"/>
      <c r="F331" s="62"/>
      <c r="G331" s="33" t="s">
        <v>58</v>
      </c>
      <c r="H331" s="62"/>
      <c r="I331" s="62"/>
      <c r="J331" s="62"/>
      <c r="K331" s="62"/>
      <c r="L331" s="62"/>
      <c r="M331" s="62"/>
      <c r="N331" s="4"/>
    </row>
    <row r="332" spans="2:14" ht="12.95" customHeight="1" x14ac:dyDescent="0.3">
      <c r="B332" s="161" t="s">
        <v>30</v>
      </c>
      <c r="C332" s="163" t="s">
        <v>46</v>
      </c>
      <c r="D332" s="125" t="s">
        <v>35</v>
      </c>
      <c r="E332" s="145" t="s">
        <v>31</v>
      </c>
      <c r="F332" s="34" t="s">
        <v>230</v>
      </c>
      <c r="G332" s="37">
        <v>300</v>
      </c>
      <c r="H332" s="65"/>
      <c r="I332" s="66"/>
      <c r="J332" s="18"/>
      <c r="K332" s="18"/>
      <c r="L332" s="18"/>
      <c r="M332" s="18"/>
      <c r="N332" s="4"/>
    </row>
    <row r="333" spans="2:14" ht="12.95" customHeight="1" x14ac:dyDescent="0.3">
      <c r="B333" s="162"/>
      <c r="C333" s="164"/>
      <c r="D333" s="125"/>
      <c r="E333" s="147"/>
      <c r="F333" s="38" t="s">
        <v>32</v>
      </c>
      <c r="G333" s="39" t="s">
        <v>33</v>
      </c>
      <c r="H333" s="65"/>
      <c r="I333" s="66"/>
      <c r="J333" s="18"/>
      <c r="K333" s="18"/>
      <c r="L333" s="18"/>
      <c r="M333" s="18"/>
      <c r="N333" s="4"/>
    </row>
    <row r="334" spans="2:14" ht="12.95" customHeight="1" x14ac:dyDescent="0.3">
      <c r="B334" s="68" t="s">
        <v>49</v>
      </c>
      <c r="C334" s="68" t="s">
        <v>50</v>
      </c>
      <c r="D334" s="69" t="s">
        <v>48</v>
      </c>
      <c r="E334" s="70">
        <v>1901</v>
      </c>
      <c r="F334" s="21">
        <v>8</v>
      </c>
      <c r="G334" s="3">
        <f t="shared" ref="G334:G337" si="56">TRUNC($E334*F334,1)</f>
        <v>15208</v>
      </c>
      <c r="H334" s="71"/>
      <c r="I334" s="72"/>
      <c r="J334" s="18"/>
      <c r="K334" s="18"/>
      <c r="L334" s="18"/>
      <c r="M334" s="18"/>
      <c r="N334" s="4"/>
    </row>
    <row r="335" spans="2:14" ht="12.95" customHeight="1" x14ac:dyDescent="0.3">
      <c r="B335" s="73" t="s">
        <v>66</v>
      </c>
      <c r="C335" s="68" t="s">
        <v>65</v>
      </c>
      <c r="D335" s="69" t="s">
        <v>48</v>
      </c>
      <c r="E335" s="70">
        <v>3742</v>
      </c>
      <c r="F335" s="21">
        <v>8</v>
      </c>
      <c r="G335" s="3">
        <f t="shared" si="56"/>
        <v>29936</v>
      </c>
      <c r="H335" s="71"/>
      <c r="I335" s="72"/>
      <c r="J335" s="18"/>
      <c r="K335" s="18"/>
      <c r="L335" s="18"/>
      <c r="M335" s="18"/>
      <c r="N335" s="4"/>
    </row>
    <row r="336" spans="2:14" ht="12.95" customHeight="1" x14ac:dyDescent="0.3">
      <c r="B336" s="68" t="s">
        <v>14</v>
      </c>
      <c r="C336" s="68" t="s">
        <v>89</v>
      </c>
      <c r="D336" s="69" t="s">
        <v>48</v>
      </c>
      <c r="E336" s="70">
        <v>7587</v>
      </c>
      <c r="F336" s="21">
        <v>8</v>
      </c>
      <c r="G336" s="3">
        <f t="shared" si="56"/>
        <v>60696</v>
      </c>
      <c r="H336" s="71"/>
      <c r="I336" s="72"/>
      <c r="J336" s="18"/>
      <c r="K336" s="18"/>
      <c r="L336" s="18"/>
      <c r="M336" s="18"/>
      <c r="N336" s="4"/>
    </row>
    <row r="337" spans="2:15" ht="12.95" customHeight="1" x14ac:dyDescent="0.3">
      <c r="B337" s="68" t="s">
        <v>61</v>
      </c>
      <c r="C337" s="68" t="s">
        <v>52</v>
      </c>
      <c r="D337" s="69" t="s">
        <v>48</v>
      </c>
      <c r="E337" s="70">
        <v>18200</v>
      </c>
      <c r="F337" s="21">
        <v>4</v>
      </c>
      <c r="G337" s="3">
        <f t="shared" si="56"/>
        <v>72800</v>
      </c>
      <c r="H337" s="62"/>
      <c r="I337" s="62"/>
      <c r="J337" s="18"/>
      <c r="K337" s="18"/>
      <c r="L337" s="18"/>
      <c r="M337" s="18"/>
    </row>
    <row r="338" spans="2:15" ht="12.95" customHeight="1" x14ac:dyDescent="0.3">
      <c r="B338" s="74" t="s">
        <v>38</v>
      </c>
      <c r="C338" s="75"/>
      <c r="D338" s="75"/>
      <c r="E338" s="24"/>
      <c r="F338" s="25"/>
      <c r="G338" s="20">
        <f>TRUNC(SUM(G334:G337))</f>
        <v>178640</v>
      </c>
      <c r="H338" s="76"/>
      <c r="I338" s="72"/>
      <c r="J338" s="18"/>
      <c r="K338" s="18"/>
      <c r="L338" s="18"/>
      <c r="M338" s="18"/>
    </row>
    <row r="339" spans="2:15" ht="12.95" customHeight="1" x14ac:dyDescent="0.3">
      <c r="B339" s="77"/>
      <c r="C339" s="75"/>
      <c r="D339" s="75"/>
      <c r="E339" s="24"/>
      <c r="F339" s="25"/>
      <c r="G339" s="78"/>
      <c r="H339" s="76"/>
      <c r="I339" s="72"/>
      <c r="J339" s="18"/>
      <c r="K339" s="18"/>
      <c r="L339" s="18"/>
      <c r="M339" s="18"/>
      <c r="N339" s="9"/>
    </row>
    <row r="340" spans="2:15" ht="12.95" customHeight="1" x14ac:dyDescent="0.3">
      <c r="B340" s="40" t="s">
        <v>3</v>
      </c>
      <c r="C340" s="41"/>
      <c r="D340" s="42" t="s">
        <v>37</v>
      </c>
      <c r="E340" s="70">
        <v>273308</v>
      </c>
      <c r="F340" s="21">
        <v>2</v>
      </c>
      <c r="G340" s="3">
        <f t="shared" ref="G340:G345" si="57">TRUNC($E340*F340,1)</f>
        <v>546616</v>
      </c>
      <c r="H340" s="62"/>
      <c r="I340" s="62"/>
      <c r="J340" s="18"/>
      <c r="K340" s="18"/>
      <c r="L340" s="18"/>
      <c r="M340" s="18"/>
      <c r="N340" s="9"/>
    </row>
    <row r="341" spans="2:15" ht="12.95" customHeight="1" x14ac:dyDescent="0.3">
      <c r="B341" s="40" t="s">
        <v>8</v>
      </c>
      <c r="C341" s="41"/>
      <c r="D341" s="42" t="s">
        <v>37</v>
      </c>
      <c r="E341" s="70">
        <v>172068</v>
      </c>
      <c r="F341" s="21">
        <v>1</v>
      </c>
      <c r="G341" s="3">
        <f t="shared" si="57"/>
        <v>172068</v>
      </c>
      <c r="H341" s="79"/>
      <c r="I341" s="78"/>
      <c r="J341" s="18"/>
      <c r="K341" s="18"/>
      <c r="L341" s="18"/>
      <c r="M341" s="18"/>
      <c r="N341" s="9"/>
    </row>
    <row r="342" spans="2:15" ht="12.95" customHeight="1" x14ac:dyDescent="0.3">
      <c r="B342" s="68" t="s">
        <v>49</v>
      </c>
      <c r="C342" s="68" t="s">
        <v>50</v>
      </c>
      <c r="D342" s="69" t="s">
        <v>48</v>
      </c>
      <c r="E342" s="70">
        <v>36190</v>
      </c>
      <c r="F342" s="21">
        <v>8</v>
      </c>
      <c r="G342" s="3">
        <f t="shared" si="57"/>
        <v>289520</v>
      </c>
      <c r="H342" s="79"/>
      <c r="I342" s="78"/>
      <c r="J342" s="18"/>
      <c r="K342" s="18"/>
      <c r="L342" s="18"/>
      <c r="M342" s="18"/>
      <c r="N342" s="9"/>
    </row>
    <row r="343" spans="2:15" ht="12.95" customHeight="1" x14ac:dyDescent="0.3">
      <c r="B343" s="73" t="s">
        <v>66</v>
      </c>
      <c r="C343" s="68" t="s">
        <v>65</v>
      </c>
      <c r="D343" s="69" t="s">
        <v>48</v>
      </c>
      <c r="E343" s="70">
        <v>36190</v>
      </c>
      <c r="F343" s="21">
        <v>8</v>
      </c>
      <c r="G343" s="3">
        <f t="shared" si="57"/>
        <v>289520</v>
      </c>
      <c r="H343" s="79"/>
      <c r="I343" s="78"/>
      <c r="J343" s="18"/>
      <c r="K343" s="18"/>
      <c r="L343" s="18"/>
      <c r="M343" s="18"/>
      <c r="N343" s="9"/>
    </row>
    <row r="344" spans="2:15" ht="12.95" customHeight="1" x14ac:dyDescent="0.3">
      <c r="B344" s="68" t="s">
        <v>14</v>
      </c>
      <c r="C344" s="68" t="s">
        <v>89</v>
      </c>
      <c r="D344" s="69" t="s">
        <v>48</v>
      </c>
      <c r="E344" s="70">
        <v>58925</v>
      </c>
      <c r="F344" s="21">
        <v>8</v>
      </c>
      <c r="G344" s="3">
        <f t="shared" si="57"/>
        <v>471400</v>
      </c>
      <c r="H344" s="71"/>
      <c r="I344" s="72"/>
      <c r="J344" s="18"/>
      <c r="K344" s="18"/>
      <c r="L344" s="18"/>
      <c r="M344" s="18"/>
      <c r="N344" s="4"/>
    </row>
    <row r="345" spans="2:15" ht="12.95" customHeight="1" x14ac:dyDescent="0.3">
      <c r="B345" s="68" t="s">
        <v>61</v>
      </c>
      <c r="C345" s="68" t="s">
        <v>52</v>
      </c>
      <c r="D345" s="69" t="s">
        <v>48</v>
      </c>
      <c r="E345" s="70">
        <v>49698</v>
      </c>
      <c r="F345" s="21">
        <v>4</v>
      </c>
      <c r="G345" s="3">
        <f t="shared" si="57"/>
        <v>198792</v>
      </c>
      <c r="H345" s="79"/>
      <c r="I345" s="78"/>
      <c r="J345" s="18"/>
      <c r="K345" s="18"/>
      <c r="L345" s="18"/>
      <c r="M345" s="18"/>
      <c r="O345" s="4"/>
    </row>
    <row r="346" spans="2:15" ht="12.95" customHeight="1" x14ac:dyDescent="0.3">
      <c r="B346" s="45" t="s">
        <v>39</v>
      </c>
      <c r="C346" s="75"/>
      <c r="D346" s="75"/>
      <c r="E346" s="24"/>
      <c r="F346" s="25"/>
      <c r="G346" s="20">
        <f>TRUNC(SUM(G340:G345))</f>
        <v>1967916</v>
      </c>
      <c r="H346" s="18"/>
      <c r="I346" s="18"/>
      <c r="J346" s="18"/>
      <c r="K346" s="18"/>
      <c r="L346" s="18"/>
      <c r="M346" s="18"/>
      <c r="N346" s="13"/>
      <c r="O346" s="4"/>
    </row>
    <row r="347" spans="2:15" ht="12.95" customHeight="1" x14ac:dyDescent="0.3">
      <c r="B347" s="77"/>
      <c r="C347" s="75"/>
      <c r="D347" s="75"/>
      <c r="E347" s="24"/>
      <c r="F347" s="25"/>
      <c r="G347" s="78"/>
      <c r="H347" s="18"/>
      <c r="I347" s="18"/>
      <c r="J347" s="18"/>
      <c r="K347" s="18"/>
      <c r="L347" s="18"/>
      <c r="M347" s="18"/>
      <c r="N347" s="13"/>
      <c r="O347" s="4"/>
    </row>
    <row r="348" spans="2:15" ht="12.95" customHeight="1" x14ac:dyDescent="0.3">
      <c r="B348" s="68" t="s">
        <v>49</v>
      </c>
      <c r="C348" s="68" t="s">
        <v>50</v>
      </c>
      <c r="D348" s="69" t="s">
        <v>48</v>
      </c>
      <c r="E348" s="70">
        <v>620</v>
      </c>
      <c r="F348" s="21">
        <v>8</v>
      </c>
      <c r="G348" s="3">
        <f t="shared" ref="G348:G351" si="58">TRUNC($E348*F348,1)</f>
        <v>4960</v>
      </c>
      <c r="H348" s="18"/>
      <c r="I348" s="18"/>
      <c r="J348" s="18"/>
      <c r="K348" s="18"/>
      <c r="L348" s="18"/>
      <c r="M348" s="18"/>
      <c r="N348" s="13"/>
      <c r="O348" s="4"/>
    </row>
    <row r="349" spans="2:15" ht="12.95" customHeight="1" x14ac:dyDescent="0.3">
      <c r="B349" s="73" t="s">
        <v>66</v>
      </c>
      <c r="C349" s="68" t="s">
        <v>65</v>
      </c>
      <c r="D349" s="69" t="s">
        <v>48</v>
      </c>
      <c r="E349" s="70">
        <v>1967</v>
      </c>
      <c r="F349" s="21">
        <v>8</v>
      </c>
      <c r="G349" s="3">
        <f t="shared" si="58"/>
        <v>15736</v>
      </c>
      <c r="H349" s="18"/>
      <c r="I349" s="18"/>
      <c r="J349" s="18"/>
      <c r="K349" s="18"/>
      <c r="L349" s="18"/>
      <c r="M349" s="18"/>
      <c r="N349" s="13"/>
      <c r="O349" s="4"/>
    </row>
    <row r="350" spans="2:15" ht="12.95" customHeight="1" x14ac:dyDescent="0.3">
      <c r="B350" s="68" t="s">
        <v>14</v>
      </c>
      <c r="C350" s="68" t="s">
        <v>89</v>
      </c>
      <c r="D350" s="69" t="s">
        <v>48</v>
      </c>
      <c r="E350" s="70">
        <v>7505</v>
      </c>
      <c r="F350" s="21">
        <v>8</v>
      </c>
      <c r="G350" s="3">
        <f t="shared" si="58"/>
        <v>60040</v>
      </c>
      <c r="H350" s="71"/>
      <c r="I350" s="72"/>
      <c r="J350" s="18"/>
      <c r="K350" s="18"/>
      <c r="L350" s="18"/>
      <c r="M350" s="18"/>
      <c r="N350" s="13"/>
      <c r="O350" s="4"/>
    </row>
    <row r="351" spans="2:15" ht="12.95" customHeight="1" x14ac:dyDescent="0.3">
      <c r="B351" s="68" t="s">
        <v>61</v>
      </c>
      <c r="C351" s="68" t="s">
        <v>52</v>
      </c>
      <c r="D351" s="69" t="s">
        <v>48</v>
      </c>
      <c r="E351" s="70">
        <v>9986</v>
      </c>
      <c r="F351" s="21">
        <v>4</v>
      </c>
      <c r="G351" s="3">
        <f t="shared" si="58"/>
        <v>39944</v>
      </c>
      <c r="H351" s="80"/>
      <c r="I351" s="78"/>
      <c r="J351" s="18"/>
      <c r="K351" s="18"/>
      <c r="L351" s="18"/>
      <c r="M351" s="18"/>
      <c r="N351" s="13"/>
      <c r="O351" s="4"/>
    </row>
    <row r="352" spans="2:15" ht="12.95" customHeight="1" x14ac:dyDescent="0.3">
      <c r="B352" s="74" t="s">
        <v>40</v>
      </c>
      <c r="C352" s="75"/>
      <c r="D352" s="75"/>
      <c r="E352" s="81"/>
      <c r="F352" s="19"/>
      <c r="G352" s="20">
        <f>TRUNC(SUM(G348:G351))</f>
        <v>120680</v>
      </c>
      <c r="H352" s="18"/>
      <c r="I352" s="18"/>
      <c r="J352" s="18"/>
      <c r="K352" s="18"/>
      <c r="L352" s="18"/>
      <c r="M352" s="18"/>
      <c r="N352" s="13"/>
      <c r="O352" s="4"/>
    </row>
    <row r="353" spans="2:16" ht="12.95" customHeight="1" x14ac:dyDescent="0.3">
      <c r="B353" s="82"/>
      <c r="C353" s="68"/>
      <c r="D353" s="68"/>
      <c r="E353" s="83"/>
      <c r="F353" s="84"/>
      <c r="G353" s="72"/>
      <c r="H353" s="79"/>
      <c r="I353" s="78"/>
      <c r="J353" s="18"/>
      <c r="K353" s="18"/>
      <c r="L353" s="18"/>
      <c r="M353" s="18"/>
      <c r="N353" s="13"/>
      <c r="O353" s="4"/>
    </row>
    <row r="354" spans="2:16" ht="12.95" customHeight="1" x14ac:dyDescent="0.3">
      <c r="B354" s="51" t="s">
        <v>42</v>
      </c>
      <c r="C354" s="75"/>
      <c r="D354" s="75"/>
      <c r="E354" s="81"/>
      <c r="F354" s="81"/>
      <c r="G354" s="85">
        <f>SUM(G338+G346+G352)</f>
        <v>2267236</v>
      </c>
      <c r="H354" s="18"/>
      <c r="I354" s="18"/>
      <c r="J354" s="18"/>
      <c r="K354" s="18"/>
      <c r="L354" s="18"/>
      <c r="M354" s="18"/>
      <c r="N354" s="13"/>
      <c r="O354" s="13"/>
      <c r="P354" s="4"/>
    </row>
    <row r="355" spans="2:16" ht="12.95" customHeight="1" x14ac:dyDescent="0.3">
      <c r="B355" s="52" t="s">
        <v>231</v>
      </c>
      <c r="C355" s="86"/>
      <c r="D355" s="86"/>
      <c r="E355" s="87"/>
      <c r="F355" s="87"/>
      <c r="G355" s="8">
        <f>TRUNC(G354/G332)</f>
        <v>7557</v>
      </c>
      <c r="H355" s="18"/>
      <c r="I355" s="18"/>
      <c r="J355" s="18"/>
      <c r="K355" s="18"/>
      <c r="L355" s="18"/>
      <c r="M355" s="18"/>
      <c r="N355" s="9"/>
      <c r="O355" s="13"/>
      <c r="P355" s="4"/>
    </row>
    <row r="356" spans="2:16" ht="12.95" customHeight="1" x14ac:dyDescent="0.3">
      <c r="N356" s="9"/>
      <c r="O356" s="13"/>
      <c r="P356" s="4"/>
    </row>
    <row r="357" spans="2:16" ht="12.95" customHeight="1" x14ac:dyDescent="0.3">
      <c r="B357" s="60" t="s">
        <v>152</v>
      </c>
      <c r="C357" s="61"/>
      <c r="D357" s="62"/>
      <c r="E357" s="63"/>
      <c r="F357" s="62"/>
      <c r="G357" s="33" t="s">
        <v>58</v>
      </c>
      <c r="H357" s="62"/>
      <c r="I357" s="62"/>
      <c r="J357" s="62"/>
      <c r="K357" s="62"/>
      <c r="L357" s="62"/>
      <c r="M357" s="62"/>
      <c r="N357" s="9"/>
      <c r="O357" s="10"/>
      <c r="P357" s="4"/>
    </row>
    <row r="358" spans="2:16" ht="12.95" customHeight="1" x14ac:dyDescent="0.3">
      <c r="B358" s="161" t="s">
        <v>30</v>
      </c>
      <c r="C358" s="163" t="s">
        <v>46</v>
      </c>
      <c r="D358" s="125" t="s">
        <v>35</v>
      </c>
      <c r="E358" s="145" t="s">
        <v>31</v>
      </c>
      <c r="F358" s="34" t="s">
        <v>230</v>
      </c>
      <c r="G358" s="37">
        <v>1600</v>
      </c>
      <c r="H358" s="65"/>
      <c r="I358" s="66"/>
      <c r="J358" s="18"/>
      <c r="K358" s="18"/>
      <c r="L358" s="18"/>
      <c r="M358" s="18"/>
      <c r="N358" s="9"/>
      <c r="O358" s="10"/>
      <c r="P358" s="4"/>
    </row>
    <row r="359" spans="2:16" ht="12.95" customHeight="1" x14ac:dyDescent="0.3">
      <c r="B359" s="162"/>
      <c r="C359" s="164"/>
      <c r="D359" s="125"/>
      <c r="E359" s="147"/>
      <c r="F359" s="38" t="s">
        <v>32</v>
      </c>
      <c r="G359" s="39" t="s">
        <v>33</v>
      </c>
      <c r="H359" s="65"/>
      <c r="I359" s="66"/>
      <c r="J359" s="18"/>
      <c r="K359" s="18"/>
      <c r="L359" s="18"/>
      <c r="M359" s="18"/>
      <c r="N359" s="9"/>
      <c r="O359" s="11"/>
      <c r="P359" s="4"/>
    </row>
    <row r="360" spans="2:16" ht="12.95" customHeight="1" x14ac:dyDescent="0.3">
      <c r="B360" s="68" t="s">
        <v>24</v>
      </c>
      <c r="C360" s="68" t="s">
        <v>25</v>
      </c>
      <c r="D360" s="69" t="s">
        <v>48</v>
      </c>
      <c r="E360" s="70">
        <v>11275</v>
      </c>
      <c r="F360" s="21">
        <v>8</v>
      </c>
      <c r="G360" s="3">
        <f t="shared" ref="G360:G365" si="59">TRUNC($E360*F360,1)</f>
        <v>90200</v>
      </c>
      <c r="H360" s="71"/>
      <c r="I360" s="72"/>
      <c r="J360" s="18"/>
      <c r="K360" s="18"/>
      <c r="L360" s="18"/>
      <c r="M360" s="18"/>
      <c r="N360" s="4"/>
      <c r="O360" s="4"/>
    </row>
    <row r="361" spans="2:16" ht="12.95" customHeight="1" x14ac:dyDescent="0.3">
      <c r="B361" s="73" t="s">
        <v>292</v>
      </c>
      <c r="C361" s="68" t="s">
        <v>23</v>
      </c>
      <c r="D361" s="69" t="s">
        <v>48</v>
      </c>
      <c r="E361" s="70">
        <v>18733</v>
      </c>
      <c r="F361" s="21">
        <v>8</v>
      </c>
      <c r="G361" s="3">
        <f t="shared" si="59"/>
        <v>149864</v>
      </c>
      <c r="H361" s="71"/>
      <c r="I361" s="72"/>
      <c r="J361" s="18"/>
      <c r="K361" s="18"/>
      <c r="L361" s="18"/>
      <c r="M361" s="18"/>
      <c r="N361" s="11"/>
      <c r="O361" s="11"/>
      <c r="P361" s="4"/>
    </row>
    <row r="362" spans="2:16" ht="12.95" customHeight="1" x14ac:dyDescent="0.3">
      <c r="B362" s="73" t="s">
        <v>15</v>
      </c>
      <c r="C362" s="68" t="s">
        <v>90</v>
      </c>
      <c r="D362" s="69" t="s">
        <v>48</v>
      </c>
      <c r="E362" s="70">
        <v>13500</v>
      </c>
      <c r="F362" s="21">
        <v>8</v>
      </c>
      <c r="G362" s="3">
        <f t="shared" si="59"/>
        <v>108000</v>
      </c>
      <c r="H362" s="71"/>
      <c r="I362" s="72"/>
      <c r="J362" s="18"/>
      <c r="K362" s="18"/>
      <c r="L362" s="18"/>
      <c r="M362" s="18"/>
      <c r="N362" s="4"/>
      <c r="O362" s="11"/>
      <c r="P362" s="4"/>
    </row>
    <row r="363" spans="2:16" ht="12.95" customHeight="1" x14ac:dyDescent="0.3">
      <c r="B363" s="68" t="s">
        <v>26</v>
      </c>
      <c r="C363" s="68" t="s">
        <v>27</v>
      </c>
      <c r="D363" s="69" t="s">
        <v>48</v>
      </c>
      <c r="E363" s="70">
        <v>9073</v>
      </c>
      <c r="F363" s="21">
        <v>8</v>
      </c>
      <c r="G363" s="3">
        <f t="shared" si="59"/>
        <v>72584</v>
      </c>
      <c r="H363" s="71"/>
      <c r="I363" s="72"/>
      <c r="J363" s="18"/>
      <c r="K363" s="18"/>
      <c r="L363" s="18"/>
      <c r="M363" s="18"/>
      <c r="N363" s="4"/>
      <c r="O363" s="11"/>
      <c r="P363" s="4"/>
    </row>
    <row r="364" spans="2:16" ht="12.95" customHeight="1" x14ac:dyDescent="0.3">
      <c r="B364" s="68" t="s">
        <v>84</v>
      </c>
      <c r="C364" s="68" t="s">
        <v>85</v>
      </c>
      <c r="D364" s="69" t="s">
        <v>48</v>
      </c>
      <c r="E364" s="70">
        <v>8882</v>
      </c>
      <c r="F364" s="21">
        <v>8</v>
      </c>
      <c r="G364" s="3">
        <f t="shared" si="59"/>
        <v>71056</v>
      </c>
      <c r="H364" s="71"/>
      <c r="I364" s="72"/>
      <c r="J364" s="18"/>
      <c r="K364" s="18"/>
      <c r="L364" s="18"/>
      <c r="M364" s="18"/>
      <c r="N364" s="4"/>
      <c r="O364" s="12"/>
      <c r="P364" s="4"/>
    </row>
    <row r="365" spans="2:16" ht="12.95" customHeight="1" x14ac:dyDescent="0.3">
      <c r="B365" s="68" t="s">
        <v>61</v>
      </c>
      <c r="C365" s="68" t="s">
        <v>52</v>
      </c>
      <c r="D365" s="69" t="s">
        <v>48</v>
      </c>
      <c r="E365" s="70">
        <v>18200</v>
      </c>
      <c r="F365" s="21">
        <v>4</v>
      </c>
      <c r="G365" s="3">
        <f t="shared" si="59"/>
        <v>72800</v>
      </c>
      <c r="H365" s="62"/>
      <c r="I365" s="62"/>
      <c r="J365" s="18"/>
      <c r="K365" s="18"/>
      <c r="L365" s="18"/>
      <c r="M365" s="18"/>
      <c r="N365" s="4"/>
      <c r="O365" s="10"/>
      <c r="P365" s="4"/>
    </row>
    <row r="366" spans="2:16" ht="12.95" customHeight="1" x14ac:dyDescent="0.3">
      <c r="B366" s="74" t="s">
        <v>38</v>
      </c>
      <c r="C366" s="75"/>
      <c r="D366" s="75"/>
      <c r="E366" s="24"/>
      <c r="F366" s="25"/>
      <c r="G366" s="20">
        <f>TRUNC(SUM(G360:G365))</f>
        <v>564504</v>
      </c>
      <c r="H366" s="76"/>
      <c r="I366" s="72"/>
      <c r="J366" s="18"/>
      <c r="K366" s="18"/>
      <c r="L366" s="18"/>
      <c r="M366" s="18"/>
      <c r="N366" s="4"/>
    </row>
    <row r="367" spans="2:16" ht="12.95" customHeight="1" x14ac:dyDescent="0.3">
      <c r="B367" s="77"/>
      <c r="C367" s="75"/>
      <c r="D367" s="75"/>
      <c r="E367" s="24"/>
      <c r="F367" s="25"/>
      <c r="G367" s="78"/>
      <c r="H367" s="76"/>
      <c r="I367" s="72"/>
      <c r="J367" s="18"/>
      <c r="K367" s="18"/>
      <c r="L367" s="18"/>
      <c r="M367" s="18"/>
      <c r="N367" s="4"/>
    </row>
    <row r="368" spans="2:16" ht="12.95" customHeight="1" x14ac:dyDescent="0.3">
      <c r="B368" s="40" t="s">
        <v>3</v>
      </c>
      <c r="C368" s="41"/>
      <c r="D368" s="42" t="s">
        <v>37</v>
      </c>
      <c r="E368" s="70">
        <v>273308</v>
      </c>
      <c r="F368" s="21">
        <v>3</v>
      </c>
      <c r="G368" s="3">
        <f t="shared" ref="G368:G375" si="60">TRUNC($E368*F368,1)</f>
        <v>819924</v>
      </c>
      <c r="H368" s="62"/>
      <c r="I368" s="62"/>
      <c r="J368" s="18"/>
      <c r="K368" s="18"/>
      <c r="L368" s="18"/>
      <c r="M368" s="18"/>
      <c r="N368" s="4"/>
    </row>
    <row r="369" spans="2:14" ht="12.95" customHeight="1" x14ac:dyDescent="0.3">
      <c r="B369" s="40" t="s">
        <v>8</v>
      </c>
      <c r="C369" s="41"/>
      <c r="D369" s="42" t="s">
        <v>37</v>
      </c>
      <c r="E369" s="70">
        <v>172068</v>
      </c>
      <c r="F369" s="21">
        <v>1</v>
      </c>
      <c r="G369" s="3">
        <f t="shared" si="60"/>
        <v>172068</v>
      </c>
      <c r="H369" s="79"/>
      <c r="I369" s="78"/>
      <c r="J369" s="18"/>
      <c r="K369" s="18"/>
      <c r="L369" s="18"/>
      <c r="M369" s="18"/>
      <c r="N369" s="4"/>
    </row>
    <row r="370" spans="2:14" ht="12.95" customHeight="1" x14ac:dyDescent="0.3">
      <c r="B370" s="68" t="s">
        <v>24</v>
      </c>
      <c r="C370" s="68" t="s">
        <v>25</v>
      </c>
      <c r="D370" s="69" t="s">
        <v>48</v>
      </c>
      <c r="E370" s="70">
        <v>58925</v>
      </c>
      <c r="F370" s="21">
        <v>8</v>
      </c>
      <c r="G370" s="3">
        <f t="shared" si="60"/>
        <v>471400</v>
      </c>
      <c r="H370" s="79"/>
      <c r="I370" s="78"/>
      <c r="J370" s="18"/>
      <c r="K370" s="18"/>
      <c r="L370" s="18"/>
      <c r="M370" s="18"/>
      <c r="N370" s="4"/>
    </row>
    <row r="371" spans="2:14" ht="12.95" customHeight="1" x14ac:dyDescent="0.3">
      <c r="B371" s="73" t="s">
        <v>292</v>
      </c>
      <c r="C371" s="68" t="s">
        <v>23</v>
      </c>
      <c r="D371" s="69" t="s">
        <v>48</v>
      </c>
      <c r="E371" s="70">
        <v>58925</v>
      </c>
      <c r="F371" s="21">
        <v>8</v>
      </c>
      <c r="G371" s="3">
        <f t="shared" si="60"/>
        <v>471400</v>
      </c>
      <c r="H371" s="79"/>
      <c r="I371" s="78"/>
      <c r="J371" s="18"/>
      <c r="K371" s="18"/>
      <c r="L371" s="18"/>
      <c r="M371" s="18"/>
      <c r="N371" s="4"/>
    </row>
    <row r="372" spans="2:14" ht="12.95" customHeight="1" x14ac:dyDescent="0.3">
      <c r="B372" s="73" t="s">
        <v>15</v>
      </c>
      <c r="C372" s="68" t="s">
        <v>90</v>
      </c>
      <c r="D372" s="69" t="s">
        <v>48</v>
      </c>
      <c r="E372" s="70">
        <v>58925</v>
      </c>
      <c r="F372" s="21">
        <v>8</v>
      </c>
      <c r="G372" s="3">
        <f t="shared" si="60"/>
        <v>471400</v>
      </c>
      <c r="H372" s="71"/>
      <c r="I372" s="72"/>
      <c r="J372" s="18"/>
      <c r="K372" s="18"/>
      <c r="L372" s="18"/>
      <c r="M372" s="18"/>
      <c r="N372" s="4"/>
    </row>
    <row r="373" spans="2:14" ht="12.95" customHeight="1" x14ac:dyDescent="0.3">
      <c r="B373" s="68" t="s">
        <v>26</v>
      </c>
      <c r="C373" s="68" t="s">
        <v>27</v>
      </c>
      <c r="D373" s="69" t="s">
        <v>48</v>
      </c>
      <c r="E373" s="70">
        <v>58925</v>
      </c>
      <c r="F373" s="21">
        <v>8</v>
      </c>
      <c r="G373" s="3">
        <f t="shared" si="60"/>
        <v>471400</v>
      </c>
      <c r="H373" s="71"/>
      <c r="I373" s="72"/>
      <c r="J373" s="18"/>
      <c r="K373" s="18"/>
      <c r="L373" s="18"/>
      <c r="M373" s="18"/>
      <c r="N373" s="4"/>
    </row>
    <row r="374" spans="2:14" ht="12.95" customHeight="1" x14ac:dyDescent="0.3">
      <c r="B374" s="68" t="s">
        <v>84</v>
      </c>
      <c r="C374" s="68" t="s">
        <v>85</v>
      </c>
      <c r="D374" s="69" t="s">
        <v>48</v>
      </c>
      <c r="E374" s="70">
        <v>58925</v>
      </c>
      <c r="F374" s="21">
        <v>8</v>
      </c>
      <c r="G374" s="3">
        <f t="shared" si="60"/>
        <v>471400</v>
      </c>
      <c r="H374" s="71"/>
      <c r="I374" s="72"/>
      <c r="J374" s="18"/>
      <c r="K374" s="18"/>
      <c r="L374" s="18"/>
      <c r="M374" s="18"/>
      <c r="N374" s="4"/>
    </row>
    <row r="375" spans="2:14" ht="12.95" customHeight="1" x14ac:dyDescent="0.3">
      <c r="B375" s="68" t="s">
        <v>61</v>
      </c>
      <c r="C375" s="68" t="s">
        <v>52</v>
      </c>
      <c r="D375" s="69" t="s">
        <v>48</v>
      </c>
      <c r="E375" s="70">
        <v>49698</v>
      </c>
      <c r="F375" s="21">
        <v>4</v>
      </c>
      <c r="G375" s="3">
        <f t="shared" si="60"/>
        <v>198792</v>
      </c>
      <c r="H375" s="79"/>
      <c r="I375" s="78"/>
      <c r="J375" s="18"/>
      <c r="K375" s="18"/>
      <c r="L375" s="18"/>
      <c r="M375" s="18"/>
      <c r="N375" s="4"/>
    </row>
    <row r="376" spans="2:14" ht="12.95" customHeight="1" x14ac:dyDescent="0.3">
      <c r="B376" s="45" t="s">
        <v>39</v>
      </c>
      <c r="C376" s="75"/>
      <c r="D376" s="75"/>
      <c r="E376" s="24"/>
      <c r="F376" s="25"/>
      <c r="G376" s="20">
        <f>TRUNC(SUM(G368:G375))</f>
        <v>3547784</v>
      </c>
      <c r="H376" s="18"/>
      <c r="I376" s="18"/>
      <c r="J376" s="18"/>
      <c r="K376" s="18"/>
      <c r="L376" s="18"/>
      <c r="M376" s="18"/>
      <c r="N376" s="4"/>
    </row>
    <row r="377" spans="2:14" ht="12.95" customHeight="1" x14ac:dyDescent="0.3">
      <c r="B377" s="77"/>
      <c r="C377" s="75"/>
      <c r="D377" s="75"/>
      <c r="E377" s="24"/>
      <c r="F377" s="25"/>
      <c r="G377" s="78"/>
      <c r="H377" s="18"/>
      <c r="I377" s="18"/>
      <c r="J377" s="18"/>
      <c r="K377" s="18"/>
      <c r="L377" s="18"/>
      <c r="M377" s="18"/>
      <c r="N377" s="4"/>
    </row>
    <row r="378" spans="2:14" ht="12.95" customHeight="1" x14ac:dyDescent="0.3">
      <c r="B378" s="68" t="s">
        <v>24</v>
      </c>
      <c r="C378" s="68" t="s">
        <v>25</v>
      </c>
      <c r="D378" s="69" t="s">
        <v>48</v>
      </c>
      <c r="E378" s="70">
        <v>52633</v>
      </c>
      <c r="F378" s="21">
        <v>8</v>
      </c>
      <c r="G378" s="3">
        <f t="shared" ref="G378:G383" si="61">TRUNC($E378*F378,1)</f>
        <v>421064</v>
      </c>
      <c r="H378" s="18"/>
      <c r="I378" s="18"/>
      <c r="J378" s="18"/>
      <c r="K378" s="18"/>
      <c r="L378" s="18"/>
      <c r="M378" s="18"/>
      <c r="N378" s="4"/>
    </row>
    <row r="379" spans="2:14" ht="12.95" customHeight="1" x14ac:dyDescent="0.3">
      <c r="B379" s="73" t="s">
        <v>292</v>
      </c>
      <c r="C379" s="68" t="s">
        <v>23</v>
      </c>
      <c r="D379" s="69" t="s">
        <v>48</v>
      </c>
      <c r="E379" s="70">
        <v>23423</v>
      </c>
      <c r="F379" s="21">
        <v>8</v>
      </c>
      <c r="G379" s="3">
        <f t="shared" si="61"/>
        <v>187384</v>
      </c>
      <c r="H379" s="18"/>
      <c r="I379" s="18"/>
      <c r="J379" s="18"/>
      <c r="K379" s="18"/>
      <c r="L379" s="18"/>
      <c r="M379" s="18"/>
      <c r="N379" s="4"/>
    </row>
    <row r="380" spans="2:14" ht="12.95" customHeight="1" x14ac:dyDescent="0.3">
      <c r="B380" s="73" t="s">
        <v>15</v>
      </c>
      <c r="C380" s="68" t="s">
        <v>90</v>
      </c>
      <c r="D380" s="69" t="s">
        <v>48</v>
      </c>
      <c r="E380" s="70">
        <v>10298</v>
      </c>
      <c r="F380" s="21">
        <v>8</v>
      </c>
      <c r="G380" s="3">
        <f t="shared" si="61"/>
        <v>82384</v>
      </c>
      <c r="H380" s="71"/>
      <c r="I380" s="72"/>
      <c r="J380" s="18"/>
      <c r="K380" s="18"/>
      <c r="L380" s="18"/>
      <c r="M380" s="18"/>
    </row>
    <row r="381" spans="2:14" ht="12.95" customHeight="1" x14ac:dyDescent="0.3">
      <c r="B381" s="68" t="s">
        <v>26</v>
      </c>
      <c r="C381" s="68" t="s">
        <v>27</v>
      </c>
      <c r="D381" s="69" t="s">
        <v>48</v>
      </c>
      <c r="E381" s="70">
        <v>12230</v>
      </c>
      <c r="F381" s="21">
        <v>8</v>
      </c>
      <c r="G381" s="3">
        <f t="shared" si="61"/>
        <v>97840</v>
      </c>
      <c r="H381" s="71"/>
      <c r="I381" s="72"/>
      <c r="J381" s="18"/>
      <c r="K381" s="18"/>
      <c r="L381" s="18"/>
      <c r="M381" s="18"/>
    </row>
    <row r="382" spans="2:14" ht="12.95" customHeight="1" x14ac:dyDescent="0.3">
      <c r="B382" s="68" t="s">
        <v>84</v>
      </c>
      <c r="C382" s="68" t="s">
        <v>85</v>
      </c>
      <c r="D382" s="69" t="s">
        <v>48</v>
      </c>
      <c r="E382" s="70">
        <v>9037</v>
      </c>
      <c r="F382" s="21">
        <v>8</v>
      </c>
      <c r="G382" s="3">
        <f t="shared" si="61"/>
        <v>72296</v>
      </c>
      <c r="H382" s="71"/>
      <c r="I382" s="72"/>
      <c r="J382" s="18"/>
      <c r="K382" s="18"/>
      <c r="L382" s="18"/>
      <c r="M382" s="18"/>
    </row>
    <row r="383" spans="2:14" ht="12.95" customHeight="1" x14ac:dyDescent="0.3">
      <c r="B383" s="68" t="s">
        <v>61</v>
      </c>
      <c r="C383" s="68" t="s">
        <v>52</v>
      </c>
      <c r="D383" s="69" t="s">
        <v>48</v>
      </c>
      <c r="E383" s="70">
        <v>9986</v>
      </c>
      <c r="F383" s="21">
        <v>4</v>
      </c>
      <c r="G383" s="3">
        <f t="shared" si="61"/>
        <v>39944</v>
      </c>
      <c r="H383" s="80"/>
      <c r="I383" s="78"/>
      <c r="J383" s="18"/>
      <c r="K383" s="18"/>
      <c r="L383" s="18"/>
      <c r="M383" s="18"/>
    </row>
    <row r="384" spans="2:14" ht="12.95" customHeight="1" x14ac:dyDescent="0.3">
      <c r="B384" s="74" t="s">
        <v>40</v>
      </c>
      <c r="C384" s="75"/>
      <c r="D384" s="75"/>
      <c r="E384" s="81"/>
      <c r="F384" s="19"/>
      <c r="G384" s="20">
        <f>TRUNC(SUM(G378:G383))</f>
        <v>900912</v>
      </c>
      <c r="H384" s="18"/>
      <c r="I384" s="18"/>
      <c r="J384" s="18"/>
      <c r="K384" s="18"/>
      <c r="L384" s="18"/>
      <c r="M384" s="18"/>
    </row>
    <row r="385" spans="2:13" ht="12.95" customHeight="1" x14ac:dyDescent="0.3">
      <c r="B385" s="82"/>
      <c r="C385" s="68"/>
      <c r="D385" s="68"/>
      <c r="E385" s="83"/>
      <c r="F385" s="84"/>
      <c r="G385" s="72"/>
      <c r="H385" s="79"/>
      <c r="I385" s="78"/>
      <c r="J385" s="18"/>
      <c r="K385" s="18"/>
      <c r="L385" s="18"/>
      <c r="M385" s="18"/>
    </row>
    <row r="386" spans="2:13" ht="12.95" customHeight="1" x14ac:dyDescent="0.3">
      <c r="B386" s="51" t="s">
        <v>42</v>
      </c>
      <c r="C386" s="75"/>
      <c r="D386" s="75"/>
      <c r="E386" s="81"/>
      <c r="F386" s="81"/>
      <c r="G386" s="85">
        <f>SUM(G366+G376+G384)</f>
        <v>5013200</v>
      </c>
      <c r="H386" s="18"/>
      <c r="I386" s="18"/>
      <c r="J386" s="18"/>
      <c r="K386" s="18"/>
      <c r="L386" s="18"/>
      <c r="M386" s="18"/>
    </row>
    <row r="387" spans="2:13" ht="12.95" customHeight="1" x14ac:dyDescent="0.3">
      <c r="B387" s="52" t="s">
        <v>231</v>
      </c>
      <c r="C387" s="86"/>
      <c r="D387" s="86"/>
      <c r="E387" s="87"/>
      <c r="F387" s="87"/>
      <c r="G387" s="8">
        <f>TRUNC(G386/G358)</f>
        <v>3133</v>
      </c>
      <c r="H387" s="18"/>
      <c r="I387" s="18"/>
      <c r="J387" s="18"/>
      <c r="K387" s="18"/>
      <c r="L387" s="18"/>
      <c r="M387" s="18"/>
    </row>
    <row r="389" spans="2:13" ht="12.95" customHeight="1" x14ac:dyDescent="0.3">
      <c r="B389" s="60" t="s">
        <v>153</v>
      </c>
      <c r="C389" s="61"/>
      <c r="D389" s="62"/>
      <c r="E389" s="63"/>
      <c r="F389" s="62"/>
      <c r="G389" s="33"/>
      <c r="H389" s="62"/>
      <c r="I389" s="33" t="s">
        <v>58</v>
      </c>
      <c r="J389" s="62"/>
      <c r="K389" s="62"/>
      <c r="L389" s="62"/>
      <c r="M389" s="62"/>
    </row>
    <row r="390" spans="2:13" ht="12.95" customHeight="1" x14ac:dyDescent="0.3">
      <c r="B390" s="161" t="s">
        <v>30</v>
      </c>
      <c r="C390" s="163" t="s">
        <v>46</v>
      </c>
      <c r="D390" s="136" t="s">
        <v>35</v>
      </c>
      <c r="E390" s="145" t="s">
        <v>31</v>
      </c>
      <c r="F390" s="139" t="s">
        <v>232</v>
      </c>
      <c r="G390" s="140"/>
      <c r="H390" s="139" t="s">
        <v>81</v>
      </c>
      <c r="I390" s="140"/>
      <c r="J390" s="18"/>
      <c r="K390" s="18"/>
      <c r="L390" s="18"/>
      <c r="M390" s="18"/>
    </row>
    <row r="391" spans="2:13" ht="12.95" customHeight="1" x14ac:dyDescent="0.3">
      <c r="B391" s="169"/>
      <c r="C391" s="170"/>
      <c r="D391" s="137"/>
      <c r="E391" s="146"/>
      <c r="F391" s="34" t="s">
        <v>230</v>
      </c>
      <c r="G391" s="37">
        <v>2600</v>
      </c>
      <c r="H391" s="34" t="s">
        <v>230</v>
      </c>
      <c r="I391" s="37">
        <v>4800</v>
      </c>
      <c r="J391" s="18"/>
      <c r="K391" s="18"/>
      <c r="L391" s="18"/>
      <c r="M391" s="18"/>
    </row>
    <row r="392" spans="2:13" ht="12.95" customHeight="1" x14ac:dyDescent="0.3">
      <c r="B392" s="162"/>
      <c r="C392" s="164"/>
      <c r="D392" s="138"/>
      <c r="E392" s="147"/>
      <c r="F392" s="38" t="s">
        <v>32</v>
      </c>
      <c r="G392" s="39" t="s">
        <v>33</v>
      </c>
      <c r="H392" s="38" t="s">
        <v>32</v>
      </c>
      <c r="I392" s="39" t="s">
        <v>33</v>
      </c>
      <c r="J392" s="18"/>
      <c r="K392" s="18"/>
      <c r="L392" s="18"/>
      <c r="M392" s="18"/>
    </row>
    <row r="393" spans="2:13" ht="12.95" customHeight="1" x14ac:dyDescent="0.3">
      <c r="B393" s="68" t="s">
        <v>24</v>
      </c>
      <c r="C393" s="68" t="s">
        <v>91</v>
      </c>
      <c r="D393" s="69" t="s">
        <v>48</v>
      </c>
      <c r="E393" s="70">
        <v>20940</v>
      </c>
      <c r="F393" s="21">
        <v>8</v>
      </c>
      <c r="G393" s="3">
        <f t="shared" ref="G393:G397" si="62">TRUNC($E393*F393,1)</f>
        <v>167520</v>
      </c>
      <c r="H393" s="21">
        <v>8</v>
      </c>
      <c r="I393" s="3">
        <f t="shared" ref="I393:I397" si="63">TRUNC($E393*H393,1)</f>
        <v>167520</v>
      </c>
      <c r="J393" s="18"/>
      <c r="K393" s="18"/>
      <c r="L393" s="18"/>
      <c r="M393" s="18"/>
    </row>
    <row r="394" spans="2:13" ht="12.95" customHeight="1" x14ac:dyDescent="0.3">
      <c r="B394" s="73" t="s">
        <v>15</v>
      </c>
      <c r="C394" s="68" t="s">
        <v>82</v>
      </c>
      <c r="D394" s="69" t="s">
        <v>48</v>
      </c>
      <c r="E394" s="70">
        <v>16520</v>
      </c>
      <c r="F394" s="21">
        <v>8</v>
      </c>
      <c r="G394" s="3">
        <f t="shared" si="62"/>
        <v>132160</v>
      </c>
      <c r="H394" s="21">
        <v>8</v>
      </c>
      <c r="I394" s="3">
        <f t="shared" si="63"/>
        <v>132160</v>
      </c>
      <c r="J394" s="18"/>
      <c r="K394" s="18"/>
      <c r="L394" s="18"/>
      <c r="M394" s="18"/>
    </row>
    <row r="395" spans="2:13" ht="12.95" customHeight="1" x14ac:dyDescent="0.3">
      <c r="B395" s="73" t="s">
        <v>26</v>
      </c>
      <c r="C395" s="68" t="s">
        <v>83</v>
      </c>
      <c r="D395" s="69" t="s">
        <v>48</v>
      </c>
      <c r="E395" s="70">
        <v>14813</v>
      </c>
      <c r="F395" s="21">
        <v>8</v>
      </c>
      <c r="G395" s="3">
        <f t="shared" si="62"/>
        <v>118504</v>
      </c>
      <c r="H395" s="21">
        <v>8</v>
      </c>
      <c r="I395" s="3">
        <f t="shared" si="63"/>
        <v>118504</v>
      </c>
      <c r="J395" s="18"/>
      <c r="K395" s="18"/>
      <c r="L395" s="18"/>
      <c r="M395" s="18"/>
    </row>
    <row r="396" spans="2:13" ht="12.95" customHeight="1" x14ac:dyDescent="0.3">
      <c r="B396" s="68" t="s">
        <v>22</v>
      </c>
      <c r="C396" s="68" t="s">
        <v>27</v>
      </c>
      <c r="D396" s="69" t="s">
        <v>48</v>
      </c>
      <c r="E396" s="70">
        <v>8882</v>
      </c>
      <c r="F396" s="21">
        <v>8</v>
      </c>
      <c r="G396" s="3">
        <f t="shared" si="62"/>
        <v>71056</v>
      </c>
      <c r="H396" s="21">
        <v>8</v>
      </c>
      <c r="I396" s="3">
        <f t="shared" si="63"/>
        <v>71056</v>
      </c>
      <c r="J396" s="18"/>
      <c r="K396" s="18"/>
      <c r="L396" s="18"/>
      <c r="M396" s="18"/>
    </row>
    <row r="397" spans="2:13" ht="12.95" customHeight="1" x14ac:dyDescent="0.3">
      <c r="B397" s="68" t="s">
        <v>61</v>
      </c>
      <c r="C397" s="68" t="s">
        <v>19</v>
      </c>
      <c r="D397" s="69" t="s">
        <v>48</v>
      </c>
      <c r="E397" s="70">
        <v>25246</v>
      </c>
      <c r="F397" s="21">
        <v>4</v>
      </c>
      <c r="G397" s="3">
        <f t="shared" si="62"/>
        <v>100984</v>
      </c>
      <c r="H397" s="21">
        <v>4</v>
      </c>
      <c r="I397" s="3">
        <f t="shared" si="63"/>
        <v>100984</v>
      </c>
      <c r="J397" s="18"/>
      <c r="K397" s="18"/>
      <c r="L397" s="18"/>
      <c r="M397" s="18"/>
    </row>
    <row r="398" spans="2:13" ht="12.95" customHeight="1" x14ac:dyDescent="0.3">
      <c r="B398" s="74" t="s">
        <v>38</v>
      </c>
      <c r="C398" s="75"/>
      <c r="D398" s="75"/>
      <c r="E398" s="24"/>
      <c r="F398" s="25"/>
      <c r="G398" s="20">
        <f>TRUNC(SUM(G393:G397))</f>
        <v>590224</v>
      </c>
      <c r="H398" s="25"/>
      <c r="I398" s="20">
        <f>TRUNC(SUM(I393:I397))</f>
        <v>590224</v>
      </c>
      <c r="J398" s="18"/>
      <c r="K398" s="18"/>
      <c r="L398" s="18"/>
      <c r="M398" s="18"/>
    </row>
    <row r="399" spans="2:13" ht="12.95" customHeight="1" x14ac:dyDescent="0.3">
      <c r="B399" s="77"/>
      <c r="C399" s="75"/>
      <c r="D399" s="75"/>
      <c r="E399" s="24"/>
      <c r="F399" s="25"/>
      <c r="G399" s="78"/>
      <c r="H399" s="25"/>
      <c r="I399" s="78"/>
      <c r="J399" s="18"/>
      <c r="K399" s="18"/>
      <c r="L399" s="18"/>
      <c r="M399" s="18"/>
    </row>
    <row r="400" spans="2:13" ht="12.95" customHeight="1" x14ac:dyDescent="0.3">
      <c r="B400" s="40" t="s">
        <v>3</v>
      </c>
      <c r="C400" s="41"/>
      <c r="D400" s="42" t="s">
        <v>37</v>
      </c>
      <c r="E400" s="70">
        <v>273308</v>
      </c>
      <c r="F400" s="21">
        <v>4</v>
      </c>
      <c r="G400" s="3">
        <f t="shared" ref="G400:G406" si="64">TRUNC($E400*F400,1)</f>
        <v>1093232</v>
      </c>
      <c r="H400" s="21">
        <v>4</v>
      </c>
      <c r="I400" s="3">
        <f t="shared" ref="I400:I406" si="65">TRUNC($E400*H400,1)</f>
        <v>1093232</v>
      </c>
      <c r="J400" s="18"/>
      <c r="K400" s="18"/>
      <c r="L400" s="18"/>
      <c r="M400" s="18"/>
    </row>
    <row r="401" spans="2:13" ht="12.95" customHeight="1" x14ac:dyDescent="0.3">
      <c r="B401" s="40" t="s">
        <v>8</v>
      </c>
      <c r="C401" s="41"/>
      <c r="D401" s="42" t="s">
        <v>37</v>
      </c>
      <c r="E401" s="70">
        <v>172068</v>
      </c>
      <c r="F401" s="21">
        <v>1</v>
      </c>
      <c r="G401" s="3">
        <f t="shared" si="64"/>
        <v>172068</v>
      </c>
      <c r="H401" s="21">
        <v>1</v>
      </c>
      <c r="I401" s="3">
        <f t="shared" si="65"/>
        <v>172068</v>
      </c>
      <c r="J401" s="18"/>
      <c r="K401" s="18"/>
      <c r="L401" s="18"/>
      <c r="M401" s="18"/>
    </row>
    <row r="402" spans="2:13" ht="12.95" customHeight="1" x14ac:dyDescent="0.3">
      <c r="B402" s="68" t="s">
        <v>24</v>
      </c>
      <c r="C402" s="68" t="s">
        <v>91</v>
      </c>
      <c r="D402" s="69" t="s">
        <v>48</v>
      </c>
      <c r="E402" s="70">
        <v>58925</v>
      </c>
      <c r="F402" s="21">
        <v>8</v>
      </c>
      <c r="G402" s="3">
        <f t="shared" si="64"/>
        <v>471400</v>
      </c>
      <c r="H402" s="21">
        <v>8</v>
      </c>
      <c r="I402" s="3">
        <f t="shared" si="65"/>
        <v>471400</v>
      </c>
      <c r="J402" s="18"/>
      <c r="K402" s="18"/>
      <c r="L402" s="18"/>
      <c r="M402" s="18"/>
    </row>
    <row r="403" spans="2:13" ht="12.95" customHeight="1" x14ac:dyDescent="0.3">
      <c r="B403" s="73" t="s">
        <v>15</v>
      </c>
      <c r="C403" s="68" t="s">
        <v>82</v>
      </c>
      <c r="D403" s="69" t="s">
        <v>48</v>
      </c>
      <c r="E403" s="70">
        <v>58925</v>
      </c>
      <c r="F403" s="21">
        <v>8</v>
      </c>
      <c r="G403" s="3">
        <f t="shared" si="64"/>
        <v>471400</v>
      </c>
      <c r="H403" s="21">
        <v>8</v>
      </c>
      <c r="I403" s="3">
        <f t="shared" si="65"/>
        <v>471400</v>
      </c>
      <c r="J403" s="18"/>
      <c r="K403" s="18"/>
      <c r="L403" s="18"/>
      <c r="M403" s="18"/>
    </row>
    <row r="404" spans="2:13" ht="12.95" customHeight="1" x14ac:dyDescent="0.3">
      <c r="B404" s="73" t="s">
        <v>26</v>
      </c>
      <c r="C404" s="68" t="s">
        <v>83</v>
      </c>
      <c r="D404" s="69" t="s">
        <v>48</v>
      </c>
      <c r="E404" s="70">
        <v>58925</v>
      </c>
      <c r="F404" s="21">
        <v>8</v>
      </c>
      <c r="G404" s="3">
        <f t="shared" si="64"/>
        <v>471400</v>
      </c>
      <c r="H404" s="21">
        <v>8</v>
      </c>
      <c r="I404" s="3">
        <f t="shared" si="65"/>
        <v>471400</v>
      </c>
      <c r="J404" s="18"/>
      <c r="K404" s="18"/>
      <c r="L404" s="18"/>
      <c r="M404" s="18"/>
    </row>
    <row r="405" spans="2:13" ht="12.95" customHeight="1" x14ac:dyDescent="0.3">
      <c r="B405" s="68" t="s">
        <v>22</v>
      </c>
      <c r="C405" s="68" t="s">
        <v>27</v>
      </c>
      <c r="D405" s="69" t="s">
        <v>48</v>
      </c>
      <c r="E405" s="70">
        <v>58925</v>
      </c>
      <c r="F405" s="21">
        <v>8</v>
      </c>
      <c r="G405" s="3">
        <f t="shared" si="64"/>
        <v>471400</v>
      </c>
      <c r="H405" s="21">
        <v>8</v>
      </c>
      <c r="I405" s="3">
        <f t="shared" si="65"/>
        <v>471400</v>
      </c>
      <c r="J405" s="18"/>
      <c r="K405" s="18"/>
      <c r="L405" s="18"/>
      <c r="M405" s="18"/>
    </row>
    <row r="406" spans="2:13" ht="12.95" customHeight="1" x14ac:dyDescent="0.3">
      <c r="B406" s="68" t="s">
        <v>61</v>
      </c>
      <c r="C406" s="68" t="s">
        <v>19</v>
      </c>
      <c r="D406" s="69" t="s">
        <v>48</v>
      </c>
      <c r="E406" s="70">
        <v>49698</v>
      </c>
      <c r="F406" s="21">
        <v>4</v>
      </c>
      <c r="G406" s="3">
        <f t="shared" si="64"/>
        <v>198792</v>
      </c>
      <c r="H406" s="21">
        <v>4</v>
      </c>
      <c r="I406" s="3">
        <f t="shared" si="65"/>
        <v>198792</v>
      </c>
      <c r="J406" s="18"/>
      <c r="K406" s="18"/>
      <c r="L406" s="18"/>
      <c r="M406" s="18"/>
    </row>
    <row r="407" spans="2:13" ht="12.95" customHeight="1" x14ac:dyDescent="0.3">
      <c r="B407" s="45" t="s">
        <v>39</v>
      </c>
      <c r="C407" s="75"/>
      <c r="D407" s="75"/>
      <c r="E407" s="24"/>
      <c r="F407" s="25"/>
      <c r="G407" s="20">
        <f>TRUNC(SUM(G400:G406))</f>
        <v>3349692</v>
      </c>
      <c r="H407" s="25"/>
      <c r="I407" s="20">
        <f>TRUNC(SUM(I400:I406))</f>
        <v>3349692</v>
      </c>
      <c r="J407" s="18"/>
      <c r="K407" s="18"/>
      <c r="L407" s="18"/>
      <c r="M407" s="18"/>
    </row>
    <row r="408" spans="2:13" ht="12.95" customHeight="1" x14ac:dyDescent="0.3">
      <c r="B408" s="77"/>
      <c r="C408" s="75"/>
      <c r="D408" s="75"/>
      <c r="E408" s="24"/>
      <c r="F408" s="25"/>
      <c r="G408" s="78"/>
      <c r="H408" s="25"/>
      <c r="I408" s="78"/>
      <c r="J408" s="18"/>
      <c r="K408" s="18"/>
      <c r="L408" s="18"/>
      <c r="M408" s="18"/>
    </row>
    <row r="409" spans="2:13" ht="12.95" customHeight="1" x14ac:dyDescent="0.3">
      <c r="B409" s="68" t="s">
        <v>24</v>
      </c>
      <c r="C409" s="68" t="s">
        <v>91</v>
      </c>
      <c r="D409" s="69" t="s">
        <v>48</v>
      </c>
      <c r="E409" s="70">
        <v>59141</v>
      </c>
      <c r="F409" s="21">
        <v>8</v>
      </c>
      <c r="G409" s="3">
        <f t="shared" ref="G409:G413" si="66">TRUNC($E409*F409,1)</f>
        <v>473128</v>
      </c>
      <c r="H409" s="21">
        <v>8</v>
      </c>
      <c r="I409" s="3">
        <f t="shared" ref="I409:I413" si="67">TRUNC($E409*H409,1)</f>
        <v>473128</v>
      </c>
      <c r="J409" s="18"/>
      <c r="K409" s="18"/>
      <c r="L409" s="18"/>
      <c r="M409" s="18"/>
    </row>
    <row r="410" spans="2:13" ht="12.95" customHeight="1" x14ac:dyDescent="0.3">
      <c r="B410" s="73" t="s">
        <v>15</v>
      </c>
      <c r="C410" s="68" t="s">
        <v>82</v>
      </c>
      <c r="D410" s="69" t="s">
        <v>48</v>
      </c>
      <c r="E410" s="70">
        <v>12857</v>
      </c>
      <c r="F410" s="21">
        <v>8</v>
      </c>
      <c r="G410" s="3">
        <f t="shared" si="66"/>
        <v>102856</v>
      </c>
      <c r="H410" s="21">
        <v>8</v>
      </c>
      <c r="I410" s="3">
        <f t="shared" si="67"/>
        <v>102856</v>
      </c>
      <c r="J410" s="18"/>
      <c r="K410" s="18"/>
      <c r="L410" s="18"/>
      <c r="M410" s="18"/>
    </row>
    <row r="411" spans="2:13" ht="12.95" customHeight="1" x14ac:dyDescent="0.3">
      <c r="B411" s="73" t="s">
        <v>26</v>
      </c>
      <c r="C411" s="68" t="s">
        <v>83</v>
      </c>
      <c r="D411" s="69" t="s">
        <v>48</v>
      </c>
      <c r="E411" s="70">
        <v>19136</v>
      </c>
      <c r="F411" s="21">
        <v>8</v>
      </c>
      <c r="G411" s="3">
        <f t="shared" si="66"/>
        <v>153088</v>
      </c>
      <c r="H411" s="21">
        <v>8</v>
      </c>
      <c r="I411" s="3">
        <f t="shared" si="67"/>
        <v>153088</v>
      </c>
      <c r="J411" s="18"/>
      <c r="K411" s="18"/>
      <c r="L411" s="18"/>
      <c r="M411" s="18"/>
    </row>
    <row r="412" spans="2:13" ht="12.95" customHeight="1" x14ac:dyDescent="0.3">
      <c r="B412" s="68" t="s">
        <v>22</v>
      </c>
      <c r="C412" s="68" t="s">
        <v>27</v>
      </c>
      <c r="D412" s="69" t="s">
        <v>48</v>
      </c>
      <c r="E412" s="70">
        <v>9037</v>
      </c>
      <c r="F412" s="21">
        <v>8</v>
      </c>
      <c r="G412" s="3">
        <f t="shared" si="66"/>
        <v>72296</v>
      </c>
      <c r="H412" s="21">
        <v>8</v>
      </c>
      <c r="I412" s="3">
        <f t="shared" si="67"/>
        <v>72296</v>
      </c>
      <c r="J412" s="18"/>
      <c r="K412" s="18"/>
      <c r="L412" s="18"/>
      <c r="M412" s="18"/>
    </row>
    <row r="413" spans="2:13" ht="12.95" customHeight="1" x14ac:dyDescent="0.3">
      <c r="B413" s="68" t="s">
        <v>61</v>
      </c>
      <c r="C413" s="68" t="s">
        <v>19</v>
      </c>
      <c r="D413" s="69" t="s">
        <v>48</v>
      </c>
      <c r="E413" s="70">
        <v>19154</v>
      </c>
      <c r="F413" s="21">
        <v>4</v>
      </c>
      <c r="G413" s="3">
        <f t="shared" si="66"/>
        <v>76616</v>
      </c>
      <c r="H413" s="21">
        <v>4</v>
      </c>
      <c r="I413" s="3">
        <f t="shared" si="67"/>
        <v>76616</v>
      </c>
      <c r="J413" s="18"/>
      <c r="K413" s="18"/>
      <c r="L413" s="18"/>
      <c r="M413" s="18"/>
    </row>
    <row r="414" spans="2:13" ht="12.95" customHeight="1" x14ac:dyDescent="0.3">
      <c r="B414" s="74" t="s">
        <v>40</v>
      </c>
      <c r="C414" s="75"/>
      <c r="D414" s="75"/>
      <c r="E414" s="81"/>
      <c r="F414" s="19"/>
      <c r="G414" s="20">
        <f>TRUNC(SUM(G409:G413))</f>
        <v>877984</v>
      </c>
      <c r="H414" s="19"/>
      <c r="I414" s="20">
        <f>TRUNC(SUM(I409:I413))</f>
        <v>877984</v>
      </c>
      <c r="J414" s="18"/>
      <c r="K414" s="18"/>
      <c r="L414" s="18"/>
      <c r="M414" s="18"/>
    </row>
    <row r="415" spans="2:13" ht="12.95" customHeight="1" x14ac:dyDescent="0.3">
      <c r="B415" s="82"/>
      <c r="C415" s="68"/>
      <c r="D415" s="68"/>
      <c r="E415" s="83"/>
      <c r="F415" s="84"/>
      <c r="G415" s="72"/>
      <c r="H415" s="84"/>
      <c r="I415" s="72"/>
      <c r="J415" s="18"/>
      <c r="K415" s="18"/>
      <c r="L415" s="18"/>
      <c r="M415" s="18"/>
    </row>
    <row r="416" spans="2:13" ht="12.95" customHeight="1" x14ac:dyDescent="0.3">
      <c r="B416" s="51" t="s">
        <v>42</v>
      </c>
      <c r="C416" s="75"/>
      <c r="D416" s="75"/>
      <c r="E416" s="81"/>
      <c r="F416" s="81"/>
      <c r="G416" s="85">
        <f>SUM(G398+G407+G414)</f>
        <v>4817900</v>
      </c>
      <c r="H416" s="81"/>
      <c r="I416" s="85">
        <f>SUM(I398+I407+I414)</f>
        <v>4817900</v>
      </c>
      <c r="J416" s="18"/>
      <c r="K416" s="18"/>
      <c r="L416" s="18"/>
      <c r="M416" s="18"/>
    </row>
    <row r="417" spans="2:14" ht="12.95" customHeight="1" x14ac:dyDescent="0.3">
      <c r="B417" s="52" t="s">
        <v>231</v>
      </c>
      <c r="C417" s="86"/>
      <c r="D417" s="86"/>
      <c r="E417" s="87"/>
      <c r="F417" s="87"/>
      <c r="G417" s="8">
        <f>TRUNC(G416/G391)</f>
        <v>1853</v>
      </c>
      <c r="H417" s="87"/>
      <c r="I417" s="8">
        <f>TRUNC(I416/I391)</f>
        <v>1003</v>
      </c>
      <c r="J417" s="18"/>
      <c r="K417" s="18"/>
      <c r="L417" s="18"/>
      <c r="M417" s="18"/>
    </row>
    <row r="419" spans="2:14" ht="12.95" customHeight="1" x14ac:dyDescent="0.3">
      <c r="B419" s="60" t="s">
        <v>286</v>
      </c>
      <c r="C419" s="61"/>
      <c r="D419" s="62"/>
      <c r="E419" s="63"/>
      <c r="F419" s="62"/>
      <c r="G419" s="33"/>
      <c r="H419" s="62"/>
      <c r="I419" s="33" t="s">
        <v>58</v>
      </c>
      <c r="J419" s="62"/>
      <c r="K419" s="62"/>
      <c r="L419" s="62"/>
      <c r="M419" s="62"/>
    </row>
    <row r="420" spans="2:14" ht="12.95" customHeight="1" x14ac:dyDescent="0.3">
      <c r="B420" s="161" t="s">
        <v>30</v>
      </c>
      <c r="C420" s="163" t="s">
        <v>46</v>
      </c>
      <c r="D420" s="136" t="s">
        <v>35</v>
      </c>
      <c r="E420" s="145" t="s">
        <v>31</v>
      </c>
      <c r="F420" s="139" t="s">
        <v>232</v>
      </c>
      <c r="G420" s="140"/>
      <c r="H420" s="139" t="s">
        <v>81</v>
      </c>
      <c r="I420" s="140"/>
      <c r="J420" s="18"/>
      <c r="K420" s="18"/>
      <c r="L420" s="18"/>
      <c r="M420" s="18"/>
    </row>
    <row r="421" spans="2:14" ht="12.95" customHeight="1" x14ac:dyDescent="0.3">
      <c r="B421" s="169"/>
      <c r="C421" s="170"/>
      <c r="D421" s="137"/>
      <c r="E421" s="146"/>
      <c r="F421" s="34" t="s">
        <v>230</v>
      </c>
      <c r="G421" s="37">
        <v>2500</v>
      </c>
      <c r="H421" s="34" t="s">
        <v>230</v>
      </c>
      <c r="I421" s="37">
        <v>4500</v>
      </c>
      <c r="J421" s="18"/>
      <c r="K421" s="18"/>
      <c r="L421" s="18"/>
      <c r="M421" s="18"/>
    </row>
    <row r="422" spans="2:14" ht="12.95" customHeight="1" x14ac:dyDescent="0.3">
      <c r="B422" s="162"/>
      <c r="C422" s="164"/>
      <c r="D422" s="138"/>
      <c r="E422" s="147"/>
      <c r="F422" s="38" t="s">
        <v>32</v>
      </c>
      <c r="G422" s="39" t="s">
        <v>33</v>
      </c>
      <c r="H422" s="38" t="s">
        <v>32</v>
      </c>
      <c r="I422" s="39" t="s">
        <v>33</v>
      </c>
      <c r="J422" s="18"/>
      <c r="K422" s="18"/>
      <c r="L422" s="18"/>
      <c r="M422" s="18"/>
    </row>
    <row r="423" spans="2:14" ht="12.95" customHeight="1" x14ac:dyDescent="0.3">
      <c r="B423" s="68" t="s">
        <v>24</v>
      </c>
      <c r="C423" s="68" t="s">
        <v>91</v>
      </c>
      <c r="D423" s="69" t="s">
        <v>48</v>
      </c>
      <c r="E423" s="70">
        <v>20940</v>
      </c>
      <c r="F423" s="21">
        <v>8</v>
      </c>
      <c r="G423" s="3">
        <f t="shared" ref="G423:G426" si="68">TRUNC($E423*F423,1)</f>
        <v>167520</v>
      </c>
      <c r="H423" s="21">
        <v>8</v>
      </c>
      <c r="I423" s="3">
        <f t="shared" ref="I423:I426" si="69">TRUNC($E423*H423,1)</f>
        <v>167520</v>
      </c>
      <c r="J423" s="18"/>
      <c r="K423" s="18"/>
      <c r="L423" s="18"/>
      <c r="M423" s="18"/>
      <c r="N423" s="4"/>
    </row>
    <row r="424" spans="2:14" ht="12.95" customHeight="1" x14ac:dyDescent="0.3">
      <c r="B424" s="73" t="s">
        <v>15</v>
      </c>
      <c r="C424" s="68" t="s">
        <v>82</v>
      </c>
      <c r="D424" s="69" t="s">
        <v>48</v>
      </c>
      <c r="E424" s="70">
        <v>16520</v>
      </c>
      <c r="F424" s="21">
        <v>16</v>
      </c>
      <c r="G424" s="3">
        <f t="shared" si="68"/>
        <v>264320</v>
      </c>
      <c r="H424" s="21">
        <v>16</v>
      </c>
      <c r="I424" s="3">
        <f t="shared" si="69"/>
        <v>264320</v>
      </c>
      <c r="J424" s="18"/>
      <c r="K424" s="18"/>
      <c r="L424" s="18"/>
      <c r="M424" s="18"/>
      <c r="N424" s="4"/>
    </row>
    <row r="425" spans="2:14" ht="12.95" customHeight="1" x14ac:dyDescent="0.3">
      <c r="B425" s="68" t="s">
        <v>22</v>
      </c>
      <c r="C425" s="68" t="s">
        <v>27</v>
      </c>
      <c r="D425" s="69" t="s">
        <v>48</v>
      </c>
      <c r="E425" s="70">
        <v>8882</v>
      </c>
      <c r="F425" s="21">
        <v>8</v>
      </c>
      <c r="G425" s="3">
        <f t="shared" si="68"/>
        <v>71056</v>
      </c>
      <c r="H425" s="21">
        <v>8</v>
      </c>
      <c r="I425" s="3">
        <f t="shared" si="69"/>
        <v>71056</v>
      </c>
      <c r="J425" s="18"/>
      <c r="K425" s="18"/>
      <c r="L425" s="18"/>
      <c r="M425" s="18"/>
      <c r="N425" s="4"/>
    </row>
    <row r="426" spans="2:14" ht="12.95" customHeight="1" x14ac:dyDescent="0.3">
      <c r="B426" s="68" t="s">
        <v>61</v>
      </c>
      <c r="C426" s="68" t="s">
        <v>19</v>
      </c>
      <c r="D426" s="69" t="s">
        <v>48</v>
      </c>
      <c r="E426" s="70">
        <v>25246</v>
      </c>
      <c r="F426" s="21">
        <v>4</v>
      </c>
      <c r="G426" s="3">
        <f t="shared" si="68"/>
        <v>100984</v>
      </c>
      <c r="H426" s="21">
        <v>4</v>
      </c>
      <c r="I426" s="3">
        <f t="shared" si="69"/>
        <v>100984</v>
      </c>
      <c r="J426" s="18"/>
      <c r="K426" s="18"/>
      <c r="L426" s="18"/>
      <c r="M426" s="18"/>
      <c r="N426" s="4"/>
    </row>
    <row r="427" spans="2:14" ht="12.95" customHeight="1" x14ac:dyDescent="0.3">
      <c r="B427" s="74" t="s">
        <v>38</v>
      </c>
      <c r="C427" s="75"/>
      <c r="D427" s="75"/>
      <c r="E427" s="24"/>
      <c r="F427" s="25"/>
      <c r="G427" s="20">
        <f>TRUNC(SUM(G423:G426))</f>
        <v>603880</v>
      </c>
      <c r="H427" s="25"/>
      <c r="I427" s="20">
        <f>TRUNC(SUM(I423:I426))</f>
        <v>603880</v>
      </c>
      <c r="J427" s="18"/>
      <c r="K427" s="18"/>
      <c r="L427" s="18"/>
      <c r="M427" s="18"/>
      <c r="N427" s="4"/>
    </row>
    <row r="428" spans="2:14" ht="12.95" customHeight="1" x14ac:dyDescent="0.3">
      <c r="B428" s="77"/>
      <c r="C428" s="75"/>
      <c r="D428" s="75"/>
      <c r="E428" s="24"/>
      <c r="F428" s="25"/>
      <c r="G428" s="78"/>
      <c r="H428" s="25"/>
      <c r="I428" s="78"/>
      <c r="J428" s="18"/>
      <c r="K428" s="18"/>
      <c r="L428" s="18"/>
      <c r="M428" s="18"/>
      <c r="N428" s="4"/>
    </row>
    <row r="429" spans="2:14" ht="12.95" customHeight="1" x14ac:dyDescent="0.3">
      <c r="B429" s="40" t="s">
        <v>3</v>
      </c>
      <c r="C429" s="41"/>
      <c r="D429" s="42" t="s">
        <v>37</v>
      </c>
      <c r="E429" s="70">
        <v>273308</v>
      </c>
      <c r="F429" s="21">
        <v>4</v>
      </c>
      <c r="G429" s="3">
        <f t="shared" ref="G429:G434" si="70">TRUNC($E429*F429,1)</f>
        <v>1093232</v>
      </c>
      <c r="H429" s="21">
        <v>4</v>
      </c>
      <c r="I429" s="3">
        <f t="shared" ref="I429:I434" si="71">TRUNC($E429*H429,1)</f>
        <v>1093232</v>
      </c>
      <c r="J429" s="18"/>
      <c r="K429" s="18"/>
      <c r="L429" s="18"/>
      <c r="M429" s="18"/>
      <c r="N429" s="4"/>
    </row>
    <row r="430" spans="2:14" ht="12.95" customHeight="1" x14ac:dyDescent="0.3">
      <c r="B430" s="40" t="s">
        <v>8</v>
      </c>
      <c r="C430" s="41"/>
      <c r="D430" s="42" t="s">
        <v>37</v>
      </c>
      <c r="E430" s="70">
        <v>172068</v>
      </c>
      <c r="F430" s="21">
        <v>1</v>
      </c>
      <c r="G430" s="3">
        <f t="shared" si="70"/>
        <v>172068</v>
      </c>
      <c r="H430" s="21">
        <v>1</v>
      </c>
      <c r="I430" s="3">
        <f t="shared" si="71"/>
        <v>172068</v>
      </c>
      <c r="J430" s="18"/>
      <c r="K430" s="18"/>
      <c r="L430" s="18"/>
      <c r="M430" s="18"/>
    </row>
    <row r="431" spans="2:14" ht="12.95" customHeight="1" x14ac:dyDescent="0.3">
      <c r="B431" s="68" t="s">
        <v>24</v>
      </c>
      <c r="C431" s="68" t="s">
        <v>91</v>
      </c>
      <c r="D431" s="69" t="s">
        <v>48</v>
      </c>
      <c r="E431" s="70">
        <v>58925</v>
      </c>
      <c r="F431" s="21">
        <v>8</v>
      </c>
      <c r="G431" s="3">
        <f t="shared" si="70"/>
        <v>471400</v>
      </c>
      <c r="H431" s="21">
        <v>8</v>
      </c>
      <c r="I431" s="3">
        <f t="shared" si="71"/>
        <v>471400</v>
      </c>
      <c r="J431" s="18"/>
      <c r="K431" s="18"/>
      <c r="L431" s="18"/>
      <c r="M431" s="18"/>
    </row>
    <row r="432" spans="2:14" ht="12.95" customHeight="1" x14ac:dyDescent="0.3">
      <c r="B432" s="73" t="s">
        <v>15</v>
      </c>
      <c r="C432" s="68" t="s">
        <v>82</v>
      </c>
      <c r="D432" s="69" t="s">
        <v>48</v>
      </c>
      <c r="E432" s="70">
        <v>58925</v>
      </c>
      <c r="F432" s="21">
        <v>16</v>
      </c>
      <c r="G432" s="3">
        <f t="shared" si="70"/>
        <v>942800</v>
      </c>
      <c r="H432" s="21">
        <v>16</v>
      </c>
      <c r="I432" s="3">
        <f t="shared" si="71"/>
        <v>942800</v>
      </c>
      <c r="J432" s="18"/>
      <c r="K432" s="18"/>
      <c r="L432" s="18"/>
      <c r="M432" s="18"/>
    </row>
    <row r="433" spans="2:13" ht="12.95" customHeight="1" x14ac:dyDescent="0.3">
      <c r="B433" s="68" t="s">
        <v>22</v>
      </c>
      <c r="C433" s="68" t="s">
        <v>27</v>
      </c>
      <c r="D433" s="69" t="s">
        <v>48</v>
      </c>
      <c r="E433" s="70">
        <v>58925</v>
      </c>
      <c r="F433" s="21">
        <v>8</v>
      </c>
      <c r="G433" s="3">
        <f t="shared" si="70"/>
        <v>471400</v>
      </c>
      <c r="H433" s="21">
        <v>8</v>
      </c>
      <c r="I433" s="3">
        <f t="shared" si="71"/>
        <v>471400</v>
      </c>
      <c r="J433" s="18"/>
      <c r="K433" s="18"/>
      <c r="L433" s="18"/>
      <c r="M433" s="18"/>
    </row>
    <row r="434" spans="2:13" ht="12.95" customHeight="1" x14ac:dyDescent="0.3">
      <c r="B434" s="68" t="s">
        <v>61</v>
      </c>
      <c r="C434" s="68" t="s">
        <v>19</v>
      </c>
      <c r="D434" s="69" t="s">
        <v>48</v>
      </c>
      <c r="E434" s="70">
        <v>49698</v>
      </c>
      <c r="F434" s="21">
        <v>4</v>
      </c>
      <c r="G434" s="3">
        <f t="shared" si="70"/>
        <v>198792</v>
      </c>
      <c r="H434" s="21">
        <v>4</v>
      </c>
      <c r="I434" s="3">
        <f t="shared" si="71"/>
        <v>198792</v>
      </c>
      <c r="J434" s="18"/>
      <c r="K434" s="18"/>
      <c r="L434" s="18"/>
      <c r="M434" s="18"/>
    </row>
    <row r="435" spans="2:13" ht="12.95" customHeight="1" x14ac:dyDescent="0.3">
      <c r="B435" s="45" t="s">
        <v>39</v>
      </c>
      <c r="C435" s="75"/>
      <c r="D435" s="75"/>
      <c r="E435" s="24"/>
      <c r="F435" s="25"/>
      <c r="G435" s="20">
        <f>TRUNC(SUM(G429:G434))</f>
        <v>3349692</v>
      </c>
      <c r="H435" s="25"/>
      <c r="I435" s="20">
        <f>TRUNC(SUM(I429:I434))</f>
        <v>3349692</v>
      </c>
      <c r="J435" s="18"/>
      <c r="K435" s="18"/>
      <c r="L435" s="18"/>
      <c r="M435" s="18"/>
    </row>
    <row r="436" spans="2:13" ht="12.95" customHeight="1" x14ac:dyDescent="0.3">
      <c r="B436" s="77"/>
      <c r="C436" s="75"/>
      <c r="D436" s="75"/>
      <c r="E436" s="24"/>
      <c r="F436" s="25"/>
      <c r="G436" s="78"/>
      <c r="H436" s="25"/>
      <c r="I436" s="78"/>
      <c r="J436" s="18"/>
      <c r="K436" s="18"/>
      <c r="L436" s="18"/>
      <c r="M436" s="18"/>
    </row>
    <row r="437" spans="2:13" ht="12.95" customHeight="1" x14ac:dyDescent="0.3">
      <c r="B437" s="68" t="s">
        <v>24</v>
      </c>
      <c r="C437" s="68" t="s">
        <v>91</v>
      </c>
      <c r="D437" s="69" t="s">
        <v>48</v>
      </c>
      <c r="E437" s="70">
        <v>59141</v>
      </c>
      <c r="F437" s="21">
        <v>8</v>
      </c>
      <c r="G437" s="3">
        <f t="shared" ref="G437:G440" si="72">TRUNC($E437*F437,1)</f>
        <v>473128</v>
      </c>
      <c r="H437" s="21">
        <v>8</v>
      </c>
      <c r="I437" s="3">
        <f t="shared" ref="I437:I440" si="73">TRUNC($E437*H437,1)</f>
        <v>473128</v>
      </c>
      <c r="J437" s="18"/>
      <c r="K437" s="18"/>
      <c r="L437" s="18"/>
      <c r="M437" s="18"/>
    </row>
    <row r="438" spans="2:13" ht="12.95" customHeight="1" x14ac:dyDescent="0.3">
      <c r="B438" s="73" t="s">
        <v>15</v>
      </c>
      <c r="C438" s="68" t="s">
        <v>82</v>
      </c>
      <c r="D438" s="69" t="s">
        <v>48</v>
      </c>
      <c r="E438" s="70">
        <v>12857</v>
      </c>
      <c r="F438" s="21">
        <v>16</v>
      </c>
      <c r="G438" s="3">
        <f t="shared" si="72"/>
        <v>205712</v>
      </c>
      <c r="H438" s="21">
        <v>16</v>
      </c>
      <c r="I438" s="3">
        <f t="shared" si="73"/>
        <v>205712</v>
      </c>
      <c r="J438" s="18"/>
      <c r="K438" s="18"/>
      <c r="L438" s="18"/>
      <c r="M438" s="18"/>
    </row>
    <row r="439" spans="2:13" ht="12.95" customHeight="1" x14ac:dyDescent="0.3">
      <c r="B439" s="68" t="s">
        <v>22</v>
      </c>
      <c r="C439" s="68" t="s">
        <v>27</v>
      </c>
      <c r="D439" s="69" t="s">
        <v>48</v>
      </c>
      <c r="E439" s="70">
        <v>9037</v>
      </c>
      <c r="F439" s="21">
        <v>8</v>
      </c>
      <c r="G439" s="3">
        <f t="shared" si="72"/>
        <v>72296</v>
      </c>
      <c r="H439" s="21">
        <v>8</v>
      </c>
      <c r="I439" s="3">
        <f t="shared" si="73"/>
        <v>72296</v>
      </c>
      <c r="J439" s="18"/>
      <c r="K439" s="18"/>
      <c r="L439" s="18"/>
      <c r="M439" s="18"/>
    </row>
    <row r="440" spans="2:13" ht="12.95" customHeight="1" x14ac:dyDescent="0.3">
      <c r="B440" s="68" t="s">
        <v>61</v>
      </c>
      <c r="C440" s="68" t="s">
        <v>19</v>
      </c>
      <c r="D440" s="69" t="s">
        <v>48</v>
      </c>
      <c r="E440" s="70">
        <v>19154</v>
      </c>
      <c r="F440" s="21">
        <v>4</v>
      </c>
      <c r="G440" s="3">
        <f t="shared" si="72"/>
        <v>76616</v>
      </c>
      <c r="H440" s="21">
        <v>4</v>
      </c>
      <c r="I440" s="3">
        <f t="shared" si="73"/>
        <v>76616</v>
      </c>
      <c r="J440" s="18"/>
      <c r="K440" s="18"/>
      <c r="L440" s="18"/>
      <c r="M440" s="18"/>
    </row>
    <row r="441" spans="2:13" ht="12.95" customHeight="1" x14ac:dyDescent="0.3">
      <c r="B441" s="74" t="s">
        <v>40</v>
      </c>
      <c r="C441" s="75"/>
      <c r="D441" s="75"/>
      <c r="E441" s="81"/>
      <c r="F441" s="19"/>
      <c r="G441" s="20">
        <f>TRUNC(SUM(G437:G440))</f>
        <v>827752</v>
      </c>
      <c r="H441" s="19"/>
      <c r="I441" s="20">
        <f>TRUNC(SUM(I437:I440))</f>
        <v>827752</v>
      </c>
      <c r="J441" s="18"/>
      <c r="K441" s="18"/>
      <c r="L441" s="18"/>
      <c r="M441" s="18"/>
    </row>
    <row r="442" spans="2:13" ht="12.95" customHeight="1" x14ac:dyDescent="0.3">
      <c r="B442" s="82"/>
      <c r="C442" s="68"/>
      <c r="D442" s="68"/>
      <c r="E442" s="83"/>
      <c r="F442" s="84"/>
      <c r="G442" s="72"/>
      <c r="H442" s="84"/>
      <c r="I442" s="72"/>
      <c r="J442" s="18"/>
      <c r="K442" s="18"/>
      <c r="L442" s="18"/>
      <c r="M442" s="18"/>
    </row>
    <row r="443" spans="2:13" ht="12.95" customHeight="1" x14ac:dyDescent="0.3">
      <c r="B443" s="51" t="s">
        <v>42</v>
      </c>
      <c r="C443" s="75"/>
      <c r="D443" s="75"/>
      <c r="E443" s="81"/>
      <c r="F443" s="81"/>
      <c r="G443" s="85">
        <f>SUM(G427+G435+G441)</f>
        <v>4781324</v>
      </c>
      <c r="H443" s="81"/>
      <c r="I443" s="85">
        <f>SUM(I427+I435+I441)</f>
        <v>4781324</v>
      </c>
      <c r="J443" s="18"/>
      <c r="K443" s="18"/>
      <c r="L443" s="18"/>
      <c r="M443" s="18"/>
    </row>
    <row r="444" spans="2:13" ht="12.95" customHeight="1" x14ac:dyDescent="0.3">
      <c r="B444" s="52" t="s">
        <v>231</v>
      </c>
      <c r="C444" s="86"/>
      <c r="D444" s="86"/>
      <c r="E444" s="87"/>
      <c r="F444" s="87"/>
      <c r="G444" s="8">
        <f>TRUNC(G443/G421)</f>
        <v>1912</v>
      </c>
      <c r="H444" s="87"/>
      <c r="I444" s="8">
        <f>TRUNC(I443/I421)</f>
        <v>1062</v>
      </c>
      <c r="J444" s="18"/>
      <c r="K444" s="18"/>
      <c r="L444" s="18"/>
      <c r="M444" s="18"/>
    </row>
    <row r="446" spans="2:13" ht="12.95" customHeight="1" x14ac:dyDescent="0.3">
      <c r="B446" s="60" t="s">
        <v>287</v>
      </c>
      <c r="C446" s="61"/>
      <c r="D446" s="62"/>
      <c r="E446" s="63"/>
      <c r="F446" s="62"/>
      <c r="G446" s="33"/>
      <c r="H446" s="62"/>
      <c r="I446" s="33" t="s">
        <v>58</v>
      </c>
      <c r="J446" s="62"/>
      <c r="K446" s="62"/>
      <c r="L446" s="62"/>
      <c r="M446" s="62"/>
    </row>
    <row r="447" spans="2:13" ht="12.95" customHeight="1" x14ac:dyDescent="0.3">
      <c r="B447" s="161" t="s">
        <v>30</v>
      </c>
      <c r="C447" s="163" t="s">
        <v>46</v>
      </c>
      <c r="D447" s="136" t="s">
        <v>35</v>
      </c>
      <c r="E447" s="145" t="s">
        <v>31</v>
      </c>
      <c r="F447" s="139" t="s">
        <v>232</v>
      </c>
      <c r="G447" s="140"/>
      <c r="H447" s="139" t="s">
        <v>81</v>
      </c>
      <c r="I447" s="140"/>
      <c r="J447" s="18"/>
      <c r="K447" s="18"/>
      <c r="L447" s="18"/>
      <c r="M447" s="18"/>
    </row>
    <row r="448" spans="2:13" ht="12.95" customHeight="1" x14ac:dyDescent="0.3">
      <c r="B448" s="169"/>
      <c r="C448" s="170"/>
      <c r="D448" s="137"/>
      <c r="E448" s="146"/>
      <c r="F448" s="34" t="s">
        <v>230</v>
      </c>
      <c r="G448" s="37">
        <v>2100</v>
      </c>
      <c r="H448" s="34" t="s">
        <v>230</v>
      </c>
      <c r="I448" s="37">
        <v>4000</v>
      </c>
      <c r="J448" s="18"/>
      <c r="K448" s="18"/>
      <c r="L448" s="18"/>
      <c r="M448" s="18"/>
    </row>
    <row r="449" spans="2:13" ht="12.95" customHeight="1" x14ac:dyDescent="0.3">
      <c r="B449" s="162"/>
      <c r="C449" s="164"/>
      <c r="D449" s="138"/>
      <c r="E449" s="147"/>
      <c r="F449" s="38" t="s">
        <v>32</v>
      </c>
      <c r="G449" s="39" t="s">
        <v>33</v>
      </c>
      <c r="H449" s="38" t="s">
        <v>32</v>
      </c>
      <c r="I449" s="39" t="s">
        <v>33</v>
      </c>
      <c r="J449" s="18"/>
      <c r="K449" s="18"/>
      <c r="L449" s="18"/>
      <c r="M449" s="18"/>
    </row>
    <row r="450" spans="2:13" ht="12.95" customHeight="1" x14ac:dyDescent="0.3">
      <c r="B450" s="68" t="s">
        <v>24</v>
      </c>
      <c r="C450" s="68" t="s">
        <v>91</v>
      </c>
      <c r="D450" s="69" t="s">
        <v>48</v>
      </c>
      <c r="E450" s="70">
        <v>20940</v>
      </c>
      <c r="F450" s="21">
        <v>8</v>
      </c>
      <c r="G450" s="3">
        <f t="shared" ref="G450:G453" si="74">TRUNC($E450*F450,1)</f>
        <v>167520</v>
      </c>
      <c r="H450" s="21">
        <v>8</v>
      </c>
      <c r="I450" s="3">
        <f t="shared" ref="I450:I453" si="75">TRUNC($E450*H450,1)</f>
        <v>167520</v>
      </c>
      <c r="J450" s="18"/>
      <c r="K450" s="18"/>
      <c r="L450" s="18"/>
      <c r="M450" s="18"/>
    </row>
    <row r="451" spans="2:13" ht="12.95" customHeight="1" x14ac:dyDescent="0.3">
      <c r="B451" s="73" t="s">
        <v>15</v>
      </c>
      <c r="C451" s="68" t="s">
        <v>82</v>
      </c>
      <c r="D451" s="69" t="s">
        <v>48</v>
      </c>
      <c r="E451" s="70">
        <v>16520</v>
      </c>
      <c r="F451" s="21">
        <v>16</v>
      </c>
      <c r="G451" s="3">
        <f t="shared" si="74"/>
        <v>264320</v>
      </c>
      <c r="H451" s="21">
        <v>16</v>
      </c>
      <c r="I451" s="3">
        <f t="shared" si="75"/>
        <v>264320</v>
      </c>
      <c r="J451" s="18"/>
      <c r="K451" s="18"/>
      <c r="L451" s="18"/>
      <c r="M451" s="18"/>
    </row>
    <row r="452" spans="2:13" ht="12.95" customHeight="1" x14ac:dyDescent="0.3">
      <c r="B452" s="68" t="s">
        <v>22</v>
      </c>
      <c r="C452" s="68" t="s">
        <v>27</v>
      </c>
      <c r="D452" s="69" t="s">
        <v>48</v>
      </c>
      <c r="E452" s="70">
        <v>8882</v>
      </c>
      <c r="F452" s="21">
        <v>8</v>
      </c>
      <c r="G452" s="3">
        <f t="shared" si="74"/>
        <v>71056</v>
      </c>
      <c r="H452" s="21">
        <v>8</v>
      </c>
      <c r="I452" s="3">
        <f t="shared" si="75"/>
        <v>71056</v>
      </c>
      <c r="J452" s="18"/>
      <c r="K452" s="18"/>
      <c r="L452" s="18"/>
      <c r="M452" s="18"/>
    </row>
    <row r="453" spans="2:13" ht="12.95" customHeight="1" x14ac:dyDescent="0.3">
      <c r="B453" s="68" t="s">
        <v>61</v>
      </c>
      <c r="C453" s="68" t="s">
        <v>19</v>
      </c>
      <c r="D453" s="69" t="s">
        <v>48</v>
      </c>
      <c r="E453" s="70">
        <v>25246</v>
      </c>
      <c r="F453" s="21">
        <v>4</v>
      </c>
      <c r="G453" s="3">
        <f t="shared" si="74"/>
        <v>100984</v>
      </c>
      <c r="H453" s="21">
        <v>4</v>
      </c>
      <c r="I453" s="3">
        <f t="shared" si="75"/>
        <v>100984</v>
      </c>
      <c r="J453" s="18"/>
      <c r="K453" s="18"/>
      <c r="L453" s="18"/>
      <c r="M453" s="18"/>
    </row>
    <row r="454" spans="2:13" ht="12.95" customHeight="1" x14ac:dyDescent="0.3">
      <c r="B454" s="74" t="s">
        <v>38</v>
      </c>
      <c r="C454" s="75"/>
      <c r="D454" s="75"/>
      <c r="E454" s="24"/>
      <c r="F454" s="25"/>
      <c r="G454" s="20">
        <f>TRUNC(SUM(G450:G453))</f>
        <v>603880</v>
      </c>
      <c r="H454" s="25"/>
      <c r="I454" s="20">
        <f>TRUNC(SUM(I450:I453))</f>
        <v>603880</v>
      </c>
      <c r="J454" s="18"/>
      <c r="K454" s="18"/>
      <c r="L454" s="18"/>
      <c r="M454" s="18"/>
    </row>
    <row r="455" spans="2:13" ht="12.95" customHeight="1" x14ac:dyDescent="0.3">
      <c r="B455" s="77"/>
      <c r="C455" s="75"/>
      <c r="D455" s="75"/>
      <c r="E455" s="24"/>
      <c r="F455" s="25"/>
      <c r="G455" s="78"/>
      <c r="H455" s="25"/>
      <c r="I455" s="78"/>
      <c r="J455" s="18"/>
      <c r="K455" s="18"/>
      <c r="L455" s="18"/>
      <c r="M455" s="18"/>
    </row>
    <row r="456" spans="2:13" ht="12.95" customHeight="1" x14ac:dyDescent="0.3">
      <c r="B456" s="40" t="s">
        <v>3</v>
      </c>
      <c r="C456" s="41"/>
      <c r="D456" s="42" t="s">
        <v>37</v>
      </c>
      <c r="E456" s="70">
        <v>273308</v>
      </c>
      <c r="F456" s="21">
        <v>4</v>
      </c>
      <c r="G456" s="3">
        <f t="shared" ref="G456:G461" si="76">TRUNC($E456*F456,1)</f>
        <v>1093232</v>
      </c>
      <c r="H456" s="21">
        <v>4</v>
      </c>
      <c r="I456" s="3">
        <f t="shared" ref="I456:I461" si="77">TRUNC($E456*H456,1)</f>
        <v>1093232</v>
      </c>
      <c r="J456" s="18"/>
      <c r="K456" s="18"/>
      <c r="L456" s="18"/>
      <c r="M456" s="18"/>
    </row>
    <row r="457" spans="2:13" ht="12.95" customHeight="1" x14ac:dyDescent="0.3">
      <c r="B457" s="40" t="s">
        <v>8</v>
      </c>
      <c r="C457" s="41"/>
      <c r="D457" s="42" t="s">
        <v>37</v>
      </c>
      <c r="E457" s="70">
        <v>172068</v>
      </c>
      <c r="F457" s="21">
        <v>1</v>
      </c>
      <c r="G457" s="3">
        <f t="shared" si="76"/>
        <v>172068</v>
      </c>
      <c r="H457" s="21">
        <v>1</v>
      </c>
      <c r="I457" s="3">
        <f t="shared" si="77"/>
        <v>172068</v>
      </c>
      <c r="J457" s="18"/>
      <c r="K457" s="18"/>
      <c r="L457" s="18"/>
      <c r="M457" s="18"/>
    </row>
    <row r="458" spans="2:13" ht="12.95" customHeight="1" x14ac:dyDescent="0.3">
      <c r="B458" s="68" t="s">
        <v>24</v>
      </c>
      <c r="C458" s="68" t="s">
        <v>91</v>
      </c>
      <c r="D458" s="69" t="s">
        <v>48</v>
      </c>
      <c r="E458" s="70">
        <v>58925</v>
      </c>
      <c r="F458" s="21">
        <v>8</v>
      </c>
      <c r="G458" s="3">
        <f t="shared" si="76"/>
        <v>471400</v>
      </c>
      <c r="H458" s="21">
        <v>8</v>
      </c>
      <c r="I458" s="3">
        <f t="shared" si="77"/>
        <v>471400</v>
      </c>
      <c r="J458" s="18"/>
      <c r="K458" s="18"/>
      <c r="L458" s="18"/>
      <c r="M458" s="18"/>
    </row>
    <row r="459" spans="2:13" ht="12.95" customHeight="1" x14ac:dyDescent="0.3">
      <c r="B459" s="73" t="s">
        <v>15</v>
      </c>
      <c r="C459" s="68" t="s">
        <v>82</v>
      </c>
      <c r="D459" s="69" t="s">
        <v>48</v>
      </c>
      <c r="E459" s="70">
        <v>58925</v>
      </c>
      <c r="F459" s="21">
        <v>16</v>
      </c>
      <c r="G459" s="3">
        <f t="shared" si="76"/>
        <v>942800</v>
      </c>
      <c r="H459" s="21">
        <v>16</v>
      </c>
      <c r="I459" s="3">
        <f t="shared" si="77"/>
        <v>942800</v>
      </c>
      <c r="J459" s="18"/>
      <c r="K459" s="18"/>
      <c r="L459" s="18"/>
      <c r="M459" s="18"/>
    </row>
    <row r="460" spans="2:13" ht="12.95" customHeight="1" x14ac:dyDescent="0.3">
      <c r="B460" s="68" t="s">
        <v>22</v>
      </c>
      <c r="C460" s="68" t="s">
        <v>27</v>
      </c>
      <c r="D460" s="69" t="s">
        <v>48</v>
      </c>
      <c r="E460" s="70">
        <v>58925</v>
      </c>
      <c r="F460" s="21">
        <v>8</v>
      </c>
      <c r="G460" s="3">
        <f t="shared" si="76"/>
        <v>471400</v>
      </c>
      <c r="H460" s="21">
        <v>8</v>
      </c>
      <c r="I460" s="3">
        <f t="shared" si="77"/>
        <v>471400</v>
      </c>
      <c r="J460" s="18"/>
      <c r="K460" s="18"/>
      <c r="L460" s="18"/>
      <c r="M460" s="18"/>
    </row>
    <row r="461" spans="2:13" ht="12.95" customHeight="1" x14ac:dyDescent="0.3">
      <c r="B461" s="68" t="s">
        <v>61</v>
      </c>
      <c r="C461" s="68" t="s">
        <v>19</v>
      </c>
      <c r="D461" s="69" t="s">
        <v>48</v>
      </c>
      <c r="E461" s="70">
        <v>49698</v>
      </c>
      <c r="F461" s="21">
        <v>4</v>
      </c>
      <c r="G461" s="3">
        <f t="shared" si="76"/>
        <v>198792</v>
      </c>
      <c r="H461" s="21">
        <v>4</v>
      </c>
      <c r="I461" s="3">
        <f t="shared" si="77"/>
        <v>198792</v>
      </c>
      <c r="J461" s="18"/>
      <c r="K461" s="18"/>
      <c r="L461" s="18"/>
      <c r="M461" s="18"/>
    </row>
    <row r="462" spans="2:13" ht="12.95" customHeight="1" x14ac:dyDescent="0.3">
      <c r="B462" s="45" t="s">
        <v>39</v>
      </c>
      <c r="C462" s="75"/>
      <c r="D462" s="75"/>
      <c r="E462" s="24"/>
      <c r="F462" s="25"/>
      <c r="G462" s="20">
        <f>TRUNC(SUM(G456:G461))</f>
        <v>3349692</v>
      </c>
      <c r="H462" s="25"/>
      <c r="I462" s="20">
        <f>TRUNC(SUM(I456:I461))</f>
        <v>3349692</v>
      </c>
      <c r="J462" s="18"/>
      <c r="K462" s="18"/>
      <c r="L462" s="18"/>
      <c r="M462" s="18"/>
    </row>
    <row r="463" spans="2:13" ht="12.95" customHeight="1" x14ac:dyDescent="0.3">
      <c r="B463" s="77"/>
      <c r="C463" s="75"/>
      <c r="D463" s="75"/>
      <c r="E463" s="24"/>
      <c r="F463" s="25"/>
      <c r="G463" s="78"/>
      <c r="H463" s="25"/>
      <c r="I463" s="78"/>
      <c r="J463" s="18"/>
      <c r="K463" s="18"/>
      <c r="L463" s="18"/>
      <c r="M463" s="18"/>
    </row>
    <row r="464" spans="2:13" ht="12.95" customHeight="1" x14ac:dyDescent="0.3">
      <c r="B464" s="68" t="s">
        <v>24</v>
      </c>
      <c r="C464" s="68" t="s">
        <v>91</v>
      </c>
      <c r="D464" s="69" t="s">
        <v>48</v>
      </c>
      <c r="E464" s="70">
        <v>59141</v>
      </c>
      <c r="F464" s="21">
        <v>8</v>
      </c>
      <c r="G464" s="3">
        <f t="shared" ref="G464:G467" si="78">TRUNC($E464*F464,1)</f>
        <v>473128</v>
      </c>
      <c r="H464" s="21">
        <v>8</v>
      </c>
      <c r="I464" s="3">
        <f t="shared" ref="I464:I467" si="79">TRUNC($E464*H464,1)</f>
        <v>473128</v>
      </c>
      <c r="J464" s="18"/>
      <c r="K464" s="18"/>
      <c r="L464" s="18"/>
      <c r="M464" s="18"/>
    </row>
    <row r="465" spans="2:13" ht="12.95" customHeight="1" x14ac:dyDescent="0.3">
      <c r="B465" s="73" t="s">
        <v>15</v>
      </c>
      <c r="C465" s="68" t="s">
        <v>82</v>
      </c>
      <c r="D465" s="69" t="s">
        <v>48</v>
      </c>
      <c r="E465" s="70">
        <v>12857</v>
      </c>
      <c r="F465" s="21">
        <v>16</v>
      </c>
      <c r="G465" s="3">
        <f t="shared" si="78"/>
        <v>205712</v>
      </c>
      <c r="H465" s="21">
        <v>16</v>
      </c>
      <c r="I465" s="3">
        <f t="shared" si="79"/>
        <v>205712</v>
      </c>
      <c r="J465" s="18"/>
      <c r="K465" s="18"/>
      <c r="L465" s="18"/>
      <c r="M465" s="18"/>
    </row>
    <row r="466" spans="2:13" ht="12.95" customHeight="1" x14ac:dyDescent="0.3">
      <c r="B466" s="68" t="s">
        <v>22</v>
      </c>
      <c r="C466" s="68" t="s">
        <v>27</v>
      </c>
      <c r="D466" s="69" t="s">
        <v>48</v>
      </c>
      <c r="E466" s="70">
        <v>9037</v>
      </c>
      <c r="F466" s="21">
        <v>8</v>
      </c>
      <c r="G466" s="3">
        <f t="shared" si="78"/>
        <v>72296</v>
      </c>
      <c r="H466" s="21">
        <v>8</v>
      </c>
      <c r="I466" s="3">
        <f t="shared" si="79"/>
        <v>72296</v>
      </c>
      <c r="J466" s="18"/>
      <c r="K466" s="18"/>
      <c r="L466" s="18"/>
      <c r="M466" s="18"/>
    </row>
    <row r="467" spans="2:13" ht="12.95" customHeight="1" x14ac:dyDescent="0.3">
      <c r="B467" s="68" t="s">
        <v>61</v>
      </c>
      <c r="C467" s="68" t="s">
        <v>19</v>
      </c>
      <c r="D467" s="69" t="s">
        <v>48</v>
      </c>
      <c r="E467" s="70">
        <v>19154</v>
      </c>
      <c r="F467" s="21">
        <v>4</v>
      </c>
      <c r="G467" s="3">
        <f t="shared" si="78"/>
        <v>76616</v>
      </c>
      <c r="H467" s="21">
        <v>4</v>
      </c>
      <c r="I467" s="3">
        <f t="shared" si="79"/>
        <v>76616</v>
      </c>
      <c r="J467" s="18"/>
      <c r="K467" s="18"/>
      <c r="L467" s="18"/>
      <c r="M467" s="18"/>
    </row>
    <row r="468" spans="2:13" ht="12.95" customHeight="1" x14ac:dyDescent="0.3">
      <c r="B468" s="74" t="s">
        <v>40</v>
      </c>
      <c r="C468" s="75"/>
      <c r="D468" s="75"/>
      <c r="E468" s="81"/>
      <c r="F468" s="19"/>
      <c r="G468" s="20">
        <f>TRUNC(SUM(G464:G467))</f>
        <v>827752</v>
      </c>
      <c r="H468" s="19"/>
      <c r="I468" s="20">
        <f>TRUNC(SUM(I464:I467))</f>
        <v>827752</v>
      </c>
      <c r="J468" s="18"/>
      <c r="K468" s="18"/>
      <c r="L468" s="18"/>
      <c r="M468" s="18"/>
    </row>
    <row r="469" spans="2:13" ht="12.95" customHeight="1" x14ac:dyDescent="0.3">
      <c r="B469" s="82"/>
      <c r="C469" s="68"/>
      <c r="D469" s="68"/>
      <c r="E469" s="83"/>
      <c r="F469" s="84"/>
      <c r="G469" s="72"/>
      <c r="H469" s="84"/>
      <c r="I469" s="72"/>
      <c r="J469" s="18"/>
      <c r="K469" s="18"/>
      <c r="L469" s="18"/>
      <c r="M469" s="18"/>
    </row>
    <row r="470" spans="2:13" ht="12.95" customHeight="1" x14ac:dyDescent="0.3">
      <c r="B470" s="51" t="s">
        <v>42</v>
      </c>
      <c r="C470" s="75"/>
      <c r="D470" s="75"/>
      <c r="E470" s="81"/>
      <c r="F470" s="81"/>
      <c r="G470" s="85">
        <f>SUM(G454+G462+G468)</f>
        <v>4781324</v>
      </c>
      <c r="H470" s="81"/>
      <c r="I470" s="85">
        <f>SUM(I454+I462+I468)</f>
        <v>4781324</v>
      </c>
      <c r="J470" s="18"/>
      <c r="K470" s="18"/>
      <c r="L470" s="18"/>
      <c r="M470" s="18"/>
    </row>
    <row r="471" spans="2:13" ht="12.95" customHeight="1" x14ac:dyDescent="0.3">
      <c r="B471" s="52" t="s">
        <v>231</v>
      </c>
      <c r="C471" s="86"/>
      <c r="D471" s="86"/>
      <c r="E471" s="87"/>
      <c r="F471" s="87"/>
      <c r="G471" s="8">
        <f>TRUNC(G470/G448)</f>
        <v>2276</v>
      </c>
      <c r="H471" s="87"/>
      <c r="I471" s="8">
        <f>TRUNC(I470/I448)</f>
        <v>1195</v>
      </c>
      <c r="J471" s="18"/>
      <c r="K471" s="18"/>
      <c r="L471" s="18"/>
      <c r="M471" s="18"/>
    </row>
    <row r="473" spans="2:13" ht="12.95" customHeight="1" x14ac:dyDescent="0.3">
      <c r="B473" s="29" t="s">
        <v>92</v>
      </c>
    </row>
    <row r="474" spans="2:13" ht="12.95" customHeight="1" x14ac:dyDescent="0.3">
      <c r="B474" s="60" t="s">
        <v>93</v>
      </c>
      <c r="C474" s="61"/>
      <c r="D474" s="62"/>
      <c r="E474" s="63"/>
      <c r="F474" s="62"/>
      <c r="G474" s="33"/>
      <c r="H474" s="62"/>
      <c r="I474" s="33" t="s">
        <v>58</v>
      </c>
      <c r="J474" s="62"/>
      <c r="K474" s="62"/>
      <c r="L474" s="62"/>
      <c r="M474" s="62"/>
    </row>
    <row r="475" spans="2:13" ht="12.95" customHeight="1" x14ac:dyDescent="0.3">
      <c r="B475" s="161" t="s">
        <v>30</v>
      </c>
      <c r="C475" s="163" t="s">
        <v>46</v>
      </c>
      <c r="D475" s="136" t="s">
        <v>35</v>
      </c>
      <c r="E475" s="145" t="s">
        <v>31</v>
      </c>
      <c r="F475" s="139" t="s">
        <v>233</v>
      </c>
      <c r="G475" s="140"/>
      <c r="H475" s="139" t="s">
        <v>234</v>
      </c>
      <c r="I475" s="140"/>
      <c r="J475" s="18"/>
      <c r="K475" s="18"/>
      <c r="L475" s="18"/>
      <c r="M475" s="18"/>
    </row>
    <row r="476" spans="2:13" ht="12.95" customHeight="1" x14ac:dyDescent="0.3">
      <c r="B476" s="169"/>
      <c r="C476" s="170"/>
      <c r="D476" s="137"/>
      <c r="E476" s="146"/>
      <c r="F476" s="34" t="s">
        <v>224</v>
      </c>
      <c r="G476" s="37">
        <v>550</v>
      </c>
      <c r="H476" s="34" t="s">
        <v>224</v>
      </c>
      <c r="I476" s="37">
        <v>500</v>
      </c>
      <c r="J476" s="18"/>
      <c r="K476" s="18"/>
      <c r="L476" s="18"/>
      <c r="M476" s="18"/>
    </row>
    <row r="477" spans="2:13" ht="12.95" customHeight="1" x14ac:dyDescent="0.3">
      <c r="B477" s="162"/>
      <c r="C477" s="164"/>
      <c r="D477" s="138"/>
      <c r="E477" s="147"/>
      <c r="F477" s="38" t="s">
        <v>32</v>
      </c>
      <c r="G477" s="39" t="s">
        <v>33</v>
      </c>
      <c r="H477" s="38" t="s">
        <v>32</v>
      </c>
      <c r="I477" s="39" t="s">
        <v>33</v>
      </c>
      <c r="J477" s="18"/>
      <c r="K477" s="18"/>
      <c r="L477" s="18"/>
      <c r="M477" s="18"/>
    </row>
    <row r="478" spans="2:13" ht="12.95" customHeight="1" x14ac:dyDescent="0.3">
      <c r="B478" s="68" t="s">
        <v>24</v>
      </c>
      <c r="C478" s="68" t="s">
        <v>16</v>
      </c>
      <c r="D478" s="69" t="s">
        <v>48</v>
      </c>
      <c r="E478" s="70">
        <v>20940</v>
      </c>
      <c r="F478" s="21">
        <v>8</v>
      </c>
      <c r="G478" s="3">
        <f t="shared" ref="G478:G480" si="80">TRUNC($E478*F478,1)</f>
        <v>167520</v>
      </c>
      <c r="H478" s="21">
        <v>8</v>
      </c>
      <c r="I478" s="3">
        <f t="shared" ref="I478:I480" si="81">TRUNC($E478*H478,1)</f>
        <v>167520</v>
      </c>
      <c r="J478" s="18"/>
      <c r="K478" s="18"/>
      <c r="L478" s="18"/>
      <c r="M478" s="18"/>
    </row>
    <row r="479" spans="2:13" ht="12.95" customHeight="1" x14ac:dyDescent="0.3">
      <c r="B479" s="73" t="s">
        <v>26</v>
      </c>
      <c r="C479" s="68" t="s">
        <v>83</v>
      </c>
      <c r="D479" s="69" t="s">
        <v>48</v>
      </c>
      <c r="E479" s="70">
        <v>14813</v>
      </c>
      <c r="F479" s="21">
        <v>8</v>
      </c>
      <c r="G479" s="3">
        <f t="shared" si="80"/>
        <v>118504</v>
      </c>
      <c r="H479" s="21">
        <v>8</v>
      </c>
      <c r="I479" s="3">
        <f t="shared" si="81"/>
        <v>118504</v>
      </c>
      <c r="J479" s="18"/>
      <c r="K479" s="18"/>
      <c r="L479" s="18"/>
      <c r="M479" s="18"/>
    </row>
    <row r="480" spans="2:13" ht="12.95" customHeight="1" x14ac:dyDescent="0.3">
      <c r="B480" s="68" t="s">
        <v>18</v>
      </c>
      <c r="C480" s="68" t="s">
        <v>47</v>
      </c>
      <c r="D480" s="69" t="s">
        <v>48</v>
      </c>
      <c r="E480" s="70">
        <v>28181</v>
      </c>
      <c r="F480" s="21">
        <v>8</v>
      </c>
      <c r="G480" s="3">
        <f t="shared" si="80"/>
        <v>225448</v>
      </c>
      <c r="H480" s="21">
        <v>8</v>
      </c>
      <c r="I480" s="3">
        <f t="shared" si="81"/>
        <v>225448</v>
      </c>
      <c r="J480" s="18"/>
      <c r="K480" s="18"/>
      <c r="L480" s="18"/>
      <c r="M480" s="18"/>
    </row>
    <row r="481" spans="2:13" ht="12.95" customHeight="1" x14ac:dyDescent="0.3">
      <c r="B481" s="74" t="s">
        <v>38</v>
      </c>
      <c r="C481" s="75"/>
      <c r="D481" s="75"/>
      <c r="E481" s="24"/>
      <c r="F481" s="25"/>
      <c r="G481" s="20">
        <f>TRUNC(SUM(G478:G480))</f>
        <v>511472</v>
      </c>
      <c r="H481" s="25"/>
      <c r="I481" s="20">
        <f>TRUNC(SUM(I478:I480))</f>
        <v>511472</v>
      </c>
      <c r="J481" s="18"/>
      <c r="K481" s="18"/>
      <c r="L481" s="18"/>
      <c r="M481" s="18"/>
    </row>
    <row r="482" spans="2:13" ht="12.95" customHeight="1" x14ac:dyDescent="0.3">
      <c r="B482" s="77"/>
      <c r="C482" s="75"/>
      <c r="D482" s="75"/>
      <c r="E482" s="24"/>
      <c r="F482" s="25"/>
      <c r="G482" s="78"/>
      <c r="H482" s="25"/>
      <c r="I482" s="78"/>
      <c r="J482" s="18"/>
      <c r="K482" s="18"/>
      <c r="L482" s="18"/>
      <c r="M482" s="18"/>
    </row>
    <row r="483" spans="2:13" ht="12.95" customHeight="1" x14ac:dyDescent="0.3">
      <c r="B483" s="40" t="s">
        <v>3</v>
      </c>
      <c r="C483" s="41"/>
      <c r="D483" s="42" t="s">
        <v>37</v>
      </c>
      <c r="E483" s="95">
        <v>273308</v>
      </c>
      <c r="F483" s="21">
        <v>2</v>
      </c>
      <c r="G483" s="3">
        <f t="shared" ref="G483:G487" si="82">TRUNC($E483*F483,1)</f>
        <v>546616</v>
      </c>
      <c r="H483" s="21">
        <v>2</v>
      </c>
      <c r="I483" s="3">
        <f t="shared" ref="I483:I487" si="83">TRUNC($E483*H483,1)</f>
        <v>546616</v>
      </c>
      <c r="J483" s="18"/>
      <c r="K483" s="18"/>
      <c r="L483" s="18"/>
      <c r="M483" s="18"/>
    </row>
    <row r="484" spans="2:13" ht="12.95" customHeight="1" x14ac:dyDescent="0.3">
      <c r="B484" s="40" t="s">
        <v>8</v>
      </c>
      <c r="C484" s="41"/>
      <c r="D484" s="42" t="s">
        <v>37</v>
      </c>
      <c r="E484" s="70">
        <v>172068</v>
      </c>
      <c r="F484" s="21">
        <v>2</v>
      </c>
      <c r="G484" s="3">
        <f t="shared" si="82"/>
        <v>344136</v>
      </c>
      <c r="H484" s="21">
        <v>2</v>
      </c>
      <c r="I484" s="3">
        <f t="shared" si="83"/>
        <v>344136</v>
      </c>
      <c r="J484" s="18"/>
      <c r="K484" s="18"/>
      <c r="L484" s="18"/>
      <c r="M484" s="18"/>
    </row>
    <row r="485" spans="2:13" ht="12.95" customHeight="1" x14ac:dyDescent="0.3">
      <c r="B485" s="68" t="s">
        <v>24</v>
      </c>
      <c r="C485" s="68" t="s">
        <v>16</v>
      </c>
      <c r="D485" s="69" t="s">
        <v>48</v>
      </c>
      <c r="E485" s="70">
        <v>58925</v>
      </c>
      <c r="F485" s="21">
        <v>8</v>
      </c>
      <c r="G485" s="3">
        <f t="shared" si="82"/>
        <v>471400</v>
      </c>
      <c r="H485" s="21">
        <v>8</v>
      </c>
      <c r="I485" s="3">
        <f t="shared" si="83"/>
        <v>471400</v>
      </c>
      <c r="J485" s="18"/>
      <c r="K485" s="18"/>
      <c r="L485" s="18"/>
      <c r="M485" s="18"/>
    </row>
    <row r="486" spans="2:13" ht="12.95" customHeight="1" x14ac:dyDescent="0.3">
      <c r="B486" s="73" t="s">
        <v>26</v>
      </c>
      <c r="C486" s="68" t="s">
        <v>83</v>
      </c>
      <c r="D486" s="69" t="s">
        <v>48</v>
      </c>
      <c r="E486" s="70">
        <v>58925</v>
      </c>
      <c r="F486" s="21">
        <v>8</v>
      </c>
      <c r="G486" s="3">
        <f t="shared" si="82"/>
        <v>471400</v>
      </c>
      <c r="H486" s="21">
        <v>8</v>
      </c>
      <c r="I486" s="3">
        <f t="shared" si="83"/>
        <v>471400</v>
      </c>
      <c r="J486" s="18"/>
      <c r="K486" s="18"/>
      <c r="L486" s="18"/>
      <c r="M486" s="18"/>
    </row>
    <row r="487" spans="2:13" ht="12.95" customHeight="1" x14ac:dyDescent="0.3">
      <c r="B487" s="68" t="s">
        <v>18</v>
      </c>
      <c r="C487" s="68" t="s">
        <v>47</v>
      </c>
      <c r="D487" s="69" t="s">
        <v>48</v>
      </c>
      <c r="E487" s="70">
        <v>58925</v>
      </c>
      <c r="F487" s="21">
        <v>8</v>
      </c>
      <c r="G487" s="3">
        <f t="shared" si="82"/>
        <v>471400</v>
      </c>
      <c r="H487" s="21">
        <v>8</v>
      </c>
      <c r="I487" s="3">
        <f t="shared" si="83"/>
        <v>471400</v>
      </c>
      <c r="J487" s="18"/>
      <c r="K487" s="18"/>
      <c r="L487" s="18"/>
      <c r="M487" s="18"/>
    </row>
    <row r="488" spans="2:13" ht="12.95" customHeight="1" x14ac:dyDescent="0.3">
      <c r="B488" s="45" t="s">
        <v>39</v>
      </c>
      <c r="C488" s="75"/>
      <c r="D488" s="75"/>
      <c r="E488" s="24"/>
      <c r="F488" s="25"/>
      <c r="G488" s="20">
        <f>TRUNC(SUM(G483:G487))</f>
        <v>2304952</v>
      </c>
      <c r="H488" s="25"/>
      <c r="I488" s="20">
        <f>TRUNC(SUM(I483:I487))</f>
        <v>2304952</v>
      </c>
      <c r="J488" s="18"/>
      <c r="K488" s="18"/>
      <c r="L488" s="18"/>
      <c r="M488" s="18"/>
    </row>
    <row r="489" spans="2:13" ht="12.95" customHeight="1" x14ac:dyDescent="0.3">
      <c r="B489" s="77"/>
      <c r="C489" s="75"/>
      <c r="D489" s="75"/>
      <c r="E489" s="24"/>
      <c r="F489" s="25"/>
      <c r="G489" s="78"/>
      <c r="H489" s="25"/>
      <c r="I489" s="78"/>
      <c r="J489" s="18"/>
      <c r="K489" s="18"/>
      <c r="L489" s="18"/>
      <c r="M489" s="18"/>
    </row>
    <row r="490" spans="2:13" ht="12.95" customHeight="1" x14ac:dyDescent="0.3">
      <c r="B490" s="68" t="s">
        <v>24</v>
      </c>
      <c r="C490" s="68" t="s">
        <v>16</v>
      </c>
      <c r="D490" s="69" t="s">
        <v>48</v>
      </c>
      <c r="E490" s="70">
        <v>59141</v>
      </c>
      <c r="F490" s="21">
        <v>8</v>
      </c>
      <c r="G490" s="3">
        <f t="shared" ref="G490:G492" si="84">TRUNC($E490*F490,1)</f>
        <v>473128</v>
      </c>
      <c r="H490" s="21">
        <v>8</v>
      </c>
      <c r="I490" s="3">
        <f t="shared" ref="I490:I492" si="85">TRUNC($E490*H490,1)</f>
        <v>473128</v>
      </c>
      <c r="J490" s="18"/>
      <c r="K490" s="18"/>
      <c r="L490" s="18"/>
      <c r="M490" s="18"/>
    </row>
    <row r="491" spans="2:13" ht="12.95" customHeight="1" x14ac:dyDescent="0.3">
      <c r="B491" s="73" t="s">
        <v>26</v>
      </c>
      <c r="C491" s="68" t="s">
        <v>83</v>
      </c>
      <c r="D491" s="69" t="s">
        <v>48</v>
      </c>
      <c r="E491" s="70">
        <v>19136</v>
      </c>
      <c r="F491" s="21">
        <v>8</v>
      </c>
      <c r="G491" s="3">
        <f t="shared" si="84"/>
        <v>153088</v>
      </c>
      <c r="H491" s="21">
        <v>8</v>
      </c>
      <c r="I491" s="3">
        <f t="shared" si="85"/>
        <v>153088</v>
      </c>
      <c r="J491" s="18"/>
      <c r="K491" s="18"/>
      <c r="L491" s="18"/>
      <c r="M491" s="18"/>
    </row>
    <row r="492" spans="2:13" ht="12.95" customHeight="1" x14ac:dyDescent="0.3">
      <c r="B492" s="68" t="s">
        <v>18</v>
      </c>
      <c r="C492" s="68" t="s">
        <v>47</v>
      </c>
      <c r="D492" s="69" t="s">
        <v>48</v>
      </c>
      <c r="E492" s="70">
        <v>26662</v>
      </c>
      <c r="F492" s="21">
        <v>8</v>
      </c>
      <c r="G492" s="3">
        <f t="shared" si="84"/>
        <v>213296</v>
      </c>
      <c r="H492" s="21">
        <v>8</v>
      </c>
      <c r="I492" s="3">
        <f t="shared" si="85"/>
        <v>213296</v>
      </c>
      <c r="J492" s="18"/>
      <c r="K492" s="18"/>
      <c r="L492" s="18"/>
      <c r="M492" s="18"/>
    </row>
    <row r="493" spans="2:13" ht="12.95" customHeight="1" x14ac:dyDescent="0.3">
      <c r="B493" s="74" t="s">
        <v>40</v>
      </c>
      <c r="C493" s="75"/>
      <c r="D493" s="75"/>
      <c r="E493" s="81"/>
      <c r="F493" s="19"/>
      <c r="G493" s="20">
        <f>TRUNC(SUM(G490:G492))</f>
        <v>839512</v>
      </c>
      <c r="H493" s="19"/>
      <c r="I493" s="20">
        <f>TRUNC(SUM(I490:I492))</f>
        <v>839512</v>
      </c>
      <c r="J493" s="18"/>
      <c r="K493" s="18"/>
      <c r="L493" s="18"/>
      <c r="M493" s="18"/>
    </row>
    <row r="494" spans="2:13" ht="12.95" customHeight="1" x14ac:dyDescent="0.3">
      <c r="B494" s="82"/>
      <c r="C494" s="68"/>
      <c r="D494" s="68"/>
      <c r="E494" s="83"/>
      <c r="F494" s="84"/>
      <c r="G494" s="72"/>
      <c r="H494" s="84"/>
      <c r="I494" s="72"/>
      <c r="J494" s="18"/>
      <c r="K494" s="18"/>
      <c r="L494" s="18"/>
      <c r="M494" s="18"/>
    </row>
    <row r="495" spans="2:13" ht="12.95" customHeight="1" x14ac:dyDescent="0.3">
      <c r="B495" s="51" t="s">
        <v>42</v>
      </c>
      <c r="C495" s="75"/>
      <c r="D495" s="75"/>
      <c r="E495" s="81"/>
      <c r="F495" s="81"/>
      <c r="G495" s="85">
        <f>SUM(G481+G488+G493)</f>
        <v>3655936</v>
      </c>
      <c r="H495" s="81"/>
      <c r="I495" s="85">
        <f>SUM(I481+I488+I493)</f>
        <v>3655936</v>
      </c>
      <c r="J495" s="18"/>
      <c r="K495" s="18"/>
      <c r="L495" s="18"/>
      <c r="M495" s="18"/>
    </row>
    <row r="496" spans="2:13" ht="12.95" customHeight="1" x14ac:dyDescent="0.3">
      <c r="B496" s="52" t="s">
        <v>225</v>
      </c>
      <c r="C496" s="86"/>
      <c r="D496" s="86"/>
      <c r="E496" s="87"/>
      <c r="F496" s="87"/>
      <c r="G496" s="8">
        <f>TRUNC(G495/G476)</f>
        <v>6647</v>
      </c>
      <c r="H496" s="87"/>
      <c r="I496" s="8">
        <f>TRUNC(I495/I476)</f>
        <v>7311</v>
      </c>
      <c r="J496" s="18"/>
      <c r="K496" s="18"/>
      <c r="L496" s="18"/>
      <c r="M496" s="18"/>
    </row>
    <row r="498" spans="2:13" ht="12.95" customHeight="1" x14ac:dyDescent="0.3">
      <c r="B498" s="31" t="s">
        <v>154</v>
      </c>
      <c r="C498" s="32"/>
      <c r="D498" s="32"/>
      <c r="E498" s="32"/>
      <c r="F498" s="32"/>
      <c r="G498" s="32"/>
      <c r="H498" s="32"/>
      <c r="I498" s="33"/>
      <c r="J498" s="32"/>
      <c r="K498" s="33" t="s">
        <v>58</v>
      </c>
    </row>
    <row r="499" spans="2:13" ht="12.95" customHeight="1" x14ac:dyDescent="0.3">
      <c r="B499" s="142" t="s">
        <v>30</v>
      </c>
      <c r="C499" s="145" t="s">
        <v>34</v>
      </c>
      <c r="D499" s="145" t="s">
        <v>35</v>
      </c>
      <c r="E499" s="145" t="s">
        <v>31</v>
      </c>
      <c r="F499" s="139" t="s">
        <v>155</v>
      </c>
      <c r="G499" s="140"/>
      <c r="H499" s="140"/>
      <c r="I499" s="140"/>
      <c r="J499" s="140"/>
      <c r="K499" s="140"/>
    </row>
    <row r="500" spans="2:13" ht="12.95" customHeight="1" x14ac:dyDescent="0.3">
      <c r="B500" s="143"/>
      <c r="C500" s="146"/>
      <c r="D500" s="146"/>
      <c r="E500" s="146"/>
      <c r="F500" s="139" t="s">
        <v>235</v>
      </c>
      <c r="G500" s="140"/>
      <c r="H500" s="139" t="s">
        <v>236</v>
      </c>
      <c r="I500" s="140"/>
      <c r="J500" s="139" t="s">
        <v>237</v>
      </c>
      <c r="K500" s="140"/>
    </row>
    <row r="501" spans="2:13" ht="12.95" customHeight="1" x14ac:dyDescent="0.3">
      <c r="B501" s="143"/>
      <c r="C501" s="146"/>
      <c r="D501" s="146"/>
      <c r="E501" s="146"/>
      <c r="F501" s="34" t="s">
        <v>224</v>
      </c>
      <c r="G501" s="37">
        <v>100</v>
      </c>
      <c r="H501" s="34" t="s">
        <v>224</v>
      </c>
      <c r="I501" s="37">
        <v>150</v>
      </c>
      <c r="J501" s="34" t="s">
        <v>224</v>
      </c>
      <c r="K501" s="37">
        <v>200</v>
      </c>
    </row>
    <row r="502" spans="2:13" ht="12.95" customHeight="1" x14ac:dyDescent="0.3">
      <c r="B502" s="144"/>
      <c r="C502" s="147"/>
      <c r="D502" s="147"/>
      <c r="E502" s="147"/>
      <c r="F502" s="38" t="s">
        <v>32</v>
      </c>
      <c r="G502" s="38" t="s">
        <v>33</v>
      </c>
      <c r="H502" s="38" t="s">
        <v>32</v>
      </c>
      <c r="I502" s="39" t="s">
        <v>33</v>
      </c>
      <c r="J502" s="38" t="s">
        <v>32</v>
      </c>
      <c r="K502" s="39" t="s">
        <v>33</v>
      </c>
    </row>
    <row r="503" spans="2:13" ht="12.95" customHeight="1" x14ac:dyDescent="0.3">
      <c r="B503" s="96" t="s">
        <v>36</v>
      </c>
      <c r="C503" s="97" t="s">
        <v>41</v>
      </c>
      <c r="D503" s="35" t="s">
        <v>45</v>
      </c>
      <c r="E503" s="98"/>
      <c r="F503" s="21">
        <v>1</v>
      </c>
      <c r="G503" s="5">
        <f>TRUNC(SUM(G506:G507)*0.03,1)</f>
        <v>43121</v>
      </c>
      <c r="H503" s="21">
        <v>1</v>
      </c>
      <c r="I503" s="5">
        <f>TRUNC(SUM(I506:I507)*0.03,1)</f>
        <v>43121</v>
      </c>
      <c r="J503" s="21">
        <v>1</v>
      </c>
      <c r="K503" s="5">
        <f>TRUNC(SUM(K506:K507)*0.03,1)</f>
        <v>43121</v>
      </c>
    </row>
    <row r="504" spans="2:13" ht="12.95" customHeight="1" x14ac:dyDescent="0.3">
      <c r="B504" s="74" t="s">
        <v>38</v>
      </c>
      <c r="C504" s="75"/>
      <c r="D504" s="75"/>
      <c r="E504" s="24"/>
      <c r="F504" s="25"/>
      <c r="G504" s="20">
        <f>TRUNC(SUM(G503))</f>
        <v>43121</v>
      </c>
      <c r="H504" s="25"/>
      <c r="I504" s="20">
        <f>TRUNC(SUM(I503))</f>
        <v>43121</v>
      </c>
      <c r="J504" s="25"/>
      <c r="K504" s="20">
        <f>TRUNC(SUM(K503))</f>
        <v>43121</v>
      </c>
    </row>
    <row r="505" spans="2:13" ht="12.95" customHeight="1" x14ac:dyDescent="0.3">
      <c r="B505" s="77"/>
      <c r="C505" s="75"/>
      <c r="D505" s="75"/>
      <c r="E505" s="24"/>
      <c r="F505" s="25"/>
      <c r="G505" s="78"/>
      <c r="H505" s="25"/>
      <c r="I505" s="78"/>
      <c r="J505" s="25"/>
      <c r="K505" s="78"/>
      <c r="L505" s="18"/>
      <c r="M505" s="18"/>
    </row>
    <row r="506" spans="2:13" ht="12.95" customHeight="1" x14ac:dyDescent="0.3">
      <c r="B506" s="40" t="s">
        <v>3</v>
      </c>
      <c r="C506" s="41"/>
      <c r="D506" s="42" t="s">
        <v>37</v>
      </c>
      <c r="E506" s="95">
        <v>273308</v>
      </c>
      <c r="F506" s="21">
        <v>4</v>
      </c>
      <c r="G506" s="2">
        <f t="shared" ref="G506:K507" si="86">TRUNC($E506*F506,1)</f>
        <v>1093232</v>
      </c>
      <c r="H506" s="21">
        <v>4</v>
      </c>
      <c r="I506" s="2">
        <f t="shared" si="86"/>
        <v>1093232</v>
      </c>
      <c r="J506" s="21">
        <v>4</v>
      </c>
      <c r="K506" s="3">
        <f t="shared" si="86"/>
        <v>1093232</v>
      </c>
    </row>
    <row r="507" spans="2:13" ht="12.95" customHeight="1" x14ac:dyDescent="0.3">
      <c r="B507" s="40" t="s">
        <v>8</v>
      </c>
      <c r="C507" s="41"/>
      <c r="D507" s="42" t="s">
        <v>37</v>
      </c>
      <c r="E507" s="70">
        <v>172068</v>
      </c>
      <c r="F507" s="21">
        <v>2</v>
      </c>
      <c r="G507" s="2">
        <f t="shared" si="86"/>
        <v>344136</v>
      </c>
      <c r="H507" s="21">
        <v>2</v>
      </c>
      <c r="I507" s="2">
        <f t="shared" si="86"/>
        <v>344136</v>
      </c>
      <c r="J507" s="21">
        <v>2</v>
      </c>
      <c r="K507" s="3">
        <f t="shared" si="86"/>
        <v>344136</v>
      </c>
    </row>
    <row r="508" spans="2:13" ht="12.95" customHeight="1" x14ac:dyDescent="0.3">
      <c r="B508" s="45" t="s">
        <v>39</v>
      </c>
      <c r="C508" s="46"/>
      <c r="D508" s="47"/>
      <c r="E508" s="48"/>
      <c r="F508" s="48"/>
      <c r="G508" s="14">
        <f>TRUNC(SUM(G506:G507))</f>
        <v>1437368</v>
      </c>
      <c r="H508" s="48"/>
      <c r="I508" s="14">
        <f>TRUNC(SUM(I506:I507))</f>
        <v>1437368</v>
      </c>
      <c r="J508" s="48"/>
      <c r="K508" s="15">
        <f>TRUNC(SUM(K506:K507))</f>
        <v>1437368</v>
      </c>
    </row>
    <row r="509" spans="2:13" ht="12.95" customHeight="1" x14ac:dyDescent="0.3">
      <c r="B509" s="49"/>
      <c r="C509" s="41"/>
      <c r="D509" s="42"/>
      <c r="E509" s="50"/>
      <c r="F509" s="50"/>
      <c r="G509" s="6"/>
      <c r="H509" s="50"/>
      <c r="I509" s="6"/>
      <c r="J509" s="50"/>
      <c r="K509" s="7"/>
    </row>
    <row r="510" spans="2:13" ht="12.95" customHeight="1" x14ac:dyDescent="0.3">
      <c r="B510" s="51" t="s">
        <v>42</v>
      </c>
      <c r="C510" s="41"/>
      <c r="D510" s="42"/>
      <c r="E510" s="50"/>
      <c r="F510" s="50"/>
      <c r="G510" s="7">
        <f>SUM(G504+G508)</f>
        <v>1480489</v>
      </c>
      <c r="H510" s="50"/>
      <c r="I510" s="7">
        <f>SUM(I504+I508)</f>
        <v>1480489</v>
      </c>
      <c r="J510" s="50"/>
      <c r="K510" s="7">
        <f>SUM(K504+K508)</f>
        <v>1480489</v>
      </c>
    </row>
    <row r="511" spans="2:13" ht="12.95" customHeight="1" x14ac:dyDescent="0.3">
      <c r="B511" s="52" t="s">
        <v>225</v>
      </c>
      <c r="C511" s="86"/>
      <c r="D511" s="86"/>
      <c r="E511" s="87"/>
      <c r="F511" s="87"/>
      <c r="G511" s="8">
        <f>TRUNC(G510/G501)</f>
        <v>14804</v>
      </c>
      <c r="H511" s="87"/>
      <c r="I511" s="8">
        <f>TRUNC(I510/I501)</f>
        <v>9869</v>
      </c>
      <c r="J511" s="87"/>
      <c r="K511" s="8">
        <f>TRUNC(K510/K501)</f>
        <v>7402</v>
      </c>
      <c r="L511" s="18"/>
      <c r="M511" s="18"/>
    </row>
    <row r="512" spans="2:13" ht="12.95" customHeight="1" x14ac:dyDescent="0.3">
      <c r="B512" s="142" t="s">
        <v>30</v>
      </c>
      <c r="C512" s="145" t="s">
        <v>34</v>
      </c>
      <c r="D512" s="145" t="s">
        <v>35</v>
      </c>
      <c r="E512" s="145" t="s">
        <v>31</v>
      </c>
      <c r="F512" s="139" t="s">
        <v>156</v>
      </c>
      <c r="G512" s="140"/>
      <c r="H512" s="140"/>
      <c r="I512" s="140"/>
      <c r="J512" s="140"/>
      <c r="K512" s="140"/>
    </row>
    <row r="513" spans="2:15" ht="12.95" customHeight="1" x14ac:dyDescent="0.3">
      <c r="B513" s="143"/>
      <c r="C513" s="146"/>
      <c r="D513" s="146"/>
      <c r="E513" s="146"/>
      <c r="F513" s="139" t="s">
        <v>235</v>
      </c>
      <c r="G513" s="140"/>
      <c r="H513" s="139" t="s">
        <v>236</v>
      </c>
      <c r="I513" s="140"/>
      <c r="J513" s="139" t="s">
        <v>237</v>
      </c>
      <c r="K513" s="140"/>
    </row>
    <row r="514" spans="2:15" ht="12.95" customHeight="1" x14ac:dyDescent="0.3">
      <c r="B514" s="143"/>
      <c r="C514" s="146"/>
      <c r="D514" s="146"/>
      <c r="E514" s="146"/>
      <c r="F514" s="34" t="s">
        <v>224</v>
      </c>
      <c r="G514" s="37">
        <v>50</v>
      </c>
      <c r="H514" s="34" t="s">
        <v>224</v>
      </c>
      <c r="I514" s="37">
        <v>75</v>
      </c>
      <c r="J514" s="34" t="s">
        <v>224</v>
      </c>
      <c r="K514" s="37">
        <v>100</v>
      </c>
    </row>
    <row r="515" spans="2:15" ht="12.95" customHeight="1" x14ac:dyDescent="0.3">
      <c r="B515" s="144"/>
      <c r="C515" s="147"/>
      <c r="D515" s="147"/>
      <c r="E515" s="147"/>
      <c r="F515" s="38" t="s">
        <v>32</v>
      </c>
      <c r="G515" s="38" t="s">
        <v>33</v>
      </c>
      <c r="H515" s="38" t="s">
        <v>32</v>
      </c>
      <c r="I515" s="39" t="s">
        <v>33</v>
      </c>
      <c r="J515" s="38" t="s">
        <v>32</v>
      </c>
      <c r="K515" s="39" t="s">
        <v>33</v>
      </c>
    </row>
    <row r="516" spans="2:15" ht="12.95" customHeight="1" x14ac:dyDescent="0.3">
      <c r="B516" s="96" t="s">
        <v>36</v>
      </c>
      <c r="C516" s="97" t="s">
        <v>41</v>
      </c>
      <c r="D516" s="35" t="s">
        <v>45</v>
      </c>
      <c r="E516" s="98"/>
      <c r="F516" s="21">
        <v>1</v>
      </c>
      <c r="G516" s="5">
        <f>TRUNC(SUM(G519:G520)*0.03,1)</f>
        <v>43121</v>
      </c>
      <c r="H516" s="21">
        <v>1</v>
      </c>
      <c r="I516" s="5">
        <f>TRUNC(SUM(I519:I520)*0.03,1)</f>
        <v>43121</v>
      </c>
      <c r="J516" s="21">
        <v>1</v>
      </c>
      <c r="K516" s="5">
        <f>TRUNC(SUM(K519:K520)*0.03,1)</f>
        <v>43121</v>
      </c>
    </row>
    <row r="517" spans="2:15" ht="12.95" customHeight="1" x14ac:dyDescent="0.3">
      <c r="B517" s="74" t="s">
        <v>38</v>
      </c>
      <c r="C517" s="75"/>
      <c r="D517" s="75"/>
      <c r="E517" s="24"/>
      <c r="F517" s="25"/>
      <c r="G517" s="20">
        <f>TRUNC(SUM(G516))</f>
        <v>43121</v>
      </c>
      <c r="H517" s="25"/>
      <c r="I517" s="20">
        <f>TRUNC(SUM(I516))</f>
        <v>43121</v>
      </c>
      <c r="J517" s="25"/>
      <c r="K517" s="20">
        <f>TRUNC(SUM(K516))</f>
        <v>43121</v>
      </c>
    </row>
    <row r="518" spans="2:15" ht="12.95" customHeight="1" x14ac:dyDescent="0.3">
      <c r="B518" s="77"/>
      <c r="C518" s="75"/>
      <c r="D518" s="75"/>
      <c r="E518" s="24"/>
      <c r="F518" s="25"/>
      <c r="G518" s="78"/>
      <c r="H518" s="25"/>
      <c r="I518" s="78"/>
      <c r="J518" s="25"/>
      <c r="K518" s="78"/>
      <c r="L518" s="18"/>
      <c r="M518" s="18"/>
    </row>
    <row r="519" spans="2:15" ht="12.95" customHeight="1" x14ac:dyDescent="0.3">
      <c r="B519" s="40" t="s">
        <v>3</v>
      </c>
      <c r="C519" s="41"/>
      <c r="D519" s="42" t="s">
        <v>37</v>
      </c>
      <c r="E519" s="95">
        <v>273308</v>
      </c>
      <c r="F519" s="21">
        <v>4</v>
      </c>
      <c r="G519" s="3">
        <f t="shared" ref="G519:G520" si="87">TRUNC($E519*F519,1)</f>
        <v>1093232</v>
      </c>
      <c r="H519" s="21">
        <v>4</v>
      </c>
      <c r="I519" s="3">
        <f t="shared" ref="I519:I520" si="88">TRUNC($E519*H519,1)</f>
        <v>1093232</v>
      </c>
      <c r="J519" s="21">
        <v>4</v>
      </c>
      <c r="K519" s="3">
        <f t="shared" ref="K519:K520" si="89">TRUNC($E519*J519,1)</f>
        <v>1093232</v>
      </c>
    </row>
    <row r="520" spans="2:15" ht="12.95" customHeight="1" x14ac:dyDescent="0.3">
      <c r="B520" s="40" t="s">
        <v>8</v>
      </c>
      <c r="C520" s="41"/>
      <c r="D520" s="42" t="s">
        <v>37</v>
      </c>
      <c r="E520" s="70">
        <v>172068</v>
      </c>
      <c r="F520" s="21">
        <v>2</v>
      </c>
      <c r="G520" s="3">
        <f t="shared" si="87"/>
        <v>344136</v>
      </c>
      <c r="H520" s="21">
        <v>2</v>
      </c>
      <c r="I520" s="3">
        <f t="shared" si="88"/>
        <v>344136</v>
      </c>
      <c r="J520" s="21">
        <v>2</v>
      </c>
      <c r="K520" s="3">
        <f t="shared" si="89"/>
        <v>344136</v>
      </c>
    </row>
    <row r="521" spans="2:15" ht="12.95" customHeight="1" x14ac:dyDescent="0.3">
      <c r="B521" s="45" t="s">
        <v>39</v>
      </c>
      <c r="C521" s="46"/>
      <c r="D521" s="47"/>
      <c r="E521" s="48"/>
      <c r="F521" s="48"/>
      <c r="G521" s="15">
        <f>TRUNC(SUM(G519:G520))</f>
        <v>1437368</v>
      </c>
      <c r="H521" s="48"/>
      <c r="I521" s="15">
        <f>TRUNC(SUM(I519:I520))</f>
        <v>1437368</v>
      </c>
      <c r="J521" s="48"/>
      <c r="K521" s="15">
        <f>TRUNC(SUM(K519:K520))</f>
        <v>1437368</v>
      </c>
      <c r="O521" s="4"/>
    </row>
    <row r="522" spans="2:15" ht="12.95" customHeight="1" x14ac:dyDescent="0.3">
      <c r="B522" s="49"/>
      <c r="C522" s="41"/>
      <c r="D522" s="42"/>
      <c r="E522" s="50"/>
      <c r="F522" s="50"/>
      <c r="G522" s="7"/>
      <c r="H522" s="50"/>
      <c r="I522" s="7"/>
      <c r="J522" s="50"/>
      <c r="K522" s="7"/>
      <c r="N522" s="4"/>
      <c r="O522" s="4"/>
    </row>
    <row r="523" spans="2:15" ht="12.95" customHeight="1" x14ac:dyDescent="0.3">
      <c r="B523" s="51" t="s">
        <v>42</v>
      </c>
      <c r="C523" s="41"/>
      <c r="D523" s="42"/>
      <c r="E523" s="50"/>
      <c r="F523" s="50"/>
      <c r="G523" s="7">
        <f>SUM(G517+G521)</f>
        <v>1480489</v>
      </c>
      <c r="H523" s="50"/>
      <c r="I523" s="7">
        <f>SUM(I517+I521)</f>
        <v>1480489</v>
      </c>
      <c r="J523" s="50"/>
      <c r="K523" s="7">
        <f>SUM(K517+K521)</f>
        <v>1480489</v>
      </c>
      <c r="N523" s="4"/>
      <c r="O523" s="4"/>
    </row>
    <row r="524" spans="2:15" ht="12.95" customHeight="1" x14ac:dyDescent="0.3">
      <c r="B524" s="52" t="s">
        <v>225</v>
      </c>
      <c r="C524" s="86"/>
      <c r="D524" s="86"/>
      <c r="E524" s="87"/>
      <c r="F524" s="87"/>
      <c r="G524" s="8">
        <f>TRUNC(G523/G514)</f>
        <v>29609</v>
      </c>
      <c r="H524" s="87"/>
      <c r="I524" s="8">
        <f>TRUNC(I523/I514)</f>
        <v>19739</v>
      </c>
      <c r="J524" s="87"/>
      <c r="K524" s="8">
        <f>TRUNC(K523/K514)</f>
        <v>14804</v>
      </c>
      <c r="L524" s="18"/>
      <c r="M524" s="18"/>
      <c r="N524" s="4"/>
      <c r="O524" s="4"/>
    </row>
    <row r="525" spans="2:15" ht="12.95" customHeight="1" x14ac:dyDescent="0.3">
      <c r="B525" s="56"/>
      <c r="C525" s="57"/>
      <c r="D525" s="56"/>
      <c r="E525" s="58"/>
      <c r="F525" s="59"/>
      <c r="G525" s="59"/>
      <c r="H525" s="59"/>
      <c r="I525" s="59"/>
      <c r="N525" s="4"/>
      <c r="O525" s="4"/>
    </row>
    <row r="526" spans="2:15" ht="12.95" customHeight="1" x14ac:dyDescent="0.3">
      <c r="B526" s="60" t="s">
        <v>157</v>
      </c>
      <c r="C526" s="61"/>
      <c r="D526" s="62"/>
      <c r="E526" s="63"/>
      <c r="F526" s="62"/>
      <c r="G526" s="33"/>
      <c r="H526" s="62"/>
      <c r="I526" s="62"/>
      <c r="J526" s="62"/>
      <c r="K526" s="33" t="s">
        <v>58</v>
      </c>
      <c r="N526" s="4"/>
      <c r="O526" s="4"/>
    </row>
    <row r="527" spans="2:15" ht="12.95" customHeight="1" x14ac:dyDescent="0.3">
      <c r="B527" s="142" t="s">
        <v>30</v>
      </c>
      <c r="C527" s="145" t="s">
        <v>34</v>
      </c>
      <c r="D527" s="145" t="s">
        <v>35</v>
      </c>
      <c r="E527" s="145" t="s">
        <v>31</v>
      </c>
      <c r="F527" s="139" t="s">
        <v>159</v>
      </c>
      <c r="G527" s="140"/>
      <c r="H527" s="140"/>
      <c r="I527" s="140"/>
      <c r="J527" s="140"/>
      <c r="K527" s="140"/>
      <c r="N527" s="4"/>
      <c r="O527" s="4"/>
    </row>
    <row r="528" spans="2:15" ht="12.95" customHeight="1" x14ac:dyDescent="0.3">
      <c r="B528" s="143"/>
      <c r="C528" s="146"/>
      <c r="D528" s="146"/>
      <c r="E528" s="146"/>
      <c r="F528" s="139" t="s">
        <v>233</v>
      </c>
      <c r="G528" s="140"/>
      <c r="H528" s="139" t="s">
        <v>234</v>
      </c>
      <c r="I528" s="140"/>
      <c r="J528" s="139" t="s">
        <v>238</v>
      </c>
      <c r="K528" s="140"/>
      <c r="N528" s="4"/>
      <c r="O528" s="4"/>
    </row>
    <row r="529" spans="2:15" ht="12.95" customHeight="1" x14ac:dyDescent="0.3">
      <c r="B529" s="143"/>
      <c r="C529" s="146"/>
      <c r="D529" s="146"/>
      <c r="E529" s="146"/>
      <c r="F529" s="34" t="s">
        <v>224</v>
      </c>
      <c r="G529" s="37">
        <v>300</v>
      </c>
      <c r="H529" s="34" t="s">
        <v>224</v>
      </c>
      <c r="I529" s="37">
        <v>270</v>
      </c>
      <c r="J529" s="34" t="s">
        <v>224</v>
      </c>
      <c r="K529" s="37">
        <v>275</v>
      </c>
      <c r="N529" s="4"/>
      <c r="O529" s="4"/>
    </row>
    <row r="530" spans="2:15" ht="12.95" customHeight="1" x14ac:dyDescent="0.3">
      <c r="B530" s="144"/>
      <c r="C530" s="147"/>
      <c r="D530" s="147"/>
      <c r="E530" s="147"/>
      <c r="F530" s="38" t="s">
        <v>32</v>
      </c>
      <c r="G530" s="39" t="s">
        <v>33</v>
      </c>
      <c r="H530" s="38" t="s">
        <v>32</v>
      </c>
      <c r="I530" s="39" t="s">
        <v>33</v>
      </c>
      <c r="J530" s="38" t="s">
        <v>32</v>
      </c>
      <c r="K530" s="39" t="s">
        <v>33</v>
      </c>
      <c r="N530" s="4"/>
      <c r="O530" s="4"/>
    </row>
    <row r="531" spans="2:15" ht="12.95" customHeight="1" x14ac:dyDescent="0.3">
      <c r="B531" s="68" t="s">
        <v>94</v>
      </c>
      <c r="C531" s="68" t="s">
        <v>158</v>
      </c>
      <c r="D531" s="69" t="s">
        <v>48</v>
      </c>
      <c r="E531" s="70">
        <v>35353</v>
      </c>
      <c r="F531" s="21">
        <v>8</v>
      </c>
      <c r="G531" s="3">
        <f t="shared" ref="G531:G533" si="90">TRUNC($E531*F531,1)</f>
        <v>282824</v>
      </c>
      <c r="H531" s="21">
        <v>8</v>
      </c>
      <c r="I531" s="3">
        <f t="shared" ref="I531:I533" si="91">TRUNC($E531*H531,1)</f>
        <v>282824</v>
      </c>
      <c r="J531" s="21">
        <v>8</v>
      </c>
      <c r="K531" s="3">
        <f t="shared" ref="K531:K533" si="92">TRUNC($E531*J531,1)</f>
        <v>282824</v>
      </c>
      <c r="N531" s="4"/>
      <c r="O531" s="4"/>
    </row>
    <row r="532" spans="2:15" ht="12.95" customHeight="1" x14ac:dyDescent="0.3">
      <c r="B532" s="68" t="s">
        <v>292</v>
      </c>
      <c r="C532" s="68" t="s">
        <v>5</v>
      </c>
      <c r="D532" s="69" t="s">
        <v>48</v>
      </c>
      <c r="E532" s="70">
        <v>35814</v>
      </c>
      <c r="F532" s="21">
        <v>8</v>
      </c>
      <c r="G532" s="3">
        <f t="shared" si="90"/>
        <v>286512</v>
      </c>
      <c r="H532" s="21">
        <v>8</v>
      </c>
      <c r="I532" s="3">
        <f t="shared" si="91"/>
        <v>286512</v>
      </c>
      <c r="J532" s="21">
        <v>8</v>
      </c>
      <c r="K532" s="3">
        <f t="shared" si="92"/>
        <v>286512</v>
      </c>
      <c r="N532" s="4"/>
      <c r="O532" s="4"/>
    </row>
    <row r="533" spans="2:15" ht="12.95" customHeight="1" x14ac:dyDescent="0.3">
      <c r="B533" s="68" t="s">
        <v>61</v>
      </c>
      <c r="C533" s="68" t="s">
        <v>19</v>
      </c>
      <c r="D533" s="69" t="s">
        <v>48</v>
      </c>
      <c r="E533" s="70">
        <v>25246</v>
      </c>
      <c r="F533" s="21">
        <v>4</v>
      </c>
      <c r="G533" s="3">
        <f t="shared" si="90"/>
        <v>100984</v>
      </c>
      <c r="H533" s="21">
        <v>4</v>
      </c>
      <c r="I533" s="3">
        <f t="shared" si="91"/>
        <v>100984</v>
      </c>
      <c r="J533" s="21">
        <v>4</v>
      </c>
      <c r="K533" s="3">
        <f t="shared" si="92"/>
        <v>100984</v>
      </c>
      <c r="N533" s="4"/>
      <c r="O533" s="4"/>
    </row>
    <row r="534" spans="2:15" ht="12.95" customHeight="1" x14ac:dyDescent="0.3">
      <c r="B534" s="74" t="s">
        <v>38</v>
      </c>
      <c r="C534" s="75"/>
      <c r="D534" s="75"/>
      <c r="E534" s="24"/>
      <c r="F534" s="25"/>
      <c r="G534" s="20">
        <f>TRUNC(SUM(G531:G533))</f>
        <v>670320</v>
      </c>
      <c r="H534" s="25"/>
      <c r="I534" s="20">
        <f>TRUNC(SUM(I531:I533))</f>
        <v>670320</v>
      </c>
      <c r="J534" s="25"/>
      <c r="K534" s="20">
        <f>TRUNC(SUM(K531:K533))</f>
        <v>670320</v>
      </c>
      <c r="N534" s="4"/>
      <c r="O534" s="4"/>
    </row>
    <row r="535" spans="2:15" ht="12.95" customHeight="1" x14ac:dyDescent="0.3">
      <c r="B535" s="77"/>
      <c r="C535" s="75"/>
      <c r="D535" s="75"/>
      <c r="E535" s="24"/>
      <c r="F535" s="25"/>
      <c r="G535" s="78"/>
      <c r="H535" s="25"/>
      <c r="I535" s="78"/>
      <c r="J535" s="25"/>
      <c r="K535" s="78"/>
      <c r="N535" s="4"/>
      <c r="O535" s="4"/>
    </row>
    <row r="536" spans="2:15" ht="12.95" customHeight="1" x14ac:dyDescent="0.3">
      <c r="B536" s="40" t="s">
        <v>3</v>
      </c>
      <c r="C536" s="41"/>
      <c r="D536" s="42" t="s">
        <v>37</v>
      </c>
      <c r="E536" s="70">
        <v>273308</v>
      </c>
      <c r="F536" s="21">
        <v>4</v>
      </c>
      <c r="G536" s="3">
        <f t="shared" ref="G536:G541" si="93">TRUNC($E536*F536,1)</f>
        <v>1093232</v>
      </c>
      <c r="H536" s="21">
        <v>4</v>
      </c>
      <c r="I536" s="3">
        <f t="shared" ref="I536:I541" si="94">TRUNC($E536*H536,1)</f>
        <v>1093232</v>
      </c>
      <c r="J536" s="21">
        <v>4</v>
      </c>
      <c r="K536" s="3">
        <f t="shared" ref="K536:K541" si="95">TRUNC($E536*J536,1)</f>
        <v>1093232</v>
      </c>
      <c r="N536" s="4"/>
      <c r="O536" s="4"/>
    </row>
    <row r="537" spans="2:15" ht="12.95" customHeight="1" x14ac:dyDescent="0.3">
      <c r="B537" s="40" t="s">
        <v>53</v>
      </c>
      <c r="C537" s="41"/>
      <c r="D537" s="42" t="s">
        <v>37</v>
      </c>
      <c r="E537" s="70">
        <v>226122</v>
      </c>
      <c r="F537" s="21">
        <v>2</v>
      </c>
      <c r="G537" s="3">
        <f t="shared" si="93"/>
        <v>452244</v>
      </c>
      <c r="H537" s="21">
        <v>2</v>
      </c>
      <c r="I537" s="3">
        <f t="shared" si="94"/>
        <v>452244</v>
      </c>
      <c r="J537" s="21">
        <v>2</v>
      </c>
      <c r="K537" s="3">
        <f t="shared" si="95"/>
        <v>452244</v>
      </c>
      <c r="N537" s="4"/>
      <c r="O537" s="4"/>
    </row>
    <row r="538" spans="2:15" ht="12.95" customHeight="1" x14ac:dyDescent="0.3">
      <c r="B538" s="40" t="s">
        <v>8</v>
      </c>
      <c r="C538" s="41"/>
      <c r="D538" s="42" t="s">
        <v>37</v>
      </c>
      <c r="E538" s="70">
        <v>172068</v>
      </c>
      <c r="F538" s="21">
        <v>2</v>
      </c>
      <c r="G538" s="3">
        <f t="shared" si="93"/>
        <v>344136</v>
      </c>
      <c r="H538" s="21">
        <v>2</v>
      </c>
      <c r="I538" s="3">
        <f t="shared" si="94"/>
        <v>344136</v>
      </c>
      <c r="J538" s="21">
        <v>2</v>
      </c>
      <c r="K538" s="3">
        <f t="shared" si="95"/>
        <v>344136</v>
      </c>
      <c r="N538" s="4"/>
      <c r="O538" s="4"/>
    </row>
    <row r="539" spans="2:15" ht="12.95" customHeight="1" x14ac:dyDescent="0.3">
      <c r="B539" s="68" t="s">
        <v>94</v>
      </c>
      <c r="C539" s="68" t="s">
        <v>158</v>
      </c>
      <c r="D539" s="69" t="s">
        <v>48</v>
      </c>
      <c r="E539" s="70">
        <v>58925</v>
      </c>
      <c r="F539" s="21">
        <v>8</v>
      </c>
      <c r="G539" s="3">
        <f t="shared" si="93"/>
        <v>471400</v>
      </c>
      <c r="H539" s="21">
        <v>8</v>
      </c>
      <c r="I539" s="3">
        <f t="shared" si="94"/>
        <v>471400</v>
      </c>
      <c r="J539" s="21">
        <v>8</v>
      </c>
      <c r="K539" s="3">
        <f t="shared" si="95"/>
        <v>471400</v>
      </c>
      <c r="N539" s="4"/>
      <c r="O539" s="4"/>
    </row>
    <row r="540" spans="2:15" ht="12.95" customHeight="1" x14ac:dyDescent="0.3">
      <c r="B540" s="68" t="s">
        <v>292</v>
      </c>
      <c r="C540" s="68" t="s">
        <v>5</v>
      </c>
      <c r="D540" s="69" t="s">
        <v>48</v>
      </c>
      <c r="E540" s="70">
        <v>58925</v>
      </c>
      <c r="F540" s="21">
        <v>8</v>
      </c>
      <c r="G540" s="3">
        <f t="shared" si="93"/>
        <v>471400</v>
      </c>
      <c r="H540" s="21">
        <v>8</v>
      </c>
      <c r="I540" s="3">
        <f t="shared" si="94"/>
        <v>471400</v>
      </c>
      <c r="J540" s="21">
        <v>8</v>
      </c>
      <c r="K540" s="3">
        <f t="shared" si="95"/>
        <v>471400</v>
      </c>
      <c r="N540" s="4"/>
    </row>
    <row r="541" spans="2:15" ht="12.95" customHeight="1" x14ac:dyDescent="0.3">
      <c r="B541" s="68" t="s">
        <v>61</v>
      </c>
      <c r="C541" s="68" t="s">
        <v>19</v>
      </c>
      <c r="D541" s="69" t="s">
        <v>48</v>
      </c>
      <c r="E541" s="70">
        <v>49698</v>
      </c>
      <c r="F541" s="21">
        <v>4</v>
      </c>
      <c r="G541" s="3">
        <f t="shared" si="93"/>
        <v>198792</v>
      </c>
      <c r="H541" s="21">
        <v>4</v>
      </c>
      <c r="I541" s="3">
        <f t="shared" si="94"/>
        <v>198792</v>
      </c>
      <c r="J541" s="21">
        <v>4</v>
      </c>
      <c r="K541" s="3">
        <f t="shared" si="95"/>
        <v>198792</v>
      </c>
    </row>
    <row r="542" spans="2:15" ht="12.95" customHeight="1" x14ac:dyDescent="0.3">
      <c r="B542" s="45" t="s">
        <v>39</v>
      </c>
      <c r="C542" s="75"/>
      <c r="D542" s="75"/>
      <c r="E542" s="24"/>
      <c r="F542" s="25"/>
      <c r="G542" s="20">
        <f>TRUNC(SUM(G536:G541))</f>
        <v>3031204</v>
      </c>
      <c r="H542" s="25"/>
      <c r="I542" s="20">
        <f>TRUNC(SUM(I536:I541))</f>
        <v>3031204</v>
      </c>
      <c r="J542" s="25"/>
      <c r="K542" s="20">
        <f>TRUNC(SUM(K536:K541))</f>
        <v>3031204</v>
      </c>
    </row>
    <row r="543" spans="2:15" ht="12.95" customHeight="1" x14ac:dyDescent="0.3">
      <c r="B543" s="77"/>
      <c r="C543" s="75"/>
      <c r="D543" s="75"/>
      <c r="E543" s="24"/>
      <c r="F543" s="25"/>
      <c r="G543" s="78"/>
      <c r="H543" s="25"/>
      <c r="I543" s="78"/>
      <c r="J543" s="25"/>
      <c r="K543" s="78"/>
    </row>
    <row r="544" spans="2:15" ht="12.95" customHeight="1" x14ac:dyDescent="0.3">
      <c r="B544" s="68" t="s">
        <v>94</v>
      </c>
      <c r="C544" s="68" t="s">
        <v>158</v>
      </c>
      <c r="D544" s="69" t="s">
        <v>48</v>
      </c>
      <c r="E544" s="70">
        <v>68558</v>
      </c>
      <c r="F544" s="21">
        <v>8</v>
      </c>
      <c r="G544" s="3">
        <f t="shared" ref="G544:G546" si="96">TRUNC($E544*F544,1)</f>
        <v>548464</v>
      </c>
      <c r="H544" s="21">
        <v>8</v>
      </c>
      <c r="I544" s="3">
        <f t="shared" ref="I544:I546" si="97">TRUNC($E544*H544,1)</f>
        <v>548464</v>
      </c>
      <c r="J544" s="21">
        <v>8</v>
      </c>
      <c r="K544" s="3">
        <f t="shared" ref="K544:K546" si="98">TRUNC($E544*J544,1)</f>
        <v>548464</v>
      </c>
    </row>
    <row r="545" spans="2:13" ht="12.95" customHeight="1" x14ac:dyDescent="0.3">
      <c r="B545" s="68" t="s">
        <v>292</v>
      </c>
      <c r="C545" s="68" t="s">
        <v>5</v>
      </c>
      <c r="D545" s="69" t="s">
        <v>48</v>
      </c>
      <c r="E545" s="70">
        <v>29621</v>
      </c>
      <c r="F545" s="21">
        <v>8</v>
      </c>
      <c r="G545" s="3">
        <f t="shared" si="96"/>
        <v>236968</v>
      </c>
      <c r="H545" s="21">
        <v>8</v>
      </c>
      <c r="I545" s="3">
        <f t="shared" si="97"/>
        <v>236968</v>
      </c>
      <c r="J545" s="21">
        <v>8</v>
      </c>
      <c r="K545" s="3">
        <f t="shared" si="98"/>
        <v>236968</v>
      </c>
    </row>
    <row r="546" spans="2:13" ht="12.95" customHeight="1" x14ac:dyDescent="0.3">
      <c r="B546" s="68" t="s">
        <v>61</v>
      </c>
      <c r="C546" s="68" t="s">
        <v>19</v>
      </c>
      <c r="D546" s="69" t="s">
        <v>48</v>
      </c>
      <c r="E546" s="70">
        <v>19154</v>
      </c>
      <c r="F546" s="21">
        <v>4</v>
      </c>
      <c r="G546" s="3">
        <f t="shared" si="96"/>
        <v>76616</v>
      </c>
      <c r="H546" s="21">
        <v>4</v>
      </c>
      <c r="I546" s="3">
        <f t="shared" si="97"/>
        <v>76616</v>
      </c>
      <c r="J546" s="21">
        <v>4</v>
      </c>
      <c r="K546" s="3">
        <f t="shared" si="98"/>
        <v>76616</v>
      </c>
    </row>
    <row r="547" spans="2:13" ht="12.95" customHeight="1" x14ac:dyDescent="0.3">
      <c r="B547" s="74" t="s">
        <v>40</v>
      </c>
      <c r="C547" s="75"/>
      <c r="D547" s="75"/>
      <c r="E547" s="81"/>
      <c r="F547" s="19"/>
      <c r="G547" s="20">
        <f>TRUNC(SUM(G544:G546))</f>
        <v>862048</v>
      </c>
      <c r="H547" s="19"/>
      <c r="I547" s="20">
        <f>TRUNC(SUM(I544:I546))</f>
        <v>862048</v>
      </c>
      <c r="J547" s="19"/>
      <c r="K547" s="20">
        <f>TRUNC(SUM(K544:K546))</f>
        <v>862048</v>
      </c>
    </row>
    <row r="548" spans="2:13" ht="12.95" customHeight="1" x14ac:dyDescent="0.3">
      <c r="B548" s="82"/>
      <c r="C548" s="68"/>
      <c r="D548" s="68"/>
      <c r="E548" s="83"/>
      <c r="F548" s="84"/>
      <c r="G548" s="72"/>
      <c r="H548" s="84"/>
      <c r="I548" s="72"/>
      <c r="J548" s="84"/>
      <c r="K548" s="72"/>
    </row>
    <row r="549" spans="2:13" ht="12.95" customHeight="1" x14ac:dyDescent="0.3">
      <c r="B549" s="51" t="s">
        <v>42</v>
      </c>
      <c r="C549" s="75"/>
      <c r="D549" s="75"/>
      <c r="E549" s="81"/>
      <c r="F549" s="81"/>
      <c r="G549" s="85">
        <f>SUM(G534+G542+G547)</f>
        <v>4563572</v>
      </c>
      <c r="H549" s="81"/>
      <c r="I549" s="85">
        <f>SUM(I534+I542+I547)</f>
        <v>4563572</v>
      </c>
      <c r="J549" s="81"/>
      <c r="K549" s="85">
        <f>SUM(K534+K542+K547)</f>
        <v>4563572</v>
      </c>
    </row>
    <row r="550" spans="2:13" ht="12.95" customHeight="1" x14ac:dyDescent="0.3">
      <c r="B550" s="52" t="s">
        <v>225</v>
      </c>
      <c r="C550" s="86"/>
      <c r="D550" s="86"/>
      <c r="E550" s="87"/>
      <c r="F550" s="87"/>
      <c r="G550" s="8">
        <f>TRUNC(G549/G529)</f>
        <v>15211</v>
      </c>
      <c r="H550" s="87"/>
      <c r="I550" s="8">
        <f>TRUNC(I549/I529)</f>
        <v>16902</v>
      </c>
      <c r="J550" s="87"/>
      <c r="K550" s="8">
        <f>TRUNC(K549/K529)</f>
        <v>16594</v>
      </c>
      <c r="L550" s="18"/>
      <c r="M550" s="18"/>
    </row>
    <row r="552" spans="2:13" ht="12.95" customHeight="1" x14ac:dyDescent="0.3">
      <c r="B552" s="60" t="s">
        <v>160</v>
      </c>
      <c r="C552" s="61"/>
      <c r="D552" s="62"/>
      <c r="E552" s="63"/>
      <c r="F552" s="62"/>
      <c r="G552" s="33"/>
      <c r="H552" s="62"/>
      <c r="I552" s="62"/>
      <c r="J552" s="62"/>
      <c r="K552" s="33" t="s">
        <v>58</v>
      </c>
    </row>
    <row r="553" spans="2:13" ht="12.95" customHeight="1" x14ac:dyDescent="0.3">
      <c r="B553" s="90" t="s">
        <v>30</v>
      </c>
      <c r="C553" s="90" t="s">
        <v>34</v>
      </c>
      <c r="D553" s="64" t="s">
        <v>35</v>
      </c>
      <c r="E553" s="64" t="s">
        <v>31</v>
      </c>
      <c r="F553" s="139" t="s">
        <v>161</v>
      </c>
      <c r="G553" s="140"/>
      <c r="H553" s="140"/>
      <c r="I553" s="140"/>
      <c r="J553" s="140"/>
      <c r="K553" s="140"/>
    </row>
    <row r="554" spans="2:13" ht="12.95" customHeight="1" x14ac:dyDescent="0.3">
      <c r="B554" s="91"/>
      <c r="C554" s="91"/>
      <c r="D554" s="92"/>
      <c r="E554" s="92"/>
      <c r="F554" s="139" t="s">
        <v>233</v>
      </c>
      <c r="G554" s="140"/>
      <c r="H554" s="139" t="s">
        <v>234</v>
      </c>
      <c r="I554" s="140"/>
      <c r="J554" s="139" t="s">
        <v>238</v>
      </c>
      <c r="K554" s="140"/>
    </row>
    <row r="555" spans="2:13" ht="12.95" customHeight="1" x14ac:dyDescent="0.3">
      <c r="B555" s="91"/>
      <c r="C555" s="91"/>
      <c r="D555" s="92"/>
      <c r="E555" s="92"/>
      <c r="F555" s="34" t="s">
        <v>224</v>
      </c>
      <c r="G555" s="37">
        <v>700</v>
      </c>
      <c r="H555" s="34" t="s">
        <v>224</v>
      </c>
      <c r="I555" s="37">
        <v>600</v>
      </c>
      <c r="J555" s="34" t="s">
        <v>224</v>
      </c>
      <c r="K555" s="37">
        <v>640</v>
      </c>
    </row>
    <row r="556" spans="2:13" ht="12.95" customHeight="1" x14ac:dyDescent="0.3">
      <c r="B556" s="93"/>
      <c r="C556" s="93"/>
      <c r="D556" s="67"/>
      <c r="E556" s="67"/>
      <c r="F556" s="38" t="s">
        <v>32</v>
      </c>
      <c r="G556" s="39" t="s">
        <v>33</v>
      </c>
      <c r="H556" s="38" t="s">
        <v>32</v>
      </c>
      <c r="I556" s="39" t="s">
        <v>33</v>
      </c>
      <c r="J556" s="38" t="s">
        <v>32</v>
      </c>
      <c r="K556" s="39" t="s">
        <v>33</v>
      </c>
    </row>
    <row r="557" spans="2:13" ht="12.95" customHeight="1" x14ac:dyDescent="0.3">
      <c r="B557" s="68" t="s">
        <v>94</v>
      </c>
      <c r="C557" s="68" t="s">
        <v>163</v>
      </c>
      <c r="D557" s="69" t="s">
        <v>48</v>
      </c>
      <c r="E557" s="70">
        <v>66417</v>
      </c>
      <c r="F557" s="21">
        <v>8</v>
      </c>
      <c r="G557" s="3">
        <f t="shared" ref="G557:G559" si="99">TRUNC($E557*F557,1)</f>
        <v>531336</v>
      </c>
      <c r="H557" s="21">
        <v>8</v>
      </c>
      <c r="I557" s="3">
        <f t="shared" ref="I557:I559" si="100">TRUNC($E557*H557,1)</f>
        <v>531336</v>
      </c>
      <c r="J557" s="21">
        <v>8</v>
      </c>
      <c r="K557" s="3">
        <f t="shared" ref="K557:K559" si="101">TRUNC($E557*J557,1)</f>
        <v>531336</v>
      </c>
    </row>
    <row r="558" spans="2:13" ht="12.95" customHeight="1" x14ac:dyDescent="0.3">
      <c r="B558" s="68" t="s">
        <v>292</v>
      </c>
      <c r="C558" s="68" t="s">
        <v>5</v>
      </c>
      <c r="D558" s="69" t="s">
        <v>48</v>
      </c>
      <c r="E558" s="70">
        <v>35814</v>
      </c>
      <c r="F558" s="21">
        <v>8</v>
      </c>
      <c r="G558" s="3">
        <f t="shared" si="99"/>
        <v>286512</v>
      </c>
      <c r="H558" s="21">
        <v>8</v>
      </c>
      <c r="I558" s="3">
        <f t="shared" si="100"/>
        <v>286512</v>
      </c>
      <c r="J558" s="21">
        <v>8</v>
      </c>
      <c r="K558" s="3">
        <f t="shared" si="101"/>
        <v>286512</v>
      </c>
    </row>
    <row r="559" spans="2:13" ht="12.95" customHeight="1" x14ac:dyDescent="0.3">
      <c r="B559" s="68" t="s">
        <v>61</v>
      </c>
      <c r="C559" s="68" t="s">
        <v>19</v>
      </c>
      <c r="D559" s="69" t="s">
        <v>48</v>
      </c>
      <c r="E559" s="70">
        <v>25246</v>
      </c>
      <c r="F559" s="21">
        <v>4</v>
      </c>
      <c r="G559" s="3">
        <f t="shared" si="99"/>
        <v>100984</v>
      </c>
      <c r="H559" s="21">
        <v>4</v>
      </c>
      <c r="I559" s="3">
        <f t="shared" si="100"/>
        <v>100984</v>
      </c>
      <c r="J559" s="21">
        <v>4</v>
      </c>
      <c r="K559" s="3">
        <f t="shared" si="101"/>
        <v>100984</v>
      </c>
    </row>
    <row r="560" spans="2:13" ht="12.95" customHeight="1" x14ac:dyDescent="0.3">
      <c r="B560" s="74" t="s">
        <v>38</v>
      </c>
      <c r="C560" s="75"/>
      <c r="D560" s="75"/>
      <c r="E560" s="24"/>
      <c r="F560" s="25"/>
      <c r="G560" s="20">
        <f>TRUNC(SUM(G557:G559))</f>
        <v>918832</v>
      </c>
      <c r="H560" s="25"/>
      <c r="I560" s="20">
        <f>TRUNC(SUM(I557:I559))</f>
        <v>918832</v>
      </c>
      <c r="J560" s="25"/>
      <c r="K560" s="20">
        <f>TRUNC(SUM(K557:K559))</f>
        <v>918832</v>
      </c>
    </row>
    <row r="561" spans="2:13" ht="12.95" customHeight="1" x14ac:dyDescent="0.3">
      <c r="B561" s="77"/>
      <c r="C561" s="75"/>
      <c r="D561" s="75"/>
      <c r="E561" s="24"/>
      <c r="F561" s="25"/>
      <c r="G561" s="78"/>
      <c r="H561" s="25"/>
      <c r="I561" s="78"/>
      <c r="J561" s="25"/>
      <c r="K561" s="78"/>
    </row>
    <row r="562" spans="2:13" ht="12.95" customHeight="1" x14ac:dyDescent="0.3">
      <c r="B562" s="40" t="s">
        <v>3</v>
      </c>
      <c r="C562" s="41"/>
      <c r="D562" s="42" t="s">
        <v>37</v>
      </c>
      <c r="E562" s="70">
        <v>273308</v>
      </c>
      <c r="F562" s="21">
        <v>5</v>
      </c>
      <c r="G562" s="3">
        <f t="shared" ref="G562:G567" si="102">TRUNC($E562*F562,1)</f>
        <v>1366540</v>
      </c>
      <c r="H562" s="21">
        <v>5</v>
      </c>
      <c r="I562" s="3">
        <f t="shared" ref="I562:I567" si="103">TRUNC($E562*H562,1)</f>
        <v>1366540</v>
      </c>
      <c r="J562" s="21">
        <v>5</v>
      </c>
      <c r="K562" s="3">
        <f t="shared" ref="K562:K567" si="104">TRUNC($E562*J562,1)</f>
        <v>1366540</v>
      </c>
    </row>
    <row r="563" spans="2:13" ht="12.95" customHeight="1" x14ac:dyDescent="0.3">
      <c r="B563" s="40" t="s">
        <v>53</v>
      </c>
      <c r="C563" s="41"/>
      <c r="D563" s="42" t="s">
        <v>37</v>
      </c>
      <c r="E563" s="70">
        <v>226122</v>
      </c>
      <c r="F563" s="21">
        <v>2</v>
      </c>
      <c r="G563" s="3">
        <f t="shared" si="102"/>
        <v>452244</v>
      </c>
      <c r="H563" s="21">
        <v>2</v>
      </c>
      <c r="I563" s="3">
        <f t="shared" si="103"/>
        <v>452244</v>
      </c>
      <c r="J563" s="21">
        <v>2</v>
      </c>
      <c r="K563" s="3">
        <f t="shared" si="104"/>
        <v>452244</v>
      </c>
    </row>
    <row r="564" spans="2:13" ht="12.95" customHeight="1" x14ac:dyDescent="0.3">
      <c r="B564" s="40" t="s">
        <v>8</v>
      </c>
      <c r="C564" s="41"/>
      <c r="D564" s="42" t="s">
        <v>37</v>
      </c>
      <c r="E564" s="70">
        <v>172068</v>
      </c>
      <c r="F564" s="21">
        <v>2</v>
      </c>
      <c r="G564" s="3">
        <f t="shared" si="102"/>
        <v>344136</v>
      </c>
      <c r="H564" s="21">
        <v>2</v>
      </c>
      <c r="I564" s="3">
        <f t="shared" si="103"/>
        <v>344136</v>
      </c>
      <c r="J564" s="21">
        <v>2</v>
      </c>
      <c r="K564" s="3">
        <f t="shared" si="104"/>
        <v>344136</v>
      </c>
    </row>
    <row r="565" spans="2:13" ht="12.95" customHeight="1" x14ac:dyDescent="0.3">
      <c r="B565" s="68" t="s">
        <v>94</v>
      </c>
      <c r="C565" s="68" t="s">
        <v>163</v>
      </c>
      <c r="D565" s="69" t="s">
        <v>48</v>
      </c>
      <c r="E565" s="70">
        <v>58925</v>
      </c>
      <c r="F565" s="21">
        <v>8</v>
      </c>
      <c r="G565" s="3">
        <f t="shared" si="102"/>
        <v>471400</v>
      </c>
      <c r="H565" s="21">
        <v>8</v>
      </c>
      <c r="I565" s="3">
        <f t="shared" si="103"/>
        <v>471400</v>
      </c>
      <c r="J565" s="21">
        <v>8</v>
      </c>
      <c r="K565" s="3">
        <f t="shared" si="104"/>
        <v>471400</v>
      </c>
    </row>
    <row r="566" spans="2:13" ht="12.95" customHeight="1" x14ac:dyDescent="0.3">
      <c r="B566" s="68" t="s">
        <v>292</v>
      </c>
      <c r="C566" s="68" t="s">
        <v>5</v>
      </c>
      <c r="D566" s="69" t="s">
        <v>48</v>
      </c>
      <c r="E566" s="70">
        <v>58925</v>
      </c>
      <c r="F566" s="21">
        <v>8</v>
      </c>
      <c r="G566" s="3">
        <f t="shared" si="102"/>
        <v>471400</v>
      </c>
      <c r="H566" s="21">
        <v>8</v>
      </c>
      <c r="I566" s="3">
        <f t="shared" si="103"/>
        <v>471400</v>
      </c>
      <c r="J566" s="21">
        <v>8</v>
      </c>
      <c r="K566" s="3">
        <f t="shared" si="104"/>
        <v>471400</v>
      </c>
    </row>
    <row r="567" spans="2:13" ht="12.95" customHeight="1" x14ac:dyDescent="0.3">
      <c r="B567" s="68" t="s">
        <v>61</v>
      </c>
      <c r="C567" s="68" t="s">
        <v>19</v>
      </c>
      <c r="D567" s="69" t="s">
        <v>48</v>
      </c>
      <c r="E567" s="70">
        <v>49698</v>
      </c>
      <c r="F567" s="21">
        <v>4</v>
      </c>
      <c r="G567" s="3">
        <f t="shared" si="102"/>
        <v>198792</v>
      </c>
      <c r="H567" s="21">
        <v>4</v>
      </c>
      <c r="I567" s="3">
        <f t="shared" si="103"/>
        <v>198792</v>
      </c>
      <c r="J567" s="21">
        <v>4</v>
      </c>
      <c r="K567" s="3">
        <f t="shared" si="104"/>
        <v>198792</v>
      </c>
    </row>
    <row r="568" spans="2:13" ht="12.95" customHeight="1" x14ac:dyDescent="0.3">
      <c r="B568" s="45" t="s">
        <v>39</v>
      </c>
      <c r="C568" s="75"/>
      <c r="D568" s="75"/>
      <c r="E568" s="24"/>
      <c r="F568" s="25"/>
      <c r="G568" s="20">
        <f>TRUNC(SUM(G562:G567))</f>
        <v>3304512</v>
      </c>
      <c r="H568" s="25"/>
      <c r="I568" s="20">
        <f>TRUNC(SUM(I562:I567))</f>
        <v>3304512</v>
      </c>
      <c r="J568" s="25"/>
      <c r="K568" s="20">
        <f>TRUNC(SUM(K562:K567))</f>
        <v>3304512</v>
      </c>
    </row>
    <row r="569" spans="2:13" ht="12.95" customHeight="1" x14ac:dyDescent="0.3">
      <c r="B569" s="77"/>
      <c r="C569" s="75"/>
      <c r="D569" s="75"/>
      <c r="E569" s="24"/>
      <c r="F569" s="25"/>
      <c r="G569" s="78"/>
      <c r="H569" s="25"/>
      <c r="I569" s="78"/>
      <c r="J569" s="25"/>
      <c r="K569" s="78"/>
    </row>
    <row r="570" spans="2:13" ht="12.95" customHeight="1" x14ac:dyDescent="0.3">
      <c r="B570" s="68" t="s">
        <v>94</v>
      </c>
      <c r="C570" s="68" t="s">
        <v>163</v>
      </c>
      <c r="D570" s="69" t="s">
        <v>48</v>
      </c>
      <c r="E570" s="70">
        <v>185709</v>
      </c>
      <c r="F570" s="21">
        <v>8</v>
      </c>
      <c r="G570" s="3">
        <f t="shared" ref="G570:G572" si="105">TRUNC($E570*F570,1)</f>
        <v>1485672</v>
      </c>
      <c r="H570" s="21">
        <v>8</v>
      </c>
      <c r="I570" s="3">
        <f t="shared" ref="I570:I572" si="106">TRUNC($E570*H570,1)</f>
        <v>1485672</v>
      </c>
      <c r="J570" s="21">
        <v>8</v>
      </c>
      <c r="K570" s="3">
        <f t="shared" ref="K570:K572" si="107">TRUNC($E570*J570,1)</f>
        <v>1485672</v>
      </c>
    </row>
    <row r="571" spans="2:13" ht="12.95" customHeight="1" x14ac:dyDescent="0.3">
      <c r="B571" s="68" t="s">
        <v>292</v>
      </c>
      <c r="C571" s="68" t="s">
        <v>5</v>
      </c>
      <c r="D571" s="69" t="s">
        <v>48</v>
      </c>
      <c r="E571" s="70">
        <v>29621</v>
      </c>
      <c r="F571" s="21">
        <v>8</v>
      </c>
      <c r="G571" s="3">
        <f t="shared" si="105"/>
        <v>236968</v>
      </c>
      <c r="H571" s="21">
        <v>8</v>
      </c>
      <c r="I571" s="3">
        <f t="shared" si="106"/>
        <v>236968</v>
      </c>
      <c r="J571" s="21">
        <v>8</v>
      </c>
      <c r="K571" s="3">
        <f t="shared" si="107"/>
        <v>236968</v>
      </c>
    </row>
    <row r="572" spans="2:13" ht="12.95" customHeight="1" x14ac:dyDescent="0.3">
      <c r="B572" s="68" t="s">
        <v>61</v>
      </c>
      <c r="C572" s="68" t="s">
        <v>19</v>
      </c>
      <c r="D572" s="69" t="s">
        <v>48</v>
      </c>
      <c r="E572" s="70">
        <v>19154</v>
      </c>
      <c r="F572" s="21">
        <v>4</v>
      </c>
      <c r="G572" s="3">
        <f t="shared" si="105"/>
        <v>76616</v>
      </c>
      <c r="H572" s="21">
        <v>4</v>
      </c>
      <c r="I572" s="3">
        <f t="shared" si="106"/>
        <v>76616</v>
      </c>
      <c r="J572" s="21">
        <v>4</v>
      </c>
      <c r="K572" s="3">
        <f t="shared" si="107"/>
        <v>76616</v>
      </c>
    </row>
    <row r="573" spans="2:13" ht="12.95" customHeight="1" x14ac:dyDescent="0.3">
      <c r="B573" s="74" t="s">
        <v>40</v>
      </c>
      <c r="C573" s="75"/>
      <c r="D573" s="75"/>
      <c r="E573" s="81"/>
      <c r="F573" s="19"/>
      <c r="G573" s="20">
        <f>TRUNC(SUM(G570:G572))</f>
        <v>1799256</v>
      </c>
      <c r="H573" s="19"/>
      <c r="I573" s="20">
        <f>TRUNC(SUM(I570:I572))</f>
        <v>1799256</v>
      </c>
      <c r="J573" s="19"/>
      <c r="K573" s="20">
        <f>TRUNC(SUM(K570:K572))</f>
        <v>1799256</v>
      </c>
    </row>
    <row r="574" spans="2:13" ht="12.95" customHeight="1" x14ac:dyDescent="0.3">
      <c r="B574" s="82"/>
      <c r="C574" s="68"/>
      <c r="D574" s="68"/>
      <c r="E574" s="83"/>
      <c r="F574" s="84"/>
      <c r="G574" s="72"/>
      <c r="H574" s="84"/>
      <c r="I574" s="72"/>
      <c r="J574" s="84"/>
      <c r="K574" s="72"/>
    </row>
    <row r="575" spans="2:13" ht="12.95" customHeight="1" x14ac:dyDescent="0.3">
      <c r="B575" s="51" t="s">
        <v>42</v>
      </c>
      <c r="C575" s="75"/>
      <c r="D575" s="75"/>
      <c r="E575" s="81"/>
      <c r="F575" s="81"/>
      <c r="G575" s="85">
        <f>SUM(G560+G568+G573)</f>
        <v>6022600</v>
      </c>
      <c r="H575" s="81"/>
      <c r="I575" s="85">
        <f>SUM(I560+I568+I573)</f>
        <v>6022600</v>
      </c>
      <c r="J575" s="81"/>
      <c r="K575" s="85">
        <f>SUM(K560+K568+K573)</f>
        <v>6022600</v>
      </c>
    </row>
    <row r="576" spans="2:13" ht="12.95" customHeight="1" x14ac:dyDescent="0.3">
      <c r="B576" s="52" t="s">
        <v>225</v>
      </c>
      <c r="C576" s="86"/>
      <c r="D576" s="86"/>
      <c r="E576" s="87"/>
      <c r="F576" s="87"/>
      <c r="G576" s="8">
        <f>TRUNC(G575/G555)</f>
        <v>8603</v>
      </c>
      <c r="H576" s="87"/>
      <c r="I576" s="8">
        <f>TRUNC(I575/I555)</f>
        <v>10037</v>
      </c>
      <c r="J576" s="87"/>
      <c r="K576" s="8">
        <f>TRUNC(K575/K555)</f>
        <v>9410</v>
      </c>
      <c r="L576" s="18"/>
      <c r="M576" s="18"/>
    </row>
    <row r="578" spans="2:13" ht="12.95" customHeight="1" x14ac:dyDescent="0.3">
      <c r="B578" s="60" t="s">
        <v>164</v>
      </c>
      <c r="C578" s="61"/>
      <c r="D578" s="62"/>
      <c r="E578" s="63"/>
      <c r="F578" s="62"/>
      <c r="G578" s="33"/>
      <c r="H578" s="62"/>
      <c r="I578" s="62"/>
      <c r="J578" s="62"/>
      <c r="K578" s="62"/>
      <c r="L578" s="62"/>
      <c r="M578" s="33" t="s">
        <v>169</v>
      </c>
    </row>
    <row r="579" spans="2:13" ht="12.95" customHeight="1" x14ac:dyDescent="0.3">
      <c r="B579" s="142" t="s">
        <v>30</v>
      </c>
      <c r="C579" s="142" t="s">
        <v>34</v>
      </c>
      <c r="D579" s="145" t="s">
        <v>35</v>
      </c>
      <c r="E579" s="145" t="s">
        <v>31</v>
      </c>
      <c r="F579" s="139" t="s">
        <v>167</v>
      </c>
      <c r="G579" s="140"/>
      <c r="H579" s="140"/>
      <c r="I579" s="156"/>
      <c r="J579" s="139" t="s">
        <v>168</v>
      </c>
      <c r="K579" s="140"/>
      <c r="L579" s="140"/>
      <c r="M579" s="140"/>
    </row>
    <row r="580" spans="2:13" ht="12.95" customHeight="1" x14ac:dyDescent="0.3">
      <c r="B580" s="143"/>
      <c r="C580" s="143"/>
      <c r="D580" s="146"/>
      <c r="E580" s="146"/>
      <c r="F580" s="139" t="s">
        <v>170</v>
      </c>
      <c r="G580" s="140"/>
      <c r="H580" s="139" t="s">
        <v>171</v>
      </c>
      <c r="I580" s="140"/>
      <c r="J580" s="139" t="s">
        <v>172</v>
      </c>
      <c r="K580" s="140"/>
      <c r="L580" s="139" t="s">
        <v>173</v>
      </c>
      <c r="M580" s="140"/>
    </row>
    <row r="581" spans="2:13" ht="12.95" customHeight="1" x14ac:dyDescent="0.3">
      <c r="B581" s="144"/>
      <c r="C581" s="144"/>
      <c r="D581" s="147"/>
      <c r="E581" s="147"/>
      <c r="F581" s="38" t="s">
        <v>32</v>
      </c>
      <c r="G581" s="39" t="s">
        <v>33</v>
      </c>
      <c r="H581" s="38" t="s">
        <v>32</v>
      </c>
      <c r="I581" s="39" t="s">
        <v>33</v>
      </c>
      <c r="J581" s="38" t="s">
        <v>32</v>
      </c>
      <c r="K581" s="39" t="s">
        <v>33</v>
      </c>
      <c r="L581" s="38" t="s">
        <v>32</v>
      </c>
      <c r="M581" s="39" t="s">
        <v>33</v>
      </c>
    </row>
    <row r="582" spans="2:13" ht="12.95" customHeight="1" x14ac:dyDescent="0.3">
      <c r="B582" s="68" t="s">
        <v>162</v>
      </c>
      <c r="C582" s="68" t="s">
        <v>166</v>
      </c>
      <c r="D582" s="69" t="s">
        <v>48</v>
      </c>
      <c r="E582" s="70">
        <v>37580</v>
      </c>
      <c r="F582" s="21">
        <v>8</v>
      </c>
      <c r="G582" s="3">
        <f t="shared" ref="G582:M582" si="108">TRUNC($E582*F582,1)</f>
        <v>300640</v>
      </c>
      <c r="H582" s="21">
        <v>8</v>
      </c>
      <c r="I582" s="3">
        <f t="shared" si="108"/>
        <v>300640</v>
      </c>
      <c r="J582" s="21">
        <v>8</v>
      </c>
      <c r="K582" s="3">
        <f t="shared" si="108"/>
        <v>300640</v>
      </c>
      <c r="L582" s="21">
        <v>8</v>
      </c>
      <c r="M582" s="3">
        <f t="shared" si="108"/>
        <v>300640</v>
      </c>
    </row>
    <row r="583" spans="2:13" ht="12.95" customHeight="1" x14ac:dyDescent="0.3">
      <c r="B583" s="96" t="s">
        <v>36</v>
      </c>
      <c r="C583" s="97" t="s">
        <v>41</v>
      </c>
      <c r="D583" s="35" t="s">
        <v>45</v>
      </c>
      <c r="E583" s="98"/>
      <c r="F583" s="21">
        <v>1</v>
      </c>
      <c r="G583" s="5">
        <f>TRUNC(SUM(G586:G588)*0.03,1)</f>
        <v>42400.9</v>
      </c>
      <c r="H583" s="21">
        <v>1</v>
      </c>
      <c r="I583" s="5">
        <f>TRUNC(SUM(I586:I588)*0.03,1)</f>
        <v>42400.9</v>
      </c>
      <c r="J583" s="21">
        <v>1</v>
      </c>
      <c r="K583" s="5">
        <f>TRUNC(SUM(K586:K588)*0.03,1)</f>
        <v>35206.699999999997</v>
      </c>
      <c r="L583" s="21">
        <v>1</v>
      </c>
      <c r="M583" s="5">
        <f>TRUNC(SUM(M586:M588)*0.03,1)</f>
        <v>35206.699999999997</v>
      </c>
    </row>
    <row r="584" spans="2:13" ht="12.95" customHeight="1" x14ac:dyDescent="0.3">
      <c r="B584" s="74" t="s">
        <v>38</v>
      </c>
      <c r="C584" s="75"/>
      <c r="D584" s="75"/>
      <c r="E584" s="24"/>
      <c r="F584" s="25"/>
      <c r="G584" s="20">
        <f>TRUNC(SUM(G582:G583))</f>
        <v>343040</v>
      </c>
      <c r="H584" s="25"/>
      <c r="I584" s="20">
        <f>TRUNC(SUM(I582:I583))</f>
        <v>343040</v>
      </c>
      <c r="J584" s="25"/>
      <c r="K584" s="20">
        <f>TRUNC(SUM(K582:K583))</f>
        <v>335846</v>
      </c>
      <c r="L584" s="25"/>
      <c r="M584" s="20">
        <f>TRUNC(SUM(M582:M583))</f>
        <v>335846</v>
      </c>
    </row>
    <row r="585" spans="2:13" ht="12.95" customHeight="1" x14ac:dyDescent="0.3">
      <c r="B585" s="77"/>
      <c r="C585" s="75"/>
      <c r="D585" s="75"/>
      <c r="E585" s="24"/>
      <c r="F585" s="25"/>
      <c r="G585" s="78"/>
      <c r="H585" s="25"/>
      <c r="I585" s="78"/>
      <c r="J585" s="25"/>
      <c r="K585" s="78"/>
      <c r="L585" s="25"/>
      <c r="M585" s="78"/>
    </row>
    <row r="586" spans="2:13" ht="12.95" customHeight="1" x14ac:dyDescent="0.3">
      <c r="B586" s="40" t="s">
        <v>165</v>
      </c>
      <c r="C586" s="41"/>
      <c r="D586" s="42" t="s">
        <v>37</v>
      </c>
      <c r="E586" s="70">
        <v>241698</v>
      </c>
      <c r="F586" s="21">
        <v>1</v>
      </c>
      <c r="G586" s="3">
        <f t="shared" ref="G586:M589" si="109">TRUNC($E586*F586,1)</f>
        <v>241698</v>
      </c>
      <c r="H586" s="21">
        <v>1</v>
      </c>
      <c r="I586" s="3">
        <f t="shared" si="109"/>
        <v>241698</v>
      </c>
      <c r="J586" s="21">
        <v>1</v>
      </c>
      <c r="K586" s="3">
        <f t="shared" si="109"/>
        <v>241698</v>
      </c>
      <c r="L586" s="21">
        <v>1</v>
      </c>
      <c r="M586" s="3">
        <f t="shared" si="109"/>
        <v>241698</v>
      </c>
    </row>
    <row r="587" spans="2:13" ht="12.95" customHeight="1" x14ac:dyDescent="0.3">
      <c r="B587" s="40" t="s">
        <v>12</v>
      </c>
      <c r="C587" s="41"/>
      <c r="D587" s="42" t="s">
        <v>37</v>
      </c>
      <c r="E587" s="95">
        <v>239808</v>
      </c>
      <c r="F587" s="21">
        <v>3</v>
      </c>
      <c r="G587" s="3">
        <f t="shared" si="109"/>
        <v>719424</v>
      </c>
      <c r="H587" s="21">
        <v>3</v>
      </c>
      <c r="I587" s="3">
        <f t="shared" si="109"/>
        <v>719424</v>
      </c>
      <c r="J587" s="21">
        <v>2</v>
      </c>
      <c r="K587" s="3">
        <f t="shared" si="109"/>
        <v>479616</v>
      </c>
      <c r="L587" s="21">
        <v>2</v>
      </c>
      <c r="M587" s="3">
        <f t="shared" si="109"/>
        <v>479616</v>
      </c>
    </row>
    <row r="588" spans="2:13" ht="12.95" customHeight="1" x14ac:dyDescent="0.3">
      <c r="B588" s="40" t="s">
        <v>53</v>
      </c>
      <c r="C588" s="41"/>
      <c r="D588" s="42" t="s">
        <v>37</v>
      </c>
      <c r="E588" s="70">
        <v>226122</v>
      </c>
      <c r="F588" s="21">
        <v>2</v>
      </c>
      <c r="G588" s="3">
        <f t="shared" si="109"/>
        <v>452244</v>
      </c>
      <c r="H588" s="21">
        <v>2</v>
      </c>
      <c r="I588" s="3">
        <f t="shared" si="109"/>
        <v>452244</v>
      </c>
      <c r="J588" s="21">
        <v>2</v>
      </c>
      <c r="K588" s="3">
        <f t="shared" si="109"/>
        <v>452244</v>
      </c>
      <c r="L588" s="21">
        <v>2</v>
      </c>
      <c r="M588" s="3">
        <f t="shared" si="109"/>
        <v>452244</v>
      </c>
    </row>
    <row r="589" spans="2:13" ht="12.95" customHeight="1" x14ac:dyDescent="0.3">
      <c r="B589" s="68" t="s">
        <v>162</v>
      </c>
      <c r="C589" s="68" t="s">
        <v>166</v>
      </c>
      <c r="D589" s="69" t="s">
        <v>48</v>
      </c>
      <c r="E589" s="70">
        <v>58925</v>
      </c>
      <c r="F589" s="21">
        <v>8</v>
      </c>
      <c r="G589" s="3">
        <f t="shared" si="109"/>
        <v>471400</v>
      </c>
      <c r="H589" s="21">
        <v>8</v>
      </c>
      <c r="I589" s="3">
        <f t="shared" si="109"/>
        <v>471400</v>
      </c>
      <c r="J589" s="21">
        <v>8</v>
      </c>
      <c r="K589" s="3">
        <f t="shared" si="109"/>
        <v>471400</v>
      </c>
      <c r="L589" s="21">
        <v>8</v>
      </c>
      <c r="M589" s="3">
        <f t="shared" si="109"/>
        <v>471400</v>
      </c>
    </row>
    <row r="590" spans="2:13" ht="12.95" customHeight="1" x14ac:dyDescent="0.3">
      <c r="B590" s="45" t="s">
        <v>39</v>
      </c>
      <c r="C590" s="75"/>
      <c r="D590" s="75"/>
      <c r="E590" s="24"/>
      <c r="F590" s="25"/>
      <c r="G590" s="20">
        <f>TRUNC(SUM(G586:G589))</f>
        <v>1884766</v>
      </c>
      <c r="H590" s="25"/>
      <c r="I590" s="20">
        <f>TRUNC(SUM(I586:I589))</f>
        <v>1884766</v>
      </c>
      <c r="J590" s="25"/>
      <c r="K590" s="20">
        <f>TRUNC(SUM(K586:K589))</f>
        <v>1644958</v>
      </c>
      <c r="L590" s="25"/>
      <c r="M590" s="20">
        <f>TRUNC(SUM(M586:M589))</f>
        <v>1644958</v>
      </c>
    </row>
    <row r="591" spans="2:13" ht="12.95" customHeight="1" x14ac:dyDescent="0.3">
      <c r="B591" s="77"/>
      <c r="C591" s="75"/>
      <c r="D591" s="75"/>
      <c r="E591" s="24"/>
      <c r="F591" s="25"/>
      <c r="G591" s="78"/>
      <c r="H591" s="25"/>
      <c r="I591" s="78"/>
      <c r="J591" s="25"/>
      <c r="K591" s="78"/>
      <c r="L591" s="25"/>
      <c r="M591" s="78"/>
    </row>
    <row r="592" spans="2:13" ht="12.95" customHeight="1" x14ac:dyDescent="0.3">
      <c r="B592" s="68" t="s">
        <v>162</v>
      </c>
      <c r="C592" s="68" t="s">
        <v>166</v>
      </c>
      <c r="D592" s="69" t="s">
        <v>48</v>
      </c>
      <c r="E592" s="70">
        <v>164907</v>
      </c>
      <c r="F592" s="21">
        <v>8</v>
      </c>
      <c r="G592" s="3">
        <f t="shared" ref="G592:M592" si="110">TRUNC($E592*F592,1)</f>
        <v>1319256</v>
      </c>
      <c r="H592" s="21">
        <v>8</v>
      </c>
      <c r="I592" s="3">
        <f t="shared" si="110"/>
        <v>1319256</v>
      </c>
      <c r="J592" s="21">
        <v>8</v>
      </c>
      <c r="K592" s="3">
        <f t="shared" si="110"/>
        <v>1319256</v>
      </c>
      <c r="L592" s="21">
        <v>8</v>
      </c>
      <c r="M592" s="3">
        <f t="shared" si="110"/>
        <v>1319256</v>
      </c>
    </row>
    <row r="593" spans="2:13" ht="12.95" customHeight="1" x14ac:dyDescent="0.3">
      <c r="B593" s="74" t="s">
        <v>40</v>
      </c>
      <c r="C593" s="75"/>
      <c r="D593" s="75"/>
      <c r="E593" s="81"/>
      <c r="F593" s="19"/>
      <c r="G593" s="20">
        <f>TRUNC(SUM(G592:G592))</f>
        <v>1319256</v>
      </c>
      <c r="H593" s="19"/>
      <c r="I593" s="20">
        <f>TRUNC(SUM(I592:I592))</f>
        <v>1319256</v>
      </c>
      <c r="J593" s="19"/>
      <c r="K593" s="20">
        <f>TRUNC(SUM(K592:K592))</f>
        <v>1319256</v>
      </c>
      <c r="L593" s="19"/>
      <c r="M593" s="20">
        <f>TRUNC(SUM(M592:M592))</f>
        <v>1319256</v>
      </c>
    </row>
    <row r="594" spans="2:13" ht="12.95" customHeight="1" x14ac:dyDescent="0.3">
      <c r="B594" s="82"/>
      <c r="C594" s="68"/>
      <c r="D594" s="68"/>
      <c r="E594" s="83"/>
      <c r="F594" s="84"/>
      <c r="G594" s="72"/>
      <c r="H594" s="84"/>
      <c r="I594" s="72"/>
      <c r="J594" s="84"/>
      <c r="K594" s="72"/>
      <c r="L594" s="84"/>
      <c r="M594" s="72"/>
    </row>
    <row r="595" spans="2:13" ht="12.95" customHeight="1" x14ac:dyDescent="0.3">
      <c r="B595" s="52" t="s">
        <v>42</v>
      </c>
      <c r="C595" s="86"/>
      <c r="D595" s="86"/>
      <c r="E595" s="87"/>
      <c r="F595" s="87"/>
      <c r="G595" s="89">
        <f>SUM(G584+G590+G593)</f>
        <v>3547062</v>
      </c>
      <c r="H595" s="87"/>
      <c r="I595" s="89">
        <f>SUM(I584+I590+I593)</f>
        <v>3547062</v>
      </c>
      <c r="J595" s="87"/>
      <c r="K595" s="89">
        <f>SUM(K584+K590+K593)</f>
        <v>3300060</v>
      </c>
      <c r="L595" s="87"/>
      <c r="M595" s="89">
        <f>SUM(M584+M590+M593)</f>
        <v>3300060</v>
      </c>
    </row>
    <row r="597" spans="2:13" ht="12.95" customHeight="1" x14ac:dyDescent="0.3">
      <c r="B597" s="60" t="s">
        <v>174</v>
      </c>
      <c r="C597" s="61"/>
      <c r="D597" s="62"/>
      <c r="E597" s="63"/>
      <c r="F597" s="62"/>
      <c r="G597" s="33" t="s">
        <v>58</v>
      </c>
    </row>
    <row r="598" spans="2:13" ht="12.95" customHeight="1" x14ac:dyDescent="0.3">
      <c r="B598" s="122" t="s">
        <v>30</v>
      </c>
      <c r="C598" s="123" t="s">
        <v>34</v>
      </c>
      <c r="D598" s="141" t="s">
        <v>35</v>
      </c>
      <c r="E598" s="125" t="s">
        <v>31</v>
      </c>
      <c r="F598" s="34" t="s">
        <v>224</v>
      </c>
      <c r="G598" s="37">
        <v>600</v>
      </c>
      <c r="H598" s="4"/>
    </row>
    <row r="599" spans="2:13" ht="12.95" customHeight="1" x14ac:dyDescent="0.3">
      <c r="B599" s="122"/>
      <c r="C599" s="123"/>
      <c r="D599" s="141"/>
      <c r="E599" s="125"/>
      <c r="F599" s="38" t="s">
        <v>32</v>
      </c>
      <c r="G599" s="39" t="s">
        <v>33</v>
      </c>
      <c r="H599" s="4"/>
    </row>
    <row r="600" spans="2:13" ht="12.95" customHeight="1" x14ac:dyDescent="0.3">
      <c r="B600" s="68" t="s">
        <v>95</v>
      </c>
      <c r="C600" s="68" t="s">
        <v>96</v>
      </c>
      <c r="D600" s="69" t="s">
        <v>48</v>
      </c>
      <c r="E600" s="70">
        <v>10648</v>
      </c>
      <c r="F600" s="21">
        <v>8</v>
      </c>
      <c r="G600" s="3">
        <f t="shared" ref="G600" si="111">TRUNC($E600*F600,1)</f>
        <v>85184</v>
      </c>
    </row>
    <row r="601" spans="2:13" ht="12.95" customHeight="1" x14ac:dyDescent="0.3">
      <c r="B601" s="96" t="s">
        <v>36</v>
      </c>
      <c r="C601" s="97" t="s">
        <v>41</v>
      </c>
      <c r="D601" s="35" t="s">
        <v>45</v>
      </c>
      <c r="E601" s="98"/>
      <c r="F601" s="21">
        <v>1</v>
      </c>
      <c r="G601" s="5">
        <f>TRUNC(SUM(G604:G605)*0.03,1)</f>
        <v>11945.7</v>
      </c>
    </row>
    <row r="602" spans="2:13" ht="12.95" customHeight="1" x14ac:dyDescent="0.3">
      <c r="B602" s="74" t="s">
        <v>38</v>
      </c>
      <c r="C602" s="75"/>
      <c r="D602" s="75"/>
      <c r="E602" s="24"/>
      <c r="F602" s="25"/>
      <c r="G602" s="20">
        <f>TRUNC(SUM(G600:G601))</f>
        <v>97129</v>
      </c>
    </row>
    <row r="603" spans="2:13" ht="12.95" customHeight="1" x14ac:dyDescent="0.3">
      <c r="B603" s="77"/>
      <c r="C603" s="75"/>
      <c r="D603" s="75"/>
      <c r="E603" s="24"/>
      <c r="F603" s="25"/>
      <c r="G603" s="78"/>
    </row>
    <row r="604" spans="2:13" ht="12.95" customHeight="1" x14ac:dyDescent="0.3">
      <c r="B604" s="40" t="s">
        <v>53</v>
      </c>
      <c r="C604" s="41"/>
      <c r="D604" s="42" t="s">
        <v>37</v>
      </c>
      <c r="E604" s="70">
        <v>226122</v>
      </c>
      <c r="F604" s="21">
        <v>1</v>
      </c>
      <c r="G604" s="3">
        <f t="shared" ref="G604:G606" si="112">TRUNC($E604*F604,1)</f>
        <v>226122</v>
      </c>
    </row>
    <row r="605" spans="2:13" ht="12.95" customHeight="1" x14ac:dyDescent="0.3">
      <c r="B605" s="40" t="s">
        <v>8</v>
      </c>
      <c r="C605" s="41"/>
      <c r="D605" s="42" t="s">
        <v>37</v>
      </c>
      <c r="E605" s="70">
        <v>172068</v>
      </c>
      <c r="F605" s="21">
        <v>1</v>
      </c>
      <c r="G605" s="3">
        <f t="shared" si="112"/>
        <v>172068</v>
      </c>
    </row>
    <row r="606" spans="2:13" ht="12.95" customHeight="1" x14ac:dyDescent="0.3">
      <c r="B606" s="68" t="s">
        <v>95</v>
      </c>
      <c r="C606" s="68" t="s">
        <v>96</v>
      </c>
      <c r="D606" s="69" t="s">
        <v>48</v>
      </c>
      <c r="E606" s="70">
        <v>36190</v>
      </c>
      <c r="F606" s="21">
        <v>8</v>
      </c>
      <c r="G606" s="3">
        <f t="shared" si="112"/>
        <v>289520</v>
      </c>
    </row>
    <row r="607" spans="2:13" ht="12.95" customHeight="1" x14ac:dyDescent="0.3">
      <c r="B607" s="45" t="s">
        <v>39</v>
      </c>
      <c r="C607" s="75"/>
      <c r="D607" s="75"/>
      <c r="E607" s="24"/>
      <c r="F607" s="25"/>
      <c r="G607" s="20">
        <f>TRUNC(SUM(G604:G606))</f>
        <v>687710</v>
      </c>
    </row>
    <row r="608" spans="2:13" ht="12.95" customHeight="1" x14ac:dyDescent="0.3">
      <c r="B608" s="77"/>
      <c r="C608" s="75"/>
      <c r="D608" s="75"/>
      <c r="E608" s="24"/>
      <c r="F608" s="25"/>
      <c r="G608" s="78"/>
    </row>
    <row r="609" spans="2:13" ht="12.95" customHeight="1" x14ac:dyDescent="0.3">
      <c r="B609" s="68" t="s">
        <v>95</v>
      </c>
      <c r="C609" s="68" t="s">
        <v>96</v>
      </c>
      <c r="D609" s="69" t="s">
        <v>48</v>
      </c>
      <c r="E609" s="70">
        <v>2064</v>
      </c>
      <c r="F609" s="21">
        <v>8</v>
      </c>
      <c r="G609" s="3">
        <f t="shared" ref="G609" si="113">TRUNC($E609*F609,1)</f>
        <v>16512</v>
      </c>
    </row>
    <row r="610" spans="2:13" ht="12.95" customHeight="1" x14ac:dyDescent="0.3">
      <c r="B610" s="74" t="s">
        <v>40</v>
      </c>
      <c r="C610" s="75"/>
      <c r="D610" s="75"/>
      <c r="E610" s="81"/>
      <c r="F610" s="19"/>
      <c r="G610" s="20">
        <f>TRUNC(SUM(G609:G609))</f>
        <v>16512</v>
      </c>
    </row>
    <row r="611" spans="2:13" ht="12.95" customHeight="1" x14ac:dyDescent="0.3">
      <c r="B611" s="82"/>
      <c r="C611" s="68"/>
      <c r="D611" s="68"/>
      <c r="E611" s="83"/>
      <c r="F611" s="84"/>
      <c r="G611" s="72"/>
    </row>
    <row r="612" spans="2:13" ht="12.95" customHeight="1" x14ac:dyDescent="0.3">
      <c r="B612" s="51" t="s">
        <v>42</v>
      </c>
      <c r="C612" s="75"/>
      <c r="D612" s="75"/>
      <c r="E612" s="81"/>
      <c r="F612" s="81"/>
      <c r="G612" s="85">
        <f>SUM(G602+G607+G610)</f>
        <v>801351</v>
      </c>
    </row>
    <row r="613" spans="2:13" ht="12.95" customHeight="1" x14ac:dyDescent="0.3">
      <c r="B613" s="52" t="s">
        <v>225</v>
      </c>
      <c r="C613" s="86"/>
      <c r="D613" s="86"/>
      <c r="E613" s="87"/>
      <c r="F613" s="87"/>
      <c r="G613" s="8">
        <f>TRUNC(G612/G598)</f>
        <v>1335</v>
      </c>
      <c r="L613" s="18"/>
      <c r="M613" s="18"/>
    </row>
    <row r="615" spans="2:13" ht="12.95" customHeight="1" x14ac:dyDescent="0.3">
      <c r="B615" s="31" t="s">
        <v>175</v>
      </c>
      <c r="C615" s="32"/>
      <c r="D615" s="32"/>
      <c r="E615" s="32"/>
      <c r="F615" s="32"/>
      <c r="G615" s="33" t="s">
        <v>58</v>
      </c>
    </row>
    <row r="616" spans="2:13" ht="12.95" customHeight="1" x14ac:dyDescent="0.3">
      <c r="B616" s="122" t="s">
        <v>30</v>
      </c>
      <c r="C616" s="123" t="s">
        <v>34</v>
      </c>
      <c r="D616" s="141" t="s">
        <v>35</v>
      </c>
      <c r="E616" s="125" t="s">
        <v>31</v>
      </c>
      <c r="F616" s="34" t="s">
        <v>224</v>
      </c>
      <c r="G616" s="37">
        <v>900</v>
      </c>
    </row>
    <row r="617" spans="2:13" ht="12.95" customHeight="1" x14ac:dyDescent="0.3">
      <c r="B617" s="122"/>
      <c r="C617" s="123"/>
      <c r="D617" s="141"/>
      <c r="E617" s="125"/>
      <c r="F617" s="38" t="s">
        <v>32</v>
      </c>
      <c r="G617" s="39" t="s">
        <v>33</v>
      </c>
    </row>
    <row r="618" spans="2:13" ht="12.95" customHeight="1" x14ac:dyDescent="0.3">
      <c r="B618" s="40" t="s">
        <v>53</v>
      </c>
      <c r="C618" s="41"/>
      <c r="D618" s="42" t="s">
        <v>37</v>
      </c>
      <c r="E618" s="70">
        <v>226122</v>
      </c>
      <c r="F618" s="21">
        <v>3</v>
      </c>
      <c r="G618" s="3">
        <f t="shared" ref="G618:G619" si="114">TRUNC($E618*F618,1)</f>
        <v>678366</v>
      </c>
    </row>
    <row r="619" spans="2:13" ht="12.95" customHeight="1" x14ac:dyDescent="0.3">
      <c r="B619" s="40" t="s">
        <v>8</v>
      </c>
      <c r="C619" s="41"/>
      <c r="D619" s="42" t="s">
        <v>37</v>
      </c>
      <c r="E619" s="70">
        <v>172068</v>
      </c>
      <c r="F619" s="21">
        <v>2</v>
      </c>
      <c r="G619" s="3">
        <f t="shared" si="114"/>
        <v>344136</v>
      </c>
    </row>
    <row r="620" spans="2:13" ht="12.95" customHeight="1" x14ac:dyDescent="0.3">
      <c r="B620" s="45" t="s">
        <v>39</v>
      </c>
      <c r="C620" s="46"/>
      <c r="D620" s="47"/>
      <c r="E620" s="48"/>
      <c r="F620" s="48"/>
      <c r="G620" s="15">
        <f>TRUNC(SUM(G618:G619))</f>
        <v>1022502</v>
      </c>
    </row>
    <row r="621" spans="2:13" ht="12.95" customHeight="1" x14ac:dyDescent="0.3">
      <c r="B621" s="49"/>
      <c r="C621" s="41"/>
      <c r="D621" s="42"/>
      <c r="E621" s="50"/>
      <c r="F621" s="50"/>
      <c r="G621" s="7"/>
    </row>
    <row r="622" spans="2:13" ht="12.95" customHeight="1" x14ac:dyDescent="0.3">
      <c r="B622" s="51" t="s">
        <v>42</v>
      </c>
      <c r="C622" s="41"/>
      <c r="D622" s="42"/>
      <c r="E622" s="50"/>
      <c r="F622" s="50"/>
      <c r="G622" s="7">
        <f>SUM(G620)</f>
        <v>1022502</v>
      </c>
    </row>
    <row r="623" spans="2:13" ht="12.95" customHeight="1" x14ac:dyDescent="0.3">
      <c r="B623" s="52" t="s">
        <v>225</v>
      </c>
      <c r="C623" s="86"/>
      <c r="D623" s="86"/>
      <c r="E623" s="87"/>
      <c r="F623" s="87"/>
      <c r="G623" s="8">
        <f>TRUNC(G622/G616)</f>
        <v>1136</v>
      </c>
      <c r="L623" s="18"/>
      <c r="M623" s="18"/>
    </row>
    <row r="624" spans="2:13" ht="12.95" customHeight="1" x14ac:dyDescent="0.3">
      <c r="B624" s="56"/>
      <c r="C624" s="57"/>
      <c r="D624" s="56"/>
      <c r="E624" s="58"/>
      <c r="F624" s="59"/>
      <c r="G624" s="59"/>
    </row>
    <row r="625" spans="2:7" ht="12.95" customHeight="1" x14ac:dyDescent="0.3">
      <c r="B625" s="29" t="s">
        <v>176</v>
      </c>
    </row>
    <row r="626" spans="2:7" ht="12.95" customHeight="1" x14ac:dyDescent="0.3">
      <c r="B626" s="99" t="s">
        <v>271</v>
      </c>
      <c r="C626" s="100"/>
      <c r="D626" s="9"/>
      <c r="E626" s="32"/>
      <c r="F626" s="4"/>
      <c r="G626" s="33" t="s">
        <v>58</v>
      </c>
    </row>
    <row r="627" spans="2:7" ht="12.95" customHeight="1" x14ac:dyDescent="0.3">
      <c r="B627" s="142" t="s">
        <v>30</v>
      </c>
      <c r="C627" s="145" t="s">
        <v>34</v>
      </c>
      <c r="D627" s="145" t="s">
        <v>35</v>
      </c>
      <c r="E627" s="145" t="s">
        <v>31</v>
      </c>
      <c r="F627" s="165" t="s">
        <v>192</v>
      </c>
      <c r="G627" s="166"/>
    </row>
    <row r="628" spans="2:7" ht="12.95" customHeight="1" x14ac:dyDescent="0.3">
      <c r="B628" s="143"/>
      <c r="C628" s="146"/>
      <c r="D628" s="146"/>
      <c r="E628" s="146"/>
      <c r="F628" s="167" t="s">
        <v>194</v>
      </c>
      <c r="G628" s="168"/>
    </row>
    <row r="629" spans="2:7" ht="12.95" customHeight="1" x14ac:dyDescent="0.3">
      <c r="B629" s="143"/>
      <c r="C629" s="146"/>
      <c r="D629" s="146"/>
      <c r="E629" s="146"/>
      <c r="F629" s="34" t="s">
        <v>224</v>
      </c>
      <c r="G629" s="37">
        <v>300</v>
      </c>
    </row>
    <row r="630" spans="2:7" ht="12.95" customHeight="1" x14ac:dyDescent="0.3">
      <c r="B630" s="144"/>
      <c r="C630" s="147"/>
      <c r="D630" s="147"/>
      <c r="E630" s="147"/>
      <c r="F630" s="67" t="s">
        <v>32</v>
      </c>
      <c r="G630" s="101" t="s">
        <v>33</v>
      </c>
    </row>
    <row r="631" spans="2:7" ht="12.95" customHeight="1" x14ac:dyDescent="0.3">
      <c r="B631" s="68" t="s">
        <v>291</v>
      </c>
      <c r="C631" s="96" t="s">
        <v>23</v>
      </c>
      <c r="D631" s="35" t="s">
        <v>44</v>
      </c>
      <c r="E631" s="95">
        <v>18733</v>
      </c>
      <c r="F631" s="21">
        <v>8</v>
      </c>
      <c r="G631" s="3">
        <f t="shared" ref="G631:G632" si="115">TRUNC($E631*F631,1)</f>
        <v>149864</v>
      </c>
    </row>
    <row r="632" spans="2:7" ht="12.95" customHeight="1" x14ac:dyDescent="0.3">
      <c r="B632" s="96" t="s">
        <v>49</v>
      </c>
      <c r="C632" s="96" t="s">
        <v>50</v>
      </c>
      <c r="D632" s="35" t="s">
        <v>44</v>
      </c>
      <c r="E632" s="95">
        <v>1901</v>
      </c>
      <c r="F632" s="21">
        <v>8</v>
      </c>
      <c r="G632" s="3">
        <f t="shared" si="115"/>
        <v>15208</v>
      </c>
    </row>
    <row r="633" spans="2:7" ht="12.95" customHeight="1" x14ac:dyDescent="0.3">
      <c r="B633" s="96" t="s">
        <v>36</v>
      </c>
      <c r="C633" s="97" t="s">
        <v>97</v>
      </c>
      <c r="D633" s="35" t="s">
        <v>45</v>
      </c>
      <c r="E633" s="98"/>
      <c r="F633" s="21">
        <v>1</v>
      </c>
      <c r="G633" s="5">
        <f>TRUNC(SUM(G636:G638)*0.05,1)</f>
        <v>80815.199999999997</v>
      </c>
    </row>
    <row r="634" spans="2:7" ht="12.95" customHeight="1" x14ac:dyDescent="0.3">
      <c r="B634" s="74" t="s">
        <v>38</v>
      </c>
      <c r="C634" s="102"/>
      <c r="D634" s="103"/>
      <c r="E634" s="104"/>
      <c r="F634" s="84"/>
      <c r="G634" s="17">
        <f>TRUNC(SUM(G631:G633))</f>
        <v>245887</v>
      </c>
    </row>
    <row r="635" spans="2:7" ht="12.95" customHeight="1" x14ac:dyDescent="0.3">
      <c r="B635" s="82"/>
      <c r="C635" s="82"/>
      <c r="D635" s="35"/>
      <c r="E635" s="105"/>
      <c r="F635" s="84"/>
      <c r="G635" s="106"/>
    </row>
    <row r="636" spans="2:7" ht="12.95" customHeight="1" x14ac:dyDescent="0.3">
      <c r="B636" s="40" t="s">
        <v>3</v>
      </c>
      <c r="C636" s="41"/>
      <c r="D636" s="42" t="s">
        <v>37</v>
      </c>
      <c r="E636" s="70">
        <v>273308</v>
      </c>
      <c r="F636" s="21">
        <v>3</v>
      </c>
      <c r="G636" s="3">
        <f t="shared" ref="G636:G640" si="116">TRUNC($E636*F636,1)</f>
        <v>819924</v>
      </c>
    </row>
    <row r="637" spans="2:7" ht="12.95" customHeight="1" x14ac:dyDescent="0.3">
      <c r="B637" s="40" t="s">
        <v>53</v>
      </c>
      <c r="C637" s="41"/>
      <c r="D637" s="42" t="s">
        <v>37</v>
      </c>
      <c r="E637" s="95">
        <v>226122</v>
      </c>
      <c r="F637" s="21">
        <v>2</v>
      </c>
      <c r="G637" s="3">
        <f t="shared" si="116"/>
        <v>452244</v>
      </c>
    </row>
    <row r="638" spans="2:7" ht="12.95" customHeight="1" x14ac:dyDescent="0.3">
      <c r="B638" s="40" t="s">
        <v>8</v>
      </c>
      <c r="C638" s="41"/>
      <c r="D638" s="42" t="s">
        <v>37</v>
      </c>
      <c r="E638" s="95">
        <v>172068</v>
      </c>
      <c r="F638" s="21">
        <v>2</v>
      </c>
      <c r="G638" s="3">
        <f t="shared" si="116"/>
        <v>344136</v>
      </c>
    </row>
    <row r="639" spans="2:7" ht="12.95" customHeight="1" x14ac:dyDescent="0.3">
      <c r="B639" s="68" t="s">
        <v>291</v>
      </c>
      <c r="C639" s="96" t="s">
        <v>23</v>
      </c>
      <c r="D639" s="35" t="s">
        <v>44</v>
      </c>
      <c r="E639" s="95">
        <v>58925</v>
      </c>
      <c r="F639" s="21">
        <v>8</v>
      </c>
      <c r="G639" s="3">
        <f t="shared" si="116"/>
        <v>471400</v>
      </c>
    </row>
    <row r="640" spans="2:7" ht="12.95" customHeight="1" x14ac:dyDescent="0.3">
      <c r="B640" s="96" t="s">
        <v>49</v>
      </c>
      <c r="C640" s="96" t="s">
        <v>50</v>
      </c>
      <c r="D640" s="35" t="s">
        <v>44</v>
      </c>
      <c r="E640" s="95">
        <v>36190</v>
      </c>
      <c r="F640" s="21">
        <v>8</v>
      </c>
      <c r="G640" s="3">
        <f t="shared" si="116"/>
        <v>289520</v>
      </c>
    </row>
    <row r="641" spans="2:13" ht="12.95" customHeight="1" x14ac:dyDescent="0.3">
      <c r="B641" s="45" t="s">
        <v>39</v>
      </c>
      <c r="C641" s="102"/>
      <c r="D641" s="103"/>
      <c r="E641" s="16"/>
      <c r="F641" s="84"/>
      <c r="G641" s="17">
        <f>TRUNC(SUM(G636:G640))</f>
        <v>2377224</v>
      </c>
    </row>
    <row r="642" spans="2:13" ht="12.95" customHeight="1" x14ac:dyDescent="0.3">
      <c r="B642" s="82"/>
      <c r="C642" s="82"/>
      <c r="D642" s="35"/>
      <c r="E642" s="105"/>
      <c r="F642" s="84"/>
      <c r="G642" s="106"/>
    </row>
    <row r="643" spans="2:13" ht="12.95" customHeight="1" x14ac:dyDescent="0.3">
      <c r="B643" s="68" t="s">
        <v>291</v>
      </c>
      <c r="C643" s="68" t="s">
        <v>23</v>
      </c>
      <c r="D643" s="69" t="s">
        <v>48</v>
      </c>
      <c r="E643" s="70">
        <v>23423</v>
      </c>
      <c r="F643" s="21">
        <v>8</v>
      </c>
      <c r="G643" s="3">
        <f t="shared" ref="G643:G644" si="117">TRUNC($E643*F643,1)</f>
        <v>187384</v>
      </c>
    </row>
    <row r="644" spans="2:13" ht="12.95" customHeight="1" x14ac:dyDescent="0.3">
      <c r="B644" s="96" t="s">
        <v>49</v>
      </c>
      <c r="C644" s="96" t="s">
        <v>50</v>
      </c>
      <c r="D644" s="35" t="s">
        <v>44</v>
      </c>
      <c r="E644" s="95">
        <v>620</v>
      </c>
      <c r="F644" s="21">
        <v>8</v>
      </c>
      <c r="G644" s="3">
        <f t="shared" si="117"/>
        <v>4960</v>
      </c>
    </row>
    <row r="645" spans="2:13" ht="12.95" customHeight="1" x14ac:dyDescent="0.3">
      <c r="B645" s="74" t="s">
        <v>40</v>
      </c>
      <c r="C645" s="102"/>
      <c r="D645" s="47"/>
      <c r="E645" s="16"/>
      <c r="F645" s="104"/>
      <c r="G645" s="17">
        <f>TRUNC(SUM(G643:G644))</f>
        <v>192344</v>
      </c>
    </row>
    <row r="646" spans="2:13" ht="12.95" customHeight="1" x14ac:dyDescent="0.3">
      <c r="B646" s="82"/>
      <c r="C646" s="82"/>
      <c r="D646" s="35"/>
      <c r="E646" s="105"/>
      <c r="F646" s="105"/>
      <c r="G646" s="106"/>
      <c r="M646" s="62"/>
    </row>
    <row r="647" spans="2:13" ht="12.95" customHeight="1" x14ac:dyDescent="0.3">
      <c r="B647" s="51" t="s">
        <v>42</v>
      </c>
      <c r="C647" s="82"/>
      <c r="D647" s="35"/>
      <c r="E647" s="107"/>
      <c r="F647" s="108"/>
      <c r="G647" s="26">
        <f>SUM(G634+G641+G645)</f>
        <v>2815455</v>
      </c>
      <c r="L647" s="62"/>
      <c r="M647" s="62"/>
    </row>
    <row r="648" spans="2:13" ht="12.95" customHeight="1" x14ac:dyDescent="0.3">
      <c r="B648" s="52" t="s">
        <v>225</v>
      </c>
      <c r="C648" s="86"/>
      <c r="D648" s="86"/>
      <c r="E648" s="87"/>
      <c r="F648" s="87"/>
      <c r="G648" s="8">
        <f>TRUNC(G647/G629)</f>
        <v>9384</v>
      </c>
      <c r="J648" s="18"/>
      <c r="K648" s="18"/>
      <c r="L648" s="62"/>
      <c r="M648" s="62"/>
    </row>
    <row r="649" spans="2:13" ht="12.95" customHeight="1" x14ac:dyDescent="0.3">
      <c r="B649" s="142" t="s">
        <v>30</v>
      </c>
      <c r="C649" s="145" t="s">
        <v>34</v>
      </c>
      <c r="D649" s="145" t="s">
        <v>35</v>
      </c>
      <c r="E649" s="145" t="s">
        <v>31</v>
      </c>
      <c r="F649" s="165" t="s">
        <v>193</v>
      </c>
      <c r="G649" s="166"/>
      <c r="L649" s="62"/>
      <c r="M649" s="62"/>
    </row>
    <row r="650" spans="2:13" ht="12.95" customHeight="1" x14ac:dyDescent="0.3">
      <c r="B650" s="143"/>
      <c r="C650" s="146"/>
      <c r="D650" s="146"/>
      <c r="E650" s="146"/>
      <c r="F650" s="167" t="s">
        <v>195</v>
      </c>
      <c r="G650" s="168"/>
      <c r="L650" s="62"/>
      <c r="M650" s="62"/>
    </row>
    <row r="651" spans="2:13" ht="12.95" customHeight="1" x14ac:dyDescent="0.3">
      <c r="B651" s="143"/>
      <c r="C651" s="146"/>
      <c r="D651" s="146"/>
      <c r="E651" s="146"/>
      <c r="F651" s="34" t="s">
        <v>224</v>
      </c>
      <c r="G651" s="37">
        <v>190</v>
      </c>
      <c r="L651" s="62"/>
      <c r="M651" s="62"/>
    </row>
    <row r="652" spans="2:13" ht="12.95" customHeight="1" x14ac:dyDescent="0.3">
      <c r="B652" s="144"/>
      <c r="C652" s="147"/>
      <c r="D652" s="147"/>
      <c r="E652" s="147"/>
      <c r="F652" s="67" t="s">
        <v>32</v>
      </c>
      <c r="G652" s="101" t="s">
        <v>33</v>
      </c>
      <c r="L652" s="62"/>
      <c r="M652" s="62"/>
    </row>
    <row r="653" spans="2:13" ht="12.95" customHeight="1" x14ac:dyDescent="0.3">
      <c r="B653" s="68" t="s">
        <v>291</v>
      </c>
      <c r="C653" s="96" t="s">
        <v>270</v>
      </c>
      <c r="D653" s="35" t="s">
        <v>44</v>
      </c>
      <c r="E653" s="95">
        <v>18182</v>
      </c>
      <c r="F653" s="21">
        <v>8</v>
      </c>
      <c r="G653" s="3">
        <f t="shared" ref="G653:G654" si="118">TRUNC($E653*F653,1)</f>
        <v>145456</v>
      </c>
      <c r="L653" s="62"/>
      <c r="M653" s="62"/>
    </row>
    <row r="654" spans="2:13" ht="12.95" customHeight="1" x14ac:dyDescent="0.3">
      <c r="B654" s="96" t="s">
        <v>49</v>
      </c>
      <c r="C654" s="96" t="s">
        <v>50</v>
      </c>
      <c r="D654" s="35" t="s">
        <v>44</v>
      </c>
      <c r="E654" s="95">
        <v>1901</v>
      </c>
      <c r="F654" s="21">
        <v>8</v>
      </c>
      <c r="G654" s="3">
        <f t="shared" si="118"/>
        <v>15208</v>
      </c>
      <c r="L654" s="62"/>
      <c r="M654" s="62"/>
    </row>
    <row r="655" spans="2:13" ht="12.95" customHeight="1" x14ac:dyDescent="0.3">
      <c r="B655" s="96" t="s">
        <v>36</v>
      </c>
      <c r="C655" s="97" t="s">
        <v>97</v>
      </c>
      <c r="D655" s="35" t="s">
        <v>45</v>
      </c>
      <c r="E655" s="98"/>
      <c r="F655" s="21">
        <v>1</v>
      </c>
      <c r="G655" s="5">
        <f>TRUNC(SUM(G658:G660)*0.05,1)</f>
        <v>58546.400000000001</v>
      </c>
      <c r="L655" s="62"/>
      <c r="M655" s="62"/>
    </row>
    <row r="656" spans="2:13" ht="12.95" customHeight="1" x14ac:dyDescent="0.3">
      <c r="B656" s="74" t="s">
        <v>38</v>
      </c>
      <c r="C656" s="102"/>
      <c r="D656" s="103"/>
      <c r="E656" s="104"/>
      <c r="F656" s="84"/>
      <c r="G656" s="17">
        <f>TRUNC(SUM(G653:G655))</f>
        <v>219210</v>
      </c>
      <c r="L656" s="62"/>
      <c r="M656" s="62"/>
    </row>
    <row r="657" spans="2:13" ht="12.95" customHeight="1" x14ac:dyDescent="0.3">
      <c r="B657" s="82"/>
      <c r="C657" s="82"/>
      <c r="D657" s="35"/>
      <c r="E657" s="105"/>
      <c r="F657" s="84"/>
      <c r="G657" s="106"/>
      <c r="L657" s="62"/>
      <c r="M657" s="62"/>
    </row>
    <row r="658" spans="2:13" ht="12.95" customHeight="1" x14ac:dyDescent="0.3">
      <c r="B658" s="40" t="s">
        <v>3</v>
      </c>
      <c r="C658" s="41"/>
      <c r="D658" s="42" t="s">
        <v>37</v>
      </c>
      <c r="E658" s="70">
        <v>273308</v>
      </c>
      <c r="F658" s="21">
        <v>2</v>
      </c>
      <c r="G658" s="3">
        <f t="shared" ref="G658:G662" si="119">TRUNC($E658*F658,1)</f>
        <v>546616</v>
      </c>
      <c r="L658" s="62"/>
      <c r="M658" s="62"/>
    </row>
    <row r="659" spans="2:13" ht="12.95" customHeight="1" x14ac:dyDescent="0.3">
      <c r="B659" s="40" t="s">
        <v>53</v>
      </c>
      <c r="C659" s="41"/>
      <c r="D659" s="42" t="s">
        <v>37</v>
      </c>
      <c r="E659" s="95">
        <v>226122</v>
      </c>
      <c r="F659" s="21">
        <v>2</v>
      </c>
      <c r="G659" s="3">
        <f t="shared" si="119"/>
        <v>452244</v>
      </c>
      <c r="L659" s="62"/>
      <c r="M659" s="62"/>
    </row>
    <row r="660" spans="2:13" ht="12.95" customHeight="1" x14ac:dyDescent="0.3">
      <c r="B660" s="40" t="s">
        <v>8</v>
      </c>
      <c r="C660" s="41"/>
      <c r="D660" s="42" t="s">
        <v>37</v>
      </c>
      <c r="E660" s="95">
        <v>172068</v>
      </c>
      <c r="F660" s="21">
        <v>1</v>
      </c>
      <c r="G660" s="3">
        <f t="shared" si="119"/>
        <v>172068</v>
      </c>
      <c r="L660" s="62"/>
      <c r="M660" s="62"/>
    </row>
    <row r="661" spans="2:13" ht="12.95" customHeight="1" x14ac:dyDescent="0.3">
      <c r="B661" s="68" t="s">
        <v>291</v>
      </c>
      <c r="C661" s="96" t="s">
        <v>270</v>
      </c>
      <c r="D661" s="35" t="s">
        <v>44</v>
      </c>
      <c r="E661" s="95">
        <v>58925</v>
      </c>
      <c r="F661" s="21">
        <v>8</v>
      </c>
      <c r="G661" s="3">
        <f t="shared" si="119"/>
        <v>471400</v>
      </c>
      <c r="L661" s="62"/>
      <c r="M661" s="62"/>
    </row>
    <row r="662" spans="2:13" ht="12.95" customHeight="1" x14ac:dyDescent="0.3">
      <c r="B662" s="96" t="s">
        <v>49</v>
      </c>
      <c r="C662" s="96" t="s">
        <v>50</v>
      </c>
      <c r="D662" s="35" t="s">
        <v>44</v>
      </c>
      <c r="E662" s="95">
        <v>36190</v>
      </c>
      <c r="F662" s="21">
        <v>8</v>
      </c>
      <c r="G662" s="3">
        <f t="shared" si="119"/>
        <v>289520</v>
      </c>
      <c r="L662" s="62"/>
      <c r="M662" s="62"/>
    </row>
    <row r="663" spans="2:13" ht="12.95" customHeight="1" x14ac:dyDescent="0.3">
      <c r="B663" s="45" t="s">
        <v>39</v>
      </c>
      <c r="C663" s="102"/>
      <c r="D663" s="103"/>
      <c r="E663" s="16"/>
      <c r="F663" s="84"/>
      <c r="G663" s="17">
        <f>TRUNC(SUM(G658:G662))</f>
        <v>1931848</v>
      </c>
      <c r="L663" s="62"/>
      <c r="M663" s="62"/>
    </row>
    <row r="664" spans="2:13" ht="12.95" customHeight="1" x14ac:dyDescent="0.3">
      <c r="B664" s="82"/>
      <c r="C664" s="82"/>
      <c r="D664" s="35"/>
      <c r="E664" s="105"/>
      <c r="F664" s="84"/>
      <c r="G664" s="106"/>
      <c r="L664" s="62"/>
      <c r="M664" s="62"/>
    </row>
    <row r="665" spans="2:13" ht="12.95" customHeight="1" x14ac:dyDescent="0.3">
      <c r="B665" s="68" t="s">
        <v>291</v>
      </c>
      <c r="C665" s="96" t="s">
        <v>270</v>
      </c>
      <c r="D665" s="69" t="s">
        <v>48</v>
      </c>
      <c r="E665" s="70">
        <v>17514</v>
      </c>
      <c r="F665" s="21">
        <v>8</v>
      </c>
      <c r="G665" s="3">
        <f t="shared" ref="G665:G666" si="120">TRUNC($E665*F665,1)</f>
        <v>140112</v>
      </c>
      <c r="L665" s="62"/>
    </row>
    <row r="666" spans="2:13" ht="12.95" customHeight="1" x14ac:dyDescent="0.3">
      <c r="B666" s="96" t="s">
        <v>49</v>
      </c>
      <c r="C666" s="96" t="s">
        <v>50</v>
      </c>
      <c r="D666" s="35" t="s">
        <v>44</v>
      </c>
      <c r="E666" s="95">
        <v>620</v>
      </c>
      <c r="F666" s="21">
        <v>8</v>
      </c>
      <c r="G666" s="3">
        <f t="shared" si="120"/>
        <v>4960</v>
      </c>
    </row>
    <row r="667" spans="2:13" ht="12.95" customHeight="1" x14ac:dyDescent="0.3">
      <c r="B667" s="74" t="s">
        <v>40</v>
      </c>
      <c r="C667" s="102"/>
      <c r="D667" s="47"/>
      <c r="E667" s="16"/>
      <c r="F667" s="104"/>
      <c r="G667" s="17">
        <f>TRUNC(SUM(G665:G666))</f>
        <v>145072</v>
      </c>
    </row>
    <row r="668" spans="2:13" ht="12.95" customHeight="1" x14ac:dyDescent="0.3">
      <c r="B668" s="82"/>
      <c r="C668" s="82"/>
      <c r="D668" s="35"/>
      <c r="E668" s="105"/>
      <c r="F668" s="105"/>
      <c r="G668" s="106"/>
    </row>
    <row r="669" spans="2:13" ht="12.95" customHeight="1" x14ac:dyDescent="0.3">
      <c r="B669" s="51" t="s">
        <v>42</v>
      </c>
      <c r="C669" s="82"/>
      <c r="D669" s="35"/>
      <c r="E669" s="107"/>
      <c r="F669" s="108"/>
      <c r="G669" s="26">
        <f>SUM(G656+G663+G667)</f>
        <v>2296130</v>
      </c>
    </row>
    <row r="670" spans="2:13" ht="12.95" customHeight="1" x14ac:dyDescent="0.3">
      <c r="B670" s="52" t="s">
        <v>225</v>
      </c>
      <c r="C670" s="86"/>
      <c r="D670" s="86"/>
      <c r="E670" s="87"/>
      <c r="F670" s="87"/>
      <c r="G670" s="8">
        <f>TRUNC(G669/G651)</f>
        <v>12084</v>
      </c>
      <c r="J670" s="18"/>
      <c r="K670" s="18"/>
    </row>
    <row r="672" spans="2:13" ht="12.95" customHeight="1" x14ac:dyDescent="0.3">
      <c r="B672" s="99" t="s">
        <v>272</v>
      </c>
      <c r="C672" s="100"/>
      <c r="D672" s="9"/>
      <c r="E672" s="32"/>
      <c r="F672" s="4"/>
      <c r="G672" s="33" t="s">
        <v>58</v>
      </c>
    </row>
    <row r="673" spans="2:7" ht="12.95" customHeight="1" x14ac:dyDescent="0.3">
      <c r="B673" s="142" t="s">
        <v>30</v>
      </c>
      <c r="C673" s="145" t="s">
        <v>34</v>
      </c>
      <c r="D673" s="145" t="s">
        <v>35</v>
      </c>
      <c r="E673" s="145" t="s">
        <v>31</v>
      </c>
      <c r="F673" s="165" t="s">
        <v>192</v>
      </c>
      <c r="G673" s="166"/>
    </row>
    <row r="674" spans="2:7" ht="12.95" customHeight="1" x14ac:dyDescent="0.3">
      <c r="B674" s="143"/>
      <c r="C674" s="146"/>
      <c r="D674" s="146"/>
      <c r="E674" s="146"/>
      <c r="F674" s="167" t="s">
        <v>194</v>
      </c>
      <c r="G674" s="168"/>
    </row>
    <row r="675" spans="2:7" ht="12.95" customHeight="1" x14ac:dyDescent="0.3">
      <c r="B675" s="143"/>
      <c r="C675" s="146"/>
      <c r="D675" s="146"/>
      <c r="E675" s="146"/>
      <c r="F675" s="34" t="s">
        <v>224</v>
      </c>
      <c r="G675" s="37">
        <v>190</v>
      </c>
    </row>
    <row r="676" spans="2:7" ht="12.95" customHeight="1" x14ac:dyDescent="0.3">
      <c r="B676" s="144"/>
      <c r="C676" s="147"/>
      <c r="D676" s="147"/>
      <c r="E676" s="147"/>
      <c r="F676" s="67" t="s">
        <v>32</v>
      </c>
      <c r="G676" s="101" t="s">
        <v>33</v>
      </c>
    </row>
    <row r="677" spans="2:7" ht="12.95" customHeight="1" x14ac:dyDescent="0.3">
      <c r="B677" s="68" t="s">
        <v>291</v>
      </c>
      <c r="C677" s="96" t="s">
        <v>23</v>
      </c>
      <c r="D677" s="35" t="s">
        <v>44</v>
      </c>
      <c r="E677" s="95">
        <v>18733</v>
      </c>
      <c r="F677" s="21">
        <v>8</v>
      </c>
      <c r="G677" s="3">
        <f t="shared" ref="G677:G678" si="121">TRUNC($E677*F677,1)</f>
        <v>149864</v>
      </c>
    </row>
    <row r="678" spans="2:7" ht="12.95" customHeight="1" x14ac:dyDescent="0.3">
      <c r="B678" s="96" t="s">
        <v>49</v>
      </c>
      <c r="C678" s="96" t="s">
        <v>50</v>
      </c>
      <c r="D678" s="35" t="s">
        <v>44</v>
      </c>
      <c r="E678" s="95">
        <v>1901</v>
      </c>
      <c r="F678" s="21">
        <v>8</v>
      </c>
      <c r="G678" s="3">
        <f t="shared" si="121"/>
        <v>15208</v>
      </c>
    </row>
    <row r="679" spans="2:7" ht="12.95" customHeight="1" x14ac:dyDescent="0.3">
      <c r="B679" s="96" t="s">
        <v>36</v>
      </c>
      <c r="C679" s="97" t="s">
        <v>97</v>
      </c>
      <c r="D679" s="35" t="s">
        <v>45</v>
      </c>
      <c r="E679" s="98"/>
      <c r="F679" s="21">
        <v>1</v>
      </c>
      <c r="G679" s="5">
        <f>TRUNC(SUM(G682:G684)*0.05,1)</f>
        <v>80815.199999999997</v>
      </c>
    </row>
    <row r="680" spans="2:7" ht="12.95" customHeight="1" x14ac:dyDescent="0.3">
      <c r="B680" s="74" t="s">
        <v>38</v>
      </c>
      <c r="C680" s="102"/>
      <c r="D680" s="103"/>
      <c r="E680" s="104"/>
      <c r="F680" s="84"/>
      <c r="G680" s="17">
        <f>TRUNC(SUM(G677:G679))</f>
        <v>245887</v>
      </c>
    </row>
    <row r="681" spans="2:7" ht="12.95" customHeight="1" x14ac:dyDescent="0.3">
      <c r="B681" s="82"/>
      <c r="C681" s="82"/>
      <c r="D681" s="35"/>
      <c r="E681" s="105"/>
      <c r="F681" s="84"/>
      <c r="G681" s="106"/>
    </row>
    <row r="682" spans="2:7" ht="12.95" customHeight="1" x14ac:dyDescent="0.3">
      <c r="B682" s="40" t="s">
        <v>3</v>
      </c>
      <c r="C682" s="41"/>
      <c r="D682" s="42" t="s">
        <v>37</v>
      </c>
      <c r="E682" s="70">
        <v>273308</v>
      </c>
      <c r="F682" s="21">
        <v>3</v>
      </c>
      <c r="G682" s="3">
        <f t="shared" ref="G682:G686" si="122">TRUNC($E682*F682,1)</f>
        <v>819924</v>
      </c>
    </row>
    <row r="683" spans="2:7" ht="12.95" customHeight="1" x14ac:dyDescent="0.3">
      <c r="B683" s="40" t="s">
        <v>53</v>
      </c>
      <c r="C683" s="41"/>
      <c r="D683" s="42" t="s">
        <v>37</v>
      </c>
      <c r="E683" s="95">
        <v>226122</v>
      </c>
      <c r="F683" s="21">
        <v>2</v>
      </c>
      <c r="G683" s="3">
        <f t="shared" si="122"/>
        <v>452244</v>
      </c>
    </row>
    <row r="684" spans="2:7" ht="12.95" customHeight="1" x14ac:dyDescent="0.3">
      <c r="B684" s="40" t="s">
        <v>8</v>
      </c>
      <c r="C684" s="41"/>
      <c r="D684" s="42" t="s">
        <v>37</v>
      </c>
      <c r="E684" s="95">
        <v>172068</v>
      </c>
      <c r="F684" s="21">
        <v>2</v>
      </c>
      <c r="G684" s="3">
        <f t="shared" si="122"/>
        <v>344136</v>
      </c>
    </row>
    <row r="685" spans="2:7" ht="12.95" customHeight="1" x14ac:dyDescent="0.3">
      <c r="B685" s="68" t="s">
        <v>291</v>
      </c>
      <c r="C685" s="96" t="s">
        <v>23</v>
      </c>
      <c r="D685" s="35" t="s">
        <v>44</v>
      </c>
      <c r="E685" s="95">
        <v>58925</v>
      </c>
      <c r="F685" s="21">
        <v>8</v>
      </c>
      <c r="G685" s="3">
        <f t="shared" si="122"/>
        <v>471400</v>
      </c>
    </row>
    <row r="686" spans="2:7" ht="12.95" customHeight="1" x14ac:dyDescent="0.3">
      <c r="B686" s="96" t="s">
        <v>49</v>
      </c>
      <c r="C686" s="96" t="s">
        <v>50</v>
      </c>
      <c r="D686" s="35" t="s">
        <v>44</v>
      </c>
      <c r="E686" s="95">
        <v>36190</v>
      </c>
      <c r="F686" s="21">
        <v>8</v>
      </c>
      <c r="G686" s="3">
        <f t="shared" si="122"/>
        <v>289520</v>
      </c>
    </row>
    <row r="687" spans="2:7" ht="12.95" customHeight="1" x14ac:dyDescent="0.3">
      <c r="B687" s="45" t="s">
        <v>39</v>
      </c>
      <c r="C687" s="102"/>
      <c r="D687" s="103"/>
      <c r="E687" s="16"/>
      <c r="F687" s="84"/>
      <c r="G687" s="17">
        <f>TRUNC(SUM(G682:G686))</f>
        <v>2377224</v>
      </c>
    </row>
    <row r="688" spans="2:7" ht="12.95" customHeight="1" x14ac:dyDescent="0.3">
      <c r="B688" s="82"/>
      <c r="C688" s="82"/>
      <c r="D688" s="35"/>
      <c r="E688" s="105"/>
      <c r="F688" s="84"/>
      <c r="G688" s="106"/>
    </row>
    <row r="689" spans="2:13" ht="12.95" customHeight="1" x14ac:dyDescent="0.3">
      <c r="B689" s="68" t="s">
        <v>291</v>
      </c>
      <c r="C689" s="68" t="s">
        <v>23</v>
      </c>
      <c r="D689" s="69" t="s">
        <v>48</v>
      </c>
      <c r="E689" s="70">
        <v>23423</v>
      </c>
      <c r="F689" s="21">
        <v>8</v>
      </c>
      <c r="G689" s="3">
        <f t="shared" ref="G689:G690" si="123">TRUNC($E689*F689,1)</f>
        <v>187384</v>
      </c>
    </row>
    <row r="690" spans="2:13" ht="12.95" customHeight="1" x14ac:dyDescent="0.3">
      <c r="B690" s="96" t="s">
        <v>49</v>
      </c>
      <c r="C690" s="96" t="s">
        <v>50</v>
      </c>
      <c r="D690" s="35" t="s">
        <v>44</v>
      </c>
      <c r="E690" s="95">
        <v>620</v>
      </c>
      <c r="F690" s="21">
        <v>8</v>
      </c>
      <c r="G690" s="3">
        <f t="shared" si="123"/>
        <v>4960</v>
      </c>
    </row>
    <row r="691" spans="2:13" ht="12.95" customHeight="1" x14ac:dyDescent="0.3">
      <c r="B691" s="74" t="s">
        <v>40</v>
      </c>
      <c r="C691" s="102"/>
      <c r="D691" s="47"/>
      <c r="E691" s="16"/>
      <c r="F691" s="104"/>
      <c r="G691" s="17">
        <f>TRUNC(SUM(G689:G690))</f>
        <v>192344</v>
      </c>
    </row>
    <row r="692" spans="2:13" ht="12.95" customHeight="1" x14ac:dyDescent="0.3">
      <c r="B692" s="82"/>
      <c r="C692" s="82"/>
      <c r="D692" s="35"/>
      <c r="E692" s="105"/>
      <c r="F692" s="105"/>
      <c r="G692" s="106"/>
      <c r="M692" s="62"/>
    </row>
    <row r="693" spans="2:13" ht="12.95" customHeight="1" x14ac:dyDescent="0.3">
      <c r="B693" s="51" t="s">
        <v>42</v>
      </c>
      <c r="C693" s="82"/>
      <c r="D693" s="35"/>
      <c r="E693" s="107"/>
      <c r="F693" s="108"/>
      <c r="G693" s="26">
        <f>SUM(G680+G687+G691)</f>
        <v>2815455</v>
      </c>
      <c r="L693" s="62"/>
      <c r="M693" s="62"/>
    </row>
    <row r="694" spans="2:13" ht="12.95" customHeight="1" x14ac:dyDescent="0.3">
      <c r="B694" s="52" t="s">
        <v>225</v>
      </c>
      <c r="C694" s="86"/>
      <c r="D694" s="86"/>
      <c r="E694" s="87"/>
      <c r="F694" s="87"/>
      <c r="G694" s="8">
        <f>TRUNC(G693/G675)</f>
        <v>14818</v>
      </c>
      <c r="J694" s="18"/>
      <c r="K694" s="18"/>
      <c r="L694" s="62"/>
      <c r="M694" s="62"/>
    </row>
    <row r="695" spans="2:13" ht="12.95" customHeight="1" x14ac:dyDescent="0.3">
      <c r="B695" s="142" t="s">
        <v>30</v>
      </c>
      <c r="C695" s="145" t="s">
        <v>34</v>
      </c>
      <c r="D695" s="145" t="s">
        <v>35</v>
      </c>
      <c r="E695" s="145" t="s">
        <v>31</v>
      </c>
      <c r="F695" s="165" t="s">
        <v>193</v>
      </c>
      <c r="G695" s="166"/>
      <c r="L695" s="62"/>
      <c r="M695" s="62"/>
    </row>
    <row r="696" spans="2:13" ht="12.95" customHeight="1" x14ac:dyDescent="0.3">
      <c r="B696" s="143"/>
      <c r="C696" s="146"/>
      <c r="D696" s="146"/>
      <c r="E696" s="146"/>
      <c r="F696" s="167" t="s">
        <v>195</v>
      </c>
      <c r="G696" s="168"/>
      <c r="L696" s="62"/>
      <c r="M696" s="62"/>
    </row>
    <row r="697" spans="2:13" ht="12.95" customHeight="1" x14ac:dyDescent="0.3">
      <c r="B697" s="143"/>
      <c r="C697" s="146"/>
      <c r="D697" s="146"/>
      <c r="E697" s="146"/>
      <c r="F697" s="34" t="s">
        <v>224</v>
      </c>
      <c r="G697" s="37">
        <v>120</v>
      </c>
      <c r="L697" s="62"/>
      <c r="M697" s="62"/>
    </row>
    <row r="698" spans="2:13" ht="12.95" customHeight="1" x14ac:dyDescent="0.3">
      <c r="B698" s="144"/>
      <c r="C698" s="147"/>
      <c r="D698" s="147"/>
      <c r="E698" s="147"/>
      <c r="F698" s="67" t="s">
        <v>32</v>
      </c>
      <c r="G698" s="101" t="s">
        <v>33</v>
      </c>
      <c r="L698" s="62"/>
      <c r="M698" s="62"/>
    </row>
    <row r="699" spans="2:13" ht="12.95" customHeight="1" x14ac:dyDescent="0.3">
      <c r="B699" s="68" t="s">
        <v>291</v>
      </c>
      <c r="C699" s="96" t="s">
        <v>270</v>
      </c>
      <c r="D699" s="35" t="s">
        <v>44</v>
      </c>
      <c r="E699" s="95">
        <v>18182</v>
      </c>
      <c r="F699" s="21">
        <v>8</v>
      </c>
      <c r="G699" s="3">
        <f t="shared" ref="G699:G700" si="124">TRUNC($E699*F699,1)</f>
        <v>145456</v>
      </c>
      <c r="L699" s="62"/>
      <c r="M699" s="62"/>
    </row>
    <row r="700" spans="2:13" ht="12.95" customHeight="1" x14ac:dyDescent="0.3">
      <c r="B700" s="96" t="s">
        <v>49</v>
      </c>
      <c r="C700" s="96" t="s">
        <v>50</v>
      </c>
      <c r="D700" s="35" t="s">
        <v>44</v>
      </c>
      <c r="E700" s="95">
        <v>1901</v>
      </c>
      <c r="F700" s="21">
        <v>8</v>
      </c>
      <c r="G700" s="3">
        <f t="shared" si="124"/>
        <v>15208</v>
      </c>
      <c r="L700" s="62"/>
      <c r="M700" s="62"/>
    </row>
    <row r="701" spans="2:13" ht="12.95" customHeight="1" x14ac:dyDescent="0.3">
      <c r="B701" s="96" t="s">
        <v>36</v>
      </c>
      <c r="C701" s="97" t="s">
        <v>97</v>
      </c>
      <c r="D701" s="35" t="s">
        <v>45</v>
      </c>
      <c r="E701" s="98"/>
      <c r="F701" s="21">
        <v>1</v>
      </c>
      <c r="G701" s="5">
        <f>TRUNC(SUM(G704:G706)*0.05,1)</f>
        <v>58546.400000000001</v>
      </c>
      <c r="L701" s="62"/>
      <c r="M701" s="62"/>
    </row>
    <row r="702" spans="2:13" ht="12.95" customHeight="1" x14ac:dyDescent="0.3">
      <c r="B702" s="74" t="s">
        <v>38</v>
      </c>
      <c r="C702" s="102"/>
      <c r="D702" s="103"/>
      <c r="E702" s="104"/>
      <c r="F702" s="84"/>
      <c r="G702" s="17">
        <f>TRUNC(SUM(G699:G701))</f>
        <v>219210</v>
      </c>
      <c r="L702" s="62"/>
      <c r="M702" s="62"/>
    </row>
    <row r="703" spans="2:13" ht="12.95" customHeight="1" x14ac:dyDescent="0.3">
      <c r="B703" s="82"/>
      <c r="C703" s="82"/>
      <c r="D703" s="35"/>
      <c r="E703" s="105"/>
      <c r="F703" s="84"/>
      <c r="G703" s="106"/>
      <c r="L703" s="62"/>
      <c r="M703" s="62"/>
    </row>
    <row r="704" spans="2:13" ht="12.95" customHeight="1" x14ac:dyDescent="0.3">
      <c r="B704" s="40" t="s">
        <v>3</v>
      </c>
      <c r="C704" s="41"/>
      <c r="D704" s="42" t="s">
        <v>37</v>
      </c>
      <c r="E704" s="70">
        <v>273308</v>
      </c>
      <c r="F704" s="21">
        <v>2</v>
      </c>
      <c r="G704" s="3">
        <f t="shared" ref="G704:G708" si="125">TRUNC($E704*F704,1)</f>
        <v>546616</v>
      </c>
      <c r="L704" s="62"/>
      <c r="M704" s="62"/>
    </row>
    <row r="705" spans="2:13" ht="12.95" customHeight="1" x14ac:dyDescent="0.3">
      <c r="B705" s="40" t="s">
        <v>53</v>
      </c>
      <c r="C705" s="41"/>
      <c r="D705" s="42" t="s">
        <v>37</v>
      </c>
      <c r="E705" s="95">
        <v>226122</v>
      </c>
      <c r="F705" s="21">
        <v>2</v>
      </c>
      <c r="G705" s="3">
        <f t="shared" si="125"/>
        <v>452244</v>
      </c>
      <c r="L705" s="62"/>
      <c r="M705" s="62"/>
    </row>
    <row r="706" spans="2:13" ht="12.95" customHeight="1" x14ac:dyDescent="0.3">
      <c r="B706" s="40" t="s">
        <v>8</v>
      </c>
      <c r="C706" s="41"/>
      <c r="D706" s="42" t="s">
        <v>37</v>
      </c>
      <c r="E706" s="95">
        <v>172068</v>
      </c>
      <c r="F706" s="21">
        <v>1</v>
      </c>
      <c r="G706" s="3">
        <f t="shared" si="125"/>
        <v>172068</v>
      </c>
      <c r="L706" s="62"/>
      <c r="M706" s="62"/>
    </row>
    <row r="707" spans="2:13" ht="12.95" customHeight="1" x14ac:dyDescent="0.3">
      <c r="B707" s="68" t="s">
        <v>291</v>
      </c>
      <c r="C707" s="96" t="s">
        <v>270</v>
      </c>
      <c r="D707" s="35" t="s">
        <v>44</v>
      </c>
      <c r="E707" s="95">
        <v>58925</v>
      </c>
      <c r="F707" s="21">
        <v>8</v>
      </c>
      <c r="G707" s="3">
        <f t="shared" si="125"/>
        <v>471400</v>
      </c>
      <c r="L707" s="62"/>
      <c r="M707" s="62"/>
    </row>
    <row r="708" spans="2:13" ht="12.95" customHeight="1" x14ac:dyDescent="0.3">
      <c r="B708" s="96" t="s">
        <v>49</v>
      </c>
      <c r="C708" s="96" t="s">
        <v>50</v>
      </c>
      <c r="D708" s="35" t="s">
        <v>44</v>
      </c>
      <c r="E708" s="95">
        <v>36190</v>
      </c>
      <c r="F708" s="21">
        <v>8</v>
      </c>
      <c r="G708" s="3">
        <f t="shared" si="125"/>
        <v>289520</v>
      </c>
      <c r="L708" s="62"/>
      <c r="M708" s="62"/>
    </row>
    <row r="709" spans="2:13" ht="12.95" customHeight="1" x14ac:dyDescent="0.3">
      <c r="B709" s="45" t="s">
        <v>39</v>
      </c>
      <c r="C709" s="102"/>
      <c r="D709" s="103"/>
      <c r="E709" s="16"/>
      <c r="F709" s="84"/>
      <c r="G709" s="17">
        <f>TRUNC(SUM(G704:G708))</f>
        <v>1931848</v>
      </c>
      <c r="L709" s="62"/>
      <c r="M709" s="62"/>
    </row>
    <row r="710" spans="2:13" ht="12.95" customHeight="1" x14ac:dyDescent="0.3">
      <c r="B710" s="82"/>
      <c r="C710" s="82"/>
      <c r="D710" s="35"/>
      <c r="E710" s="105"/>
      <c r="F710" s="84"/>
      <c r="G710" s="106"/>
      <c r="L710" s="62"/>
      <c r="M710" s="62"/>
    </row>
    <row r="711" spans="2:13" ht="12.95" customHeight="1" x14ac:dyDescent="0.3">
      <c r="B711" s="68" t="s">
        <v>291</v>
      </c>
      <c r="C711" s="96" t="s">
        <v>270</v>
      </c>
      <c r="D711" s="69" t="s">
        <v>48</v>
      </c>
      <c r="E711" s="70">
        <v>17514</v>
      </c>
      <c r="F711" s="21">
        <v>8</v>
      </c>
      <c r="G711" s="3">
        <f t="shared" ref="G711:G712" si="126">TRUNC($E711*F711,1)</f>
        <v>140112</v>
      </c>
      <c r="L711" s="62"/>
    </row>
    <row r="712" spans="2:13" ht="12.95" customHeight="1" x14ac:dyDescent="0.3">
      <c r="B712" s="96" t="s">
        <v>49</v>
      </c>
      <c r="C712" s="96" t="s">
        <v>50</v>
      </c>
      <c r="D712" s="35" t="s">
        <v>44</v>
      </c>
      <c r="E712" s="95">
        <v>620</v>
      </c>
      <c r="F712" s="21">
        <v>8</v>
      </c>
      <c r="G712" s="3">
        <f t="shared" si="126"/>
        <v>4960</v>
      </c>
    </row>
    <row r="713" spans="2:13" ht="12.95" customHeight="1" x14ac:dyDescent="0.3">
      <c r="B713" s="74" t="s">
        <v>40</v>
      </c>
      <c r="C713" s="102"/>
      <c r="D713" s="47"/>
      <c r="E713" s="16"/>
      <c r="F713" s="104"/>
      <c r="G713" s="17">
        <f>TRUNC(SUM(G711:G712))</f>
        <v>145072</v>
      </c>
    </row>
    <row r="714" spans="2:13" ht="12.95" customHeight="1" x14ac:dyDescent="0.3">
      <c r="B714" s="82"/>
      <c r="C714" s="82"/>
      <c r="D714" s="35"/>
      <c r="E714" s="105"/>
      <c r="F714" s="105"/>
      <c r="G714" s="106"/>
    </row>
    <row r="715" spans="2:13" ht="12.95" customHeight="1" x14ac:dyDescent="0.3">
      <c r="B715" s="51" t="s">
        <v>42</v>
      </c>
      <c r="C715" s="82"/>
      <c r="D715" s="35"/>
      <c r="E715" s="107"/>
      <c r="F715" s="108"/>
      <c r="G715" s="26">
        <f>SUM(G702+G709+G713)</f>
        <v>2296130</v>
      </c>
    </row>
    <row r="716" spans="2:13" ht="12.95" customHeight="1" x14ac:dyDescent="0.3">
      <c r="B716" s="52" t="s">
        <v>225</v>
      </c>
      <c r="C716" s="86"/>
      <c r="D716" s="86"/>
      <c r="E716" s="87"/>
      <c r="F716" s="87"/>
      <c r="G716" s="8">
        <f>TRUNC(G715/G697)</f>
        <v>19134</v>
      </c>
      <c r="J716" s="18"/>
      <c r="K716" s="18"/>
    </row>
    <row r="718" spans="2:13" ht="12.95" customHeight="1" x14ac:dyDescent="0.3">
      <c r="B718" s="60" t="s">
        <v>273</v>
      </c>
      <c r="C718" s="61"/>
      <c r="D718" s="62"/>
      <c r="E718" s="63"/>
      <c r="F718" s="62"/>
      <c r="G718" s="33" t="s">
        <v>58</v>
      </c>
      <c r="H718" s="62"/>
      <c r="I718" s="62"/>
      <c r="J718" s="62"/>
      <c r="K718" s="62"/>
      <c r="L718" s="62"/>
      <c r="M718" s="62"/>
    </row>
    <row r="719" spans="2:13" ht="12.95" customHeight="1" x14ac:dyDescent="0.3">
      <c r="B719" s="161" t="s">
        <v>30</v>
      </c>
      <c r="C719" s="163" t="s">
        <v>46</v>
      </c>
      <c r="D719" s="125" t="s">
        <v>35</v>
      </c>
      <c r="E719" s="145" t="s">
        <v>31</v>
      </c>
      <c r="F719" s="34" t="s">
        <v>224</v>
      </c>
      <c r="G719" s="37">
        <v>250</v>
      </c>
      <c r="H719" s="65"/>
      <c r="I719" s="66"/>
      <c r="J719" s="18"/>
      <c r="K719" s="18"/>
      <c r="L719" s="18"/>
      <c r="M719" s="18"/>
    </row>
    <row r="720" spans="2:13" ht="12.95" customHeight="1" x14ac:dyDescent="0.3">
      <c r="B720" s="162"/>
      <c r="C720" s="164"/>
      <c r="D720" s="125"/>
      <c r="E720" s="147"/>
      <c r="F720" s="38" t="s">
        <v>32</v>
      </c>
      <c r="G720" s="39" t="s">
        <v>33</v>
      </c>
      <c r="H720" s="65"/>
      <c r="I720" s="66"/>
      <c r="J720" s="18"/>
      <c r="K720" s="18"/>
      <c r="L720" s="18"/>
      <c r="M720" s="18"/>
    </row>
    <row r="721" spans="2:13" ht="12.95" customHeight="1" x14ac:dyDescent="0.3">
      <c r="B721" s="68" t="s">
        <v>14</v>
      </c>
      <c r="C721" s="68" t="s">
        <v>89</v>
      </c>
      <c r="D721" s="69" t="s">
        <v>48</v>
      </c>
      <c r="E721" s="70">
        <v>7587</v>
      </c>
      <c r="F721" s="21">
        <v>8</v>
      </c>
      <c r="G721" s="3">
        <f t="shared" ref="G721:G724" si="127">TRUNC($E721*F721,1)</f>
        <v>60696</v>
      </c>
      <c r="H721" s="71"/>
      <c r="I721" s="72"/>
      <c r="J721" s="18"/>
      <c r="K721" s="18"/>
      <c r="L721" s="18"/>
      <c r="M721" s="18"/>
    </row>
    <row r="722" spans="2:13" ht="12.95" customHeight="1" x14ac:dyDescent="0.3">
      <c r="B722" s="73" t="s">
        <v>66</v>
      </c>
      <c r="C722" s="68" t="s">
        <v>65</v>
      </c>
      <c r="D722" s="69" t="s">
        <v>48</v>
      </c>
      <c r="E722" s="70">
        <v>3742</v>
      </c>
      <c r="F722" s="21">
        <v>8</v>
      </c>
      <c r="G722" s="3">
        <f t="shared" si="127"/>
        <v>29936</v>
      </c>
      <c r="H722" s="71"/>
      <c r="I722" s="72"/>
      <c r="J722" s="18"/>
      <c r="K722" s="18"/>
      <c r="L722" s="18"/>
      <c r="M722" s="18"/>
    </row>
    <row r="723" spans="2:13" ht="12.95" customHeight="1" x14ac:dyDescent="0.3">
      <c r="B723" s="68" t="s">
        <v>49</v>
      </c>
      <c r="C723" s="68" t="s">
        <v>50</v>
      </c>
      <c r="D723" s="69" t="s">
        <v>48</v>
      </c>
      <c r="E723" s="70">
        <v>1901</v>
      </c>
      <c r="F723" s="21">
        <v>8</v>
      </c>
      <c r="G723" s="3">
        <f t="shared" si="127"/>
        <v>15208</v>
      </c>
      <c r="H723" s="71"/>
      <c r="I723" s="72"/>
      <c r="J723" s="18"/>
      <c r="K723" s="18"/>
      <c r="L723" s="18"/>
      <c r="M723" s="18"/>
    </row>
    <row r="724" spans="2:13" ht="12.95" customHeight="1" x14ac:dyDescent="0.3">
      <c r="B724" s="68" t="s">
        <v>61</v>
      </c>
      <c r="C724" s="68" t="s">
        <v>52</v>
      </c>
      <c r="D724" s="69" t="s">
        <v>48</v>
      </c>
      <c r="E724" s="70">
        <v>18200</v>
      </c>
      <c r="F724" s="21">
        <v>4</v>
      </c>
      <c r="G724" s="3">
        <f t="shared" si="127"/>
        <v>72800</v>
      </c>
      <c r="H724" s="62"/>
      <c r="I724" s="62"/>
      <c r="J724" s="18"/>
      <c r="K724" s="18"/>
      <c r="L724" s="18"/>
      <c r="M724" s="18"/>
    </row>
    <row r="725" spans="2:13" ht="12.95" customHeight="1" x14ac:dyDescent="0.3">
      <c r="B725" s="74" t="s">
        <v>38</v>
      </c>
      <c r="C725" s="75"/>
      <c r="D725" s="75"/>
      <c r="E725" s="24"/>
      <c r="F725" s="25"/>
      <c r="G725" s="20">
        <f>TRUNC(SUM(G721:G724))</f>
        <v>178640</v>
      </c>
      <c r="H725" s="76"/>
      <c r="I725" s="72"/>
      <c r="J725" s="18"/>
      <c r="K725" s="18"/>
      <c r="L725" s="18"/>
      <c r="M725" s="18"/>
    </row>
    <row r="726" spans="2:13" ht="12.95" customHeight="1" x14ac:dyDescent="0.3">
      <c r="B726" s="77"/>
      <c r="C726" s="75"/>
      <c r="D726" s="75"/>
      <c r="E726" s="24"/>
      <c r="F726" s="25"/>
      <c r="G726" s="78"/>
      <c r="H726" s="76"/>
      <c r="I726" s="72"/>
      <c r="J726" s="18"/>
      <c r="K726" s="18"/>
      <c r="L726" s="18"/>
      <c r="M726" s="18"/>
    </row>
    <row r="727" spans="2:13" ht="12.95" customHeight="1" x14ac:dyDescent="0.3">
      <c r="B727" s="40" t="s">
        <v>3</v>
      </c>
      <c r="C727" s="41"/>
      <c r="D727" s="42" t="s">
        <v>37</v>
      </c>
      <c r="E727" s="70">
        <v>273308</v>
      </c>
      <c r="F727" s="21">
        <v>2</v>
      </c>
      <c r="G727" s="3">
        <f t="shared" ref="G727:G732" si="128">TRUNC($E727*F727,1)</f>
        <v>546616</v>
      </c>
      <c r="H727" s="62"/>
      <c r="I727" s="62"/>
      <c r="J727" s="18"/>
      <c r="K727" s="18"/>
      <c r="L727" s="18"/>
      <c r="M727" s="18"/>
    </row>
    <row r="728" spans="2:13" ht="12.95" customHeight="1" x14ac:dyDescent="0.3">
      <c r="B728" s="40" t="s">
        <v>8</v>
      </c>
      <c r="C728" s="41"/>
      <c r="D728" s="42" t="s">
        <v>37</v>
      </c>
      <c r="E728" s="70">
        <v>172068</v>
      </c>
      <c r="F728" s="21">
        <v>1</v>
      </c>
      <c r="G728" s="3">
        <f t="shared" si="128"/>
        <v>172068</v>
      </c>
      <c r="H728" s="79"/>
      <c r="I728" s="78"/>
      <c r="J728" s="18"/>
      <c r="K728" s="18"/>
      <c r="L728" s="18"/>
      <c r="M728" s="18"/>
    </row>
    <row r="729" spans="2:13" ht="12.95" customHeight="1" x14ac:dyDescent="0.3">
      <c r="B729" s="68" t="s">
        <v>14</v>
      </c>
      <c r="C729" s="68" t="s">
        <v>89</v>
      </c>
      <c r="D729" s="69" t="s">
        <v>48</v>
      </c>
      <c r="E729" s="70">
        <v>58925</v>
      </c>
      <c r="F729" s="21">
        <v>8</v>
      </c>
      <c r="G729" s="3">
        <f t="shared" si="128"/>
        <v>471400</v>
      </c>
      <c r="H729" s="71"/>
      <c r="I729" s="72"/>
      <c r="J729" s="18"/>
      <c r="K729" s="18"/>
      <c r="L729" s="18"/>
      <c r="M729" s="18"/>
    </row>
    <row r="730" spans="2:13" ht="12.95" customHeight="1" x14ac:dyDescent="0.3">
      <c r="B730" s="73" t="s">
        <v>66</v>
      </c>
      <c r="C730" s="68" t="s">
        <v>65</v>
      </c>
      <c r="D730" s="69" t="s">
        <v>48</v>
      </c>
      <c r="E730" s="70">
        <v>36190</v>
      </c>
      <c r="F730" s="21">
        <v>8</v>
      </c>
      <c r="G730" s="3">
        <f t="shared" si="128"/>
        <v>289520</v>
      </c>
      <c r="H730" s="79"/>
      <c r="I730" s="78"/>
      <c r="J730" s="18"/>
      <c r="K730" s="18"/>
      <c r="L730" s="18"/>
      <c r="M730" s="18"/>
    </row>
    <row r="731" spans="2:13" ht="12.95" customHeight="1" x14ac:dyDescent="0.3">
      <c r="B731" s="68" t="s">
        <v>49</v>
      </c>
      <c r="C731" s="68" t="s">
        <v>50</v>
      </c>
      <c r="D731" s="69" t="s">
        <v>48</v>
      </c>
      <c r="E731" s="70">
        <v>36190</v>
      </c>
      <c r="F731" s="21">
        <v>8</v>
      </c>
      <c r="G731" s="3">
        <f t="shared" si="128"/>
        <v>289520</v>
      </c>
      <c r="H731" s="79"/>
      <c r="I731" s="78"/>
      <c r="J731" s="18"/>
      <c r="K731" s="18"/>
      <c r="L731" s="18"/>
      <c r="M731" s="18"/>
    </row>
    <row r="732" spans="2:13" ht="12.95" customHeight="1" x14ac:dyDescent="0.3">
      <c r="B732" s="68" t="s">
        <v>61</v>
      </c>
      <c r="C732" s="68" t="s">
        <v>52</v>
      </c>
      <c r="D732" s="69" t="s">
        <v>48</v>
      </c>
      <c r="E732" s="70">
        <v>49698</v>
      </c>
      <c r="F732" s="21">
        <v>4</v>
      </c>
      <c r="G732" s="3">
        <f t="shared" si="128"/>
        <v>198792</v>
      </c>
      <c r="H732" s="79"/>
      <c r="I732" s="78"/>
      <c r="J732" s="18"/>
      <c r="K732" s="18"/>
      <c r="L732" s="18"/>
      <c r="M732" s="18"/>
    </row>
    <row r="733" spans="2:13" ht="12.95" customHeight="1" x14ac:dyDescent="0.3">
      <c r="B733" s="45" t="s">
        <v>39</v>
      </c>
      <c r="C733" s="75"/>
      <c r="D733" s="75"/>
      <c r="E733" s="24"/>
      <c r="F733" s="25"/>
      <c r="G733" s="20">
        <f>TRUNC(SUM(G727:G732))</f>
        <v>1967916</v>
      </c>
      <c r="H733" s="18"/>
      <c r="I733" s="18"/>
      <c r="J733" s="18"/>
      <c r="K733" s="18"/>
      <c r="L733" s="18"/>
      <c r="M733" s="18"/>
    </row>
    <row r="734" spans="2:13" ht="12.95" customHeight="1" x14ac:dyDescent="0.3">
      <c r="B734" s="77"/>
      <c r="C734" s="75"/>
      <c r="D734" s="75"/>
      <c r="E734" s="24"/>
      <c r="F734" s="25"/>
      <c r="G734" s="78"/>
      <c r="H734" s="18"/>
      <c r="I734" s="18"/>
      <c r="J734" s="18"/>
      <c r="K734" s="18"/>
      <c r="L734" s="18"/>
      <c r="M734" s="18"/>
    </row>
    <row r="735" spans="2:13" ht="12.95" customHeight="1" x14ac:dyDescent="0.3">
      <c r="B735" s="68" t="s">
        <v>14</v>
      </c>
      <c r="C735" s="68" t="s">
        <v>89</v>
      </c>
      <c r="D735" s="69" t="s">
        <v>48</v>
      </c>
      <c r="E735" s="70">
        <v>7505</v>
      </c>
      <c r="F735" s="21">
        <v>8</v>
      </c>
      <c r="G735" s="3">
        <f t="shared" ref="G735:G738" si="129">TRUNC($E735*F735,1)</f>
        <v>60040</v>
      </c>
      <c r="H735" s="71"/>
      <c r="I735" s="72"/>
      <c r="J735" s="18"/>
      <c r="K735" s="18"/>
      <c r="L735" s="18"/>
      <c r="M735" s="18"/>
    </row>
    <row r="736" spans="2:13" ht="12.95" customHeight="1" x14ac:dyDescent="0.3">
      <c r="B736" s="73" t="s">
        <v>66</v>
      </c>
      <c r="C736" s="68" t="s">
        <v>65</v>
      </c>
      <c r="D736" s="69" t="s">
        <v>48</v>
      </c>
      <c r="E736" s="70">
        <v>1967</v>
      </c>
      <c r="F736" s="21">
        <v>8</v>
      </c>
      <c r="G736" s="3">
        <f t="shared" si="129"/>
        <v>15736</v>
      </c>
      <c r="H736" s="18"/>
      <c r="I736" s="18"/>
      <c r="J736" s="18"/>
      <c r="K736" s="18"/>
      <c r="L736" s="18"/>
      <c r="M736" s="18"/>
    </row>
    <row r="737" spans="2:13" ht="12.95" customHeight="1" x14ac:dyDescent="0.3">
      <c r="B737" s="68" t="s">
        <v>49</v>
      </c>
      <c r="C737" s="68" t="s">
        <v>50</v>
      </c>
      <c r="D737" s="69" t="s">
        <v>48</v>
      </c>
      <c r="E737" s="70">
        <v>620</v>
      </c>
      <c r="F737" s="21">
        <v>8</v>
      </c>
      <c r="G737" s="3">
        <f t="shared" si="129"/>
        <v>4960</v>
      </c>
      <c r="H737" s="18"/>
      <c r="I737" s="18"/>
      <c r="J737" s="18"/>
      <c r="K737" s="18"/>
      <c r="L737" s="18"/>
      <c r="M737" s="18"/>
    </row>
    <row r="738" spans="2:13" ht="12.95" customHeight="1" x14ac:dyDescent="0.3">
      <c r="B738" s="68" t="s">
        <v>61</v>
      </c>
      <c r="C738" s="68" t="s">
        <v>52</v>
      </c>
      <c r="D738" s="69" t="s">
        <v>48</v>
      </c>
      <c r="E738" s="70">
        <v>9986</v>
      </c>
      <c r="F738" s="21">
        <v>4</v>
      </c>
      <c r="G738" s="3">
        <f t="shared" si="129"/>
        <v>39944</v>
      </c>
      <c r="H738" s="80"/>
      <c r="I738" s="78"/>
      <c r="J738" s="18"/>
      <c r="K738" s="18"/>
      <c r="L738" s="18"/>
      <c r="M738" s="18"/>
    </row>
    <row r="739" spans="2:13" ht="12.95" customHeight="1" x14ac:dyDescent="0.3">
      <c r="B739" s="74" t="s">
        <v>40</v>
      </c>
      <c r="C739" s="75"/>
      <c r="D739" s="75"/>
      <c r="E739" s="81"/>
      <c r="F739" s="19"/>
      <c r="G739" s="20">
        <f>TRUNC(SUM(G735:G738))</f>
        <v>120680</v>
      </c>
      <c r="H739" s="18"/>
      <c r="I739" s="18"/>
      <c r="J739" s="18"/>
      <c r="K739" s="18"/>
      <c r="L739" s="18"/>
      <c r="M739" s="18"/>
    </row>
    <row r="740" spans="2:13" ht="12.95" customHeight="1" x14ac:dyDescent="0.3">
      <c r="B740" s="82"/>
      <c r="C740" s="68"/>
      <c r="D740" s="68"/>
      <c r="E740" s="83"/>
      <c r="F740" s="84"/>
      <c r="G740" s="72"/>
      <c r="H740" s="79"/>
      <c r="I740" s="78"/>
      <c r="J740" s="18"/>
      <c r="K740" s="18"/>
      <c r="L740" s="18"/>
      <c r="M740" s="18"/>
    </row>
    <row r="741" spans="2:13" ht="12.95" customHeight="1" x14ac:dyDescent="0.3">
      <c r="B741" s="51" t="s">
        <v>42</v>
      </c>
      <c r="C741" s="75"/>
      <c r="D741" s="75"/>
      <c r="E741" s="81"/>
      <c r="F741" s="81"/>
      <c r="G741" s="85">
        <f>SUM(G725+G733+G739)</f>
        <v>2267236</v>
      </c>
      <c r="H741" s="18"/>
      <c r="I741" s="18"/>
      <c r="J741" s="18"/>
      <c r="K741" s="18"/>
      <c r="L741" s="18"/>
      <c r="M741" s="18"/>
    </row>
    <row r="742" spans="2:13" ht="12.95" customHeight="1" x14ac:dyDescent="0.3">
      <c r="B742" s="52" t="s">
        <v>225</v>
      </c>
      <c r="C742" s="86"/>
      <c r="D742" s="86"/>
      <c r="E742" s="87"/>
      <c r="F742" s="87"/>
      <c r="G742" s="8">
        <f>TRUNC(G741/G719)</f>
        <v>9068</v>
      </c>
      <c r="L742" s="18"/>
      <c r="M742" s="18"/>
    </row>
    <row r="744" spans="2:13" ht="12.95" customHeight="1" x14ac:dyDescent="0.3">
      <c r="B744" s="60" t="s">
        <v>274</v>
      </c>
      <c r="C744" s="61"/>
      <c r="D744" s="62"/>
      <c r="E744" s="63"/>
      <c r="F744" s="62"/>
      <c r="G744" s="33" t="s">
        <v>58</v>
      </c>
      <c r="H744" s="62"/>
      <c r="I744" s="62"/>
      <c r="J744" s="62"/>
      <c r="K744" s="62"/>
      <c r="L744" s="62"/>
      <c r="M744" s="62"/>
    </row>
    <row r="745" spans="2:13" ht="12.95" customHeight="1" x14ac:dyDescent="0.3">
      <c r="B745" s="161" t="s">
        <v>30</v>
      </c>
      <c r="C745" s="163" t="s">
        <v>46</v>
      </c>
      <c r="D745" s="125" t="s">
        <v>35</v>
      </c>
      <c r="E745" s="145" t="s">
        <v>31</v>
      </c>
      <c r="F745" s="34" t="s">
        <v>224</v>
      </c>
      <c r="G745" s="37">
        <v>1200</v>
      </c>
      <c r="H745" s="65"/>
      <c r="I745" s="66"/>
      <c r="J745" s="18"/>
      <c r="K745" s="18"/>
      <c r="L745" s="18"/>
      <c r="M745" s="18"/>
    </row>
    <row r="746" spans="2:13" ht="12.95" customHeight="1" x14ac:dyDescent="0.3">
      <c r="B746" s="162"/>
      <c r="C746" s="164"/>
      <c r="D746" s="125"/>
      <c r="E746" s="147"/>
      <c r="F746" s="38" t="s">
        <v>32</v>
      </c>
      <c r="G746" s="39" t="s">
        <v>33</v>
      </c>
      <c r="H746" s="65"/>
      <c r="I746" s="66"/>
      <c r="J746" s="18"/>
      <c r="K746" s="18"/>
      <c r="L746" s="18"/>
      <c r="M746" s="18"/>
    </row>
    <row r="747" spans="2:13" ht="12.95" customHeight="1" x14ac:dyDescent="0.3">
      <c r="B747" s="68" t="s">
        <v>24</v>
      </c>
      <c r="C747" s="68" t="s">
        <v>25</v>
      </c>
      <c r="D747" s="69" t="s">
        <v>48</v>
      </c>
      <c r="E747" s="70">
        <v>11275</v>
      </c>
      <c r="F747" s="21">
        <v>8</v>
      </c>
      <c r="G747" s="3">
        <f t="shared" ref="G747:G751" si="130">TRUNC($E747*F747,1)</f>
        <v>90200</v>
      </c>
      <c r="H747" s="71"/>
      <c r="I747" s="72"/>
      <c r="J747" s="18"/>
      <c r="K747" s="18"/>
      <c r="L747" s="18"/>
      <c r="M747" s="18"/>
    </row>
    <row r="748" spans="2:13" ht="12.95" customHeight="1" x14ac:dyDescent="0.3">
      <c r="B748" s="73" t="s">
        <v>292</v>
      </c>
      <c r="C748" s="68" t="s">
        <v>23</v>
      </c>
      <c r="D748" s="69" t="s">
        <v>48</v>
      </c>
      <c r="E748" s="70">
        <v>18733</v>
      </c>
      <c r="F748" s="21">
        <v>8</v>
      </c>
      <c r="G748" s="3">
        <f t="shared" si="130"/>
        <v>149864</v>
      </c>
      <c r="H748" s="71"/>
      <c r="I748" s="72"/>
      <c r="J748" s="18"/>
      <c r="K748" s="18"/>
      <c r="L748" s="18"/>
      <c r="M748" s="18"/>
    </row>
    <row r="749" spans="2:13" ht="12.95" customHeight="1" x14ac:dyDescent="0.3">
      <c r="B749" s="73" t="s">
        <v>15</v>
      </c>
      <c r="C749" s="68" t="s">
        <v>90</v>
      </c>
      <c r="D749" s="69" t="s">
        <v>48</v>
      </c>
      <c r="E749" s="70">
        <v>13500</v>
      </c>
      <c r="F749" s="21">
        <v>8</v>
      </c>
      <c r="G749" s="3">
        <f t="shared" si="130"/>
        <v>108000</v>
      </c>
      <c r="H749" s="71"/>
      <c r="I749" s="72"/>
      <c r="J749" s="18"/>
      <c r="K749" s="18"/>
      <c r="L749" s="18"/>
      <c r="M749" s="18"/>
    </row>
    <row r="750" spans="2:13" ht="12.95" customHeight="1" x14ac:dyDescent="0.3">
      <c r="B750" s="68" t="s">
        <v>84</v>
      </c>
      <c r="C750" s="68" t="s">
        <v>85</v>
      </c>
      <c r="D750" s="69" t="s">
        <v>48</v>
      </c>
      <c r="E750" s="70">
        <v>8882</v>
      </c>
      <c r="F750" s="21">
        <v>8</v>
      </c>
      <c r="G750" s="3">
        <f t="shared" si="130"/>
        <v>71056</v>
      </c>
      <c r="H750" s="71"/>
      <c r="I750" s="72"/>
      <c r="J750" s="18"/>
      <c r="K750" s="18"/>
      <c r="L750" s="18"/>
      <c r="M750" s="18"/>
    </row>
    <row r="751" spans="2:13" ht="12.95" customHeight="1" x14ac:dyDescent="0.3">
      <c r="B751" s="68" t="s">
        <v>61</v>
      </c>
      <c r="C751" s="68" t="s">
        <v>52</v>
      </c>
      <c r="D751" s="69" t="s">
        <v>48</v>
      </c>
      <c r="E751" s="70">
        <v>18200</v>
      </c>
      <c r="F751" s="21">
        <v>4</v>
      </c>
      <c r="G751" s="3">
        <f t="shared" si="130"/>
        <v>72800</v>
      </c>
      <c r="H751" s="62"/>
      <c r="I751" s="62"/>
      <c r="J751" s="18"/>
      <c r="K751" s="18"/>
      <c r="L751" s="18"/>
      <c r="M751" s="18"/>
    </row>
    <row r="752" spans="2:13" ht="12.95" customHeight="1" x14ac:dyDescent="0.3">
      <c r="B752" s="74" t="s">
        <v>38</v>
      </c>
      <c r="C752" s="75"/>
      <c r="D752" s="75"/>
      <c r="E752" s="24"/>
      <c r="F752" s="25"/>
      <c r="G752" s="20">
        <f>TRUNC(SUM(G747:G751))</f>
        <v>491920</v>
      </c>
      <c r="H752" s="76"/>
      <c r="I752" s="72"/>
      <c r="J752" s="18"/>
      <c r="K752" s="18"/>
      <c r="L752" s="18"/>
      <c r="M752" s="18"/>
    </row>
    <row r="753" spans="2:13" ht="12.95" customHeight="1" x14ac:dyDescent="0.3">
      <c r="B753" s="77"/>
      <c r="C753" s="75"/>
      <c r="D753" s="75"/>
      <c r="E753" s="24"/>
      <c r="F753" s="25"/>
      <c r="G753" s="78"/>
      <c r="H753" s="76"/>
      <c r="I753" s="72"/>
      <c r="J753" s="18"/>
      <c r="K753" s="18"/>
      <c r="L753" s="18"/>
      <c r="M753" s="18"/>
    </row>
    <row r="754" spans="2:13" ht="12.95" customHeight="1" x14ac:dyDescent="0.3">
      <c r="B754" s="40" t="s">
        <v>3</v>
      </c>
      <c r="C754" s="41"/>
      <c r="D754" s="42" t="s">
        <v>37</v>
      </c>
      <c r="E754" s="70">
        <v>273308</v>
      </c>
      <c r="F754" s="21">
        <v>3</v>
      </c>
      <c r="G754" s="3">
        <f t="shared" ref="G754:G760" si="131">TRUNC($E754*F754,1)</f>
        <v>819924</v>
      </c>
      <c r="H754" s="62"/>
      <c r="I754" s="62"/>
      <c r="J754" s="18"/>
      <c r="K754" s="18"/>
      <c r="L754" s="18"/>
      <c r="M754" s="18"/>
    </row>
    <row r="755" spans="2:13" ht="12.95" customHeight="1" x14ac:dyDescent="0.3">
      <c r="B755" s="40" t="s">
        <v>8</v>
      </c>
      <c r="C755" s="41"/>
      <c r="D755" s="42" t="s">
        <v>37</v>
      </c>
      <c r="E755" s="70">
        <v>172068</v>
      </c>
      <c r="F755" s="21">
        <v>1</v>
      </c>
      <c r="G755" s="3">
        <f t="shared" si="131"/>
        <v>172068</v>
      </c>
      <c r="H755" s="79"/>
      <c r="I755" s="78"/>
      <c r="J755" s="18"/>
      <c r="K755" s="18"/>
      <c r="L755" s="18"/>
      <c r="M755" s="18"/>
    </row>
    <row r="756" spans="2:13" ht="12.95" customHeight="1" x14ac:dyDescent="0.3">
      <c r="B756" s="68" t="s">
        <v>24</v>
      </c>
      <c r="C756" s="68" t="s">
        <v>25</v>
      </c>
      <c r="D756" s="69" t="s">
        <v>48</v>
      </c>
      <c r="E756" s="70">
        <v>58925</v>
      </c>
      <c r="F756" s="21">
        <v>8</v>
      </c>
      <c r="G756" s="3">
        <f t="shared" si="131"/>
        <v>471400</v>
      </c>
      <c r="H756" s="79"/>
      <c r="I756" s="78"/>
      <c r="J756" s="18"/>
      <c r="K756" s="18"/>
      <c r="L756" s="18"/>
      <c r="M756" s="18"/>
    </row>
    <row r="757" spans="2:13" ht="12.95" customHeight="1" x14ac:dyDescent="0.3">
      <c r="B757" s="73" t="s">
        <v>292</v>
      </c>
      <c r="C757" s="68" t="s">
        <v>23</v>
      </c>
      <c r="D757" s="69" t="s">
        <v>48</v>
      </c>
      <c r="E757" s="70">
        <v>58925</v>
      </c>
      <c r="F757" s="21">
        <v>8</v>
      </c>
      <c r="G757" s="3">
        <f t="shared" si="131"/>
        <v>471400</v>
      </c>
      <c r="H757" s="79"/>
      <c r="I757" s="78"/>
      <c r="J757" s="18"/>
      <c r="K757" s="18"/>
      <c r="L757" s="18"/>
      <c r="M757" s="18"/>
    </row>
    <row r="758" spans="2:13" ht="12.95" customHeight="1" x14ac:dyDescent="0.3">
      <c r="B758" s="73" t="s">
        <v>15</v>
      </c>
      <c r="C758" s="68" t="s">
        <v>90</v>
      </c>
      <c r="D758" s="69" t="s">
        <v>48</v>
      </c>
      <c r="E758" s="70">
        <v>58925</v>
      </c>
      <c r="F758" s="21">
        <v>8</v>
      </c>
      <c r="G758" s="3">
        <f t="shared" si="131"/>
        <v>471400</v>
      </c>
      <c r="H758" s="71"/>
      <c r="I758" s="72"/>
      <c r="J758" s="18"/>
      <c r="K758" s="18"/>
      <c r="L758" s="18"/>
      <c r="M758" s="18"/>
    </row>
    <row r="759" spans="2:13" ht="12.95" customHeight="1" x14ac:dyDescent="0.3">
      <c r="B759" s="68" t="s">
        <v>84</v>
      </c>
      <c r="C759" s="68" t="s">
        <v>85</v>
      </c>
      <c r="D759" s="69" t="s">
        <v>48</v>
      </c>
      <c r="E759" s="70">
        <v>58925</v>
      </c>
      <c r="F759" s="21">
        <v>8</v>
      </c>
      <c r="G759" s="3">
        <f t="shared" si="131"/>
        <v>471400</v>
      </c>
      <c r="H759" s="71"/>
      <c r="I759" s="72"/>
      <c r="J759" s="18"/>
      <c r="K759" s="18"/>
      <c r="L759" s="18"/>
      <c r="M759" s="18"/>
    </row>
    <row r="760" spans="2:13" ht="12.95" customHeight="1" x14ac:dyDescent="0.3">
      <c r="B760" s="68" t="s">
        <v>61</v>
      </c>
      <c r="C760" s="68" t="s">
        <v>52</v>
      </c>
      <c r="D760" s="69" t="s">
        <v>48</v>
      </c>
      <c r="E760" s="70">
        <v>49698</v>
      </c>
      <c r="F760" s="21">
        <v>4</v>
      </c>
      <c r="G760" s="3">
        <f t="shared" si="131"/>
        <v>198792</v>
      </c>
      <c r="H760" s="79"/>
      <c r="I760" s="78"/>
      <c r="J760" s="18"/>
      <c r="K760" s="18"/>
      <c r="L760" s="18"/>
      <c r="M760" s="18"/>
    </row>
    <row r="761" spans="2:13" ht="12.95" customHeight="1" x14ac:dyDescent="0.3">
      <c r="B761" s="45" t="s">
        <v>39</v>
      </c>
      <c r="C761" s="75"/>
      <c r="D761" s="75"/>
      <c r="E761" s="24"/>
      <c r="F761" s="25"/>
      <c r="G761" s="20">
        <f>TRUNC(SUM(G754:G760))</f>
        <v>3076384</v>
      </c>
      <c r="H761" s="18"/>
      <c r="I761" s="18"/>
      <c r="J761" s="18"/>
      <c r="K761" s="18"/>
      <c r="L761" s="18"/>
      <c r="M761" s="18"/>
    </row>
    <row r="762" spans="2:13" ht="12.95" customHeight="1" x14ac:dyDescent="0.3">
      <c r="B762" s="77"/>
      <c r="C762" s="75"/>
      <c r="D762" s="75"/>
      <c r="E762" s="24"/>
      <c r="F762" s="25"/>
      <c r="G762" s="78"/>
      <c r="H762" s="18"/>
      <c r="I762" s="18"/>
      <c r="J762" s="18"/>
      <c r="K762" s="18"/>
      <c r="L762" s="18"/>
      <c r="M762" s="18"/>
    </row>
    <row r="763" spans="2:13" ht="12.95" customHeight="1" x14ac:dyDescent="0.3">
      <c r="B763" s="68" t="s">
        <v>24</v>
      </c>
      <c r="C763" s="68" t="s">
        <v>25</v>
      </c>
      <c r="D763" s="69" t="s">
        <v>48</v>
      </c>
      <c r="E763" s="70">
        <v>52633</v>
      </c>
      <c r="F763" s="21">
        <v>8</v>
      </c>
      <c r="G763" s="3">
        <f t="shared" ref="G763:G767" si="132">TRUNC($E763*F763,1)</f>
        <v>421064</v>
      </c>
      <c r="H763" s="18"/>
      <c r="I763" s="18"/>
      <c r="J763" s="18"/>
      <c r="K763" s="18"/>
      <c r="L763" s="18"/>
      <c r="M763" s="18"/>
    </row>
    <row r="764" spans="2:13" ht="12.95" customHeight="1" x14ac:dyDescent="0.3">
      <c r="B764" s="73" t="s">
        <v>292</v>
      </c>
      <c r="C764" s="68" t="s">
        <v>23</v>
      </c>
      <c r="D764" s="69" t="s">
        <v>48</v>
      </c>
      <c r="E764" s="70">
        <v>23423</v>
      </c>
      <c r="F764" s="21">
        <v>8</v>
      </c>
      <c r="G764" s="3">
        <f t="shared" si="132"/>
        <v>187384</v>
      </c>
      <c r="H764" s="18"/>
      <c r="I764" s="18"/>
      <c r="J764" s="18"/>
      <c r="K764" s="18"/>
      <c r="L764" s="18"/>
      <c r="M764" s="18"/>
    </row>
    <row r="765" spans="2:13" ht="12.95" customHeight="1" x14ac:dyDescent="0.3">
      <c r="B765" s="73" t="s">
        <v>15</v>
      </c>
      <c r="C765" s="68" t="s">
        <v>90</v>
      </c>
      <c r="D765" s="69" t="s">
        <v>48</v>
      </c>
      <c r="E765" s="70">
        <v>10298</v>
      </c>
      <c r="F765" s="21">
        <v>8</v>
      </c>
      <c r="G765" s="3">
        <f t="shared" si="132"/>
        <v>82384</v>
      </c>
      <c r="H765" s="71"/>
      <c r="I765" s="72"/>
      <c r="J765" s="18"/>
      <c r="K765" s="18"/>
      <c r="L765" s="18"/>
      <c r="M765" s="18"/>
    </row>
    <row r="766" spans="2:13" ht="12.95" customHeight="1" x14ac:dyDescent="0.3">
      <c r="B766" s="68" t="s">
        <v>84</v>
      </c>
      <c r="C766" s="68" t="s">
        <v>85</v>
      </c>
      <c r="D766" s="69" t="s">
        <v>48</v>
      </c>
      <c r="E766" s="70">
        <v>9037</v>
      </c>
      <c r="F766" s="21">
        <v>8</v>
      </c>
      <c r="G766" s="3">
        <f t="shared" si="132"/>
        <v>72296</v>
      </c>
      <c r="H766" s="71"/>
      <c r="I766" s="72"/>
      <c r="J766" s="18"/>
      <c r="K766" s="18"/>
      <c r="L766" s="18"/>
      <c r="M766" s="18"/>
    </row>
    <row r="767" spans="2:13" ht="12.95" customHeight="1" x14ac:dyDescent="0.3">
      <c r="B767" s="68" t="s">
        <v>61</v>
      </c>
      <c r="C767" s="68" t="s">
        <v>52</v>
      </c>
      <c r="D767" s="69" t="s">
        <v>48</v>
      </c>
      <c r="E767" s="70">
        <v>9986</v>
      </c>
      <c r="F767" s="21">
        <v>4</v>
      </c>
      <c r="G767" s="3">
        <f t="shared" si="132"/>
        <v>39944</v>
      </c>
      <c r="H767" s="80"/>
      <c r="I767" s="78"/>
      <c r="J767" s="18"/>
      <c r="K767" s="18"/>
      <c r="L767" s="18"/>
      <c r="M767" s="18"/>
    </row>
    <row r="768" spans="2:13" ht="12.95" customHeight="1" x14ac:dyDescent="0.3">
      <c r="B768" s="74" t="s">
        <v>40</v>
      </c>
      <c r="C768" s="75"/>
      <c r="D768" s="75"/>
      <c r="E768" s="81"/>
      <c r="F768" s="19"/>
      <c r="G768" s="20">
        <f>TRUNC(SUM(G763:G767))</f>
        <v>803072</v>
      </c>
      <c r="H768" s="18"/>
      <c r="I768" s="18"/>
      <c r="J768" s="18"/>
      <c r="K768" s="18"/>
      <c r="L768" s="18"/>
      <c r="M768" s="18"/>
    </row>
    <row r="769" spans="2:13" ht="12.95" customHeight="1" x14ac:dyDescent="0.3">
      <c r="B769" s="82"/>
      <c r="C769" s="68"/>
      <c r="D769" s="68"/>
      <c r="E769" s="83"/>
      <c r="F769" s="84"/>
      <c r="G769" s="72"/>
      <c r="H769" s="79"/>
      <c r="I769" s="78"/>
      <c r="J769" s="18"/>
      <c r="K769" s="18"/>
      <c r="L769" s="18"/>
      <c r="M769" s="18"/>
    </row>
    <row r="770" spans="2:13" ht="12.95" customHeight="1" x14ac:dyDescent="0.3">
      <c r="B770" s="51" t="s">
        <v>42</v>
      </c>
      <c r="C770" s="75"/>
      <c r="D770" s="75"/>
      <c r="E770" s="81"/>
      <c r="F770" s="81"/>
      <c r="G770" s="85">
        <f>SUM(G752+G761+G768)</f>
        <v>4371376</v>
      </c>
      <c r="H770" s="18"/>
      <c r="I770" s="18"/>
      <c r="J770" s="18"/>
      <c r="K770" s="18"/>
      <c r="L770" s="18"/>
      <c r="M770" s="18"/>
    </row>
    <row r="771" spans="2:13" ht="12.95" customHeight="1" x14ac:dyDescent="0.3">
      <c r="B771" s="52" t="s">
        <v>225</v>
      </c>
      <c r="C771" s="86"/>
      <c r="D771" s="86"/>
      <c r="E771" s="87"/>
      <c r="F771" s="87"/>
      <c r="G771" s="8">
        <f>TRUNC(G770/G745)</f>
        <v>3642</v>
      </c>
      <c r="L771" s="18"/>
      <c r="M771" s="18"/>
    </row>
    <row r="773" spans="2:13" ht="12.95" customHeight="1" x14ac:dyDescent="0.3">
      <c r="B773" s="60" t="s">
        <v>275</v>
      </c>
      <c r="C773" s="61"/>
      <c r="D773" s="62"/>
      <c r="E773" s="63"/>
      <c r="F773" s="62"/>
      <c r="G773" s="33" t="s">
        <v>58</v>
      </c>
    </row>
    <row r="774" spans="2:13" ht="12.95" customHeight="1" x14ac:dyDescent="0.3">
      <c r="B774" s="122" t="s">
        <v>30</v>
      </c>
      <c r="C774" s="123" t="s">
        <v>34</v>
      </c>
      <c r="D774" s="141" t="s">
        <v>35</v>
      </c>
      <c r="E774" s="125" t="s">
        <v>31</v>
      </c>
      <c r="F774" s="34" t="s">
        <v>224</v>
      </c>
      <c r="G774" s="37">
        <v>120</v>
      </c>
      <c r="H774" s="4"/>
    </row>
    <row r="775" spans="2:13" ht="12.95" customHeight="1" x14ac:dyDescent="0.3">
      <c r="B775" s="122"/>
      <c r="C775" s="123"/>
      <c r="D775" s="141"/>
      <c r="E775" s="125"/>
      <c r="F775" s="38" t="s">
        <v>32</v>
      </c>
      <c r="G775" s="39" t="s">
        <v>33</v>
      </c>
      <c r="H775" s="4"/>
    </row>
    <row r="776" spans="2:13" ht="12.95" customHeight="1" x14ac:dyDescent="0.3">
      <c r="B776" s="68" t="s">
        <v>98</v>
      </c>
      <c r="C776" s="68" t="s">
        <v>17</v>
      </c>
      <c r="D776" s="69" t="s">
        <v>48</v>
      </c>
      <c r="E776" s="95">
        <v>2101</v>
      </c>
      <c r="F776" s="21">
        <v>8</v>
      </c>
      <c r="G776" s="3">
        <f t="shared" ref="G776" si="133">TRUNC($E776*F776,1)</f>
        <v>16808</v>
      </c>
    </row>
    <row r="777" spans="2:13" ht="12.95" customHeight="1" x14ac:dyDescent="0.3">
      <c r="B777" s="96" t="s">
        <v>36</v>
      </c>
      <c r="C777" s="97" t="s">
        <v>99</v>
      </c>
      <c r="D777" s="35" t="s">
        <v>45</v>
      </c>
      <c r="E777" s="98"/>
      <c r="F777" s="21">
        <v>1</v>
      </c>
      <c r="G777" s="5">
        <f>TRUNC(SUM(G780:G781)*0.02,1)</f>
        <v>32936.199999999997</v>
      </c>
    </row>
    <row r="778" spans="2:13" ht="12.95" customHeight="1" x14ac:dyDescent="0.3">
      <c r="B778" s="74" t="s">
        <v>38</v>
      </c>
      <c r="C778" s="75"/>
      <c r="D778" s="75"/>
      <c r="E778" s="24"/>
      <c r="F778" s="25"/>
      <c r="G778" s="20">
        <f>TRUNC(SUM(G776:G777))</f>
        <v>49744</v>
      </c>
    </row>
    <row r="779" spans="2:13" ht="12.95" customHeight="1" x14ac:dyDescent="0.3">
      <c r="B779" s="77"/>
      <c r="C779" s="75"/>
      <c r="D779" s="75"/>
      <c r="E779" s="24"/>
      <c r="F779" s="25"/>
      <c r="G779" s="78"/>
    </row>
    <row r="780" spans="2:13" ht="12.95" customHeight="1" x14ac:dyDescent="0.3">
      <c r="B780" s="40" t="s">
        <v>53</v>
      </c>
      <c r="C780" s="41"/>
      <c r="D780" s="42" t="s">
        <v>37</v>
      </c>
      <c r="E780" s="95">
        <v>226122</v>
      </c>
      <c r="F780" s="21">
        <v>5</v>
      </c>
      <c r="G780" s="3">
        <f t="shared" ref="G780:G782" si="134">TRUNC($E780*F780,1)</f>
        <v>1130610</v>
      </c>
    </row>
    <row r="781" spans="2:13" ht="12.95" customHeight="1" x14ac:dyDescent="0.3">
      <c r="B781" s="40" t="s">
        <v>8</v>
      </c>
      <c r="C781" s="41"/>
      <c r="D781" s="42" t="s">
        <v>37</v>
      </c>
      <c r="E781" s="95">
        <v>172068</v>
      </c>
      <c r="F781" s="21">
        <v>3</v>
      </c>
      <c r="G781" s="3">
        <f t="shared" si="134"/>
        <v>516204</v>
      </c>
    </row>
    <row r="782" spans="2:13" ht="12.95" customHeight="1" x14ac:dyDescent="0.3">
      <c r="B782" s="68" t="s">
        <v>98</v>
      </c>
      <c r="C782" s="68" t="s">
        <v>17</v>
      </c>
      <c r="D782" s="35" t="s">
        <v>44</v>
      </c>
      <c r="E782" s="95">
        <v>36190</v>
      </c>
      <c r="F782" s="21">
        <v>8</v>
      </c>
      <c r="G782" s="3">
        <f t="shared" si="134"/>
        <v>289520</v>
      </c>
    </row>
    <row r="783" spans="2:13" ht="12.95" customHeight="1" x14ac:dyDescent="0.3">
      <c r="B783" s="45" t="s">
        <v>39</v>
      </c>
      <c r="C783" s="75"/>
      <c r="D783" s="75"/>
      <c r="E783" s="24"/>
      <c r="F783" s="25"/>
      <c r="G783" s="20">
        <f>TRUNC(SUM(G780:G782))</f>
        <v>1936334</v>
      </c>
    </row>
    <row r="784" spans="2:13" ht="12.95" customHeight="1" x14ac:dyDescent="0.3">
      <c r="B784" s="77"/>
      <c r="C784" s="75"/>
      <c r="D784" s="75"/>
      <c r="E784" s="24"/>
      <c r="F784" s="25"/>
      <c r="G784" s="78"/>
    </row>
    <row r="785" spans="2:13" ht="12.95" customHeight="1" x14ac:dyDescent="0.3">
      <c r="B785" s="68" t="s">
        <v>98</v>
      </c>
      <c r="C785" s="68" t="s">
        <v>17</v>
      </c>
      <c r="D785" s="69" t="s">
        <v>48</v>
      </c>
      <c r="E785" s="95">
        <v>1138</v>
      </c>
      <c r="F785" s="21">
        <v>8</v>
      </c>
      <c r="G785" s="3">
        <f t="shared" ref="G785" si="135">TRUNC($E785*F785,1)</f>
        <v>9104</v>
      </c>
    </row>
    <row r="786" spans="2:13" ht="12.95" customHeight="1" x14ac:dyDescent="0.3">
      <c r="B786" s="74" t="s">
        <v>40</v>
      </c>
      <c r="C786" s="75"/>
      <c r="D786" s="75"/>
      <c r="E786" s="81"/>
      <c r="F786" s="19"/>
      <c r="G786" s="20">
        <f>TRUNC(SUM(G785:G785))</f>
        <v>9104</v>
      </c>
    </row>
    <row r="787" spans="2:13" ht="12.95" customHeight="1" x14ac:dyDescent="0.3">
      <c r="B787" s="82"/>
      <c r="C787" s="68"/>
      <c r="D787" s="68"/>
      <c r="E787" s="83"/>
      <c r="F787" s="84"/>
      <c r="G787" s="72"/>
    </row>
    <row r="788" spans="2:13" ht="12.95" customHeight="1" x14ac:dyDescent="0.3">
      <c r="B788" s="51" t="s">
        <v>42</v>
      </c>
      <c r="C788" s="75"/>
      <c r="D788" s="75"/>
      <c r="E788" s="81"/>
      <c r="F788" s="81"/>
      <c r="G788" s="85">
        <f>SUM(G778+G783+G786)</f>
        <v>1995182</v>
      </c>
    </row>
    <row r="789" spans="2:13" ht="12.95" customHeight="1" x14ac:dyDescent="0.3">
      <c r="B789" s="52" t="s">
        <v>225</v>
      </c>
      <c r="C789" s="86"/>
      <c r="D789" s="86"/>
      <c r="E789" s="87"/>
      <c r="F789" s="87"/>
      <c r="G789" s="8">
        <f>TRUNC(G788/G774)</f>
        <v>16626</v>
      </c>
      <c r="L789" s="18"/>
      <c r="M789" s="18"/>
    </row>
    <row r="791" spans="2:13" ht="12.95" customHeight="1" x14ac:dyDescent="0.3">
      <c r="B791" s="29" t="s">
        <v>177</v>
      </c>
    </row>
    <row r="792" spans="2:13" ht="12.95" customHeight="1" x14ac:dyDescent="0.3">
      <c r="B792" s="60" t="s">
        <v>178</v>
      </c>
      <c r="C792" s="61"/>
      <c r="D792" s="62"/>
      <c r="E792" s="63"/>
      <c r="F792" s="62"/>
      <c r="G792" s="33"/>
      <c r="H792" s="62"/>
      <c r="I792" s="33" t="s">
        <v>58</v>
      </c>
    </row>
    <row r="793" spans="2:13" ht="12.95" customHeight="1" x14ac:dyDescent="0.3">
      <c r="B793" s="127" t="s">
        <v>30</v>
      </c>
      <c r="C793" s="130" t="s">
        <v>34</v>
      </c>
      <c r="D793" s="133" t="s">
        <v>35</v>
      </c>
      <c r="E793" s="136" t="s">
        <v>31</v>
      </c>
      <c r="F793" s="139" t="s">
        <v>240</v>
      </c>
      <c r="G793" s="140"/>
      <c r="H793" s="139" t="s">
        <v>241</v>
      </c>
      <c r="I793" s="140"/>
    </row>
    <row r="794" spans="2:13" ht="12.95" customHeight="1" x14ac:dyDescent="0.3">
      <c r="B794" s="128"/>
      <c r="C794" s="131"/>
      <c r="D794" s="134"/>
      <c r="E794" s="137"/>
      <c r="F794" s="34" t="s">
        <v>239</v>
      </c>
      <c r="G794" s="37">
        <v>12</v>
      </c>
      <c r="H794" s="34" t="s">
        <v>239</v>
      </c>
      <c r="I794" s="37">
        <v>22</v>
      </c>
    </row>
    <row r="795" spans="2:13" ht="12.95" customHeight="1" x14ac:dyDescent="0.3">
      <c r="B795" s="129"/>
      <c r="C795" s="132"/>
      <c r="D795" s="135"/>
      <c r="E795" s="138"/>
      <c r="F795" s="38" t="s">
        <v>32</v>
      </c>
      <c r="G795" s="39" t="s">
        <v>33</v>
      </c>
      <c r="H795" s="38" t="s">
        <v>32</v>
      </c>
      <c r="I795" s="39" t="s">
        <v>33</v>
      </c>
    </row>
    <row r="796" spans="2:13" ht="12.95" customHeight="1" x14ac:dyDescent="0.3">
      <c r="B796" s="68" t="s">
        <v>11</v>
      </c>
      <c r="C796" s="68" t="s">
        <v>43</v>
      </c>
      <c r="D796" s="69" t="s">
        <v>48</v>
      </c>
      <c r="E796" s="95">
        <v>9213</v>
      </c>
      <c r="F796" s="21">
        <v>8</v>
      </c>
      <c r="G796" s="3">
        <f t="shared" ref="G796" si="136">TRUNC($E796*F796,1)</f>
        <v>73704</v>
      </c>
      <c r="H796" s="21">
        <v>0</v>
      </c>
      <c r="I796" s="3">
        <f t="shared" ref="I796" si="137">TRUNC($E796*H796,1)</f>
        <v>0</v>
      </c>
    </row>
    <row r="797" spans="2:13" ht="12.95" customHeight="1" x14ac:dyDescent="0.3">
      <c r="B797" s="96" t="s">
        <v>36</v>
      </c>
      <c r="C797" s="97" t="s">
        <v>99</v>
      </c>
      <c r="D797" s="35" t="s">
        <v>45</v>
      </c>
      <c r="E797" s="98"/>
      <c r="F797" s="21">
        <v>1</v>
      </c>
      <c r="G797" s="5">
        <f>TRUNC(SUM(G800:G801)*0.02,1)</f>
        <v>12486.2</v>
      </c>
      <c r="H797" s="21">
        <v>1</v>
      </c>
      <c r="I797" s="5">
        <f>TRUNC(SUM(I800:I801)*0.02,1)</f>
        <v>12486.2</v>
      </c>
    </row>
    <row r="798" spans="2:13" ht="12.95" customHeight="1" x14ac:dyDescent="0.3">
      <c r="B798" s="74" t="s">
        <v>38</v>
      </c>
      <c r="C798" s="75"/>
      <c r="D798" s="75"/>
      <c r="E798" s="24"/>
      <c r="F798" s="25"/>
      <c r="G798" s="20">
        <f>TRUNC(SUM(G796:G797))</f>
        <v>86190</v>
      </c>
      <c r="H798" s="25"/>
      <c r="I798" s="20">
        <f>TRUNC(SUM(I796:I797))</f>
        <v>12486</v>
      </c>
    </row>
    <row r="799" spans="2:13" ht="12.95" customHeight="1" x14ac:dyDescent="0.3">
      <c r="B799" s="77"/>
      <c r="C799" s="75"/>
      <c r="D799" s="75"/>
      <c r="E799" s="24"/>
      <c r="F799" s="25"/>
      <c r="G799" s="78"/>
      <c r="H799" s="25"/>
      <c r="I799" s="78"/>
    </row>
    <row r="800" spans="2:13" ht="12.95" customHeight="1" x14ac:dyDescent="0.3">
      <c r="B800" s="40" t="s">
        <v>53</v>
      </c>
      <c r="C800" s="41"/>
      <c r="D800" s="42" t="s">
        <v>37</v>
      </c>
      <c r="E800" s="95">
        <v>226122</v>
      </c>
      <c r="F800" s="21">
        <v>2</v>
      </c>
      <c r="G800" s="3">
        <f t="shared" ref="G800:G802" si="138">TRUNC($E800*F800,1)</f>
        <v>452244</v>
      </c>
      <c r="H800" s="21">
        <v>2</v>
      </c>
      <c r="I800" s="3">
        <f t="shared" ref="I800:I802" si="139">TRUNC($E800*H800,1)</f>
        <v>452244</v>
      </c>
    </row>
    <row r="801" spans="2:13" ht="12.95" customHeight="1" x14ac:dyDescent="0.3">
      <c r="B801" s="40" t="s">
        <v>8</v>
      </c>
      <c r="C801" s="41"/>
      <c r="D801" s="42" t="s">
        <v>37</v>
      </c>
      <c r="E801" s="95">
        <v>172068</v>
      </c>
      <c r="F801" s="21">
        <v>1</v>
      </c>
      <c r="G801" s="3">
        <f t="shared" si="138"/>
        <v>172068</v>
      </c>
      <c r="H801" s="21">
        <v>1</v>
      </c>
      <c r="I801" s="3">
        <f t="shared" si="139"/>
        <v>172068</v>
      </c>
    </row>
    <row r="802" spans="2:13" ht="12.95" customHeight="1" x14ac:dyDescent="0.3">
      <c r="B802" s="68" t="s">
        <v>11</v>
      </c>
      <c r="C802" s="68" t="s">
        <v>43</v>
      </c>
      <c r="D802" s="35" t="s">
        <v>44</v>
      </c>
      <c r="E802" s="95">
        <v>49698</v>
      </c>
      <c r="F802" s="21">
        <v>8</v>
      </c>
      <c r="G802" s="3">
        <f t="shared" si="138"/>
        <v>397584</v>
      </c>
      <c r="H802" s="21">
        <v>0</v>
      </c>
      <c r="I802" s="3">
        <f t="shared" si="139"/>
        <v>0</v>
      </c>
    </row>
    <row r="803" spans="2:13" ht="12.95" customHeight="1" x14ac:dyDescent="0.3">
      <c r="B803" s="45" t="s">
        <v>39</v>
      </c>
      <c r="C803" s="75"/>
      <c r="D803" s="75"/>
      <c r="E803" s="24"/>
      <c r="F803" s="25"/>
      <c r="G803" s="20">
        <f>TRUNC(SUM(G800:G802))</f>
        <v>1021896</v>
      </c>
      <c r="H803" s="25"/>
      <c r="I803" s="20">
        <f>TRUNC(SUM(I800:I802))</f>
        <v>624312</v>
      </c>
    </row>
    <row r="804" spans="2:13" ht="12.95" customHeight="1" x14ac:dyDescent="0.3">
      <c r="B804" s="77"/>
      <c r="C804" s="75"/>
      <c r="D804" s="75"/>
      <c r="E804" s="24"/>
      <c r="F804" s="25"/>
      <c r="G804" s="78"/>
      <c r="H804" s="25"/>
      <c r="I804" s="78"/>
    </row>
    <row r="805" spans="2:13" ht="12.95" customHeight="1" x14ac:dyDescent="0.3">
      <c r="B805" s="68" t="s">
        <v>11</v>
      </c>
      <c r="C805" s="68" t="s">
        <v>43</v>
      </c>
      <c r="D805" s="69" t="s">
        <v>48</v>
      </c>
      <c r="E805" s="95">
        <v>11117</v>
      </c>
      <c r="F805" s="21">
        <v>8</v>
      </c>
      <c r="G805" s="3">
        <f t="shared" ref="G805" si="140">TRUNC($E805*F805,1)</f>
        <v>88936</v>
      </c>
      <c r="H805" s="21">
        <v>0</v>
      </c>
      <c r="I805" s="3">
        <f t="shared" ref="I805" si="141">TRUNC($E805*H805,1)</f>
        <v>0</v>
      </c>
    </row>
    <row r="806" spans="2:13" ht="12.95" customHeight="1" x14ac:dyDescent="0.3">
      <c r="B806" s="74" t="s">
        <v>40</v>
      </c>
      <c r="C806" s="75"/>
      <c r="D806" s="75"/>
      <c r="E806" s="81"/>
      <c r="F806" s="19"/>
      <c r="G806" s="20">
        <f>TRUNC(SUM(G805:G805))</f>
        <v>88936</v>
      </c>
      <c r="H806" s="19"/>
      <c r="I806" s="20">
        <f>TRUNC(SUM(I805:I805))</f>
        <v>0</v>
      </c>
    </row>
    <row r="807" spans="2:13" ht="12.95" customHeight="1" x14ac:dyDescent="0.3">
      <c r="B807" s="82"/>
      <c r="C807" s="68"/>
      <c r="D807" s="68"/>
      <c r="E807" s="83"/>
      <c r="F807" s="84"/>
      <c r="G807" s="72"/>
      <c r="H807" s="84"/>
      <c r="I807" s="72"/>
    </row>
    <row r="808" spans="2:13" ht="12.95" customHeight="1" x14ac:dyDescent="0.3">
      <c r="B808" s="51" t="s">
        <v>42</v>
      </c>
      <c r="C808" s="75"/>
      <c r="D808" s="75"/>
      <c r="E808" s="81"/>
      <c r="F808" s="81"/>
      <c r="G808" s="85">
        <f>SUM(G798+G803+G806)</f>
        <v>1197022</v>
      </c>
      <c r="H808" s="81"/>
      <c r="I808" s="85">
        <f>SUM(I798+I803+I806)</f>
        <v>636798</v>
      </c>
    </row>
    <row r="809" spans="2:13" ht="12.95" customHeight="1" x14ac:dyDescent="0.3">
      <c r="B809" s="52" t="s">
        <v>242</v>
      </c>
      <c r="C809" s="86"/>
      <c r="D809" s="86"/>
      <c r="E809" s="87"/>
      <c r="F809" s="87"/>
      <c r="G809" s="8">
        <f>TRUNC(G808/G794)</f>
        <v>99751</v>
      </c>
      <c r="H809" s="87"/>
      <c r="I809" s="8">
        <f>TRUNC(I808/I794)</f>
        <v>28945</v>
      </c>
      <c r="L809" s="18"/>
      <c r="M809" s="18"/>
    </row>
    <row r="811" spans="2:13" ht="12.95" customHeight="1" x14ac:dyDescent="0.3">
      <c r="B811" s="60" t="s">
        <v>179</v>
      </c>
      <c r="C811" s="61"/>
      <c r="D811" s="62"/>
      <c r="E811" s="63"/>
      <c r="F811" s="62"/>
      <c r="G811" s="33"/>
      <c r="H811" s="62"/>
      <c r="I811" s="33"/>
      <c r="J811" s="62"/>
      <c r="K811" s="33" t="s">
        <v>58</v>
      </c>
    </row>
    <row r="812" spans="2:13" ht="12.95" customHeight="1" x14ac:dyDescent="0.3">
      <c r="B812" s="122" t="s">
        <v>30</v>
      </c>
      <c r="C812" s="123" t="s">
        <v>34</v>
      </c>
      <c r="D812" s="141" t="s">
        <v>35</v>
      </c>
      <c r="E812" s="125" t="s">
        <v>31</v>
      </c>
      <c r="F812" s="139" t="s">
        <v>102</v>
      </c>
      <c r="G812" s="140"/>
      <c r="H812" s="139" t="s">
        <v>101</v>
      </c>
      <c r="I812" s="140"/>
      <c r="J812" s="139" t="s">
        <v>100</v>
      </c>
      <c r="K812" s="140"/>
    </row>
    <row r="813" spans="2:13" ht="12.95" customHeight="1" x14ac:dyDescent="0.3">
      <c r="B813" s="122"/>
      <c r="C813" s="123"/>
      <c r="D813" s="141"/>
      <c r="E813" s="125"/>
      <c r="F813" s="38" t="s">
        <v>32</v>
      </c>
      <c r="G813" s="39" t="s">
        <v>33</v>
      </c>
      <c r="H813" s="38" t="s">
        <v>32</v>
      </c>
      <c r="I813" s="39" t="s">
        <v>33</v>
      </c>
      <c r="J813" s="38" t="s">
        <v>32</v>
      </c>
      <c r="K813" s="39" t="s">
        <v>33</v>
      </c>
    </row>
    <row r="814" spans="2:13" ht="12.95" customHeight="1" x14ac:dyDescent="0.3">
      <c r="B814" s="68" t="s">
        <v>11</v>
      </c>
      <c r="C814" s="68" t="s">
        <v>103</v>
      </c>
      <c r="D814" s="69" t="s">
        <v>48</v>
      </c>
      <c r="E814" s="95">
        <v>9213</v>
      </c>
      <c r="F814" s="21">
        <v>8</v>
      </c>
      <c r="G814" s="3">
        <f t="shared" ref="G814:G816" si="142">TRUNC($E814*F814,1)</f>
        <v>73704</v>
      </c>
      <c r="H814" s="21">
        <v>0</v>
      </c>
      <c r="I814" s="3">
        <f t="shared" ref="I814:I816" si="143">TRUNC($E814*H814,1)</f>
        <v>0</v>
      </c>
      <c r="J814" s="21">
        <v>0</v>
      </c>
      <c r="K814" s="3">
        <f t="shared" ref="K814:K816" si="144">TRUNC($E814*J814,1)</f>
        <v>0</v>
      </c>
    </row>
    <row r="815" spans="2:13" ht="12.95" customHeight="1" x14ac:dyDescent="0.3">
      <c r="B815" s="68" t="s">
        <v>269</v>
      </c>
      <c r="C815" s="68" t="s">
        <v>104</v>
      </c>
      <c r="D815" s="69" t="s">
        <v>48</v>
      </c>
      <c r="E815" s="95">
        <v>12764</v>
      </c>
      <c r="F815" s="21">
        <v>0</v>
      </c>
      <c r="G815" s="3">
        <f t="shared" si="142"/>
        <v>0</v>
      </c>
      <c r="H815" s="21">
        <v>8</v>
      </c>
      <c r="I815" s="3">
        <f t="shared" si="143"/>
        <v>102112</v>
      </c>
      <c r="J815" s="21">
        <v>0</v>
      </c>
      <c r="K815" s="3">
        <f t="shared" si="144"/>
        <v>0</v>
      </c>
    </row>
    <row r="816" spans="2:13" ht="12.95" customHeight="1" x14ac:dyDescent="0.3">
      <c r="B816" s="68" t="s">
        <v>269</v>
      </c>
      <c r="C816" s="68" t="s">
        <v>105</v>
      </c>
      <c r="D816" s="69" t="s">
        <v>48</v>
      </c>
      <c r="E816" s="95">
        <v>23635</v>
      </c>
      <c r="F816" s="21">
        <v>0</v>
      </c>
      <c r="G816" s="3">
        <f t="shared" si="142"/>
        <v>0</v>
      </c>
      <c r="H816" s="21">
        <v>0</v>
      </c>
      <c r="I816" s="3">
        <f t="shared" si="143"/>
        <v>0</v>
      </c>
      <c r="J816" s="21">
        <v>8</v>
      </c>
      <c r="K816" s="3">
        <f t="shared" si="144"/>
        <v>189080</v>
      </c>
    </row>
    <row r="817" spans="2:11" ht="12.95" customHeight="1" x14ac:dyDescent="0.3">
      <c r="B817" s="96" t="s">
        <v>36</v>
      </c>
      <c r="C817" s="97" t="s">
        <v>99</v>
      </c>
      <c r="D817" s="35" t="s">
        <v>45</v>
      </c>
      <c r="E817" s="98"/>
      <c r="F817" s="21">
        <v>1</v>
      </c>
      <c r="G817" s="5">
        <f>TRUNC(SUM(G820:G821)*0.02,1)</f>
        <v>17008.599999999999</v>
      </c>
      <c r="H817" s="21">
        <v>1</v>
      </c>
      <c r="I817" s="5">
        <f>TRUNC(SUM(I820:I821)*0.02,1)</f>
        <v>17008.599999999999</v>
      </c>
      <c r="J817" s="21">
        <v>1</v>
      </c>
      <c r="K817" s="5">
        <f>TRUNC(SUM(K820:K821)*0.02,1)</f>
        <v>17008.599999999999</v>
      </c>
    </row>
    <row r="818" spans="2:11" ht="12.95" customHeight="1" x14ac:dyDescent="0.3">
      <c r="B818" s="74" t="s">
        <v>38</v>
      </c>
      <c r="C818" s="75"/>
      <c r="D818" s="75"/>
      <c r="E818" s="24"/>
      <c r="F818" s="25"/>
      <c r="G818" s="20">
        <f>TRUNC(SUM(G814:G817))</f>
        <v>90712</v>
      </c>
      <c r="H818" s="25"/>
      <c r="I818" s="20">
        <f>TRUNC(SUM(I814:I817))</f>
        <v>119120</v>
      </c>
      <c r="J818" s="25"/>
      <c r="K818" s="20">
        <f>TRUNC(SUM(K814:K817))</f>
        <v>206088</v>
      </c>
    </row>
    <row r="819" spans="2:11" ht="12.95" customHeight="1" x14ac:dyDescent="0.3">
      <c r="B819" s="77"/>
      <c r="C819" s="75"/>
      <c r="D819" s="75"/>
      <c r="E819" s="24"/>
      <c r="F819" s="25"/>
      <c r="G819" s="78"/>
      <c r="H819" s="25"/>
      <c r="I819" s="78"/>
      <c r="J819" s="25"/>
      <c r="K819" s="78"/>
    </row>
    <row r="820" spans="2:11" ht="12.95" customHeight="1" x14ac:dyDescent="0.3">
      <c r="B820" s="40" t="s">
        <v>53</v>
      </c>
      <c r="C820" s="41"/>
      <c r="D820" s="42" t="s">
        <v>37</v>
      </c>
      <c r="E820" s="95">
        <v>226122</v>
      </c>
      <c r="F820" s="21">
        <v>3</v>
      </c>
      <c r="G820" s="3">
        <f t="shared" ref="G820:G824" si="145">TRUNC($E820*F820,1)</f>
        <v>678366</v>
      </c>
      <c r="H820" s="21">
        <v>3</v>
      </c>
      <c r="I820" s="3">
        <f t="shared" ref="I820:I824" si="146">TRUNC($E820*H820,1)</f>
        <v>678366</v>
      </c>
      <c r="J820" s="21">
        <v>3</v>
      </c>
      <c r="K820" s="3">
        <f t="shared" ref="K820:K824" si="147">TRUNC($E820*J820,1)</f>
        <v>678366</v>
      </c>
    </row>
    <row r="821" spans="2:11" ht="12.95" customHeight="1" x14ac:dyDescent="0.3">
      <c r="B821" s="40" t="s">
        <v>8</v>
      </c>
      <c r="C821" s="41"/>
      <c r="D821" s="42" t="s">
        <v>37</v>
      </c>
      <c r="E821" s="95">
        <v>172068</v>
      </c>
      <c r="F821" s="21">
        <v>1</v>
      </c>
      <c r="G821" s="3">
        <f t="shared" si="145"/>
        <v>172068</v>
      </c>
      <c r="H821" s="21">
        <v>1</v>
      </c>
      <c r="I821" s="3">
        <f t="shared" si="146"/>
        <v>172068</v>
      </c>
      <c r="J821" s="21">
        <v>1</v>
      </c>
      <c r="K821" s="3">
        <f t="shared" si="147"/>
        <v>172068</v>
      </c>
    </row>
    <row r="822" spans="2:11" ht="12.95" customHeight="1" x14ac:dyDescent="0.3">
      <c r="B822" s="68" t="s">
        <v>11</v>
      </c>
      <c r="C822" s="68" t="s">
        <v>103</v>
      </c>
      <c r="D822" s="35" t="s">
        <v>44</v>
      </c>
      <c r="E822" s="95">
        <v>49698</v>
      </c>
      <c r="F822" s="21">
        <v>8</v>
      </c>
      <c r="G822" s="3">
        <f t="shared" si="145"/>
        <v>397584</v>
      </c>
      <c r="H822" s="21">
        <v>0</v>
      </c>
      <c r="I822" s="3">
        <f t="shared" si="146"/>
        <v>0</v>
      </c>
      <c r="J822" s="21">
        <v>0</v>
      </c>
      <c r="K822" s="3">
        <f t="shared" si="147"/>
        <v>0</v>
      </c>
    </row>
    <row r="823" spans="2:11" ht="12.95" customHeight="1" x14ac:dyDescent="0.3">
      <c r="B823" s="68" t="s">
        <v>269</v>
      </c>
      <c r="C823" s="68" t="s">
        <v>104</v>
      </c>
      <c r="D823" s="35" t="s">
        <v>44</v>
      </c>
      <c r="E823" s="95">
        <v>58925</v>
      </c>
      <c r="F823" s="21">
        <v>0</v>
      </c>
      <c r="G823" s="3">
        <f t="shared" si="145"/>
        <v>0</v>
      </c>
      <c r="H823" s="21">
        <v>8</v>
      </c>
      <c r="I823" s="3">
        <f t="shared" si="146"/>
        <v>471400</v>
      </c>
      <c r="J823" s="21">
        <v>0</v>
      </c>
      <c r="K823" s="3">
        <f t="shared" si="147"/>
        <v>0</v>
      </c>
    </row>
    <row r="824" spans="2:11" ht="12.95" customHeight="1" x14ac:dyDescent="0.3">
      <c r="B824" s="68" t="s">
        <v>269</v>
      </c>
      <c r="C824" s="68" t="s">
        <v>105</v>
      </c>
      <c r="D824" s="35" t="s">
        <v>44</v>
      </c>
      <c r="E824" s="95">
        <v>58925</v>
      </c>
      <c r="F824" s="21">
        <v>0</v>
      </c>
      <c r="G824" s="3">
        <f t="shared" si="145"/>
        <v>0</v>
      </c>
      <c r="H824" s="21">
        <v>0</v>
      </c>
      <c r="I824" s="3">
        <f t="shared" si="146"/>
        <v>0</v>
      </c>
      <c r="J824" s="21">
        <v>8</v>
      </c>
      <c r="K824" s="3">
        <f t="shared" si="147"/>
        <v>471400</v>
      </c>
    </row>
    <row r="825" spans="2:11" ht="12.95" customHeight="1" x14ac:dyDescent="0.3">
      <c r="B825" s="45" t="s">
        <v>39</v>
      </c>
      <c r="C825" s="75"/>
      <c r="D825" s="75"/>
      <c r="E825" s="24"/>
      <c r="F825" s="25"/>
      <c r="G825" s="20">
        <f>TRUNC(SUM(G820:G824))</f>
        <v>1248018</v>
      </c>
      <c r="H825" s="25"/>
      <c r="I825" s="20">
        <f>TRUNC(SUM(I820:I824))</f>
        <v>1321834</v>
      </c>
      <c r="J825" s="25"/>
      <c r="K825" s="20">
        <f>TRUNC(SUM(K820:K824))</f>
        <v>1321834</v>
      </c>
    </row>
    <row r="826" spans="2:11" ht="12.95" customHeight="1" x14ac:dyDescent="0.3">
      <c r="B826" s="77"/>
      <c r="C826" s="75"/>
      <c r="D826" s="75"/>
      <c r="E826" s="24"/>
      <c r="F826" s="25"/>
      <c r="G826" s="78"/>
      <c r="H826" s="25"/>
      <c r="I826" s="78"/>
      <c r="J826" s="25"/>
      <c r="K826" s="78"/>
    </row>
    <row r="827" spans="2:11" ht="12.95" customHeight="1" x14ac:dyDescent="0.3">
      <c r="B827" s="68" t="s">
        <v>11</v>
      </c>
      <c r="C827" s="68" t="s">
        <v>103</v>
      </c>
      <c r="D827" s="69" t="s">
        <v>48</v>
      </c>
      <c r="E827" s="95">
        <v>11117</v>
      </c>
      <c r="F827" s="21">
        <v>8</v>
      </c>
      <c r="G827" s="3">
        <f t="shared" ref="G827:G829" si="148">TRUNC($E827*F827,1)</f>
        <v>88936</v>
      </c>
      <c r="H827" s="21">
        <v>0</v>
      </c>
      <c r="I827" s="3">
        <f t="shared" ref="I827:I829" si="149">TRUNC($E827*H827,1)</f>
        <v>0</v>
      </c>
      <c r="J827" s="21">
        <v>0</v>
      </c>
      <c r="K827" s="3">
        <f t="shared" ref="K827:K829" si="150">TRUNC($E827*J827,1)</f>
        <v>0</v>
      </c>
    </row>
    <row r="828" spans="2:11" ht="12.95" customHeight="1" x14ac:dyDescent="0.3">
      <c r="B828" s="68" t="s">
        <v>269</v>
      </c>
      <c r="C828" s="68" t="s">
        <v>104</v>
      </c>
      <c r="D828" s="69" t="s">
        <v>48</v>
      </c>
      <c r="E828" s="95">
        <v>59751</v>
      </c>
      <c r="F828" s="21">
        <v>0</v>
      </c>
      <c r="G828" s="3">
        <f t="shared" si="148"/>
        <v>0</v>
      </c>
      <c r="H828" s="21">
        <v>8</v>
      </c>
      <c r="I828" s="3">
        <f t="shared" si="149"/>
        <v>478008</v>
      </c>
      <c r="J828" s="21">
        <v>0</v>
      </c>
      <c r="K828" s="3">
        <f t="shared" si="150"/>
        <v>0</v>
      </c>
    </row>
    <row r="829" spans="2:11" ht="12.95" customHeight="1" x14ac:dyDescent="0.3">
      <c r="B829" s="68" t="s">
        <v>269</v>
      </c>
      <c r="C829" s="68" t="s">
        <v>105</v>
      </c>
      <c r="D829" s="69" t="s">
        <v>48</v>
      </c>
      <c r="E829" s="95">
        <v>90444</v>
      </c>
      <c r="F829" s="21">
        <v>0</v>
      </c>
      <c r="G829" s="3">
        <f t="shared" si="148"/>
        <v>0</v>
      </c>
      <c r="H829" s="21">
        <v>0</v>
      </c>
      <c r="I829" s="3">
        <f t="shared" si="149"/>
        <v>0</v>
      </c>
      <c r="J829" s="21">
        <v>8</v>
      </c>
      <c r="K829" s="3">
        <f t="shared" si="150"/>
        <v>723552</v>
      </c>
    </row>
    <row r="830" spans="2:11" ht="12.95" customHeight="1" x14ac:dyDescent="0.3">
      <c r="B830" s="74" t="s">
        <v>40</v>
      </c>
      <c r="C830" s="75"/>
      <c r="D830" s="75"/>
      <c r="E830" s="81"/>
      <c r="F830" s="19"/>
      <c r="G830" s="20">
        <f>TRUNC(SUM(G827:G829))</f>
        <v>88936</v>
      </c>
      <c r="H830" s="19"/>
      <c r="I830" s="20">
        <f>TRUNC(SUM(I827:I829))</f>
        <v>478008</v>
      </c>
      <c r="J830" s="19"/>
      <c r="K830" s="20">
        <f>TRUNC(SUM(K827:K829))</f>
        <v>723552</v>
      </c>
    </row>
    <row r="831" spans="2:11" ht="12.95" customHeight="1" x14ac:dyDescent="0.3">
      <c r="B831" s="82"/>
      <c r="C831" s="68"/>
      <c r="D831" s="68"/>
      <c r="E831" s="83"/>
      <c r="F831" s="84"/>
      <c r="G831" s="72"/>
      <c r="H831" s="84"/>
      <c r="I831" s="72"/>
      <c r="J831" s="84"/>
      <c r="K831" s="72"/>
    </row>
    <row r="832" spans="2:11" ht="12.95" customHeight="1" x14ac:dyDescent="0.3">
      <c r="B832" s="52" t="s">
        <v>42</v>
      </c>
      <c r="C832" s="86"/>
      <c r="D832" s="86"/>
      <c r="E832" s="87"/>
      <c r="F832" s="87"/>
      <c r="G832" s="89">
        <f>SUM(G818+G825+G830)</f>
        <v>1427666</v>
      </c>
      <c r="H832" s="87"/>
      <c r="I832" s="89">
        <f>SUM(I818+I825+I830)</f>
        <v>1918962</v>
      </c>
      <c r="J832" s="87"/>
      <c r="K832" s="89">
        <f>SUM(K818+K825+K830)</f>
        <v>2251474</v>
      </c>
    </row>
    <row r="834" spans="2:13" ht="12.95" customHeight="1" x14ac:dyDescent="0.3">
      <c r="B834" s="99" t="s">
        <v>180</v>
      </c>
      <c r="C834" s="100"/>
      <c r="D834" s="9"/>
      <c r="E834" s="32"/>
      <c r="F834" s="4"/>
      <c r="G834" s="4"/>
      <c r="H834" s="4"/>
      <c r="I834" s="33" t="s">
        <v>58</v>
      </c>
    </row>
    <row r="835" spans="2:13" ht="12.95" customHeight="1" x14ac:dyDescent="0.3">
      <c r="B835" s="142" t="s">
        <v>30</v>
      </c>
      <c r="C835" s="142" t="s">
        <v>34</v>
      </c>
      <c r="D835" s="145" t="s">
        <v>35</v>
      </c>
      <c r="E835" s="145" t="s">
        <v>31</v>
      </c>
      <c r="F835" s="159" t="s">
        <v>106</v>
      </c>
      <c r="G835" s="160"/>
      <c r="H835" s="159" t="s">
        <v>107</v>
      </c>
      <c r="I835" s="160"/>
    </row>
    <row r="836" spans="2:13" ht="12.95" customHeight="1" x14ac:dyDescent="0.3">
      <c r="B836" s="143"/>
      <c r="C836" s="143"/>
      <c r="D836" s="146"/>
      <c r="E836" s="146"/>
      <c r="F836" s="34" t="s">
        <v>243</v>
      </c>
      <c r="G836" s="37">
        <v>4</v>
      </c>
      <c r="H836" s="34" t="s">
        <v>243</v>
      </c>
      <c r="I836" s="37">
        <v>3</v>
      </c>
    </row>
    <row r="837" spans="2:13" ht="12.95" customHeight="1" x14ac:dyDescent="0.3">
      <c r="B837" s="144"/>
      <c r="C837" s="144"/>
      <c r="D837" s="147"/>
      <c r="E837" s="147"/>
      <c r="F837" s="67" t="s">
        <v>32</v>
      </c>
      <c r="G837" s="101" t="s">
        <v>33</v>
      </c>
      <c r="H837" s="67" t="s">
        <v>32</v>
      </c>
      <c r="I837" s="101" t="s">
        <v>33</v>
      </c>
    </row>
    <row r="838" spans="2:13" ht="12.95" customHeight="1" x14ac:dyDescent="0.3">
      <c r="B838" s="96" t="s">
        <v>36</v>
      </c>
      <c r="C838" s="97" t="s">
        <v>41</v>
      </c>
      <c r="D838" s="35" t="s">
        <v>45</v>
      </c>
      <c r="E838" s="98"/>
      <c r="F838" s="109">
        <v>1</v>
      </c>
      <c r="G838" s="5">
        <f>TRUNC(SUM(G841:G842)*0.03,1)</f>
        <v>11945.7</v>
      </c>
      <c r="H838" s="109">
        <v>1</v>
      </c>
      <c r="I838" s="5">
        <f>TRUNC(SUM(I841:I842)*0.03,1)</f>
        <v>11945.7</v>
      </c>
    </row>
    <row r="839" spans="2:13" ht="12.95" customHeight="1" x14ac:dyDescent="0.3">
      <c r="B839" s="74" t="s">
        <v>38</v>
      </c>
      <c r="C839" s="102"/>
      <c r="D839" s="103"/>
      <c r="E839" s="104"/>
      <c r="F839" s="104"/>
      <c r="G839" s="17">
        <f>TRUNC(SUM(G838:G838))</f>
        <v>11945</v>
      </c>
      <c r="H839" s="104"/>
      <c r="I839" s="17">
        <f>TRUNC(SUM(I838:I838))</f>
        <v>11945</v>
      </c>
      <c r="J839" s="4"/>
    </row>
    <row r="840" spans="2:13" ht="12.95" customHeight="1" x14ac:dyDescent="0.3">
      <c r="B840" s="82"/>
      <c r="C840" s="82"/>
      <c r="D840" s="35"/>
      <c r="E840" s="105"/>
      <c r="F840" s="105"/>
      <c r="G840" s="106"/>
      <c r="H840" s="105"/>
      <c r="I840" s="106"/>
      <c r="J840" s="4"/>
    </row>
    <row r="841" spans="2:13" ht="12.95" customHeight="1" x14ac:dyDescent="0.3">
      <c r="B841" s="40" t="s">
        <v>53</v>
      </c>
      <c r="C841" s="41"/>
      <c r="D841" s="42" t="s">
        <v>37</v>
      </c>
      <c r="E841" s="95">
        <v>226122</v>
      </c>
      <c r="F841" s="21">
        <v>1</v>
      </c>
      <c r="G841" s="3">
        <f>TRUNC($E841*F841,1)</f>
        <v>226122</v>
      </c>
      <c r="H841" s="21">
        <v>1</v>
      </c>
      <c r="I841" s="3">
        <f>TRUNC($E841*H841,1)</f>
        <v>226122</v>
      </c>
      <c r="J841" s="4"/>
    </row>
    <row r="842" spans="2:13" ht="12.95" customHeight="1" x14ac:dyDescent="0.3">
      <c r="B842" s="40" t="s">
        <v>8</v>
      </c>
      <c r="C842" s="41"/>
      <c r="D842" s="42" t="s">
        <v>37</v>
      </c>
      <c r="E842" s="95">
        <v>172068</v>
      </c>
      <c r="F842" s="21">
        <v>1</v>
      </c>
      <c r="G842" s="3">
        <f>TRUNC($E842*F842,1)</f>
        <v>172068</v>
      </c>
      <c r="H842" s="21">
        <v>1</v>
      </c>
      <c r="I842" s="3">
        <f>TRUNC($E842*H842,1)</f>
        <v>172068</v>
      </c>
      <c r="J842" s="4"/>
    </row>
    <row r="843" spans="2:13" ht="12.95" customHeight="1" x14ac:dyDescent="0.3">
      <c r="B843" s="45" t="s">
        <v>39</v>
      </c>
      <c r="C843" s="102"/>
      <c r="D843" s="103"/>
      <c r="E843" s="16"/>
      <c r="F843" s="110"/>
      <c r="G843" s="17">
        <f>TRUNC(SUM(G841:G842))</f>
        <v>398190</v>
      </c>
      <c r="H843" s="110"/>
      <c r="I843" s="17">
        <f>TRUNC(SUM(I841:I842))</f>
        <v>398190</v>
      </c>
      <c r="J843" s="4"/>
    </row>
    <row r="844" spans="2:13" ht="12.95" customHeight="1" x14ac:dyDescent="0.3">
      <c r="B844" s="82"/>
      <c r="C844" s="82"/>
      <c r="D844" s="35"/>
      <c r="E844" s="105"/>
      <c r="F844" s="111"/>
      <c r="G844" s="106"/>
      <c r="H844" s="111"/>
      <c r="I844" s="106"/>
      <c r="J844" s="4"/>
    </row>
    <row r="845" spans="2:13" ht="12.95" customHeight="1" x14ac:dyDescent="0.3">
      <c r="B845" s="51" t="s">
        <v>42</v>
      </c>
      <c r="C845" s="82"/>
      <c r="D845" s="35"/>
      <c r="E845" s="107"/>
      <c r="F845" s="108"/>
      <c r="G845" s="26">
        <f>SUM(G839+G843)</f>
        <v>410135</v>
      </c>
      <c r="H845" s="108"/>
      <c r="I845" s="26">
        <f>SUM(I839+I843)</f>
        <v>410135</v>
      </c>
      <c r="J845" s="4"/>
    </row>
    <row r="846" spans="2:13" ht="12.95" customHeight="1" x14ac:dyDescent="0.3">
      <c r="B846" s="52" t="s">
        <v>244</v>
      </c>
      <c r="C846" s="86"/>
      <c r="D846" s="86"/>
      <c r="E846" s="87"/>
      <c r="F846" s="87"/>
      <c r="G846" s="8">
        <f>TRUNC(G845/G836)</f>
        <v>102533</v>
      </c>
      <c r="H846" s="87"/>
      <c r="I846" s="8">
        <f>TRUNC(I845/I836)</f>
        <v>136711</v>
      </c>
      <c r="L846" s="18"/>
      <c r="M846" s="18"/>
    </row>
    <row r="848" spans="2:13" ht="12.95" customHeight="1" x14ac:dyDescent="0.3">
      <c r="B848" s="99" t="s">
        <v>181</v>
      </c>
      <c r="C848" s="100"/>
      <c r="D848" s="9"/>
      <c r="E848" s="32"/>
      <c r="F848" s="4"/>
      <c r="G848" s="33" t="s">
        <v>58</v>
      </c>
    </row>
    <row r="849" spans="2:13" ht="12.95" customHeight="1" x14ac:dyDescent="0.3">
      <c r="B849" s="122" t="s">
        <v>30</v>
      </c>
      <c r="C849" s="123" t="s">
        <v>34</v>
      </c>
      <c r="D849" s="141" t="s">
        <v>35</v>
      </c>
      <c r="E849" s="125" t="s">
        <v>31</v>
      </c>
      <c r="F849" s="34" t="s">
        <v>239</v>
      </c>
      <c r="G849" s="37">
        <v>70</v>
      </c>
    </row>
    <row r="850" spans="2:13" ht="12.95" customHeight="1" x14ac:dyDescent="0.3">
      <c r="B850" s="122"/>
      <c r="C850" s="123"/>
      <c r="D850" s="141"/>
      <c r="E850" s="125"/>
      <c r="F850" s="67" t="s">
        <v>32</v>
      </c>
      <c r="G850" s="101" t="s">
        <v>33</v>
      </c>
    </row>
    <row r="851" spans="2:13" ht="12.95" customHeight="1" x14ac:dyDescent="0.3">
      <c r="B851" s="96" t="s">
        <v>36</v>
      </c>
      <c r="C851" s="97" t="s">
        <v>97</v>
      </c>
      <c r="D851" s="35" t="s">
        <v>45</v>
      </c>
      <c r="E851" s="98"/>
      <c r="F851" s="109">
        <v>1</v>
      </c>
      <c r="G851" s="5">
        <f>TRUNC(SUM(G854:G855)*0.05,1)</f>
        <v>19909.5</v>
      </c>
    </row>
    <row r="852" spans="2:13" ht="12.95" customHeight="1" x14ac:dyDescent="0.3">
      <c r="B852" s="74" t="s">
        <v>38</v>
      </c>
      <c r="C852" s="102"/>
      <c r="D852" s="103"/>
      <c r="E852" s="104"/>
      <c r="F852" s="104"/>
      <c r="G852" s="17">
        <f>TRUNC(SUM(G851:G851))</f>
        <v>19909</v>
      </c>
    </row>
    <row r="853" spans="2:13" ht="12.95" customHeight="1" x14ac:dyDescent="0.3">
      <c r="B853" s="82"/>
      <c r="C853" s="82"/>
      <c r="D853" s="35"/>
      <c r="E853" s="105"/>
      <c r="F853" s="105"/>
      <c r="G853" s="106"/>
    </row>
    <row r="854" spans="2:13" ht="12.95" customHeight="1" x14ac:dyDescent="0.3">
      <c r="B854" s="40" t="s">
        <v>53</v>
      </c>
      <c r="C854" s="41"/>
      <c r="D854" s="42" t="s">
        <v>37</v>
      </c>
      <c r="E854" s="95">
        <v>226122</v>
      </c>
      <c r="F854" s="21">
        <v>1</v>
      </c>
      <c r="G854" s="3">
        <f>TRUNC($E854*F854,1)</f>
        <v>226122</v>
      </c>
    </row>
    <row r="855" spans="2:13" ht="12.95" customHeight="1" x14ac:dyDescent="0.3">
      <c r="B855" s="40" t="s">
        <v>8</v>
      </c>
      <c r="C855" s="41"/>
      <c r="D855" s="42" t="s">
        <v>37</v>
      </c>
      <c r="E855" s="95">
        <v>172068</v>
      </c>
      <c r="F855" s="21">
        <v>1</v>
      </c>
      <c r="G855" s="3">
        <f>TRUNC($E855*F855,1)</f>
        <v>172068</v>
      </c>
    </row>
    <row r="856" spans="2:13" ht="12.95" customHeight="1" x14ac:dyDescent="0.3">
      <c r="B856" s="45" t="s">
        <v>39</v>
      </c>
      <c r="C856" s="102"/>
      <c r="D856" s="103"/>
      <c r="E856" s="16"/>
      <c r="F856" s="110"/>
      <c r="G856" s="17">
        <f>TRUNC(SUM(G854:G855))</f>
        <v>398190</v>
      </c>
    </row>
    <row r="857" spans="2:13" ht="12.95" customHeight="1" x14ac:dyDescent="0.3">
      <c r="B857" s="82"/>
      <c r="C857" s="82"/>
      <c r="D857" s="35"/>
      <c r="E857" s="105"/>
      <c r="F857" s="111"/>
      <c r="G857" s="106"/>
    </row>
    <row r="858" spans="2:13" ht="12.95" customHeight="1" x14ac:dyDescent="0.3">
      <c r="B858" s="51" t="s">
        <v>42</v>
      </c>
      <c r="C858" s="82"/>
      <c r="D858" s="35"/>
      <c r="E858" s="107"/>
      <c r="F858" s="108"/>
      <c r="G858" s="26">
        <f>SUM(G852+G856)</f>
        <v>418099</v>
      </c>
    </row>
    <row r="859" spans="2:13" ht="12.95" customHeight="1" x14ac:dyDescent="0.3">
      <c r="B859" s="52" t="s">
        <v>242</v>
      </c>
      <c r="C859" s="86"/>
      <c r="D859" s="86"/>
      <c r="E859" s="87"/>
      <c r="F859" s="87"/>
      <c r="G859" s="8">
        <f>TRUNC(G858/G849)</f>
        <v>5972</v>
      </c>
      <c r="L859" s="18"/>
      <c r="M859" s="18"/>
    </row>
    <row r="861" spans="2:13" ht="12.95" customHeight="1" x14ac:dyDescent="0.3">
      <c r="B861" s="99" t="s">
        <v>182</v>
      </c>
      <c r="C861" s="100"/>
      <c r="D861" s="9"/>
      <c r="E861" s="32"/>
      <c r="F861" s="4"/>
      <c r="G861" s="4"/>
      <c r="H861" s="4"/>
      <c r="I861" s="33"/>
      <c r="J861" s="4"/>
      <c r="K861" s="33" t="s">
        <v>58</v>
      </c>
    </row>
    <row r="862" spans="2:13" ht="12.95" customHeight="1" x14ac:dyDescent="0.3">
      <c r="B862" s="142" t="s">
        <v>30</v>
      </c>
      <c r="C862" s="142" t="s">
        <v>34</v>
      </c>
      <c r="D862" s="145" t="s">
        <v>35</v>
      </c>
      <c r="E862" s="145" t="s">
        <v>31</v>
      </c>
      <c r="F862" s="34" t="s">
        <v>239</v>
      </c>
      <c r="G862" s="37">
        <v>60</v>
      </c>
      <c r="H862" s="34" t="s">
        <v>239</v>
      </c>
      <c r="I862" s="37">
        <v>150</v>
      </c>
      <c r="J862" s="34" t="s">
        <v>239</v>
      </c>
      <c r="K862" s="37">
        <v>60</v>
      </c>
    </row>
    <row r="863" spans="2:13" ht="12.95" customHeight="1" x14ac:dyDescent="0.3">
      <c r="B863" s="143"/>
      <c r="C863" s="143"/>
      <c r="D863" s="146"/>
      <c r="E863" s="146"/>
      <c r="F863" s="157" t="s">
        <v>108</v>
      </c>
      <c r="G863" s="158"/>
      <c r="H863" s="157" t="s">
        <v>109</v>
      </c>
      <c r="I863" s="158"/>
      <c r="J863" s="157" t="s">
        <v>110</v>
      </c>
      <c r="K863" s="158"/>
    </row>
    <row r="864" spans="2:13" ht="12.95" customHeight="1" x14ac:dyDescent="0.3">
      <c r="B864" s="144"/>
      <c r="C864" s="144"/>
      <c r="D864" s="147"/>
      <c r="E864" s="147"/>
      <c r="F864" s="67" t="s">
        <v>32</v>
      </c>
      <c r="G864" s="101" t="s">
        <v>33</v>
      </c>
      <c r="H864" s="67" t="s">
        <v>32</v>
      </c>
      <c r="I864" s="101" t="s">
        <v>33</v>
      </c>
      <c r="J864" s="67" t="s">
        <v>32</v>
      </c>
      <c r="K864" s="101" t="s">
        <v>33</v>
      </c>
    </row>
    <row r="865" spans="2:13" ht="12.95" customHeight="1" x14ac:dyDescent="0.3">
      <c r="B865" s="96" t="s">
        <v>36</v>
      </c>
      <c r="C865" s="97" t="s">
        <v>41</v>
      </c>
      <c r="D865" s="35" t="s">
        <v>45</v>
      </c>
      <c r="E865" s="98"/>
      <c r="F865" s="109">
        <v>1</v>
      </c>
      <c r="G865" s="5">
        <f>TRUNC(SUM(G868:G869)*0.03,1)</f>
        <v>11945.7</v>
      </c>
      <c r="H865" s="109">
        <v>1</v>
      </c>
      <c r="I865" s="5">
        <f>TRUNC(SUM(I868:I869)*0.03,1)</f>
        <v>11945.7</v>
      </c>
      <c r="J865" s="109">
        <v>1</v>
      </c>
      <c r="K865" s="5">
        <f>TRUNC(SUM(K868:K869)*0.03,1)</f>
        <v>11945.7</v>
      </c>
    </row>
    <row r="866" spans="2:13" ht="12.95" customHeight="1" x14ac:dyDescent="0.3">
      <c r="B866" s="74" t="s">
        <v>38</v>
      </c>
      <c r="C866" s="102"/>
      <c r="D866" s="103"/>
      <c r="E866" s="104"/>
      <c r="F866" s="104"/>
      <c r="G866" s="17">
        <f>TRUNC(SUM(G865:G865))</f>
        <v>11945</v>
      </c>
      <c r="H866" s="104"/>
      <c r="I866" s="17">
        <f>TRUNC(SUM(I865:I865))</f>
        <v>11945</v>
      </c>
      <c r="J866" s="104"/>
      <c r="K866" s="17">
        <f>TRUNC(SUM(K865:K865))</f>
        <v>11945</v>
      </c>
    </row>
    <row r="867" spans="2:13" ht="12.95" customHeight="1" x14ac:dyDescent="0.3">
      <c r="B867" s="82"/>
      <c r="C867" s="82"/>
      <c r="D867" s="35"/>
      <c r="E867" s="105"/>
      <c r="F867" s="105"/>
      <c r="G867" s="106"/>
      <c r="H867" s="105"/>
      <c r="I867" s="106"/>
      <c r="J867" s="105"/>
      <c r="K867" s="106"/>
    </row>
    <row r="868" spans="2:13" ht="12.95" customHeight="1" x14ac:dyDescent="0.3">
      <c r="B868" s="40" t="s">
        <v>53</v>
      </c>
      <c r="C868" s="41"/>
      <c r="D868" s="42" t="s">
        <v>37</v>
      </c>
      <c r="E868" s="95">
        <v>226122</v>
      </c>
      <c r="F868" s="21">
        <v>1</v>
      </c>
      <c r="G868" s="3">
        <f>TRUNC($E868*F868,1)</f>
        <v>226122</v>
      </c>
      <c r="H868" s="21">
        <v>1</v>
      </c>
      <c r="I868" s="3">
        <f>TRUNC($E868*H868,1)</f>
        <v>226122</v>
      </c>
      <c r="J868" s="21">
        <v>1</v>
      </c>
      <c r="K868" s="3">
        <f>TRUNC($E868*J868,1)</f>
        <v>226122</v>
      </c>
    </row>
    <row r="869" spans="2:13" ht="12.95" customHeight="1" x14ac:dyDescent="0.3">
      <c r="B869" s="40" t="s">
        <v>8</v>
      </c>
      <c r="C869" s="41"/>
      <c r="D869" s="42" t="s">
        <v>37</v>
      </c>
      <c r="E869" s="95">
        <v>172068</v>
      </c>
      <c r="F869" s="21">
        <v>1</v>
      </c>
      <c r="G869" s="3">
        <f>TRUNC($E869*F869,1)</f>
        <v>172068</v>
      </c>
      <c r="H869" s="21">
        <v>1</v>
      </c>
      <c r="I869" s="3">
        <f>TRUNC($E869*H869,1)</f>
        <v>172068</v>
      </c>
      <c r="J869" s="21">
        <v>1</v>
      </c>
      <c r="K869" s="3">
        <f>TRUNC($E869*J869,1)</f>
        <v>172068</v>
      </c>
    </row>
    <row r="870" spans="2:13" ht="12.95" customHeight="1" x14ac:dyDescent="0.3">
      <c r="B870" s="45" t="s">
        <v>39</v>
      </c>
      <c r="C870" s="102"/>
      <c r="D870" s="103"/>
      <c r="E870" s="16"/>
      <c r="F870" s="110"/>
      <c r="G870" s="17">
        <f>TRUNC(SUM(G868:G869))</f>
        <v>398190</v>
      </c>
      <c r="H870" s="110"/>
      <c r="I870" s="17">
        <f>TRUNC(SUM(I868:I869))</f>
        <v>398190</v>
      </c>
      <c r="J870" s="110"/>
      <c r="K870" s="17">
        <f>TRUNC(SUM(K868:K869))</f>
        <v>398190</v>
      </c>
    </row>
    <row r="871" spans="2:13" ht="12.95" customHeight="1" x14ac:dyDescent="0.3">
      <c r="B871" s="82"/>
      <c r="C871" s="82"/>
      <c r="D871" s="35"/>
      <c r="E871" s="105"/>
      <c r="F871" s="111"/>
      <c r="G871" s="106"/>
      <c r="H871" s="111"/>
      <c r="I871" s="106"/>
      <c r="J871" s="111"/>
      <c r="K871" s="106"/>
    </row>
    <row r="872" spans="2:13" ht="12.95" customHeight="1" x14ac:dyDescent="0.3">
      <c r="B872" s="51" t="s">
        <v>42</v>
      </c>
      <c r="C872" s="82"/>
      <c r="D872" s="35"/>
      <c r="E872" s="107"/>
      <c r="F872" s="108"/>
      <c r="G872" s="26">
        <f>SUM(G866+G870)</f>
        <v>410135</v>
      </c>
      <c r="H872" s="108"/>
      <c r="I872" s="26">
        <f>SUM(I866+I870)</f>
        <v>410135</v>
      </c>
      <c r="J872" s="108"/>
      <c r="K872" s="26">
        <f>SUM(K866+K870)</f>
        <v>410135</v>
      </c>
    </row>
    <row r="873" spans="2:13" ht="12.95" customHeight="1" x14ac:dyDescent="0.3">
      <c r="B873" s="52" t="s">
        <v>242</v>
      </c>
      <c r="C873" s="86"/>
      <c r="D873" s="86"/>
      <c r="E873" s="87"/>
      <c r="F873" s="87"/>
      <c r="G873" s="8">
        <f>TRUNC(G872/G862)</f>
        <v>6835</v>
      </c>
      <c r="H873" s="87"/>
      <c r="I873" s="8">
        <f>TRUNC(I872/I862)</f>
        <v>2734</v>
      </c>
      <c r="J873" s="87"/>
      <c r="K873" s="8">
        <f>TRUNC(K872/K862)</f>
        <v>6835</v>
      </c>
      <c r="L873" s="18"/>
      <c r="M873" s="18"/>
    </row>
    <row r="875" spans="2:13" ht="12.95" customHeight="1" x14ac:dyDescent="0.3">
      <c r="B875" s="99" t="s">
        <v>183</v>
      </c>
      <c r="C875" s="100"/>
      <c r="D875" s="9"/>
      <c r="E875" s="32"/>
      <c r="F875" s="4"/>
      <c r="G875" s="33" t="s">
        <v>58</v>
      </c>
    </row>
    <row r="876" spans="2:13" ht="12.95" customHeight="1" x14ac:dyDescent="0.3">
      <c r="B876" s="122" t="s">
        <v>30</v>
      </c>
      <c r="C876" s="123" t="s">
        <v>34</v>
      </c>
      <c r="D876" s="141" t="s">
        <v>35</v>
      </c>
      <c r="E876" s="125" t="s">
        <v>31</v>
      </c>
      <c r="F876" s="34" t="s">
        <v>239</v>
      </c>
      <c r="G876" s="37">
        <v>13</v>
      </c>
    </row>
    <row r="877" spans="2:13" ht="12.95" customHeight="1" x14ac:dyDescent="0.3">
      <c r="B877" s="122"/>
      <c r="C877" s="123"/>
      <c r="D877" s="141"/>
      <c r="E877" s="125"/>
      <c r="F877" s="67" t="s">
        <v>32</v>
      </c>
      <c r="G877" s="101" t="s">
        <v>33</v>
      </c>
    </row>
    <row r="878" spans="2:13" ht="12.95" customHeight="1" x14ac:dyDescent="0.3">
      <c r="B878" s="96" t="s">
        <v>36</v>
      </c>
      <c r="C878" s="97" t="s">
        <v>97</v>
      </c>
      <c r="D878" s="35" t="s">
        <v>45</v>
      </c>
      <c r="E878" s="98"/>
      <c r="F878" s="109">
        <v>1</v>
      </c>
      <c r="G878" s="5">
        <f>TRUNC(SUM(G881:G882)*0.05,1)</f>
        <v>31215.599999999999</v>
      </c>
    </row>
    <row r="879" spans="2:13" ht="12.95" customHeight="1" x14ac:dyDescent="0.3">
      <c r="B879" s="74" t="s">
        <v>38</v>
      </c>
      <c r="C879" s="102"/>
      <c r="D879" s="103"/>
      <c r="E879" s="104"/>
      <c r="F879" s="104"/>
      <c r="G879" s="17">
        <f>TRUNC(SUM(G878:G878))</f>
        <v>31215</v>
      </c>
    </row>
    <row r="880" spans="2:13" ht="12.95" customHeight="1" x14ac:dyDescent="0.3">
      <c r="B880" s="82"/>
      <c r="C880" s="82"/>
      <c r="D880" s="35"/>
      <c r="E880" s="105"/>
      <c r="F880" s="105"/>
      <c r="G880" s="106"/>
    </row>
    <row r="881" spans="2:13" ht="12.95" customHeight="1" x14ac:dyDescent="0.3">
      <c r="B881" s="40" t="s">
        <v>53</v>
      </c>
      <c r="C881" s="41"/>
      <c r="D881" s="42" t="s">
        <v>37</v>
      </c>
      <c r="E881" s="95">
        <v>226122</v>
      </c>
      <c r="F881" s="21">
        <v>2</v>
      </c>
      <c r="G881" s="3">
        <f>TRUNC($E881*F881,1)</f>
        <v>452244</v>
      </c>
    </row>
    <row r="882" spans="2:13" ht="12.95" customHeight="1" x14ac:dyDescent="0.3">
      <c r="B882" s="40" t="s">
        <v>8</v>
      </c>
      <c r="C882" s="41"/>
      <c r="D882" s="42" t="s">
        <v>37</v>
      </c>
      <c r="E882" s="95">
        <v>172068</v>
      </c>
      <c r="F882" s="21">
        <v>1</v>
      </c>
      <c r="G882" s="3">
        <f>TRUNC($E882*F882,1)</f>
        <v>172068</v>
      </c>
    </row>
    <row r="883" spans="2:13" ht="12.95" customHeight="1" x14ac:dyDescent="0.3">
      <c r="B883" s="45" t="s">
        <v>39</v>
      </c>
      <c r="C883" s="102"/>
      <c r="D883" s="103"/>
      <c r="E883" s="16"/>
      <c r="F883" s="110"/>
      <c r="G883" s="17">
        <f>TRUNC(SUM(G881:G882))</f>
        <v>624312</v>
      </c>
    </row>
    <row r="884" spans="2:13" ht="12.95" customHeight="1" x14ac:dyDescent="0.3">
      <c r="B884" s="82"/>
      <c r="C884" s="82"/>
      <c r="D884" s="35"/>
      <c r="E884" s="105"/>
      <c r="F884" s="111"/>
      <c r="G884" s="106"/>
    </row>
    <row r="885" spans="2:13" ht="12.95" customHeight="1" x14ac:dyDescent="0.3">
      <c r="B885" s="51" t="s">
        <v>42</v>
      </c>
      <c r="C885" s="82"/>
      <c r="D885" s="35"/>
      <c r="E885" s="107"/>
      <c r="F885" s="108"/>
      <c r="G885" s="26">
        <f>SUM(G879+G883)</f>
        <v>655527</v>
      </c>
    </row>
    <row r="886" spans="2:13" ht="12.95" customHeight="1" x14ac:dyDescent="0.3">
      <c r="B886" s="52" t="s">
        <v>242</v>
      </c>
      <c r="C886" s="86"/>
      <c r="D886" s="86"/>
      <c r="E886" s="87"/>
      <c r="F886" s="87"/>
      <c r="G886" s="8">
        <f>TRUNC(G885/G876)</f>
        <v>50425</v>
      </c>
      <c r="L886" s="18"/>
      <c r="M886" s="18"/>
    </row>
    <row r="888" spans="2:13" ht="12.95" customHeight="1" x14ac:dyDescent="0.3">
      <c r="B888" s="99" t="s">
        <v>184</v>
      </c>
      <c r="C888" s="100"/>
      <c r="D888" s="9"/>
      <c r="E888" s="32"/>
      <c r="F888" s="4"/>
      <c r="G888" s="33" t="s">
        <v>58</v>
      </c>
    </row>
    <row r="889" spans="2:13" ht="12.95" customHeight="1" x14ac:dyDescent="0.3">
      <c r="B889" s="122" t="s">
        <v>30</v>
      </c>
      <c r="C889" s="123" t="s">
        <v>34</v>
      </c>
      <c r="D889" s="141" t="s">
        <v>35</v>
      </c>
      <c r="E889" s="125" t="s">
        <v>31</v>
      </c>
      <c r="F889" s="34" t="s">
        <v>239</v>
      </c>
      <c r="G889" s="37">
        <v>90</v>
      </c>
    </row>
    <row r="890" spans="2:13" ht="12.95" customHeight="1" x14ac:dyDescent="0.3">
      <c r="B890" s="122"/>
      <c r="C890" s="123"/>
      <c r="D890" s="141"/>
      <c r="E890" s="125"/>
      <c r="F890" s="67" t="s">
        <v>32</v>
      </c>
      <c r="G890" s="101" t="s">
        <v>33</v>
      </c>
    </row>
    <row r="891" spans="2:13" ht="12.95" customHeight="1" x14ac:dyDescent="0.3">
      <c r="B891" s="96" t="s">
        <v>36</v>
      </c>
      <c r="C891" s="97" t="s">
        <v>97</v>
      </c>
      <c r="D891" s="35" t="s">
        <v>45</v>
      </c>
      <c r="E891" s="98"/>
      <c r="F891" s="109">
        <v>1</v>
      </c>
      <c r="G891" s="5">
        <f>TRUNC(SUM(G894:G895)*0.05,1)</f>
        <v>31215.599999999999</v>
      </c>
    </row>
    <row r="892" spans="2:13" ht="12.95" customHeight="1" x14ac:dyDescent="0.3">
      <c r="B892" s="74" t="s">
        <v>38</v>
      </c>
      <c r="C892" s="102"/>
      <c r="D892" s="103"/>
      <c r="E892" s="104"/>
      <c r="F892" s="104"/>
      <c r="G892" s="17">
        <f>TRUNC(SUM(G891:G891))</f>
        <v>31215</v>
      </c>
    </row>
    <row r="893" spans="2:13" ht="12.95" customHeight="1" x14ac:dyDescent="0.3">
      <c r="B893" s="82"/>
      <c r="C893" s="82"/>
      <c r="D893" s="35"/>
      <c r="E893" s="105"/>
      <c r="F893" s="105"/>
      <c r="G893" s="106"/>
    </row>
    <row r="894" spans="2:13" ht="12.95" customHeight="1" x14ac:dyDescent="0.3">
      <c r="B894" s="40" t="s">
        <v>53</v>
      </c>
      <c r="C894" s="41"/>
      <c r="D894" s="42" t="s">
        <v>37</v>
      </c>
      <c r="E894" s="95">
        <v>226122</v>
      </c>
      <c r="F894" s="21">
        <v>2</v>
      </c>
      <c r="G894" s="3">
        <f>TRUNC($E894*F894,1)</f>
        <v>452244</v>
      </c>
    </row>
    <row r="895" spans="2:13" ht="12.95" customHeight="1" x14ac:dyDescent="0.3">
      <c r="B895" s="40" t="s">
        <v>8</v>
      </c>
      <c r="C895" s="41"/>
      <c r="D895" s="42" t="s">
        <v>37</v>
      </c>
      <c r="E895" s="95">
        <v>172068</v>
      </c>
      <c r="F895" s="21">
        <v>1</v>
      </c>
      <c r="G895" s="3">
        <f>TRUNC($E895*F895,1)</f>
        <v>172068</v>
      </c>
    </row>
    <row r="896" spans="2:13" ht="12.95" customHeight="1" x14ac:dyDescent="0.3">
      <c r="B896" s="45" t="s">
        <v>39</v>
      </c>
      <c r="C896" s="102"/>
      <c r="D896" s="103"/>
      <c r="E896" s="16"/>
      <c r="F896" s="110"/>
      <c r="G896" s="17">
        <f>TRUNC(SUM(G894:G895))</f>
        <v>624312</v>
      </c>
    </row>
    <row r="897" spans="2:13" ht="12.95" customHeight="1" x14ac:dyDescent="0.3">
      <c r="B897" s="82"/>
      <c r="C897" s="82"/>
      <c r="D897" s="35"/>
      <c r="E897" s="105"/>
      <c r="F897" s="111"/>
      <c r="G897" s="106"/>
    </row>
    <row r="898" spans="2:13" ht="12.95" customHeight="1" x14ac:dyDescent="0.3">
      <c r="B898" s="51" t="s">
        <v>42</v>
      </c>
      <c r="C898" s="82"/>
      <c r="D898" s="35"/>
      <c r="E898" s="107"/>
      <c r="F898" s="108"/>
      <c r="G898" s="26">
        <f>SUM(G892+G896)</f>
        <v>655527</v>
      </c>
    </row>
    <row r="899" spans="2:13" ht="12.95" customHeight="1" x14ac:dyDescent="0.3">
      <c r="B899" s="52" t="s">
        <v>242</v>
      </c>
      <c r="C899" s="86"/>
      <c r="D899" s="86"/>
      <c r="E899" s="87"/>
      <c r="F899" s="87"/>
      <c r="G899" s="8">
        <f>TRUNC(G898/G889)</f>
        <v>7283</v>
      </c>
      <c r="L899" s="18"/>
      <c r="M899" s="18"/>
    </row>
    <row r="901" spans="2:13" ht="12.95" customHeight="1" x14ac:dyDescent="0.3">
      <c r="B901" s="99" t="s">
        <v>185</v>
      </c>
      <c r="C901" s="100"/>
      <c r="D901" s="9"/>
      <c r="E901" s="32"/>
      <c r="F901" s="4"/>
      <c r="G901" s="33" t="s">
        <v>58</v>
      </c>
    </row>
    <row r="902" spans="2:13" ht="12.95" customHeight="1" x14ac:dyDescent="0.3">
      <c r="B902" s="122" t="s">
        <v>30</v>
      </c>
      <c r="C902" s="123" t="s">
        <v>34</v>
      </c>
      <c r="D902" s="141" t="s">
        <v>35</v>
      </c>
      <c r="E902" s="125" t="s">
        <v>31</v>
      </c>
      <c r="F902" s="34" t="s">
        <v>239</v>
      </c>
      <c r="G902" s="37">
        <v>100</v>
      </c>
    </row>
    <row r="903" spans="2:13" ht="12.95" customHeight="1" x14ac:dyDescent="0.3">
      <c r="B903" s="122"/>
      <c r="C903" s="123"/>
      <c r="D903" s="141"/>
      <c r="E903" s="125"/>
      <c r="F903" s="67" t="s">
        <v>32</v>
      </c>
      <c r="G903" s="101" t="s">
        <v>33</v>
      </c>
    </row>
    <row r="904" spans="2:13" ht="12.95" customHeight="1" x14ac:dyDescent="0.3">
      <c r="B904" s="96" t="s">
        <v>36</v>
      </c>
      <c r="C904" s="97" t="s">
        <v>97</v>
      </c>
      <c r="D904" s="35" t="s">
        <v>45</v>
      </c>
      <c r="E904" s="98"/>
      <c r="F904" s="109">
        <v>1</v>
      </c>
      <c r="G904" s="5">
        <f>TRUNC(SUM(G907:G908)*0.05,1)</f>
        <v>31215.599999999999</v>
      </c>
    </row>
    <row r="905" spans="2:13" ht="12.95" customHeight="1" x14ac:dyDescent="0.3">
      <c r="B905" s="74" t="s">
        <v>38</v>
      </c>
      <c r="C905" s="102"/>
      <c r="D905" s="103"/>
      <c r="E905" s="104"/>
      <c r="F905" s="104"/>
      <c r="G905" s="17">
        <f>TRUNC(SUM(G904:G904))</f>
        <v>31215</v>
      </c>
    </row>
    <row r="906" spans="2:13" ht="12.95" customHeight="1" x14ac:dyDescent="0.3">
      <c r="B906" s="82"/>
      <c r="C906" s="82"/>
      <c r="D906" s="35"/>
      <c r="E906" s="105"/>
      <c r="F906" s="105"/>
      <c r="G906" s="106"/>
    </row>
    <row r="907" spans="2:13" ht="12.95" customHeight="1" x14ac:dyDescent="0.3">
      <c r="B907" s="40" t="s">
        <v>53</v>
      </c>
      <c r="C907" s="41"/>
      <c r="D907" s="42" t="s">
        <v>37</v>
      </c>
      <c r="E907" s="95">
        <v>226122</v>
      </c>
      <c r="F907" s="21">
        <v>2</v>
      </c>
      <c r="G907" s="3">
        <f>TRUNC($E907*F907,1)</f>
        <v>452244</v>
      </c>
    </row>
    <row r="908" spans="2:13" ht="12.95" customHeight="1" x14ac:dyDescent="0.3">
      <c r="B908" s="40" t="s">
        <v>8</v>
      </c>
      <c r="C908" s="41"/>
      <c r="D908" s="42" t="s">
        <v>37</v>
      </c>
      <c r="E908" s="95">
        <v>172068</v>
      </c>
      <c r="F908" s="21">
        <v>1</v>
      </c>
      <c r="G908" s="3">
        <f>TRUNC($E908*F908,1)</f>
        <v>172068</v>
      </c>
    </row>
    <row r="909" spans="2:13" ht="12.95" customHeight="1" x14ac:dyDescent="0.3">
      <c r="B909" s="45" t="s">
        <v>39</v>
      </c>
      <c r="C909" s="102"/>
      <c r="D909" s="103"/>
      <c r="E909" s="16"/>
      <c r="F909" s="110"/>
      <c r="G909" s="17">
        <f>TRUNC(SUM(G907:G908))</f>
        <v>624312</v>
      </c>
    </row>
    <row r="910" spans="2:13" ht="12.95" customHeight="1" x14ac:dyDescent="0.3">
      <c r="B910" s="82"/>
      <c r="C910" s="82"/>
      <c r="D910" s="35"/>
      <c r="E910" s="105"/>
      <c r="F910" s="111"/>
      <c r="G910" s="106"/>
    </row>
    <row r="911" spans="2:13" ht="12.95" customHeight="1" x14ac:dyDescent="0.3">
      <c r="B911" s="51" t="s">
        <v>42</v>
      </c>
      <c r="C911" s="82"/>
      <c r="D911" s="35"/>
      <c r="E911" s="107"/>
      <c r="F911" s="108"/>
      <c r="G911" s="26">
        <f>SUM(G905+G909)</f>
        <v>655527</v>
      </c>
    </row>
    <row r="912" spans="2:13" ht="12.95" customHeight="1" x14ac:dyDescent="0.3">
      <c r="B912" s="52" t="s">
        <v>242</v>
      </c>
      <c r="C912" s="86"/>
      <c r="D912" s="86"/>
      <c r="E912" s="87"/>
      <c r="F912" s="87"/>
      <c r="G912" s="8">
        <f>TRUNC(G911/G902)</f>
        <v>6555</v>
      </c>
      <c r="L912" s="18"/>
      <c r="M912" s="18"/>
    </row>
    <row r="914" spans="2:13" ht="12.95" customHeight="1" x14ac:dyDescent="0.3">
      <c r="B914" s="1" t="s">
        <v>186</v>
      </c>
    </row>
    <row r="915" spans="2:13" ht="12.95" customHeight="1" x14ac:dyDescent="0.3">
      <c r="B915" s="60" t="s">
        <v>111</v>
      </c>
      <c r="C915" s="61"/>
      <c r="D915" s="62"/>
      <c r="E915" s="63"/>
      <c r="F915" s="62"/>
      <c r="G915" s="33"/>
      <c r="H915" s="62"/>
      <c r="I915" s="33"/>
      <c r="J915" s="62"/>
      <c r="K915" s="33"/>
      <c r="L915" s="62"/>
      <c r="M915" s="33" t="s">
        <v>58</v>
      </c>
    </row>
    <row r="916" spans="2:13" ht="12.95" customHeight="1" x14ac:dyDescent="0.3">
      <c r="B916" s="127" t="s">
        <v>30</v>
      </c>
      <c r="C916" s="130" t="s">
        <v>34</v>
      </c>
      <c r="D916" s="133" t="s">
        <v>35</v>
      </c>
      <c r="E916" s="136" t="s">
        <v>31</v>
      </c>
      <c r="F916" s="139" t="s">
        <v>245</v>
      </c>
      <c r="G916" s="140"/>
      <c r="H916" s="139" t="s">
        <v>246</v>
      </c>
      <c r="I916" s="140"/>
      <c r="J916" s="139" t="s">
        <v>247</v>
      </c>
      <c r="K916" s="140"/>
      <c r="L916" s="139" t="s">
        <v>248</v>
      </c>
      <c r="M916" s="140"/>
    </row>
    <row r="917" spans="2:13" ht="12.95" customHeight="1" x14ac:dyDescent="0.3">
      <c r="B917" s="128"/>
      <c r="C917" s="131"/>
      <c r="D917" s="134"/>
      <c r="E917" s="137"/>
      <c r="F917" s="34" t="s">
        <v>230</v>
      </c>
      <c r="G917" s="37">
        <v>900</v>
      </c>
      <c r="H917" s="34" t="s">
        <v>230</v>
      </c>
      <c r="I917" s="37">
        <v>450</v>
      </c>
      <c r="J917" s="34" t="s">
        <v>230</v>
      </c>
      <c r="K917" s="37">
        <v>342</v>
      </c>
      <c r="L917" s="34" t="s">
        <v>230</v>
      </c>
      <c r="M917" s="37">
        <v>162</v>
      </c>
    </row>
    <row r="918" spans="2:13" ht="12.95" customHeight="1" x14ac:dyDescent="0.3">
      <c r="B918" s="129"/>
      <c r="C918" s="132"/>
      <c r="D918" s="135"/>
      <c r="E918" s="138"/>
      <c r="F918" s="38" t="s">
        <v>32</v>
      </c>
      <c r="G918" s="39" t="s">
        <v>33</v>
      </c>
      <c r="H918" s="38" t="s">
        <v>32</v>
      </c>
      <c r="I918" s="39" t="s">
        <v>33</v>
      </c>
      <c r="J918" s="38" t="s">
        <v>32</v>
      </c>
      <c r="K918" s="39" t="s">
        <v>33</v>
      </c>
      <c r="L918" s="38" t="s">
        <v>32</v>
      </c>
      <c r="M918" s="39" t="s">
        <v>33</v>
      </c>
    </row>
    <row r="919" spans="2:13" ht="12.95" customHeight="1" x14ac:dyDescent="0.3">
      <c r="B919" s="68" t="s">
        <v>54</v>
      </c>
      <c r="C919" s="68" t="s">
        <v>55</v>
      </c>
      <c r="D919" s="69" t="s">
        <v>48</v>
      </c>
      <c r="E919" s="95">
        <v>6024</v>
      </c>
      <c r="F919" s="21">
        <v>8</v>
      </c>
      <c r="G919" s="3">
        <f t="shared" ref="G919" si="151">TRUNC($E919*F919,1)</f>
        <v>48192</v>
      </c>
      <c r="H919" s="21">
        <v>8</v>
      </c>
      <c r="I919" s="3">
        <f t="shared" ref="I919" si="152">TRUNC($E919*H919,1)</f>
        <v>48192</v>
      </c>
      <c r="J919" s="21">
        <v>8</v>
      </c>
      <c r="K919" s="3">
        <f t="shared" ref="K919" si="153">TRUNC($E919*J919,1)</f>
        <v>48192</v>
      </c>
      <c r="L919" s="21">
        <v>8</v>
      </c>
      <c r="M919" s="3">
        <f t="shared" ref="M919" si="154">TRUNC($E919*L919,1)</f>
        <v>48192</v>
      </c>
    </row>
    <row r="920" spans="2:13" ht="12.95" customHeight="1" x14ac:dyDescent="0.3">
      <c r="B920" s="74" t="s">
        <v>38</v>
      </c>
      <c r="C920" s="75"/>
      <c r="D920" s="75"/>
      <c r="E920" s="24"/>
      <c r="F920" s="25"/>
      <c r="G920" s="20">
        <f>TRUNC(SUM(G919:G919))</f>
        <v>48192</v>
      </c>
      <c r="H920" s="25"/>
      <c r="I920" s="20">
        <f>TRUNC(SUM(I919:I919))</f>
        <v>48192</v>
      </c>
      <c r="J920" s="25"/>
      <c r="K920" s="20">
        <f>TRUNC(SUM(K919:K919))</f>
        <v>48192</v>
      </c>
      <c r="L920" s="25"/>
      <c r="M920" s="20">
        <f>TRUNC(SUM(M919:M919))</f>
        <v>48192</v>
      </c>
    </row>
    <row r="921" spans="2:13" ht="12.95" customHeight="1" x14ac:dyDescent="0.3">
      <c r="B921" s="77"/>
      <c r="C921" s="75"/>
      <c r="D921" s="75"/>
      <c r="E921" s="24"/>
      <c r="F921" s="25"/>
      <c r="G921" s="78"/>
      <c r="H921" s="25"/>
      <c r="I921" s="78"/>
      <c r="J921" s="25"/>
      <c r="K921" s="78"/>
      <c r="L921" s="25"/>
      <c r="M921" s="78"/>
    </row>
    <row r="922" spans="2:13" ht="12.95" customHeight="1" x14ac:dyDescent="0.3">
      <c r="B922" s="40" t="s">
        <v>53</v>
      </c>
      <c r="C922" s="41"/>
      <c r="D922" s="42" t="s">
        <v>37</v>
      </c>
      <c r="E922" s="95">
        <v>226122</v>
      </c>
      <c r="F922" s="21">
        <v>2</v>
      </c>
      <c r="G922" s="3">
        <f t="shared" ref="G922:G924" si="155">TRUNC($E922*F922,1)</f>
        <v>452244</v>
      </c>
      <c r="H922" s="21">
        <v>2</v>
      </c>
      <c r="I922" s="3">
        <f t="shared" ref="I922:I924" si="156">TRUNC($E922*H922,1)</f>
        <v>452244</v>
      </c>
      <c r="J922" s="21">
        <v>2</v>
      </c>
      <c r="K922" s="3">
        <f t="shared" ref="K922:K924" si="157">TRUNC($E922*J922,1)</f>
        <v>452244</v>
      </c>
      <c r="L922" s="21">
        <v>2</v>
      </c>
      <c r="M922" s="3">
        <f t="shared" ref="M922:M924" si="158">TRUNC($E922*L922,1)</f>
        <v>452244</v>
      </c>
    </row>
    <row r="923" spans="2:13" ht="12.95" customHeight="1" x14ac:dyDescent="0.3">
      <c r="B923" s="40" t="s">
        <v>8</v>
      </c>
      <c r="C923" s="41"/>
      <c r="D923" s="42" t="s">
        <v>37</v>
      </c>
      <c r="E923" s="95">
        <v>172068</v>
      </c>
      <c r="F923" s="21">
        <v>2</v>
      </c>
      <c r="G923" s="3">
        <f t="shared" si="155"/>
        <v>344136</v>
      </c>
      <c r="H923" s="21">
        <v>2</v>
      </c>
      <c r="I923" s="3">
        <f t="shared" si="156"/>
        <v>344136</v>
      </c>
      <c r="J923" s="21">
        <v>2</v>
      </c>
      <c r="K923" s="3">
        <f t="shared" si="157"/>
        <v>344136</v>
      </c>
      <c r="L923" s="21">
        <v>2</v>
      </c>
      <c r="M923" s="3">
        <f t="shared" si="158"/>
        <v>344136</v>
      </c>
    </row>
    <row r="924" spans="2:13" ht="12.95" customHeight="1" x14ac:dyDescent="0.3">
      <c r="B924" s="68" t="s">
        <v>54</v>
      </c>
      <c r="C924" s="68" t="s">
        <v>55</v>
      </c>
      <c r="D924" s="35" t="s">
        <v>44</v>
      </c>
      <c r="E924" s="95">
        <v>49698</v>
      </c>
      <c r="F924" s="21">
        <v>8</v>
      </c>
      <c r="G924" s="3">
        <f t="shared" si="155"/>
        <v>397584</v>
      </c>
      <c r="H924" s="21">
        <v>8</v>
      </c>
      <c r="I924" s="3">
        <f t="shared" si="156"/>
        <v>397584</v>
      </c>
      <c r="J924" s="21">
        <v>8</v>
      </c>
      <c r="K924" s="3">
        <f t="shared" si="157"/>
        <v>397584</v>
      </c>
      <c r="L924" s="21">
        <v>8</v>
      </c>
      <c r="M924" s="3">
        <f t="shared" si="158"/>
        <v>397584</v>
      </c>
    </row>
    <row r="925" spans="2:13" ht="12.95" customHeight="1" x14ac:dyDescent="0.3">
      <c r="B925" s="45" t="s">
        <v>39</v>
      </c>
      <c r="C925" s="75"/>
      <c r="D925" s="75"/>
      <c r="E925" s="24"/>
      <c r="F925" s="25"/>
      <c r="G925" s="20">
        <f>TRUNC(SUM(G922:G924))</f>
        <v>1193964</v>
      </c>
      <c r="H925" s="25"/>
      <c r="I925" s="20">
        <f>TRUNC(SUM(I922:I924))</f>
        <v>1193964</v>
      </c>
      <c r="J925" s="25"/>
      <c r="K925" s="20">
        <f>TRUNC(SUM(K922:K924))</f>
        <v>1193964</v>
      </c>
      <c r="L925" s="25"/>
      <c r="M925" s="20">
        <f>TRUNC(SUM(M922:M924))</f>
        <v>1193964</v>
      </c>
    </row>
    <row r="926" spans="2:13" ht="12.95" customHeight="1" x14ac:dyDescent="0.3">
      <c r="B926" s="77"/>
      <c r="C926" s="75"/>
      <c r="D926" s="75"/>
      <c r="E926" s="24"/>
      <c r="F926" s="25"/>
      <c r="G926" s="78"/>
      <c r="H926" s="25"/>
      <c r="I926" s="78"/>
      <c r="J926" s="25"/>
      <c r="K926" s="78"/>
      <c r="L926" s="25"/>
      <c r="M926" s="78"/>
    </row>
    <row r="927" spans="2:13" ht="12.95" customHeight="1" x14ac:dyDescent="0.3">
      <c r="B927" s="68" t="s">
        <v>54</v>
      </c>
      <c r="C927" s="68" t="s">
        <v>55</v>
      </c>
      <c r="D927" s="69" t="s">
        <v>48</v>
      </c>
      <c r="E927" s="95">
        <v>6522</v>
      </c>
      <c r="F927" s="21">
        <v>8</v>
      </c>
      <c r="G927" s="3">
        <f t="shared" ref="G927" si="159">TRUNC($E927*F927,1)</f>
        <v>52176</v>
      </c>
      <c r="H927" s="21">
        <v>8</v>
      </c>
      <c r="I927" s="3">
        <f t="shared" ref="I927" si="160">TRUNC($E927*H927,1)</f>
        <v>52176</v>
      </c>
      <c r="J927" s="21">
        <v>8</v>
      </c>
      <c r="K927" s="3">
        <f t="shared" ref="K927" si="161">TRUNC($E927*J927,1)</f>
        <v>52176</v>
      </c>
      <c r="L927" s="21">
        <v>8</v>
      </c>
      <c r="M927" s="3">
        <f t="shared" ref="M927" si="162">TRUNC($E927*L927,1)</f>
        <v>52176</v>
      </c>
    </row>
    <row r="928" spans="2:13" ht="12.95" customHeight="1" x14ac:dyDescent="0.3">
      <c r="B928" s="74" t="s">
        <v>40</v>
      </c>
      <c r="C928" s="75"/>
      <c r="D928" s="75"/>
      <c r="E928" s="81"/>
      <c r="F928" s="19"/>
      <c r="G928" s="20">
        <f>TRUNC(SUM(G927:G927))</f>
        <v>52176</v>
      </c>
      <c r="H928" s="19"/>
      <c r="I928" s="20">
        <f>TRUNC(SUM(I927:I927))</f>
        <v>52176</v>
      </c>
      <c r="J928" s="19"/>
      <c r="K928" s="20">
        <f>TRUNC(SUM(K927:K927))</f>
        <v>52176</v>
      </c>
      <c r="L928" s="19"/>
      <c r="M928" s="20">
        <f>TRUNC(SUM(M927:M927))</f>
        <v>52176</v>
      </c>
    </row>
    <row r="929" spans="2:13" ht="12.95" customHeight="1" x14ac:dyDescent="0.3">
      <c r="B929" s="82"/>
      <c r="C929" s="68"/>
      <c r="D929" s="68"/>
      <c r="E929" s="83"/>
      <c r="F929" s="84"/>
      <c r="G929" s="72"/>
      <c r="H929" s="84"/>
      <c r="I929" s="72"/>
      <c r="J929" s="84"/>
      <c r="K929" s="72"/>
      <c r="L929" s="84"/>
      <c r="M929" s="72"/>
    </row>
    <row r="930" spans="2:13" ht="12.95" customHeight="1" x14ac:dyDescent="0.3">
      <c r="B930" s="51" t="s">
        <v>42</v>
      </c>
      <c r="C930" s="75"/>
      <c r="D930" s="75"/>
      <c r="E930" s="81"/>
      <c r="F930" s="81"/>
      <c r="G930" s="85">
        <f>SUM(G920+G925+G928)</f>
        <v>1294332</v>
      </c>
      <c r="H930" s="81"/>
      <c r="I930" s="85">
        <f>SUM(I920+I925+I928)</f>
        <v>1294332</v>
      </c>
      <c r="J930" s="81"/>
      <c r="K930" s="85">
        <f>SUM(K920+K925+K928)</f>
        <v>1294332</v>
      </c>
      <c r="L930" s="81"/>
      <c r="M930" s="85">
        <f>SUM(M920+M925+M928)</f>
        <v>1294332</v>
      </c>
    </row>
    <row r="931" spans="2:13" ht="12.95" customHeight="1" x14ac:dyDescent="0.3">
      <c r="B931" s="52" t="s">
        <v>231</v>
      </c>
      <c r="C931" s="86"/>
      <c r="D931" s="86"/>
      <c r="E931" s="87"/>
      <c r="F931" s="87"/>
      <c r="G931" s="8">
        <f>TRUNC(G930/G917)</f>
        <v>1438</v>
      </c>
      <c r="H931" s="87"/>
      <c r="I931" s="8">
        <f>TRUNC(I930/I917)</f>
        <v>2876</v>
      </c>
      <c r="J931" s="87"/>
      <c r="K931" s="8">
        <f>TRUNC(K930/K917)</f>
        <v>3784</v>
      </c>
      <c r="L931" s="87"/>
      <c r="M931" s="8">
        <f>TRUNC(M930/M917)</f>
        <v>7989</v>
      </c>
    </row>
    <row r="933" spans="2:13" ht="12.95" customHeight="1" x14ac:dyDescent="0.3">
      <c r="B933" s="60" t="s">
        <v>112</v>
      </c>
      <c r="C933" s="61"/>
      <c r="D933" s="62"/>
      <c r="E933" s="63"/>
      <c r="F933" s="62"/>
      <c r="G933" s="33"/>
      <c r="H933" s="62"/>
      <c r="I933" s="33"/>
      <c r="J933" s="62"/>
      <c r="K933" s="33"/>
      <c r="L933" s="62"/>
      <c r="M933" s="33" t="s">
        <v>58</v>
      </c>
    </row>
    <row r="934" spans="2:13" ht="12.95" customHeight="1" x14ac:dyDescent="0.3">
      <c r="B934" s="127" t="s">
        <v>30</v>
      </c>
      <c r="C934" s="130" t="s">
        <v>34</v>
      </c>
      <c r="D934" s="133" t="s">
        <v>35</v>
      </c>
      <c r="E934" s="136" t="s">
        <v>31</v>
      </c>
      <c r="F934" s="139" t="s">
        <v>245</v>
      </c>
      <c r="G934" s="140"/>
      <c r="H934" s="139" t="s">
        <v>246</v>
      </c>
      <c r="I934" s="140"/>
      <c r="J934" s="139" t="s">
        <v>247</v>
      </c>
      <c r="K934" s="140"/>
      <c r="L934" s="139" t="s">
        <v>248</v>
      </c>
      <c r="M934" s="140"/>
    </row>
    <row r="935" spans="2:13" ht="12.95" customHeight="1" x14ac:dyDescent="0.3">
      <c r="B935" s="128"/>
      <c r="C935" s="131"/>
      <c r="D935" s="134"/>
      <c r="E935" s="137"/>
      <c r="F935" s="34" t="s">
        <v>230</v>
      </c>
      <c r="G935" s="37">
        <v>900</v>
      </c>
      <c r="H935" s="34" t="s">
        <v>230</v>
      </c>
      <c r="I935" s="37">
        <v>450</v>
      </c>
      <c r="J935" s="34" t="s">
        <v>230</v>
      </c>
      <c r="K935" s="37">
        <v>342</v>
      </c>
      <c r="L935" s="34" t="s">
        <v>230</v>
      </c>
      <c r="M935" s="37">
        <v>162</v>
      </c>
    </row>
    <row r="936" spans="2:13" ht="12.95" customHeight="1" x14ac:dyDescent="0.3">
      <c r="B936" s="129"/>
      <c r="C936" s="132"/>
      <c r="D936" s="135"/>
      <c r="E936" s="138"/>
      <c r="F936" s="38" t="s">
        <v>32</v>
      </c>
      <c r="G936" s="39" t="s">
        <v>33</v>
      </c>
      <c r="H936" s="38" t="s">
        <v>32</v>
      </c>
      <c r="I936" s="39" t="s">
        <v>33</v>
      </c>
      <c r="J936" s="38" t="s">
        <v>32</v>
      </c>
      <c r="K936" s="39" t="s">
        <v>33</v>
      </c>
      <c r="L936" s="38" t="s">
        <v>32</v>
      </c>
      <c r="M936" s="39" t="s">
        <v>33</v>
      </c>
    </row>
    <row r="937" spans="2:13" ht="12.95" customHeight="1" x14ac:dyDescent="0.3">
      <c r="B937" s="68" t="s">
        <v>54</v>
      </c>
      <c r="C937" s="68" t="s">
        <v>113</v>
      </c>
      <c r="D937" s="69" t="s">
        <v>48</v>
      </c>
      <c r="E937" s="70">
        <v>10387</v>
      </c>
      <c r="F937" s="21">
        <v>8</v>
      </c>
      <c r="G937" s="3">
        <f t="shared" ref="G937" si="163">TRUNC($E937*F937,1)</f>
        <v>83096</v>
      </c>
      <c r="H937" s="21">
        <v>8</v>
      </c>
      <c r="I937" s="3">
        <f t="shared" ref="I937" si="164">TRUNC($E937*H937,1)</f>
        <v>83096</v>
      </c>
      <c r="J937" s="21">
        <v>8</v>
      </c>
      <c r="K937" s="3">
        <f t="shared" ref="K937" si="165">TRUNC($E937*J937,1)</f>
        <v>83096</v>
      </c>
      <c r="L937" s="21">
        <v>8</v>
      </c>
      <c r="M937" s="3">
        <f t="shared" ref="M937" si="166">TRUNC($E937*L937,1)</f>
        <v>83096</v>
      </c>
    </row>
    <row r="938" spans="2:13" ht="12.95" customHeight="1" x14ac:dyDescent="0.3">
      <c r="B938" s="96" t="s">
        <v>36</v>
      </c>
      <c r="C938" s="97" t="s">
        <v>41</v>
      </c>
      <c r="D938" s="35" t="s">
        <v>45</v>
      </c>
      <c r="E938" s="98"/>
      <c r="F938" s="109">
        <v>1</v>
      </c>
      <c r="G938" s="5">
        <f>TRUNC(SUM(G941:G942)*0.03,1)</f>
        <v>23891.4</v>
      </c>
      <c r="H938" s="109">
        <v>1</v>
      </c>
      <c r="I938" s="5">
        <f>TRUNC(SUM(I941:I942)*0.03,1)</f>
        <v>23891.4</v>
      </c>
      <c r="J938" s="109">
        <v>1</v>
      </c>
      <c r="K938" s="5">
        <f>TRUNC(SUM(K941:K942)*0.03,1)</f>
        <v>23891.4</v>
      </c>
      <c r="L938" s="109">
        <v>1</v>
      </c>
      <c r="M938" s="5">
        <f>TRUNC(SUM(M941:M942)*0.03,1)</f>
        <v>23891.4</v>
      </c>
    </row>
    <row r="939" spans="2:13" ht="12.95" customHeight="1" x14ac:dyDescent="0.3">
      <c r="B939" s="74" t="s">
        <v>38</v>
      </c>
      <c r="C939" s="75"/>
      <c r="D939" s="75"/>
      <c r="E939" s="24"/>
      <c r="F939" s="25"/>
      <c r="G939" s="20">
        <f>TRUNC(SUM(G937:G938))</f>
        <v>106987</v>
      </c>
      <c r="H939" s="25"/>
      <c r="I939" s="20">
        <f>TRUNC(SUM(I937:I938))</f>
        <v>106987</v>
      </c>
      <c r="J939" s="25"/>
      <c r="K939" s="20">
        <f>TRUNC(SUM(K937:K938))</f>
        <v>106987</v>
      </c>
      <c r="L939" s="25"/>
      <c r="M939" s="20">
        <f>TRUNC(SUM(M937:M938))</f>
        <v>106987</v>
      </c>
    </row>
    <row r="940" spans="2:13" ht="12.95" customHeight="1" x14ac:dyDescent="0.3">
      <c r="B940" s="77"/>
      <c r="C940" s="75"/>
      <c r="D940" s="75"/>
      <c r="E940" s="24"/>
      <c r="F940" s="25"/>
      <c r="G940" s="78"/>
      <c r="H940" s="25"/>
      <c r="I940" s="78"/>
      <c r="J940" s="25"/>
      <c r="K940" s="78"/>
      <c r="L940" s="25"/>
      <c r="M940" s="78"/>
    </row>
    <row r="941" spans="2:13" ht="12.95" customHeight="1" x14ac:dyDescent="0.3">
      <c r="B941" s="40" t="s">
        <v>53</v>
      </c>
      <c r="C941" s="41"/>
      <c r="D941" s="42" t="s">
        <v>37</v>
      </c>
      <c r="E941" s="95">
        <v>226122</v>
      </c>
      <c r="F941" s="21">
        <v>2</v>
      </c>
      <c r="G941" s="3">
        <f t="shared" ref="G941:G943" si="167">TRUNC($E941*F941,1)</f>
        <v>452244</v>
      </c>
      <c r="H941" s="21">
        <v>2</v>
      </c>
      <c r="I941" s="3">
        <f t="shared" ref="I941:I943" si="168">TRUNC($E941*H941,1)</f>
        <v>452244</v>
      </c>
      <c r="J941" s="21">
        <v>2</v>
      </c>
      <c r="K941" s="3">
        <f t="shared" ref="K941:K943" si="169">TRUNC($E941*J941,1)</f>
        <v>452244</v>
      </c>
      <c r="L941" s="21">
        <v>2</v>
      </c>
      <c r="M941" s="3">
        <f t="shared" ref="M941:M943" si="170">TRUNC($E941*L941,1)</f>
        <v>452244</v>
      </c>
    </row>
    <row r="942" spans="2:13" ht="12.95" customHeight="1" x14ac:dyDescent="0.3">
      <c r="B942" s="40" t="s">
        <v>8</v>
      </c>
      <c r="C942" s="41"/>
      <c r="D942" s="42" t="s">
        <v>37</v>
      </c>
      <c r="E942" s="95">
        <v>172068</v>
      </c>
      <c r="F942" s="21">
        <v>2</v>
      </c>
      <c r="G942" s="3">
        <f t="shared" si="167"/>
        <v>344136</v>
      </c>
      <c r="H942" s="21">
        <v>2</v>
      </c>
      <c r="I942" s="3">
        <f t="shared" si="168"/>
        <v>344136</v>
      </c>
      <c r="J942" s="21">
        <v>2</v>
      </c>
      <c r="K942" s="3">
        <f t="shared" si="169"/>
        <v>344136</v>
      </c>
      <c r="L942" s="21">
        <v>2</v>
      </c>
      <c r="M942" s="3">
        <f t="shared" si="170"/>
        <v>344136</v>
      </c>
    </row>
    <row r="943" spans="2:13" ht="12.95" customHeight="1" x14ac:dyDescent="0.3">
      <c r="B943" s="68" t="s">
        <v>54</v>
      </c>
      <c r="C943" s="68" t="s">
        <v>113</v>
      </c>
      <c r="D943" s="35" t="s">
        <v>44</v>
      </c>
      <c r="E943" s="70">
        <v>49698</v>
      </c>
      <c r="F943" s="21">
        <v>8</v>
      </c>
      <c r="G943" s="3">
        <f t="shared" si="167"/>
        <v>397584</v>
      </c>
      <c r="H943" s="21">
        <v>8</v>
      </c>
      <c r="I943" s="3">
        <f t="shared" si="168"/>
        <v>397584</v>
      </c>
      <c r="J943" s="21">
        <v>8</v>
      </c>
      <c r="K943" s="3">
        <f t="shared" si="169"/>
        <v>397584</v>
      </c>
      <c r="L943" s="21">
        <v>8</v>
      </c>
      <c r="M943" s="3">
        <f t="shared" si="170"/>
        <v>397584</v>
      </c>
    </row>
    <row r="944" spans="2:13" ht="12.95" customHeight="1" x14ac:dyDescent="0.3">
      <c r="B944" s="45" t="s">
        <v>39</v>
      </c>
      <c r="C944" s="75"/>
      <c r="D944" s="75"/>
      <c r="E944" s="24"/>
      <c r="F944" s="25"/>
      <c r="G944" s="20">
        <f>TRUNC(SUM(G941:G943))</f>
        <v>1193964</v>
      </c>
      <c r="H944" s="25"/>
      <c r="I944" s="20">
        <f>TRUNC(SUM(I941:I943))</f>
        <v>1193964</v>
      </c>
      <c r="J944" s="25"/>
      <c r="K944" s="20">
        <f>TRUNC(SUM(K941:K943))</f>
        <v>1193964</v>
      </c>
      <c r="L944" s="25"/>
      <c r="M944" s="20">
        <f>TRUNC(SUM(M941:M943))</f>
        <v>1193964</v>
      </c>
    </row>
    <row r="945" spans="2:13" ht="12.95" customHeight="1" x14ac:dyDescent="0.3">
      <c r="B945" s="77"/>
      <c r="C945" s="75"/>
      <c r="D945" s="75"/>
      <c r="E945" s="24"/>
      <c r="F945" s="25"/>
      <c r="G945" s="78"/>
      <c r="H945" s="25"/>
      <c r="I945" s="78"/>
      <c r="J945" s="25"/>
      <c r="K945" s="78"/>
      <c r="L945" s="25"/>
      <c r="M945" s="78"/>
    </row>
    <row r="946" spans="2:13" ht="12.95" customHeight="1" x14ac:dyDescent="0.3">
      <c r="B946" s="68" t="s">
        <v>54</v>
      </c>
      <c r="C946" s="68" t="s">
        <v>113</v>
      </c>
      <c r="D946" s="69" t="s">
        <v>48</v>
      </c>
      <c r="E946" s="70">
        <v>7613</v>
      </c>
      <c r="F946" s="21">
        <v>8</v>
      </c>
      <c r="G946" s="3">
        <f t="shared" ref="G946" si="171">TRUNC($E946*F946,1)</f>
        <v>60904</v>
      </c>
      <c r="H946" s="21">
        <v>8</v>
      </c>
      <c r="I946" s="3">
        <f t="shared" ref="I946" si="172">TRUNC($E946*H946,1)</f>
        <v>60904</v>
      </c>
      <c r="J946" s="21">
        <v>8</v>
      </c>
      <c r="K946" s="3">
        <f t="shared" ref="K946" si="173">TRUNC($E946*J946,1)</f>
        <v>60904</v>
      </c>
      <c r="L946" s="21">
        <v>8</v>
      </c>
      <c r="M946" s="3">
        <f t="shared" ref="M946" si="174">TRUNC($E946*L946,1)</f>
        <v>60904</v>
      </c>
    </row>
    <row r="947" spans="2:13" ht="12.95" customHeight="1" x14ac:dyDescent="0.3">
      <c r="B947" s="74" t="s">
        <v>40</v>
      </c>
      <c r="C947" s="75"/>
      <c r="D947" s="75"/>
      <c r="E947" s="81"/>
      <c r="F947" s="19"/>
      <c r="G947" s="20">
        <f>TRUNC(SUM(G946:G946))</f>
        <v>60904</v>
      </c>
      <c r="H947" s="19"/>
      <c r="I947" s="20">
        <f>TRUNC(SUM(I946:I946))</f>
        <v>60904</v>
      </c>
      <c r="J947" s="19"/>
      <c r="K947" s="20">
        <f>TRUNC(SUM(K946:K946))</f>
        <v>60904</v>
      </c>
      <c r="L947" s="19"/>
      <c r="M947" s="20">
        <f>TRUNC(SUM(M946:M946))</f>
        <v>60904</v>
      </c>
    </row>
    <row r="948" spans="2:13" ht="12.95" customHeight="1" x14ac:dyDescent="0.3">
      <c r="B948" s="82"/>
      <c r="C948" s="68"/>
      <c r="D948" s="68"/>
      <c r="E948" s="83"/>
      <c r="F948" s="84"/>
      <c r="G948" s="72"/>
      <c r="H948" s="84"/>
      <c r="I948" s="72"/>
      <c r="J948" s="84"/>
      <c r="K948" s="72"/>
      <c r="L948" s="84"/>
      <c r="M948" s="72"/>
    </row>
    <row r="949" spans="2:13" ht="12.95" customHeight="1" x14ac:dyDescent="0.3">
      <c r="B949" s="51" t="s">
        <v>42</v>
      </c>
      <c r="C949" s="75"/>
      <c r="D949" s="75"/>
      <c r="E949" s="81"/>
      <c r="F949" s="81"/>
      <c r="G949" s="85">
        <f>SUM(G939+G944+G947)</f>
        <v>1361855</v>
      </c>
      <c r="H949" s="81"/>
      <c r="I949" s="85">
        <f>SUM(I939+I944+I947)</f>
        <v>1361855</v>
      </c>
      <c r="J949" s="81"/>
      <c r="K949" s="85">
        <f>SUM(K939+K944+K947)</f>
        <v>1361855</v>
      </c>
      <c r="L949" s="81"/>
      <c r="M949" s="85">
        <f>SUM(M939+M944+M947)</f>
        <v>1361855</v>
      </c>
    </row>
    <row r="950" spans="2:13" ht="12.95" customHeight="1" x14ac:dyDescent="0.3">
      <c r="B950" s="52" t="s">
        <v>231</v>
      </c>
      <c r="C950" s="86"/>
      <c r="D950" s="86"/>
      <c r="E950" s="87"/>
      <c r="F950" s="87"/>
      <c r="G950" s="8">
        <f>TRUNC(G949/G935)</f>
        <v>1513</v>
      </c>
      <c r="H950" s="87"/>
      <c r="I950" s="8">
        <f>TRUNC(I949/I935)</f>
        <v>3026</v>
      </c>
      <c r="J950" s="87"/>
      <c r="K950" s="8">
        <f>TRUNC(K949/K935)</f>
        <v>3982</v>
      </c>
      <c r="L950" s="87"/>
      <c r="M950" s="8">
        <f>TRUNC(M949/M935)</f>
        <v>8406</v>
      </c>
    </row>
    <row r="952" spans="2:13" ht="12.95" customHeight="1" x14ac:dyDescent="0.3">
      <c r="B952" s="60" t="s">
        <v>114</v>
      </c>
      <c r="C952" s="61"/>
      <c r="D952" s="62"/>
      <c r="E952" s="63"/>
      <c r="F952" s="62"/>
      <c r="G952" s="33"/>
      <c r="H952" s="62"/>
      <c r="I952" s="33" t="s">
        <v>58</v>
      </c>
    </row>
    <row r="953" spans="2:13" ht="12.95" customHeight="1" x14ac:dyDescent="0.3">
      <c r="B953" s="127" t="s">
        <v>30</v>
      </c>
      <c r="C953" s="130" t="s">
        <v>34</v>
      </c>
      <c r="D953" s="133" t="s">
        <v>35</v>
      </c>
      <c r="E953" s="136" t="s">
        <v>31</v>
      </c>
      <c r="F953" s="139" t="s">
        <v>245</v>
      </c>
      <c r="G953" s="140"/>
      <c r="H953" s="139" t="s">
        <v>246</v>
      </c>
      <c r="I953" s="140"/>
    </row>
    <row r="954" spans="2:13" ht="12.95" customHeight="1" x14ac:dyDescent="0.3">
      <c r="B954" s="128"/>
      <c r="C954" s="131"/>
      <c r="D954" s="134"/>
      <c r="E954" s="137"/>
      <c r="F954" s="34" t="s">
        <v>230</v>
      </c>
      <c r="G954" s="37">
        <v>5300</v>
      </c>
      <c r="H954" s="34" t="s">
        <v>230</v>
      </c>
      <c r="I954" s="37">
        <v>2650</v>
      </c>
    </row>
    <row r="955" spans="2:13" ht="12.95" customHeight="1" x14ac:dyDescent="0.3">
      <c r="B955" s="129"/>
      <c r="C955" s="132"/>
      <c r="D955" s="135"/>
      <c r="E955" s="138"/>
      <c r="F955" s="38" t="s">
        <v>32</v>
      </c>
      <c r="G955" s="39" t="s">
        <v>33</v>
      </c>
      <c r="H955" s="38" t="s">
        <v>32</v>
      </c>
      <c r="I955" s="39" t="s">
        <v>33</v>
      </c>
    </row>
    <row r="956" spans="2:13" ht="12.95" customHeight="1" x14ac:dyDescent="0.3">
      <c r="B956" s="68" t="s">
        <v>20</v>
      </c>
      <c r="C956" s="68" t="s">
        <v>21</v>
      </c>
      <c r="D956" s="69" t="s">
        <v>48</v>
      </c>
      <c r="E956" s="95">
        <v>32409</v>
      </c>
      <c r="F956" s="21">
        <v>8</v>
      </c>
      <c r="G956" s="3">
        <f t="shared" ref="G956:I957" si="175">TRUNC($E956*F956,1)</f>
        <v>259272</v>
      </c>
      <c r="H956" s="21">
        <v>8</v>
      </c>
      <c r="I956" s="3">
        <f t="shared" si="175"/>
        <v>259272</v>
      </c>
    </row>
    <row r="957" spans="2:13" ht="12.95" customHeight="1" x14ac:dyDescent="0.3">
      <c r="B957" s="68" t="s">
        <v>54</v>
      </c>
      <c r="C957" s="68" t="s">
        <v>55</v>
      </c>
      <c r="D957" s="69" t="s">
        <v>48</v>
      </c>
      <c r="E957" s="95">
        <v>6024</v>
      </c>
      <c r="F957" s="21">
        <v>8</v>
      </c>
      <c r="G957" s="3">
        <f t="shared" si="175"/>
        <v>48192</v>
      </c>
      <c r="H957" s="21">
        <v>8</v>
      </c>
      <c r="I957" s="3">
        <f t="shared" si="175"/>
        <v>48192</v>
      </c>
    </row>
    <row r="958" spans="2:13" ht="12.95" customHeight="1" x14ac:dyDescent="0.3">
      <c r="B958" s="74" t="s">
        <v>38</v>
      </c>
      <c r="C958" s="75"/>
      <c r="D958" s="75"/>
      <c r="E958" s="24"/>
      <c r="F958" s="25"/>
      <c r="G958" s="20">
        <f>TRUNC(SUM(G956:G957))</f>
        <v>307464</v>
      </c>
      <c r="H958" s="25"/>
      <c r="I958" s="20">
        <f>TRUNC(SUM(I956:I957))</f>
        <v>307464</v>
      </c>
    </row>
    <row r="959" spans="2:13" ht="12.95" customHeight="1" x14ac:dyDescent="0.3">
      <c r="B959" s="77"/>
      <c r="C959" s="75"/>
      <c r="D959" s="75"/>
      <c r="E959" s="24"/>
      <c r="F959" s="25"/>
      <c r="G959" s="78"/>
      <c r="H959" s="25"/>
      <c r="I959" s="78"/>
    </row>
    <row r="960" spans="2:13" ht="12.95" customHeight="1" x14ac:dyDescent="0.3">
      <c r="B960" s="40" t="s">
        <v>53</v>
      </c>
      <c r="C960" s="41"/>
      <c r="D960" s="42" t="s">
        <v>37</v>
      </c>
      <c r="E960" s="95">
        <v>226122</v>
      </c>
      <c r="F960" s="21">
        <v>1</v>
      </c>
      <c r="G960" s="3">
        <f t="shared" ref="G960:I963" si="176">TRUNC($E960*F960,1)</f>
        <v>226122</v>
      </c>
      <c r="H960" s="21">
        <v>1</v>
      </c>
      <c r="I960" s="3">
        <f t="shared" si="176"/>
        <v>226122</v>
      </c>
    </row>
    <row r="961" spans="2:13" ht="12.95" customHeight="1" x14ac:dyDescent="0.3">
      <c r="B961" s="40" t="s">
        <v>8</v>
      </c>
      <c r="C961" s="41"/>
      <c r="D961" s="42" t="s">
        <v>37</v>
      </c>
      <c r="E961" s="95">
        <v>172068</v>
      </c>
      <c r="F961" s="21">
        <v>1</v>
      </c>
      <c r="G961" s="3">
        <f t="shared" si="176"/>
        <v>172068</v>
      </c>
      <c r="H961" s="21">
        <v>1</v>
      </c>
      <c r="I961" s="3">
        <f t="shared" si="176"/>
        <v>172068</v>
      </c>
    </row>
    <row r="962" spans="2:13" ht="12.95" customHeight="1" x14ac:dyDescent="0.3">
      <c r="B962" s="68" t="s">
        <v>20</v>
      </c>
      <c r="C962" s="68" t="s">
        <v>21</v>
      </c>
      <c r="D962" s="35" t="s">
        <v>44</v>
      </c>
      <c r="E962" s="95">
        <v>36190</v>
      </c>
      <c r="F962" s="21">
        <v>8</v>
      </c>
      <c r="G962" s="3">
        <f t="shared" si="176"/>
        <v>289520</v>
      </c>
      <c r="H962" s="21">
        <v>8</v>
      </c>
      <c r="I962" s="3">
        <f t="shared" si="176"/>
        <v>289520</v>
      </c>
    </row>
    <row r="963" spans="2:13" ht="12.95" customHeight="1" x14ac:dyDescent="0.3">
      <c r="B963" s="68" t="s">
        <v>54</v>
      </c>
      <c r="C963" s="68" t="s">
        <v>55</v>
      </c>
      <c r="D963" s="35" t="s">
        <v>44</v>
      </c>
      <c r="E963" s="95">
        <v>49698</v>
      </c>
      <c r="F963" s="21">
        <v>8</v>
      </c>
      <c r="G963" s="3">
        <f t="shared" si="176"/>
        <v>397584</v>
      </c>
      <c r="H963" s="21">
        <v>8</v>
      </c>
      <c r="I963" s="3">
        <f t="shared" si="176"/>
        <v>397584</v>
      </c>
    </row>
    <row r="964" spans="2:13" ht="12.95" customHeight="1" x14ac:dyDescent="0.3">
      <c r="B964" s="45" t="s">
        <v>39</v>
      </c>
      <c r="C964" s="75"/>
      <c r="D964" s="75"/>
      <c r="E964" s="24"/>
      <c r="F964" s="25"/>
      <c r="G964" s="20">
        <f>TRUNC(SUM(G960:G963))</f>
        <v>1085294</v>
      </c>
      <c r="H964" s="25"/>
      <c r="I964" s="20">
        <f>TRUNC(SUM(I960:I963))</f>
        <v>1085294</v>
      </c>
    </row>
    <row r="965" spans="2:13" ht="12.95" customHeight="1" x14ac:dyDescent="0.3">
      <c r="B965" s="77"/>
      <c r="C965" s="75"/>
      <c r="D965" s="75"/>
      <c r="E965" s="24"/>
      <c r="F965" s="25"/>
      <c r="G965" s="78"/>
      <c r="H965" s="25"/>
      <c r="I965" s="78"/>
    </row>
    <row r="966" spans="2:13" ht="12.95" customHeight="1" x14ac:dyDescent="0.3">
      <c r="B966" s="68" t="s">
        <v>20</v>
      </c>
      <c r="C966" s="68" t="s">
        <v>21</v>
      </c>
      <c r="D966" s="69" t="s">
        <v>48</v>
      </c>
      <c r="E966" s="95">
        <v>16131</v>
      </c>
      <c r="F966" s="21">
        <v>8</v>
      </c>
      <c r="G966" s="3">
        <f t="shared" ref="G966:I967" si="177">TRUNC($E966*F966,1)</f>
        <v>129048</v>
      </c>
      <c r="H966" s="21">
        <v>8</v>
      </c>
      <c r="I966" s="3">
        <f t="shared" si="177"/>
        <v>129048</v>
      </c>
    </row>
    <row r="967" spans="2:13" ht="12.95" customHeight="1" x14ac:dyDescent="0.3">
      <c r="B967" s="68" t="s">
        <v>54</v>
      </c>
      <c r="C967" s="68" t="s">
        <v>55</v>
      </c>
      <c r="D967" s="69" t="s">
        <v>48</v>
      </c>
      <c r="E967" s="95">
        <v>6522</v>
      </c>
      <c r="F967" s="21">
        <v>8</v>
      </c>
      <c r="G967" s="3">
        <f t="shared" si="177"/>
        <v>52176</v>
      </c>
      <c r="H967" s="21">
        <v>8</v>
      </c>
      <c r="I967" s="3">
        <f t="shared" si="177"/>
        <v>52176</v>
      </c>
    </row>
    <row r="968" spans="2:13" ht="12.95" customHeight="1" x14ac:dyDescent="0.3">
      <c r="B968" s="74" t="s">
        <v>40</v>
      </c>
      <c r="C968" s="75"/>
      <c r="D968" s="75"/>
      <c r="E968" s="81"/>
      <c r="F968" s="19"/>
      <c r="G968" s="20">
        <f>TRUNC(SUM(G966:G967))</f>
        <v>181224</v>
      </c>
      <c r="H968" s="19"/>
      <c r="I968" s="20">
        <f>TRUNC(SUM(I966:I967))</f>
        <v>181224</v>
      </c>
    </row>
    <row r="969" spans="2:13" ht="12.95" customHeight="1" x14ac:dyDescent="0.3">
      <c r="B969" s="82"/>
      <c r="C969" s="68"/>
      <c r="D969" s="68"/>
      <c r="E969" s="83"/>
      <c r="F969" s="84"/>
      <c r="G969" s="72"/>
      <c r="H969" s="84"/>
      <c r="I969" s="72"/>
    </row>
    <row r="970" spans="2:13" ht="12.95" customHeight="1" x14ac:dyDescent="0.3">
      <c r="B970" s="51" t="s">
        <v>42</v>
      </c>
      <c r="C970" s="75"/>
      <c r="D970" s="75"/>
      <c r="E970" s="81"/>
      <c r="F970" s="81"/>
      <c r="G970" s="85">
        <f>SUM(G958+G964+G968)</f>
        <v>1573982</v>
      </c>
      <c r="H970" s="81"/>
      <c r="I970" s="85">
        <f>SUM(I958+I964+I968)</f>
        <v>1573982</v>
      </c>
    </row>
    <row r="971" spans="2:13" ht="12.95" customHeight="1" x14ac:dyDescent="0.3">
      <c r="B971" s="52" t="s">
        <v>231</v>
      </c>
      <c r="C971" s="86"/>
      <c r="D971" s="86"/>
      <c r="E971" s="87"/>
      <c r="F971" s="87"/>
      <c r="G971" s="8">
        <f>TRUNC(G970/G954)</f>
        <v>296</v>
      </c>
      <c r="H971" s="87"/>
      <c r="I971" s="8">
        <f>TRUNC(I970/I954)</f>
        <v>593</v>
      </c>
    </row>
    <row r="973" spans="2:13" ht="12.95" customHeight="1" x14ac:dyDescent="0.3">
      <c r="B973" s="60" t="s">
        <v>116</v>
      </c>
      <c r="C973" s="61"/>
      <c r="D973" s="62"/>
      <c r="E973" s="63"/>
      <c r="F973" s="62"/>
      <c r="G973" s="33"/>
      <c r="H973" s="62"/>
      <c r="I973" s="33"/>
      <c r="J973" s="62"/>
      <c r="K973" s="33"/>
      <c r="L973" s="62"/>
      <c r="M973" s="33" t="s">
        <v>58</v>
      </c>
    </row>
    <row r="974" spans="2:13" ht="12.95" customHeight="1" x14ac:dyDescent="0.3">
      <c r="B974" s="127" t="s">
        <v>30</v>
      </c>
      <c r="C974" s="130" t="s">
        <v>34</v>
      </c>
      <c r="D974" s="133" t="s">
        <v>35</v>
      </c>
      <c r="E974" s="136" t="s">
        <v>31</v>
      </c>
      <c r="F974" s="139" t="s">
        <v>245</v>
      </c>
      <c r="G974" s="140"/>
      <c r="H974" s="139" t="s">
        <v>246</v>
      </c>
      <c r="I974" s="140"/>
      <c r="J974" s="139" t="s">
        <v>247</v>
      </c>
      <c r="K974" s="140"/>
      <c r="L974" s="139" t="s">
        <v>248</v>
      </c>
      <c r="M974" s="140"/>
    </row>
    <row r="975" spans="2:13" ht="12.95" customHeight="1" x14ac:dyDescent="0.3">
      <c r="B975" s="128"/>
      <c r="C975" s="131"/>
      <c r="D975" s="134"/>
      <c r="E975" s="137"/>
      <c r="F975" s="34" t="s">
        <v>230</v>
      </c>
      <c r="G975" s="37">
        <v>700</v>
      </c>
      <c r="H975" s="34" t="s">
        <v>230</v>
      </c>
      <c r="I975" s="37">
        <v>350</v>
      </c>
      <c r="J975" s="34" t="s">
        <v>230</v>
      </c>
      <c r="K975" s="37">
        <v>266</v>
      </c>
      <c r="L975" s="34" t="s">
        <v>230</v>
      </c>
      <c r="M975" s="37">
        <v>126</v>
      </c>
    </row>
    <row r="976" spans="2:13" ht="12.95" customHeight="1" x14ac:dyDescent="0.3">
      <c r="B976" s="129"/>
      <c r="C976" s="132"/>
      <c r="D976" s="135"/>
      <c r="E976" s="138"/>
      <c r="F976" s="38" t="s">
        <v>32</v>
      </c>
      <c r="G976" s="39" t="s">
        <v>33</v>
      </c>
      <c r="H976" s="38" t="s">
        <v>32</v>
      </c>
      <c r="I976" s="39" t="s">
        <v>33</v>
      </c>
      <c r="J976" s="38" t="s">
        <v>32</v>
      </c>
      <c r="K976" s="39" t="s">
        <v>33</v>
      </c>
      <c r="L976" s="38" t="s">
        <v>32</v>
      </c>
      <c r="M976" s="39" t="s">
        <v>33</v>
      </c>
    </row>
    <row r="977" spans="2:13" ht="12.95" customHeight="1" x14ac:dyDescent="0.3">
      <c r="B977" s="68" t="s">
        <v>54</v>
      </c>
      <c r="C977" s="68" t="s">
        <v>113</v>
      </c>
      <c r="D977" s="69" t="s">
        <v>48</v>
      </c>
      <c r="E977" s="70">
        <v>10387</v>
      </c>
      <c r="F977" s="21">
        <v>8</v>
      </c>
      <c r="G977" s="3">
        <f t="shared" ref="G977:G978" si="178">TRUNC($E977*F977,1)</f>
        <v>83096</v>
      </c>
      <c r="H977" s="21">
        <v>8</v>
      </c>
      <c r="I977" s="3">
        <f t="shared" ref="I977:I978" si="179">TRUNC($E977*H977,1)</f>
        <v>83096</v>
      </c>
      <c r="J977" s="21">
        <v>8</v>
      </c>
      <c r="K977" s="3">
        <f t="shared" ref="K977:K978" si="180">TRUNC($E977*J977,1)</f>
        <v>83096</v>
      </c>
      <c r="L977" s="21">
        <v>8</v>
      </c>
      <c r="M977" s="3">
        <f t="shared" ref="M977:M978" si="181">TRUNC($E977*L977,1)</f>
        <v>83096</v>
      </c>
    </row>
    <row r="978" spans="2:13" ht="12.95" customHeight="1" x14ac:dyDescent="0.3">
      <c r="B978" s="68" t="s">
        <v>54</v>
      </c>
      <c r="C978" s="68" t="s">
        <v>55</v>
      </c>
      <c r="D978" s="69" t="s">
        <v>48</v>
      </c>
      <c r="E978" s="95">
        <v>6024</v>
      </c>
      <c r="F978" s="21">
        <v>8</v>
      </c>
      <c r="G978" s="3">
        <f t="shared" si="178"/>
        <v>48192</v>
      </c>
      <c r="H978" s="21">
        <v>8</v>
      </c>
      <c r="I978" s="3">
        <f t="shared" si="179"/>
        <v>48192</v>
      </c>
      <c r="J978" s="21">
        <v>8</v>
      </c>
      <c r="K978" s="3">
        <f t="shared" si="180"/>
        <v>48192</v>
      </c>
      <c r="L978" s="21">
        <v>8</v>
      </c>
      <c r="M978" s="3">
        <f t="shared" si="181"/>
        <v>48192</v>
      </c>
    </row>
    <row r="979" spans="2:13" ht="12.95" customHeight="1" x14ac:dyDescent="0.3">
      <c r="B979" s="96" t="s">
        <v>36</v>
      </c>
      <c r="C979" s="97" t="s">
        <v>115</v>
      </c>
      <c r="D979" s="35" t="s">
        <v>45</v>
      </c>
      <c r="E979" s="98"/>
      <c r="F979" s="109">
        <v>1</v>
      </c>
      <c r="G979" s="5">
        <f>TRUNC(SUM(G982:G983)*0.1,1)</f>
        <v>79638</v>
      </c>
      <c r="H979" s="109">
        <v>1</v>
      </c>
      <c r="I979" s="5">
        <f>TRUNC(SUM(I982:I983)*0.1,1)</f>
        <v>79638</v>
      </c>
      <c r="J979" s="109">
        <v>1</v>
      </c>
      <c r="K979" s="5">
        <f>TRUNC(SUM(K982:K983)*0.1,1)</f>
        <v>79638</v>
      </c>
      <c r="L979" s="109">
        <v>1</v>
      </c>
      <c r="M979" s="5">
        <f>TRUNC(SUM(M982:M983)*0.1,1)</f>
        <v>79638</v>
      </c>
    </row>
    <row r="980" spans="2:13" ht="12.95" customHeight="1" x14ac:dyDescent="0.3">
      <c r="B980" s="74" t="s">
        <v>38</v>
      </c>
      <c r="C980" s="75"/>
      <c r="D980" s="75"/>
      <c r="E980" s="24"/>
      <c r="F980" s="25"/>
      <c r="G980" s="20">
        <f>TRUNC(SUM(G977:G979))</f>
        <v>210926</v>
      </c>
      <c r="H980" s="25"/>
      <c r="I980" s="20">
        <f>TRUNC(SUM(I977:I979))</f>
        <v>210926</v>
      </c>
      <c r="J980" s="25"/>
      <c r="K980" s="20">
        <f>TRUNC(SUM(K977:K979))</f>
        <v>210926</v>
      </c>
      <c r="L980" s="25"/>
      <c r="M980" s="20">
        <f>TRUNC(SUM(M977:M979))</f>
        <v>210926</v>
      </c>
    </row>
    <row r="981" spans="2:13" ht="12.95" customHeight="1" x14ac:dyDescent="0.3">
      <c r="B981" s="77"/>
      <c r="C981" s="75"/>
      <c r="D981" s="75"/>
      <c r="E981" s="24"/>
      <c r="F981" s="25"/>
      <c r="G981" s="78"/>
      <c r="H981" s="25"/>
      <c r="I981" s="78"/>
      <c r="J981" s="25"/>
      <c r="K981" s="78"/>
      <c r="L981" s="25"/>
      <c r="M981" s="78"/>
    </row>
    <row r="982" spans="2:13" ht="12.95" customHeight="1" x14ac:dyDescent="0.3">
      <c r="B982" s="40" t="s">
        <v>53</v>
      </c>
      <c r="C982" s="41"/>
      <c r="D982" s="42" t="s">
        <v>37</v>
      </c>
      <c r="E982" s="95">
        <v>226122</v>
      </c>
      <c r="F982" s="21">
        <v>2</v>
      </c>
      <c r="G982" s="3">
        <f t="shared" ref="G982:G985" si="182">TRUNC($E982*F982,1)</f>
        <v>452244</v>
      </c>
      <c r="H982" s="21">
        <v>2</v>
      </c>
      <c r="I982" s="3">
        <f t="shared" ref="I982:I985" si="183">TRUNC($E982*H982,1)</f>
        <v>452244</v>
      </c>
      <c r="J982" s="21">
        <v>2</v>
      </c>
      <c r="K982" s="3">
        <f t="shared" ref="K982:K985" si="184">TRUNC($E982*J982,1)</f>
        <v>452244</v>
      </c>
      <c r="L982" s="21">
        <v>2</v>
      </c>
      <c r="M982" s="3">
        <f t="shared" ref="M982:M985" si="185">TRUNC($E982*L982,1)</f>
        <v>452244</v>
      </c>
    </row>
    <row r="983" spans="2:13" ht="12.95" customHeight="1" x14ac:dyDescent="0.3">
      <c r="B983" s="40" t="s">
        <v>8</v>
      </c>
      <c r="C983" s="41"/>
      <c r="D983" s="42" t="s">
        <v>37</v>
      </c>
      <c r="E983" s="95">
        <v>172068</v>
      </c>
      <c r="F983" s="21">
        <v>2</v>
      </c>
      <c r="G983" s="3">
        <f t="shared" si="182"/>
        <v>344136</v>
      </c>
      <c r="H983" s="21">
        <v>2</v>
      </c>
      <c r="I983" s="3">
        <f t="shared" si="183"/>
        <v>344136</v>
      </c>
      <c r="J983" s="21">
        <v>2</v>
      </c>
      <c r="K983" s="3">
        <f t="shared" si="184"/>
        <v>344136</v>
      </c>
      <c r="L983" s="21">
        <v>2</v>
      </c>
      <c r="M983" s="3">
        <f t="shared" si="185"/>
        <v>344136</v>
      </c>
    </row>
    <row r="984" spans="2:13" ht="12.95" customHeight="1" x14ac:dyDescent="0.3">
      <c r="B984" s="68" t="s">
        <v>54</v>
      </c>
      <c r="C984" s="68" t="s">
        <v>113</v>
      </c>
      <c r="D984" s="35" t="s">
        <v>44</v>
      </c>
      <c r="E984" s="70">
        <v>49698</v>
      </c>
      <c r="F984" s="21">
        <v>8</v>
      </c>
      <c r="G984" s="3">
        <f t="shared" si="182"/>
        <v>397584</v>
      </c>
      <c r="H984" s="21">
        <v>8</v>
      </c>
      <c r="I984" s="3">
        <f t="shared" si="183"/>
        <v>397584</v>
      </c>
      <c r="J984" s="21">
        <v>8</v>
      </c>
      <c r="K984" s="3">
        <f t="shared" si="184"/>
        <v>397584</v>
      </c>
      <c r="L984" s="21">
        <v>8</v>
      </c>
      <c r="M984" s="3">
        <f t="shared" si="185"/>
        <v>397584</v>
      </c>
    </row>
    <row r="985" spans="2:13" ht="12.95" customHeight="1" x14ac:dyDescent="0.3">
      <c r="B985" s="68" t="s">
        <v>54</v>
      </c>
      <c r="C985" s="68" t="s">
        <v>55</v>
      </c>
      <c r="D985" s="35" t="s">
        <v>44</v>
      </c>
      <c r="E985" s="95">
        <v>49698</v>
      </c>
      <c r="F985" s="21">
        <v>8</v>
      </c>
      <c r="G985" s="3">
        <f t="shared" si="182"/>
        <v>397584</v>
      </c>
      <c r="H985" s="21">
        <v>8</v>
      </c>
      <c r="I985" s="3">
        <f t="shared" si="183"/>
        <v>397584</v>
      </c>
      <c r="J985" s="21">
        <v>8</v>
      </c>
      <c r="K985" s="3">
        <f t="shared" si="184"/>
        <v>397584</v>
      </c>
      <c r="L985" s="21">
        <v>8</v>
      </c>
      <c r="M985" s="3">
        <f t="shared" si="185"/>
        <v>397584</v>
      </c>
    </row>
    <row r="986" spans="2:13" ht="12.95" customHeight="1" x14ac:dyDescent="0.3">
      <c r="B986" s="45" t="s">
        <v>39</v>
      </c>
      <c r="C986" s="75"/>
      <c r="D986" s="75"/>
      <c r="E986" s="24"/>
      <c r="F986" s="25"/>
      <c r="G986" s="20">
        <f>TRUNC(SUM(G982:G985))</f>
        <v>1591548</v>
      </c>
      <c r="H986" s="25"/>
      <c r="I986" s="20">
        <f>TRUNC(SUM(I982:I985))</f>
        <v>1591548</v>
      </c>
      <c r="J986" s="25"/>
      <c r="K986" s="20">
        <f>TRUNC(SUM(K982:K985))</f>
        <v>1591548</v>
      </c>
      <c r="L986" s="25"/>
      <c r="M986" s="20">
        <f>TRUNC(SUM(M982:M985))</f>
        <v>1591548</v>
      </c>
    </row>
    <row r="987" spans="2:13" ht="12.95" customHeight="1" x14ac:dyDescent="0.3">
      <c r="B987" s="77"/>
      <c r="C987" s="75"/>
      <c r="D987" s="75"/>
      <c r="E987" s="24"/>
      <c r="F987" s="25"/>
      <c r="G987" s="78"/>
      <c r="H987" s="25"/>
      <c r="I987" s="78"/>
      <c r="J987" s="25"/>
      <c r="K987" s="78"/>
      <c r="L987" s="25"/>
      <c r="M987" s="78"/>
    </row>
    <row r="988" spans="2:13" ht="12.95" customHeight="1" x14ac:dyDescent="0.3">
      <c r="B988" s="68" t="s">
        <v>54</v>
      </c>
      <c r="C988" s="68" t="s">
        <v>113</v>
      </c>
      <c r="D988" s="69" t="s">
        <v>48</v>
      </c>
      <c r="E988" s="70">
        <v>7613</v>
      </c>
      <c r="F988" s="21">
        <v>8</v>
      </c>
      <c r="G988" s="3">
        <f t="shared" ref="G988:G989" si="186">TRUNC($E988*F988,1)</f>
        <v>60904</v>
      </c>
      <c r="H988" s="21">
        <v>8</v>
      </c>
      <c r="I988" s="3">
        <f t="shared" ref="I988:I989" si="187">TRUNC($E988*H988,1)</f>
        <v>60904</v>
      </c>
      <c r="J988" s="21">
        <v>8</v>
      </c>
      <c r="K988" s="3">
        <f t="shared" ref="K988:K989" si="188">TRUNC($E988*J988,1)</f>
        <v>60904</v>
      </c>
      <c r="L988" s="21">
        <v>8</v>
      </c>
      <c r="M988" s="3">
        <f t="shared" ref="M988:M989" si="189">TRUNC($E988*L988,1)</f>
        <v>60904</v>
      </c>
    </row>
    <row r="989" spans="2:13" ht="12.95" customHeight="1" x14ac:dyDescent="0.3">
      <c r="B989" s="68" t="s">
        <v>54</v>
      </c>
      <c r="C989" s="68" t="s">
        <v>55</v>
      </c>
      <c r="D989" s="69" t="s">
        <v>48</v>
      </c>
      <c r="E989" s="95">
        <v>6522</v>
      </c>
      <c r="F989" s="21">
        <v>8</v>
      </c>
      <c r="G989" s="3">
        <f t="shared" si="186"/>
        <v>52176</v>
      </c>
      <c r="H989" s="21">
        <v>8</v>
      </c>
      <c r="I989" s="3">
        <f t="shared" si="187"/>
        <v>52176</v>
      </c>
      <c r="J989" s="21">
        <v>8</v>
      </c>
      <c r="K989" s="3">
        <f t="shared" si="188"/>
        <v>52176</v>
      </c>
      <c r="L989" s="21">
        <v>8</v>
      </c>
      <c r="M989" s="3">
        <f t="shared" si="189"/>
        <v>52176</v>
      </c>
    </row>
    <row r="990" spans="2:13" ht="12.95" customHeight="1" x14ac:dyDescent="0.3">
      <c r="B990" s="74" t="s">
        <v>40</v>
      </c>
      <c r="C990" s="75"/>
      <c r="D990" s="75"/>
      <c r="E990" s="81"/>
      <c r="F990" s="19"/>
      <c r="G990" s="20">
        <f>TRUNC(SUM(G988:G989))</f>
        <v>113080</v>
      </c>
      <c r="H990" s="19"/>
      <c r="I990" s="20">
        <f>TRUNC(SUM(I988:I989))</f>
        <v>113080</v>
      </c>
      <c r="J990" s="19"/>
      <c r="K990" s="20">
        <f>TRUNC(SUM(K988:K989))</f>
        <v>113080</v>
      </c>
      <c r="L990" s="19"/>
      <c r="M990" s="20">
        <f>TRUNC(SUM(M988:M989))</f>
        <v>113080</v>
      </c>
    </row>
    <row r="991" spans="2:13" ht="12.95" customHeight="1" x14ac:dyDescent="0.3">
      <c r="B991" s="82"/>
      <c r="C991" s="68"/>
      <c r="D991" s="68"/>
      <c r="E991" s="83"/>
      <c r="F991" s="84"/>
      <c r="G991" s="72"/>
      <c r="H991" s="84"/>
      <c r="I991" s="72"/>
      <c r="J991" s="84"/>
      <c r="K991" s="72"/>
      <c r="L991" s="84"/>
      <c r="M991" s="72"/>
    </row>
    <row r="992" spans="2:13" ht="12.95" customHeight="1" x14ac:dyDescent="0.3">
      <c r="B992" s="51" t="s">
        <v>42</v>
      </c>
      <c r="C992" s="75"/>
      <c r="D992" s="75"/>
      <c r="E992" s="81"/>
      <c r="F992" s="81"/>
      <c r="G992" s="85">
        <f>SUM(G980+G986+G990)</f>
        <v>1915554</v>
      </c>
      <c r="H992" s="81"/>
      <c r="I992" s="85">
        <f>SUM(I980+I986+I990)</f>
        <v>1915554</v>
      </c>
      <c r="J992" s="81"/>
      <c r="K992" s="85">
        <f>SUM(K980+K986+K990)</f>
        <v>1915554</v>
      </c>
      <c r="L992" s="81"/>
      <c r="M992" s="85">
        <f>SUM(M980+M986+M990)</f>
        <v>1915554</v>
      </c>
    </row>
    <row r="993" spans="2:13" ht="12.95" customHeight="1" x14ac:dyDescent="0.3">
      <c r="B993" s="52" t="s">
        <v>231</v>
      </c>
      <c r="C993" s="86"/>
      <c r="D993" s="86"/>
      <c r="E993" s="87"/>
      <c r="F993" s="87"/>
      <c r="G993" s="8">
        <f>TRUNC(G992/G975)</f>
        <v>2736</v>
      </c>
      <c r="H993" s="87"/>
      <c r="I993" s="8">
        <f>TRUNC(I992/I975)</f>
        <v>5473</v>
      </c>
      <c r="J993" s="87"/>
      <c r="K993" s="8">
        <f>TRUNC(K992/K975)</f>
        <v>7201</v>
      </c>
      <c r="L993" s="87"/>
      <c r="M993" s="8">
        <f>TRUNC(M992/M975)</f>
        <v>15202</v>
      </c>
    </row>
    <row r="995" spans="2:13" ht="12.95" customHeight="1" x14ac:dyDescent="0.3">
      <c r="B995" s="60" t="s">
        <v>294</v>
      </c>
      <c r="C995" s="61"/>
      <c r="D995" s="62"/>
      <c r="E995" s="63"/>
      <c r="F995" s="62"/>
      <c r="G995" s="33" t="s">
        <v>293</v>
      </c>
    </row>
    <row r="996" spans="2:13" ht="12.95" customHeight="1" x14ac:dyDescent="0.3">
      <c r="B996" s="127" t="s">
        <v>30</v>
      </c>
      <c r="C996" s="130" t="s">
        <v>34</v>
      </c>
      <c r="D996" s="133" t="s">
        <v>35</v>
      </c>
      <c r="E996" s="136" t="s">
        <v>31</v>
      </c>
      <c r="F996" s="171" t="s">
        <v>211</v>
      </c>
      <c r="G996" s="173" t="s">
        <v>33</v>
      </c>
    </row>
    <row r="997" spans="2:13" ht="12.95" customHeight="1" x14ac:dyDescent="0.3">
      <c r="B997" s="129"/>
      <c r="C997" s="132"/>
      <c r="D997" s="135"/>
      <c r="E997" s="138"/>
      <c r="F997" s="172"/>
      <c r="G997" s="174"/>
    </row>
    <row r="998" spans="2:13" ht="12.95" customHeight="1" x14ac:dyDescent="0.3">
      <c r="B998" s="68" t="s">
        <v>296</v>
      </c>
      <c r="C998" s="68"/>
      <c r="D998" s="69" t="s">
        <v>218</v>
      </c>
      <c r="E998" s="120">
        <v>0</v>
      </c>
      <c r="F998" s="121">
        <v>2</v>
      </c>
      <c r="G998" s="3">
        <f t="shared" ref="G998:G999" si="190">TRUNC($E998*F998,1)</f>
        <v>0</v>
      </c>
    </row>
    <row r="999" spans="2:13" ht="12.95" customHeight="1" x14ac:dyDescent="0.3">
      <c r="B999" s="68" t="s">
        <v>297</v>
      </c>
      <c r="C999" s="68"/>
      <c r="D999" s="69" t="s">
        <v>218</v>
      </c>
      <c r="E999" s="119">
        <v>0</v>
      </c>
      <c r="F999" s="121">
        <v>2</v>
      </c>
      <c r="G999" s="3">
        <f t="shared" si="190"/>
        <v>0</v>
      </c>
    </row>
    <row r="1000" spans="2:13" ht="12.95" customHeight="1" x14ac:dyDescent="0.3">
      <c r="B1000" s="74" t="s">
        <v>38</v>
      </c>
      <c r="C1000" s="75"/>
      <c r="D1000" s="75"/>
      <c r="E1000" s="24"/>
      <c r="F1000" s="25"/>
      <c r="G1000" s="20">
        <f>TRUNC(SUM(G998:G999))</f>
        <v>0</v>
      </c>
    </row>
    <row r="1001" spans="2:13" ht="12.95" customHeight="1" x14ac:dyDescent="0.3">
      <c r="B1001" s="82"/>
      <c r="C1001" s="68"/>
      <c r="D1001" s="68"/>
      <c r="E1001" s="83"/>
      <c r="F1001" s="84"/>
      <c r="G1001" s="72"/>
    </row>
    <row r="1002" spans="2:13" ht="12.95" customHeight="1" x14ac:dyDescent="0.3">
      <c r="B1002" s="52" t="s">
        <v>42</v>
      </c>
      <c r="C1002" s="86"/>
      <c r="D1002" s="86"/>
      <c r="E1002" s="87"/>
      <c r="F1002" s="87"/>
      <c r="G1002" s="89">
        <f>SUM(G1000)</f>
        <v>0</v>
      </c>
    </row>
    <row r="1003" spans="2:13" ht="12.95" customHeight="1" x14ac:dyDescent="0.3">
      <c r="B1003" s="1" t="s">
        <v>295</v>
      </c>
    </row>
    <row r="1005" spans="2:13" ht="12.95" customHeight="1" x14ac:dyDescent="0.3">
      <c r="B1005" s="60" t="s">
        <v>288</v>
      </c>
      <c r="C1005" s="61"/>
      <c r="D1005" s="62"/>
      <c r="E1005" s="63"/>
      <c r="F1005" s="62"/>
      <c r="G1005" s="33"/>
      <c r="H1005" s="62"/>
      <c r="I1005" s="33"/>
      <c r="J1005" s="62"/>
      <c r="K1005" s="33"/>
      <c r="L1005" s="62"/>
      <c r="M1005" s="33" t="s">
        <v>58</v>
      </c>
    </row>
    <row r="1006" spans="2:13" ht="12.95" customHeight="1" x14ac:dyDescent="0.3">
      <c r="B1006" s="127" t="s">
        <v>30</v>
      </c>
      <c r="C1006" s="130" t="s">
        <v>34</v>
      </c>
      <c r="D1006" s="133" t="s">
        <v>35</v>
      </c>
      <c r="E1006" s="136" t="s">
        <v>31</v>
      </c>
      <c r="F1006" s="139" t="s">
        <v>245</v>
      </c>
      <c r="G1006" s="140"/>
      <c r="H1006" s="139" t="s">
        <v>246</v>
      </c>
      <c r="I1006" s="140"/>
      <c r="J1006" s="139" t="s">
        <v>247</v>
      </c>
      <c r="K1006" s="140"/>
      <c r="L1006" s="139" t="s">
        <v>248</v>
      </c>
      <c r="M1006" s="140"/>
    </row>
    <row r="1007" spans="2:13" ht="12.95" customHeight="1" x14ac:dyDescent="0.3">
      <c r="B1007" s="128"/>
      <c r="C1007" s="131"/>
      <c r="D1007" s="134"/>
      <c r="E1007" s="137"/>
      <c r="F1007" s="34" t="s">
        <v>230</v>
      </c>
      <c r="G1007" s="37">
        <v>730</v>
      </c>
      <c r="H1007" s="34" t="s">
        <v>230</v>
      </c>
      <c r="I1007" s="37">
        <v>365</v>
      </c>
      <c r="J1007" s="34" t="s">
        <v>230</v>
      </c>
      <c r="K1007" s="37">
        <v>275</v>
      </c>
      <c r="L1007" s="34" t="s">
        <v>230</v>
      </c>
      <c r="M1007" s="37">
        <v>130</v>
      </c>
    </row>
    <row r="1008" spans="2:13" ht="12.95" customHeight="1" x14ac:dyDescent="0.3">
      <c r="B1008" s="129"/>
      <c r="C1008" s="132"/>
      <c r="D1008" s="135"/>
      <c r="E1008" s="138"/>
      <c r="F1008" s="38" t="s">
        <v>32</v>
      </c>
      <c r="G1008" s="39" t="s">
        <v>33</v>
      </c>
      <c r="H1008" s="38" t="s">
        <v>211</v>
      </c>
      <c r="I1008" s="39" t="s">
        <v>33</v>
      </c>
      <c r="J1008" s="38" t="s">
        <v>32</v>
      </c>
      <c r="K1008" s="39" t="s">
        <v>33</v>
      </c>
      <c r="L1008" s="38" t="s">
        <v>32</v>
      </c>
      <c r="M1008" s="39" t="s">
        <v>33</v>
      </c>
    </row>
    <row r="1009" spans="2:13" ht="12.95" customHeight="1" x14ac:dyDescent="0.3">
      <c r="B1009" s="68" t="s">
        <v>54</v>
      </c>
      <c r="C1009" s="68" t="s">
        <v>55</v>
      </c>
      <c r="D1009" s="69" t="s">
        <v>48</v>
      </c>
      <c r="E1009" s="95">
        <v>6024</v>
      </c>
      <c r="F1009" s="21">
        <v>16</v>
      </c>
      <c r="G1009" s="3">
        <f t="shared" ref="G1009" si="191">TRUNC($E1009*F1009,1)</f>
        <v>96384</v>
      </c>
      <c r="H1009" s="21">
        <v>16</v>
      </c>
      <c r="I1009" s="3">
        <f t="shared" ref="I1009" si="192">TRUNC($E1009*H1009,1)</f>
        <v>96384</v>
      </c>
      <c r="J1009" s="21">
        <v>16</v>
      </c>
      <c r="K1009" s="3">
        <f t="shared" ref="K1009" si="193">TRUNC($E1009*J1009,1)</f>
        <v>96384</v>
      </c>
      <c r="L1009" s="21">
        <v>16</v>
      </c>
      <c r="M1009" s="3">
        <f t="shared" ref="M1009" si="194">TRUNC($E1009*L1009,1)</f>
        <v>96384</v>
      </c>
    </row>
    <row r="1010" spans="2:13" ht="12.95" customHeight="1" x14ac:dyDescent="0.3">
      <c r="B1010" s="96" t="s">
        <v>36</v>
      </c>
      <c r="C1010" s="97" t="s">
        <v>99</v>
      </c>
      <c r="D1010" s="35" t="s">
        <v>45</v>
      </c>
      <c r="E1010" s="98"/>
      <c r="F1010" s="109">
        <v>1</v>
      </c>
      <c r="G1010" s="5">
        <f>TRUNC(SUM(G1013:G1014)*0.02,1)</f>
        <v>15927.6</v>
      </c>
      <c r="H1010" s="109">
        <v>1</v>
      </c>
      <c r="I1010" s="5">
        <f>TRUNC(SUM(I1013:I1014)*0.02,1)</f>
        <v>15927.6</v>
      </c>
      <c r="J1010" s="109">
        <v>1</v>
      </c>
      <c r="K1010" s="5">
        <f>TRUNC(SUM(K1013:K1014)*0.02,1)</f>
        <v>15927.6</v>
      </c>
      <c r="L1010" s="109">
        <v>1</v>
      </c>
      <c r="M1010" s="5">
        <f>TRUNC(SUM(M1013:M1014)*0.02,1)</f>
        <v>15927.6</v>
      </c>
    </row>
    <row r="1011" spans="2:13" ht="12.95" customHeight="1" x14ac:dyDescent="0.3">
      <c r="B1011" s="74" t="s">
        <v>38</v>
      </c>
      <c r="C1011" s="75"/>
      <c r="D1011" s="75"/>
      <c r="E1011" s="24"/>
      <c r="F1011" s="25"/>
      <c r="G1011" s="20">
        <f>TRUNC(SUM(G1009:G1010))</f>
        <v>112311</v>
      </c>
      <c r="H1011" s="25"/>
      <c r="I1011" s="20">
        <f>TRUNC(SUM(I1009:I1010))</f>
        <v>112311</v>
      </c>
      <c r="J1011" s="25"/>
      <c r="K1011" s="20">
        <f>TRUNC(SUM(K1009:K1010))</f>
        <v>112311</v>
      </c>
      <c r="L1011" s="25"/>
      <c r="M1011" s="20">
        <f>TRUNC(SUM(M1009:M1010))</f>
        <v>112311</v>
      </c>
    </row>
    <row r="1012" spans="2:13" ht="12.95" customHeight="1" x14ac:dyDescent="0.3">
      <c r="B1012" s="77"/>
      <c r="C1012" s="75"/>
      <c r="D1012" s="75"/>
      <c r="E1012" s="24"/>
      <c r="F1012" s="25"/>
      <c r="G1012" s="78"/>
      <c r="H1012" s="25"/>
      <c r="I1012" s="78"/>
      <c r="J1012" s="25"/>
      <c r="K1012" s="78"/>
      <c r="L1012" s="25"/>
      <c r="M1012" s="78"/>
    </row>
    <row r="1013" spans="2:13" ht="12.95" customHeight="1" x14ac:dyDescent="0.3">
      <c r="B1013" s="40" t="s">
        <v>53</v>
      </c>
      <c r="C1013" s="41"/>
      <c r="D1013" s="42" t="s">
        <v>37</v>
      </c>
      <c r="E1013" s="95">
        <v>226122</v>
      </c>
      <c r="F1013" s="21">
        <v>2</v>
      </c>
      <c r="G1013" s="3">
        <f t="shared" ref="G1013:G1015" si="195">TRUNC($E1013*F1013,1)</f>
        <v>452244</v>
      </c>
      <c r="H1013" s="21">
        <v>2</v>
      </c>
      <c r="I1013" s="3">
        <f t="shared" ref="I1013:I1015" si="196">TRUNC($E1013*H1013,1)</f>
        <v>452244</v>
      </c>
      <c r="J1013" s="21">
        <v>2</v>
      </c>
      <c r="K1013" s="3">
        <f t="shared" ref="K1013:K1015" si="197">TRUNC($E1013*J1013,1)</f>
        <v>452244</v>
      </c>
      <c r="L1013" s="21">
        <v>2</v>
      </c>
      <c r="M1013" s="3">
        <f t="shared" ref="M1013:M1015" si="198">TRUNC($E1013*L1013,1)</f>
        <v>452244</v>
      </c>
    </row>
    <row r="1014" spans="2:13" ht="12.95" customHeight="1" x14ac:dyDescent="0.3">
      <c r="B1014" s="40" t="s">
        <v>8</v>
      </c>
      <c r="C1014" s="41"/>
      <c r="D1014" s="42" t="s">
        <v>37</v>
      </c>
      <c r="E1014" s="95">
        <v>172068</v>
      </c>
      <c r="F1014" s="21">
        <v>2</v>
      </c>
      <c r="G1014" s="3">
        <f t="shared" si="195"/>
        <v>344136</v>
      </c>
      <c r="H1014" s="21">
        <v>2</v>
      </c>
      <c r="I1014" s="3">
        <f t="shared" si="196"/>
        <v>344136</v>
      </c>
      <c r="J1014" s="21">
        <v>2</v>
      </c>
      <c r="K1014" s="3">
        <f t="shared" si="197"/>
        <v>344136</v>
      </c>
      <c r="L1014" s="21">
        <v>2</v>
      </c>
      <c r="M1014" s="3">
        <f t="shared" si="198"/>
        <v>344136</v>
      </c>
    </row>
    <row r="1015" spans="2:13" ht="12.95" customHeight="1" x14ac:dyDescent="0.3">
      <c r="B1015" s="68" t="s">
        <v>54</v>
      </c>
      <c r="C1015" s="68" t="s">
        <v>55</v>
      </c>
      <c r="D1015" s="35" t="s">
        <v>44</v>
      </c>
      <c r="E1015" s="95">
        <v>49698</v>
      </c>
      <c r="F1015" s="21">
        <v>16</v>
      </c>
      <c r="G1015" s="3">
        <f t="shared" si="195"/>
        <v>795168</v>
      </c>
      <c r="H1015" s="21">
        <v>16</v>
      </c>
      <c r="I1015" s="3">
        <f t="shared" si="196"/>
        <v>795168</v>
      </c>
      <c r="J1015" s="21">
        <v>16</v>
      </c>
      <c r="K1015" s="3">
        <f t="shared" si="197"/>
        <v>795168</v>
      </c>
      <c r="L1015" s="21">
        <v>16</v>
      </c>
      <c r="M1015" s="3">
        <f t="shared" si="198"/>
        <v>795168</v>
      </c>
    </row>
    <row r="1016" spans="2:13" ht="12.95" customHeight="1" x14ac:dyDescent="0.3">
      <c r="B1016" s="45" t="s">
        <v>39</v>
      </c>
      <c r="C1016" s="75"/>
      <c r="D1016" s="75"/>
      <c r="E1016" s="24"/>
      <c r="F1016" s="25"/>
      <c r="G1016" s="20">
        <f>TRUNC(SUM(G1013:G1015))</f>
        <v>1591548</v>
      </c>
      <c r="H1016" s="25"/>
      <c r="I1016" s="20">
        <f>TRUNC(SUM(I1013:I1015))</f>
        <v>1591548</v>
      </c>
      <c r="J1016" s="25"/>
      <c r="K1016" s="20">
        <f>TRUNC(SUM(K1013:K1015))</f>
        <v>1591548</v>
      </c>
      <c r="L1016" s="25"/>
      <c r="M1016" s="20">
        <f>TRUNC(SUM(M1013:M1015))</f>
        <v>1591548</v>
      </c>
    </row>
    <row r="1017" spans="2:13" ht="12.95" customHeight="1" x14ac:dyDescent="0.3">
      <c r="B1017" s="77"/>
      <c r="C1017" s="75"/>
      <c r="D1017" s="75"/>
      <c r="E1017" s="24"/>
      <c r="F1017" s="25"/>
      <c r="G1017" s="78"/>
      <c r="H1017" s="25"/>
      <c r="I1017" s="78"/>
      <c r="J1017" s="25"/>
      <c r="K1017" s="78"/>
      <c r="L1017" s="25"/>
      <c r="M1017" s="78"/>
    </row>
    <row r="1018" spans="2:13" ht="12.95" customHeight="1" x14ac:dyDescent="0.3">
      <c r="B1018" s="68" t="s">
        <v>54</v>
      </c>
      <c r="C1018" s="68" t="s">
        <v>55</v>
      </c>
      <c r="D1018" s="69" t="s">
        <v>48</v>
      </c>
      <c r="E1018" s="95">
        <v>6522</v>
      </c>
      <c r="F1018" s="21">
        <v>16</v>
      </c>
      <c r="G1018" s="3">
        <f t="shared" ref="G1018" si="199">TRUNC($E1018*F1018,1)</f>
        <v>104352</v>
      </c>
      <c r="H1018" s="21">
        <v>16</v>
      </c>
      <c r="I1018" s="3">
        <f t="shared" ref="I1018" si="200">TRUNC($E1018*H1018,1)</f>
        <v>104352</v>
      </c>
      <c r="J1018" s="21">
        <v>16</v>
      </c>
      <c r="K1018" s="3">
        <f t="shared" ref="K1018" si="201">TRUNC($E1018*J1018,1)</f>
        <v>104352</v>
      </c>
      <c r="L1018" s="21">
        <v>16</v>
      </c>
      <c r="M1018" s="3">
        <f t="shared" ref="M1018" si="202">TRUNC($E1018*L1018,1)</f>
        <v>104352</v>
      </c>
    </row>
    <row r="1019" spans="2:13" ht="12.95" customHeight="1" x14ac:dyDescent="0.3">
      <c r="B1019" s="74" t="s">
        <v>40</v>
      </c>
      <c r="C1019" s="75"/>
      <c r="D1019" s="75"/>
      <c r="E1019" s="81"/>
      <c r="F1019" s="19"/>
      <c r="G1019" s="20">
        <f>TRUNC(SUM(G1018:G1018))</f>
        <v>104352</v>
      </c>
      <c r="H1019" s="19"/>
      <c r="I1019" s="20">
        <f>TRUNC(SUM(I1018:I1018))</f>
        <v>104352</v>
      </c>
      <c r="J1019" s="19"/>
      <c r="K1019" s="20">
        <f>TRUNC(SUM(K1018:K1018))</f>
        <v>104352</v>
      </c>
      <c r="L1019" s="19"/>
      <c r="M1019" s="20">
        <f>TRUNC(SUM(M1018:M1018))</f>
        <v>104352</v>
      </c>
    </row>
    <row r="1020" spans="2:13" ht="12.95" customHeight="1" x14ac:dyDescent="0.3">
      <c r="B1020" s="82"/>
      <c r="C1020" s="68"/>
      <c r="D1020" s="68"/>
      <c r="E1020" s="83"/>
      <c r="F1020" s="84"/>
      <c r="G1020" s="72"/>
      <c r="H1020" s="84"/>
      <c r="I1020" s="72"/>
      <c r="J1020" s="84"/>
      <c r="K1020" s="72"/>
      <c r="L1020" s="84"/>
      <c r="M1020" s="72"/>
    </row>
    <row r="1021" spans="2:13" ht="12.95" customHeight="1" x14ac:dyDescent="0.3">
      <c r="B1021" s="51" t="s">
        <v>42</v>
      </c>
      <c r="C1021" s="75"/>
      <c r="D1021" s="75"/>
      <c r="E1021" s="81"/>
      <c r="F1021" s="81"/>
      <c r="G1021" s="85">
        <f>SUM(G1011+G1016+G1019)</f>
        <v>1808211</v>
      </c>
      <c r="H1021" s="81"/>
      <c r="I1021" s="85">
        <f>SUM(I1011+I1016+I1019)</f>
        <v>1808211</v>
      </c>
      <c r="J1021" s="81"/>
      <c r="K1021" s="85">
        <f>SUM(K1011+K1016+K1019)</f>
        <v>1808211</v>
      </c>
      <c r="L1021" s="81"/>
      <c r="M1021" s="85">
        <f>SUM(M1011+M1016+M1019)</f>
        <v>1808211</v>
      </c>
    </row>
    <row r="1022" spans="2:13" ht="12.95" customHeight="1" x14ac:dyDescent="0.3">
      <c r="B1022" s="52" t="s">
        <v>231</v>
      </c>
      <c r="C1022" s="86"/>
      <c r="D1022" s="86"/>
      <c r="E1022" s="87"/>
      <c r="F1022" s="87"/>
      <c r="G1022" s="8">
        <f>TRUNC(G1021/G1007)</f>
        <v>2477</v>
      </c>
      <c r="H1022" s="87"/>
      <c r="I1022" s="8">
        <f>TRUNC(I1021/I1007)</f>
        <v>4954</v>
      </c>
      <c r="J1022" s="87"/>
      <c r="K1022" s="8">
        <f>TRUNC(K1021/K1007)</f>
        <v>6575</v>
      </c>
      <c r="L1022" s="87"/>
      <c r="M1022" s="8">
        <f>TRUNC(M1021/M1007)</f>
        <v>13909</v>
      </c>
    </row>
    <row r="1024" spans="2:13" ht="12.95" customHeight="1" x14ac:dyDescent="0.3">
      <c r="B1024" s="1" t="s">
        <v>187</v>
      </c>
    </row>
    <row r="1025" spans="2:9" ht="12.95" customHeight="1" x14ac:dyDescent="0.3">
      <c r="B1025" s="60" t="s">
        <v>117</v>
      </c>
      <c r="C1025" s="61"/>
      <c r="D1025" s="62"/>
      <c r="E1025" s="63"/>
      <c r="F1025" s="62"/>
      <c r="G1025" s="33"/>
      <c r="H1025" s="62"/>
      <c r="I1025" s="33" t="s">
        <v>58</v>
      </c>
    </row>
    <row r="1026" spans="2:9" ht="12.95" customHeight="1" x14ac:dyDescent="0.3">
      <c r="B1026" s="127" t="s">
        <v>30</v>
      </c>
      <c r="C1026" s="130" t="s">
        <v>34</v>
      </c>
      <c r="D1026" s="133" t="s">
        <v>35</v>
      </c>
      <c r="E1026" s="136" t="s">
        <v>31</v>
      </c>
      <c r="F1026" s="139" t="s">
        <v>119</v>
      </c>
      <c r="G1026" s="140"/>
      <c r="H1026" s="139" t="s">
        <v>120</v>
      </c>
      <c r="I1026" s="140"/>
    </row>
    <row r="1027" spans="2:9" ht="12.95" customHeight="1" x14ac:dyDescent="0.3">
      <c r="B1027" s="128"/>
      <c r="C1027" s="131"/>
      <c r="D1027" s="134"/>
      <c r="E1027" s="137"/>
      <c r="F1027" s="34" t="s">
        <v>221</v>
      </c>
      <c r="G1027" s="37">
        <v>420</v>
      </c>
      <c r="H1027" s="34" t="s">
        <v>221</v>
      </c>
      <c r="I1027" s="37">
        <v>840</v>
      </c>
    </row>
    <row r="1028" spans="2:9" ht="12.95" customHeight="1" x14ac:dyDescent="0.3">
      <c r="B1028" s="129"/>
      <c r="C1028" s="132"/>
      <c r="D1028" s="135"/>
      <c r="E1028" s="138"/>
      <c r="F1028" s="38" t="s">
        <v>32</v>
      </c>
      <c r="G1028" s="39" t="s">
        <v>33</v>
      </c>
      <c r="H1028" s="38" t="s">
        <v>32</v>
      </c>
      <c r="I1028" s="39" t="s">
        <v>33</v>
      </c>
    </row>
    <row r="1029" spans="2:9" ht="12.95" customHeight="1" x14ac:dyDescent="0.3">
      <c r="B1029" s="68" t="s">
        <v>291</v>
      </c>
      <c r="C1029" s="68" t="s">
        <v>23</v>
      </c>
      <c r="D1029" s="69" t="s">
        <v>48</v>
      </c>
      <c r="E1029" s="70">
        <v>18733</v>
      </c>
      <c r="F1029" s="21">
        <v>8</v>
      </c>
      <c r="G1029" s="3">
        <f t="shared" ref="G1029:G1030" si="203">TRUNC($E1029*F1029,1)</f>
        <v>149864</v>
      </c>
      <c r="H1029" s="21">
        <v>8</v>
      </c>
      <c r="I1029" s="3">
        <f t="shared" ref="I1029:I1030" si="204">TRUNC($E1029*H1029,1)</f>
        <v>149864</v>
      </c>
    </row>
    <row r="1030" spans="2:9" ht="12.95" customHeight="1" x14ac:dyDescent="0.3">
      <c r="B1030" s="68" t="s">
        <v>54</v>
      </c>
      <c r="C1030" s="68" t="s">
        <v>55</v>
      </c>
      <c r="D1030" s="69" t="s">
        <v>48</v>
      </c>
      <c r="E1030" s="70">
        <v>6024</v>
      </c>
      <c r="F1030" s="21">
        <v>8</v>
      </c>
      <c r="G1030" s="3">
        <f t="shared" si="203"/>
        <v>48192</v>
      </c>
      <c r="H1030" s="21">
        <v>8</v>
      </c>
      <c r="I1030" s="3">
        <f t="shared" si="204"/>
        <v>48192</v>
      </c>
    </row>
    <row r="1031" spans="2:9" ht="12.95" customHeight="1" x14ac:dyDescent="0.3">
      <c r="B1031" s="74" t="s">
        <v>38</v>
      </c>
      <c r="C1031" s="75"/>
      <c r="D1031" s="75"/>
      <c r="E1031" s="24"/>
      <c r="F1031" s="25"/>
      <c r="G1031" s="20">
        <f>TRUNC(SUM(G1029:G1030))</f>
        <v>198056</v>
      </c>
      <c r="H1031" s="25"/>
      <c r="I1031" s="20">
        <f>TRUNC(SUM(I1029:I1030))</f>
        <v>198056</v>
      </c>
    </row>
    <row r="1032" spans="2:9" ht="12.95" customHeight="1" x14ac:dyDescent="0.3">
      <c r="B1032" s="77"/>
      <c r="C1032" s="75"/>
      <c r="D1032" s="75"/>
      <c r="E1032" s="24"/>
      <c r="F1032" s="25"/>
      <c r="G1032" s="78"/>
      <c r="H1032" s="25"/>
      <c r="I1032" s="78"/>
    </row>
    <row r="1033" spans="2:9" ht="12.95" customHeight="1" x14ac:dyDescent="0.3">
      <c r="B1033" s="40" t="s">
        <v>53</v>
      </c>
      <c r="C1033" s="41"/>
      <c r="D1033" s="42" t="s">
        <v>37</v>
      </c>
      <c r="E1033" s="95">
        <v>226122</v>
      </c>
      <c r="F1033" s="21">
        <v>2</v>
      </c>
      <c r="G1033" s="3">
        <f t="shared" ref="G1033:G1036" si="205">TRUNC($E1033*F1033,1)</f>
        <v>452244</v>
      </c>
      <c r="H1033" s="21">
        <v>2</v>
      </c>
      <c r="I1033" s="3">
        <f t="shared" ref="I1033:I1036" si="206">TRUNC($E1033*H1033,1)</f>
        <v>452244</v>
      </c>
    </row>
    <row r="1034" spans="2:9" ht="12.95" customHeight="1" x14ac:dyDescent="0.3">
      <c r="B1034" s="40" t="s">
        <v>8</v>
      </c>
      <c r="C1034" s="41"/>
      <c r="D1034" s="42" t="s">
        <v>37</v>
      </c>
      <c r="E1034" s="95">
        <v>172068</v>
      </c>
      <c r="F1034" s="21">
        <v>1</v>
      </c>
      <c r="G1034" s="3">
        <f t="shared" si="205"/>
        <v>172068</v>
      </c>
      <c r="H1034" s="21">
        <v>1</v>
      </c>
      <c r="I1034" s="3">
        <f t="shared" si="206"/>
        <v>172068</v>
      </c>
    </row>
    <row r="1035" spans="2:9" ht="12.95" customHeight="1" x14ac:dyDescent="0.3">
      <c r="B1035" s="68" t="s">
        <v>291</v>
      </c>
      <c r="C1035" s="68" t="s">
        <v>23</v>
      </c>
      <c r="D1035" s="35" t="s">
        <v>44</v>
      </c>
      <c r="E1035" s="70">
        <v>58925</v>
      </c>
      <c r="F1035" s="21">
        <v>8</v>
      </c>
      <c r="G1035" s="3">
        <f t="shared" si="205"/>
        <v>471400</v>
      </c>
      <c r="H1035" s="21">
        <v>8</v>
      </c>
      <c r="I1035" s="3">
        <f t="shared" si="206"/>
        <v>471400</v>
      </c>
    </row>
    <row r="1036" spans="2:9" ht="12.95" customHeight="1" x14ac:dyDescent="0.3">
      <c r="B1036" s="68" t="s">
        <v>54</v>
      </c>
      <c r="C1036" s="68" t="s">
        <v>55</v>
      </c>
      <c r="D1036" s="35" t="s">
        <v>44</v>
      </c>
      <c r="E1036" s="70">
        <v>49698</v>
      </c>
      <c r="F1036" s="21">
        <v>8</v>
      </c>
      <c r="G1036" s="3">
        <f t="shared" si="205"/>
        <v>397584</v>
      </c>
      <c r="H1036" s="21">
        <v>8</v>
      </c>
      <c r="I1036" s="3">
        <f t="shared" si="206"/>
        <v>397584</v>
      </c>
    </row>
    <row r="1037" spans="2:9" ht="12.95" customHeight="1" x14ac:dyDescent="0.3">
      <c r="B1037" s="45" t="s">
        <v>39</v>
      </c>
      <c r="C1037" s="75"/>
      <c r="D1037" s="75"/>
      <c r="E1037" s="18"/>
      <c r="F1037" s="25"/>
      <c r="G1037" s="20">
        <f>TRUNC(SUM(G1033:G1036))</f>
        <v>1493296</v>
      </c>
      <c r="H1037" s="25"/>
      <c r="I1037" s="20">
        <f>TRUNC(SUM(I1033:I1036))</f>
        <v>1493296</v>
      </c>
    </row>
    <row r="1038" spans="2:9" ht="12.95" customHeight="1" x14ac:dyDescent="0.3">
      <c r="B1038" s="77"/>
      <c r="C1038" s="75"/>
      <c r="D1038" s="75"/>
      <c r="E1038" s="112"/>
      <c r="F1038" s="25"/>
      <c r="G1038" s="78"/>
      <c r="H1038" s="25"/>
      <c r="I1038" s="78"/>
    </row>
    <row r="1039" spans="2:9" ht="12.95" customHeight="1" x14ac:dyDescent="0.3">
      <c r="B1039" s="68" t="s">
        <v>291</v>
      </c>
      <c r="C1039" s="68" t="s">
        <v>23</v>
      </c>
      <c r="D1039" s="69" t="s">
        <v>48</v>
      </c>
      <c r="E1039" s="70">
        <v>23423</v>
      </c>
      <c r="F1039" s="21">
        <v>8</v>
      </c>
      <c r="G1039" s="3">
        <f t="shared" ref="G1039:G1041" si="207">TRUNC($E1039*F1039,1)</f>
        <v>187384</v>
      </c>
      <c r="H1039" s="21">
        <v>8</v>
      </c>
      <c r="I1039" s="3">
        <f t="shared" ref="I1039:I1041" si="208">TRUNC($E1039*H1039,1)</f>
        <v>187384</v>
      </c>
    </row>
    <row r="1040" spans="2:9" ht="12.95" customHeight="1" x14ac:dyDescent="0.3">
      <c r="B1040" s="68" t="s">
        <v>4</v>
      </c>
      <c r="C1040" s="68" t="s">
        <v>23</v>
      </c>
      <c r="D1040" s="69" t="s">
        <v>48</v>
      </c>
      <c r="E1040" s="70">
        <v>9356</v>
      </c>
      <c r="F1040" s="21">
        <v>8</v>
      </c>
      <c r="G1040" s="3">
        <f t="shared" si="207"/>
        <v>74848</v>
      </c>
      <c r="H1040" s="21">
        <v>8</v>
      </c>
      <c r="I1040" s="3">
        <f t="shared" si="208"/>
        <v>74848</v>
      </c>
    </row>
    <row r="1041" spans="2:13" ht="12.95" customHeight="1" x14ac:dyDescent="0.3">
      <c r="B1041" s="68" t="s">
        <v>54</v>
      </c>
      <c r="C1041" s="68" t="s">
        <v>55</v>
      </c>
      <c r="D1041" s="69" t="s">
        <v>48</v>
      </c>
      <c r="E1041" s="70">
        <v>6522</v>
      </c>
      <c r="F1041" s="21">
        <v>8</v>
      </c>
      <c r="G1041" s="3">
        <f t="shared" si="207"/>
        <v>52176</v>
      </c>
      <c r="H1041" s="21">
        <v>8</v>
      </c>
      <c r="I1041" s="3">
        <f t="shared" si="208"/>
        <v>52176</v>
      </c>
    </row>
    <row r="1042" spans="2:13" ht="12.95" customHeight="1" x14ac:dyDescent="0.3">
      <c r="B1042" s="74" t="s">
        <v>40</v>
      </c>
      <c r="C1042" s="75"/>
      <c r="D1042" s="75"/>
      <c r="E1042" s="81"/>
      <c r="F1042" s="19"/>
      <c r="G1042" s="20">
        <f>TRUNC(SUM(G1039:G1041))</f>
        <v>314408</v>
      </c>
      <c r="H1042" s="19"/>
      <c r="I1042" s="20">
        <f>TRUNC(SUM(I1039:I1041))</f>
        <v>314408</v>
      </c>
    </row>
    <row r="1043" spans="2:13" ht="12.95" customHeight="1" x14ac:dyDescent="0.3">
      <c r="B1043" s="82"/>
      <c r="C1043" s="68"/>
      <c r="D1043" s="68"/>
      <c r="E1043" s="83"/>
      <c r="F1043" s="84"/>
      <c r="G1043" s="72"/>
      <c r="H1043" s="84"/>
      <c r="I1043" s="72"/>
    </row>
    <row r="1044" spans="2:13" ht="12.95" customHeight="1" x14ac:dyDescent="0.3">
      <c r="B1044" s="51" t="s">
        <v>42</v>
      </c>
      <c r="C1044" s="75"/>
      <c r="D1044" s="75"/>
      <c r="E1044" s="81"/>
      <c r="F1044" s="81"/>
      <c r="G1044" s="85">
        <f>SUM(G1031+G1037+G1042)</f>
        <v>2005760</v>
      </c>
      <c r="H1044" s="81"/>
      <c r="I1044" s="85">
        <f>SUM(I1031+I1037+I1042)</f>
        <v>2005760</v>
      </c>
    </row>
    <row r="1045" spans="2:13" ht="12.95" customHeight="1" x14ac:dyDescent="0.3">
      <c r="B1045" s="52" t="s">
        <v>220</v>
      </c>
      <c r="C1045" s="86"/>
      <c r="D1045" s="86"/>
      <c r="E1045" s="87"/>
      <c r="F1045" s="87"/>
      <c r="G1045" s="8">
        <f>TRUNC(G1044/G1027)</f>
        <v>4775</v>
      </c>
      <c r="H1045" s="87"/>
      <c r="I1045" s="8">
        <f>TRUNC(I1044/I1027)</f>
        <v>2387</v>
      </c>
    </row>
    <row r="1047" spans="2:13" ht="12.95" customHeight="1" x14ac:dyDescent="0.3">
      <c r="B1047" s="60" t="s">
        <v>118</v>
      </c>
      <c r="C1047" s="61"/>
      <c r="D1047" s="62"/>
      <c r="E1047" s="63"/>
      <c r="F1047" s="62"/>
      <c r="G1047" s="33"/>
      <c r="H1047" s="62"/>
      <c r="I1047" s="33"/>
      <c r="J1047" s="62"/>
      <c r="K1047" s="33"/>
      <c r="L1047" s="62"/>
      <c r="M1047" s="33" t="s">
        <v>58</v>
      </c>
    </row>
    <row r="1048" spans="2:13" ht="12.95" customHeight="1" x14ac:dyDescent="0.3">
      <c r="B1048" s="142" t="s">
        <v>30</v>
      </c>
      <c r="C1048" s="145" t="s">
        <v>34</v>
      </c>
      <c r="D1048" s="145" t="s">
        <v>35</v>
      </c>
      <c r="E1048" s="145" t="s">
        <v>31</v>
      </c>
      <c r="F1048" s="139" t="s">
        <v>119</v>
      </c>
      <c r="G1048" s="140"/>
      <c r="H1048" s="140"/>
      <c r="I1048" s="156"/>
      <c r="J1048" s="139" t="s">
        <v>120</v>
      </c>
      <c r="K1048" s="140"/>
      <c r="L1048" s="140"/>
      <c r="M1048" s="140"/>
    </row>
    <row r="1049" spans="2:13" ht="12.95" customHeight="1" x14ac:dyDescent="0.3">
      <c r="B1049" s="143"/>
      <c r="C1049" s="146"/>
      <c r="D1049" s="146"/>
      <c r="E1049" s="146"/>
      <c r="F1049" s="139" t="s">
        <v>249</v>
      </c>
      <c r="G1049" s="140"/>
      <c r="H1049" s="139" t="s">
        <v>250</v>
      </c>
      <c r="I1049" s="140"/>
      <c r="J1049" s="139" t="s">
        <v>249</v>
      </c>
      <c r="K1049" s="140"/>
      <c r="L1049" s="139" t="s">
        <v>250</v>
      </c>
      <c r="M1049" s="140"/>
    </row>
    <row r="1050" spans="2:13" ht="12.95" customHeight="1" x14ac:dyDescent="0.3">
      <c r="B1050" s="143"/>
      <c r="C1050" s="146"/>
      <c r="D1050" s="146"/>
      <c r="E1050" s="146"/>
      <c r="F1050" s="34" t="s">
        <v>221</v>
      </c>
      <c r="G1050" s="37">
        <v>520</v>
      </c>
      <c r="H1050" s="34" t="s">
        <v>221</v>
      </c>
      <c r="I1050" s="37">
        <v>440</v>
      </c>
      <c r="J1050" s="34" t="s">
        <v>221</v>
      </c>
      <c r="K1050" s="37">
        <v>680</v>
      </c>
      <c r="L1050" s="34" t="s">
        <v>221</v>
      </c>
      <c r="M1050" s="37">
        <v>560</v>
      </c>
    </row>
    <row r="1051" spans="2:13" ht="12.95" customHeight="1" x14ac:dyDescent="0.3">
      <c r="B1051" s="144"/>
      <c r="C1051" s="147"/>
      <c r="D1051" s="147"/>
      <c r="E1051" s="147"/>
      <c r="F1051" s="38" t="s">
        <v>32</v>
      </c>
      <c r="G1051" s="39" t="s">
        <v>33</v>
      </c>
      <c r="H1051" s="38" t="s">
        <v>32</v>
      </c>
      <c r="I1051" s="39" t="s">
        <v>33</v>
      </c>
      <c r="J1051" s="38" t="s">
        <v>32</v>
      </c>
      <c r="K1051" s="39" t="s">
        <v>33</v>
      </c>
      <c r="L1051" s="38" t="s">
        <v>32</v>
      </c>
      <c r="M1051" s="39" t="s">
        <v>33</v>
      </c>
    </row>
    <row r="1052" spans="2:13" ht="12.95" customHeight="1" x14ac:dyDescent="0.3">
      <c r="B1052" s="68" t="s">
        <v>54</v>
      </c>
      <c r="C1052" s="68" t="s">
        <v>55</v>
      </c>
      <c r="D1052" s="69" t="s">
        <v>48</v>
      </c>
      <c r="E1052" s="70">
        <v>6024</v>
      </c>
      <c r="F1052" s="21">
        <v>8</v>
      </c>
      <c r="G1052" s="3">
        <f t="shared" ref="G1052:M1052" si="209">TRUNC($E1052*F1052,1)</f>
        <v>48192</v>
      </c>
      <c r="H1052" s="21">
        <v>8</v>
      </c>
      <c r="I1052" s="3">
        <f t="shared" si="209"/>
        <v>48192</v>
      </c>
      <c r="J1052" s="21">
        <v>8</v>
      </c>
      <c r="K1052" s="3">
        <f t="shared" si="209"/>
        <v>48192</v>
      </c>
      <c r="L1052" s="21">
        <v>8</v>
      </c>
      <c r="M1052" s="3">
        <f t="shared" si="209"/>
        <v>48192</v>
      </c>
    </row>
    <row r="1053" spans="2:13" ht="12.95" customHeight="1" x14ac:dyDescent="0.3">
      <c r="B1053" s="96" t="s">
        <v>36</v>
      </c>
      <c r="C1053" s="97" t="s">
        <v>97</v>
      </c>
      <c r="D1053" s="35" t="s">
        <v>45</v>
      </c>
      <c r="E1053" s="98"/>
      <c r="F1053" s="109">
        <v>1</v>
      </c>
      <c r="G1053" s="5">
        <f>TRUNC(SUM(G1056:G1057)*0.05,1)</f>
        <v>62431.199999999997</v>
      </c>
      <c r="H1053" s="109">
        <v>1</v>
      </c>
      <c r="I1053" s="5">
        <f>TRUNC(SUM(I1056:I1057)*0.05,1)</f>
        <v>62431.199999999997</v>
      </c>
      <c r="J1053" s="109">
        <v>1</v>
      </c>
      <c r="K1053" s="5">
        <f>TRUNC(SUM(K1056:K1057)*0.05,1)</f>
        <v>62431.199999999997</v>
      </c>
      <c r="L1053" s="109">
        <v>1</v>
      </c>
      <c r="M1053" s="5">
        <f>TRUNC(SUM(M1056:M1057)*0.05,1)</f>
        <v>62431.199999999997</v>
      </c>
    </row>
    <row r="1054" spans="2:13" ht="12.95" customHeight="1" x14ac:dyDescent="0.3">
      <c r="B1054" s="74" t="s">
        <v>38</v>
      </c>
      <c r="C1054" s="75"/>
      <c r="D1054" s="75"/>
      <c r="E1054" s="24"/>
      <c r="F1054" s="25"/>
      <c r="G1054" s="20">
        <f>TRUNC(SUM(G1052:G1053))</f>
        <v>110623</v>
      </c>
      <c r="H1054" s="25"/>
      <c r="I1054" s="20">
        <f>TRUNC(SUM(I1052:I1053))</f>
        <v>110623</v>
      </c>
      <c r="J1054" s="25"/>
      <c r="K1054" s="20">
        <f>TRUNC(SUM(K1052:K1053))</f>
        <v>110623</v>
      </c>
      <c r="L1054" s="25"/>
      <c r="M1054" s="20">
        <f>TRUNC(SUM(M1052:M1053))</f>
        <v>110623</v>
      </c>
    </row>
    <row r="1055" spans="2:13" ht="12.95" customHeight="1" x14ac:dyDescent="0.3">
      <c r="B1055" s="77"/>
      <c r="C1055" s="75"/>
      <c r="D1055" s="75"/>
      <c r="E1055" s="24"/>
      <c r="F1055" s="25"/>
      <c r="G1055" s="78"/>
      <c r="H1055" s="25"/>
      <c r="I1055" s="78"/>
      <c r="J1055" s="25"/>
      <c r="K1055" s="78"/>
      <c r="L1055" s="25"/>
      <c r="M1055" s="78"/>
    </row>
    <row r="1056" spans="2:13" ht="12.95" customHeight="1" x14ac:dyDescent="0.3">
      <c r="B1056" s="40" t="s">
        <v>53</v>
      </c>
      <c r="C1056" s="41"/>
      <c r="D1056" s="42" t="s">
        <v>37</v>
      </c>
      <c r="E1056" s="95">
        <v>226122</v>
      </c>
      <c r="F1056" s="21">
        <v>4</v>
      </c>
      <c r="G1056" s="3">
        <f t="shared" ref="G1056:M1058" si="210">TRUNC($E1056*F1056,1)</f>
        <v>904488</v>
      </c>
      <c r="H1056" s="21">
        <v>4</v>
      </c>
      <c r="I1056" s="3">
        <f t="shared" si="210"/>
        <v>904488</v>
      </c>
      <c r="J1056" s="21">
        <v>4</v>
      </c>
      <c r="K1056" s="3">
        <f t="shared" si="210"/>
        <v>904488</v>
      </c>
      <c r="L1056" s="21">
        <v>4</v>
      </c>
      <c r="M1056" s="3">
        <f t="shared" si="210"/>
        <v>904488</v>
      </c>
    </row>
    <row r="1057" spans="2:13" ht="12.95" customHeight="1" x14ac:dyDescent="0.3">
      <c r="B1057" s="40" t="s">
        <v>8</v>
      </c>
      <c r="C1057" s="41"/>
      <c r="D1057" s="42" t="s">
        <v>37</v>
      </c>
      <c r="E1057" s="95">
        <v>172068</v>
      </c>
      <c r="F1057" s="21">
        <v>2</v>
      </c>
      <c r="G1057" s="3">
        <f t="shared" si="210"/>
        <v>344136</v>
      </c>
      <c r="H1057" s="21">
        <v>2</v>
      </c>
      <c r="I1057" s="3">
        <f t="shared" si="210"/>
        <v>344136</v>
      </c>
      <c r="J1057" s="21">
        <v>2</v>
      </c>
      <c r="K1057" s="3">
        <f t="shared" si="210"/>
        <v>344136</v>
      </c>
      <c r="L1057" s="21">
        <v>2</v>
      </c>
      <c r="M1057" s="3">
        <f t="shared" si="210"/>
        <v>344136</v>
      </c>
    </row>
    <row r="1058" spans="2:13" ht="12.95" customHeight="1" x14ac:dyDescent="0.3">
      <c r="B1058" s="68" t="s">
        <v>54</v>
      </c>
      <c r="C1058" s="68" t="s">
        <v>55</v>
      </c>
      <c r="D1058" s="35" t="s">
        <v>44</v>
      </c>
      <c r="E1058" s="70">
        <v>49698</v>
      </c>
      <c r="F1058" s="21">
        <v>8</v>
      </c>
      <c r="G1058" s="3">
        <f t="shared" si="210"/>
        <v>397584</v>
      </c>
      <c r="H1058" s="21">
        <v>8</v>
      </c>
      <c r="I1058" s="3">
        <f t="shared" si="210"/>
        <v>397584</v>
      </c>
      <c r="J1058" s="21">
        <v>8</v>
      </c>
      <c r="K1058" s="3">
        <f t="shared" si="210"/>
        <v>397584</v>
      </c>
      <c r="L1058" s="21">
        <v>8</v>
      </c>
      <c r="M1058" s="3">
        <f t="shared" si="210"/>
        <v>397584</v>
      </c>
    </row>
    <row r="1059" spans="2:13" ht="12.95" customHeight="1" x14ac:dyDescent="0.3">
      <c r="B1059" s="45" t="s">
        <v>39</v>
      </c>
      <c r="C1059" s="75"/>
      <c r="D1059" s="75"/>
      <c r="E1059" s="18"/>
      <c r="F1059" s="25"/>
      <c r="G1059" s="20">
        <f>TRUNC(SUM(G1056:G1058))</f>
        <v>1646208</v>
      </c>
      <c r="H1059" s="25"/>
      <c r="I1059" s="20">
        <f>TRUNC(SUM(I1056:I1058))</f>
        <v>1646208</v>
      </c>
      <c r="J1059" s="25"/>
      <c r="K1059" s="20">
        <f>TRUNC(SUM(K1056:K1058))</f>
        <v>1646208</v>
      </c>
      <c r="L1059" s="25"/>
      <c r="M1059" s="20">
        <f>TRUNC(SUM(M1056:M1058))</f>
        <v>1646208</v>
      </c>
    </row>
    <row r="1060" spans="2:13" ht="12.95" customHeight="1" x14ac:dyDescent="0.3">
      <c r="B1060" s="77"/>
      <c r="C1060" s="75"/>
      <c r="D1060" s="75"/>
      <c r="E1060" s="112"/>
      <c r="F1060" s="25"/>
      <c r="G1060" s="78"/>
      <c r="H1060" s="25"/>
      <c r="I1060" s="78"/>
      <c r="J1060" s="25"/>
      <c r="K1060" s="78"/>
      <c r="L1060" s="25"/>
      <c r="M1060" s="78"/>
    </row>
    <row r="1061" spans="2:13" ht="12.95" customHeight="1" x14ac:dyDescent="0.3">
      <c r="B1061" s="68" t="s">
        <v>54</v>
      </c>
      <c r="C1061" s="68" t="s">
        <v>55</v>
      </c>
      <c r="D1061" s="69" t="s">
        <v>48</v>
      </c>
      <c r="E1061" s="70">
        <v>6522</v>
      </c>
      <c r="F1061" s="21">
        <v>8</v>
      </c>
      <c r="G1061" s="3">
        <f t="shared" ref="G1061:M1061" si="211">TRUNC($E1061*F1061,1)</f>
        <v>52176</v>
      </c>
      <c r="H1061" s="21">
        <v>8</v>
      </c>
      <c r="I1061" s="3">
        <f t="shared" si="211"/>
        <v>52176</v>
      </c>
      <c r="J1061" s="21">
        <v>8</v>
      </c>
      <c r="K1061" s="3">
        <f t="shared" si="211"/>
        <v>52176</v>
      </c>
      <c r="L1061" s="21">
        <v>8</v>
      </c>
      <c r="M1061" s="3">
        <f t="shared" si="211"/>
        <v>52176</v>
      </c>
    </row>
    <row r="1062" spans="2:13" ht="12.95" customHeight="1" x14ac:dyDescent="0.3">
      <c r="B1062" s="74" t="s">
        <v>40</v>
      </c>
      <c r="C1062" s="75"/>
      <c r="D1062" s="75"/>
      <c r="E1062" s="81"/>
      <c r="F1062" s="19"/>
      <c r="G1062" s="20">
        <f>TRUNC(SUM(G1061:G1061))</f>
        <v>52176</v>
      </c>
      <c r="H1062" s="19"/>
      <c r="I1062" s="20">
        <f>TRUNC(SUM(I1061:I1061))</f>
        <v>52176</v>
      </c>
      <c r="J1062" s="19"/>
      <c r="K1062" s="20">
        <f>TRUNC(SUM(K1061:K1061))</f>
        <v>52176</v>
      </c>
      <c r="L1062" s="19"/>
      <c r="M1062" s="20">
        <f>TRUNC(SUM(M1061:M1061))</f>
        <v>52176</v>
      </c>
    </row>
    <row r="1063" spans="2:13" ht="12.95" customHeight="1" x14ac:dyDescent="0.3">
      <c r="B1063" s="82"/>
      <c r="C1063" s="68"/>
      <c r="D1063" s="68"/>
      <c r="E1063" s="83"/>
      <c r="F1063" s="84"/>
      <c r="G1063" s="72"/>
      <c r="H1063" s="84"/>
      <c r="I1063" s="72"/>
      <c r="J1063" s="84"/>
      <c r="K1063" s="72"/>
      <c r="L1063" s="84"/>
      <c r="M1063" s="72"/>
    </row>
    <row r="1064" spans="2:13" ht="12.95" customHeight="1" x14ac:dyDescent="0.3">
      <c r="B1064" s="51" t="s">
        <v>42</v>
      </c>
      <c r="C1064" s="75"/>
      <c r="D1064" s="75"/>
      <c r="E1064" s="81"/>
      <c r="F1064" s="81"/>
      <c r="G1064" s="85">
        <f>SUM(G1054+G1059+G1062)</f>
        <v>1809007</v>
      </c>
      <c r="H1064" s="81"/>
      <c r="I1064" s="85">
        <f>SUM(I1054+I1059+I1062)</f>
        <v>1809007</v>
      </c>
      <c r="J1064" s="81"/>
      <c r="K1064" s="85">
        <f>SUM(K1054+K1059+K1062)</f>
        <v>1809007</v>
      </c>
      <c r="L1064" s="81"/>
      <c r="M1064" s="85">
        <f>SUM(M1054+M1059+M1062)</f>
        <v>1809007</v>
      </c>
    </row>
    <row r="1065" spans="2:13" ht="12.95" customHeight="1" x14ac:dyDescent="0.3">
      <c r="B1065" s="52" t="s">
        <v>220</v>
      </c>
      <c r="C1065" s="86"/>
      <c r="D1065" s="86"/>
      <c r="E1065" s="87"/>
      <c r="F1065" s="87"/>
      <c r="G1065" s="8">
        <f>TRUNC(G1064/G1050)</f>
        <v>3478</v>
      </c>
      <c r="H1065" s="87"/>
      <c r="I1065" s="8">
        <f>TRUNC(I1064/I1050)</f>
        <v>4111</v>
      </c>
      <c r="J1065" s="87"/>
      <c r="K1065" s="8">
        <f>TRUNC(K1064/K1050)</f>
        <v>2660</v>
      </c>
      <c r="L1065" s="87"/>
      <c r="M1065" s="8">
        <f>TRUNC(M1064/M1050)</f>
        <v>3230</v>
      </c>
    </row>
    <row r="1067" spans="2:13" ht="12.95" customHeight="1" x14ac:dyDescent="0.3">
      <c r="B1067" s="1" t="s">
        <v>188</v>
      </c>
    </row>
    <row r="1068" spans="2:13" ht="12.95" customHeight="1" x14ac:dyDescent="0.3">
      <c r="B1068" s="60" t="s">
        <v>117</v>
      </c>
      <c r="C1068" s="61"/>
      <c r="D1068" s="62"/>
      <c r="E1068" s="63"/>
      <c r="F1068" s="62"/>
      <c r="G1068" s="33"/>
      <c r="H1068" s="62"/>
      <c r="I1068" s="33" t="s">
        <v>58</v>
      </c>
    </row>
    <row r="1069" spans="2:13" ht="12.95" customHeight="1" x14ac:dyDescent="0.3">
      <c r="B1069" s="127" t="s">
        <v>30</v>
      </c>
      <c r="C1069" s="130" t="s">
        <v>34</v>
      </c>
      <c r="D1069" s="133" t="s">
        <v>35</v>
      </c>
      <c r="E1069" s="136" t="s">
        <v>31</v>
      </c>
      <c r="F1069" s="139" t="s">
        <v>119</v>
      </c>
      <c r="G1069" s="140"/>
      <c r="H1069" s="139" t="s">
        <v>120</v>
      </c>
      <c r="I1069" s="140"/>
    </row>
    <row r="1070" spans="2:13" ht="12.95" customHeight="1" x14ac:dyDescent="0.3">
      <c r="B1070" s="128"/>
      <c r="C1070" s="131"/>
      <c r="D1070" s="134"/>
      <c r="E1070" s="137"/>
      <c r="F1070" s="34" t="s">
        <v>221</v>
      </c>
      <c r="G1070" s="37">
        <v>260</v>
      </c>
      <c r="H1070" s="34" t="s">
        <v>221</v>
      </c>
      <c r="I1070" s="37">
        <v>520</v>
      </c>
    </row>
    <row r="1071" spans="2:13" ht="12.95" customHeight="1" x14ac:dyDescent="0.3">
      <c r="B1071" s="129"/>
      <c r="C1071" s="132"/>
      <c r="D1071" s="135"/>
      <c r="E1071" s="138"/>
      <c r="F1071" s="38" t="s">
        <v>32</v>
      </c>
      <c r="G1071" s="39" t="s">
        <v>33</v>
      </c>
      <c r="H1071" s="38" t="s">
        <v>32</v>
      </c>
      <c r="I1071" s="39" t="s">
        <v>33</v>
      </c>
    </row>
    <row r="1072" spans="2:13" ht="12.95" customHeight="1" x14ac:dyDescent="0.3">
      <c r="B1072" s="68" t="s">
        <v>291</v>
      </c>
      <c r="C1072" s="68" t="s">
        <v>23</v>
      </c>
      <c r="D1072" s="69" t="s">
        <v>48</v>
      </c>
      <c r="E1072" s="70">
        <v>18733</v>
      </c>
      <c r="F1072" s="21">
        <v>8</v>
      </c>
      <c r="G1072" s="3">
        <f t="shared" ref="G1072:G1074" si="212">TRUNC($E1072*F1072,1)</f>
        <v>149864</v>
      </c>
      <c r="H1072" s="21">
        <v>8</v>
      </c>
      <c r="I1072" s="3">
        <f t="shared" ref="I1072:I1074" si="213">TRUNC($E1072*H1072,1)</f>
        <v>149864</v>
      </c>
    </row>
    <row r="1073" spans="2:9" ht="12.95" customHeight="1" x14ac:dyDescent="0.3">
      <c r="B1073" s="68" t="s">
        <v>0</v>
      </c>
      <c r="C1073" s="68" t="s">
        <v>2</v>
      </c>
      <c r="D1073" s="69" t="s">
        <v>48</v>
      </c>
      <c r="E1073" s="95">
        <v>41038</v>
      </c>
      <c r="F1073" s="21">
        <v>8</v>
      </c>
      <c r="G1073" s="3">
        <f t="shared" si="212"/>
        <v>328304</v>
      </c>
      <c r="H1073" s="21">
        <v>8</v>
      </c>
      <c r="I1073" s="3">
        <f t="shared" si="213"/>
        <v>328304</v>
      </c>
    </row>
    <row r="1074" spans="2:9" ht="12.95" customHeight="1" x14ac:dyDescent="0.3">
      <c r="B1074" s="68" t="s">
        <v>54</v>
      </c>
      <c r="C1074" s="68" t="s">
        <v>55</v>
      </c>
      <c r="D1074" s="69" t="s">
        <v>48</v>
      </c>
      <c r="E1074" s="95">
        <v>6024</v>
      </c>
      <c r="F1074" s="21">
        <v>8</v>
      </c>
      <c r="G1074" s="3">
        <f t="shared" si="212"/>
        <v>48192</v>
      </c>
      <c r="H1074" s="21">
        <v>8</v>
      </c>
      <c r="I1074" s="3">
        <f t="shared" si="213"/>
        <v>48192</v>
      </c>
    </row>
    <row r="1075" spans="2:9" ht="12.95" customHeight="1" x14ac:dyDescent="0.3">
      <c r="B1075" s="74" t="s">
        <v>38</v>
      </c>
      <c r="C1075" s="75"/>
      <c r="D1075" s="75"/>
      <c r="E1075" s="24"/>
      <c r="F1075" s="25"/>
      <c r="G1075" s="20">
        <f>TRUNC(SUM(G1072:G1074))</f>
        <v>526360</v>
      </c>
      <c r="H1075" s="25"/>
      <c r="I1075" s="20">
        <f>TRUNC(SUM(I1072:I1074))</f>
        <v>526360</v>
      </c>
    </row>
    <row r="1076" spans="2:9" ht="12.95" customHeight="1" x14ac:dyDescent="0.3">
      <c r="B1076" s="77"/>
      <c r="C1076" s="75"/>
      <c r="D1076" s="75"/>
      <c r="E1076" s="24"/>
      <c r="F1076" s="25"/>
      <c r="G1076" s="78"/>
      <c r="H1076" s="25"/>
      <c r="I1076" s="78"/>
    </row>
    <row r="1077" spans="2:9" ht="12.95" customHeight="1" x14ac:dyDescent="0.3">
      <c r="B1077" s="40" t="s">
        <v>53</v>
      </c>
      <c r="C1077" s="41"/>
      <c r="D1077" s="42" t="s">
        <v>37</v>
      </c>
      <c r="E1077" s="95">
        <v>226122</v>
      </c>
      <c r="F1077" s="21">
        <v>3</v>
      </c>
      <c r="G1077" s="3">
        <f t="shared" ref="G1077:G1082" si="214">TRUNC($E1077*F1077,1)</f>
        <v>678366</v>
      </c>
      <c r="H1077" s="21">
        <v>3</v>
      </c>
      <c r="I1077" s="3">
        <f t="shared" ref="I1077:I1082" si="215">TRUNC($E1077*H1077,1)</f>
        <v>678366</v>
      </c>
    </row>
    <row r="1078" spans="2:9" ht="12.95" customHeight="1" x14ac:dyDescent="0.3">
      <c r="B1078" s="40" t="s">
        <v>8</v>
      </c>
      <c r="C1078" s="41"/>
      <c r="D1078" s="42" t="s">
        <v>37</v>
      </c>
      <c r="E1078" s="95">
        <v>172068</v>
      </c>
      <c r="F1078" s="21">
        <v>1</v>
      </c>
      <c r="G1078" s="3">
        <f t="shared" si="214"/>
        <v>172068</v>
      </c>
      <c r="H1078" s="21">
        <v>1</v>
      </c>
      <c r="I1078" s="3">
        <f t="shared" si="215"/>
        <v>172068</v>
      </c>
    </row>
    <row r="1079" spans="2:9" ht="12.95" customHeight="1" x14ac:dyDescent="0.3">
      <c r="B1079" s="68" t="s">
        <v>291</v>
      </c>
      <c r="C1079" s="68" t="s">
        <v>23</v>
      </c>
      <c r="D1079" s="35" t="s">
        <v>44</v>
      </c>
      <c r="E1079" s="70">
        <v>58925</v>
      </c>
      <c r="F1079" s="21">
        <v>8</v>
      </c>
      <c r="G1079" s="3">
        <f t="shared" si="214"/>
        <v>471400</v>
      </c>
      <c r="H1079" s="21">
        <v>8</v>
      </c>
      <c r="I1079" s="3">
        <f t="shared" si="215"/>
        <v>471400</v>
      </c>
    </row>
    <row r="1080" spans="2:9" ht="12.95" customHeight="1" x14ac:dyDescent="0.3">
      <c r="B1080" s="68" t="s">
        <v>121</v>
      </c>
      <c r="C1080" s="68" t="s">
        <v>2</v>
      </c>
      <c r="D1080" s="35" t="s">
        <v>44</v>
      </c>
      <c r="E1080" s="95">
        <v>58925</v>
      </c>
      <c r="F1080" s="21">
        <v>8</v>
      </c>
      <c r="G1080" s="3">
        <f t="shared" si="214"/>
        <v>471400</v>
      </c>
      <c r="H1080" s="21">
        <v>8</v>
      </c>
      <c r="I1080" s="3">
        <f t="shared" si="215"/>
        <v>471400</v>
      </c>
    </row>
    <row r="1081" spans="2:9" ht="12.95" customHeight="1" x14ac:dyDescent="0.3">
      <c r="B1081" s="68" t="s">
        <v>0</v>
      </c>
      <c r="C1081" s="68" t="s">
        <v>2</v>
      </c>
      <c r="D1081" s="35" t="s">
        <v>44</v>
      </c>
      <c r="E1081" s="95">
        <v>58925</v>
      </c>
      <c r="F1081" s="21">
        <v>8</v>
      </c>
      <c r="G1081" s="3">
        <f t="shared" si="214"/>
        <v>471400</v>
      </c>
      <c r="H1081" s="21">
        <v>8</v>
      </c>
      <c r="I1081" s="3">
        <f t="shared" si="215"/>
        <v>471400</v>
      </c>
    </row>
    <row r="1082" spans="2:9" ht="12.95" customHeight="1" x14ac:dyDescent="0.3">
      <c r="B1082" s="68" t="s">
        <v>54</v>
      </c>
      <c r="C1082" s="68" t="s">
        <v>55</v>
      </c>
      <c r="D1082" s="35" t="s">
        <v>44</v>
      </c>
      <c r="E1082" s="95">
        <v>49698</v>
      </c>
      <c r="F1082" s="21">
        <v>8</v>
      </c>
      <c r="G1082" s="3">
        <f t="shared" si="214"/>
        <v>397584</v>
      </c>
      <c r="H1082" s="21">
        <v>8</v>
      </c>
      <c r="I1082" s="3">
        <f t="shared" si="215"/>
        <v>397584</v>
      </c>
    </row>
    <row r="1083" spans="2:9" ht="12.95" customHeight="1" x14ac:dyDescent="0.3">
      <c r="B1083" s="45" t="s">
        <v>39</v>
      </c>
      <c r="C1083" s="75"/>
      <c r="D1083" s="75"/>
      <c r="E1083" s="18"/>
      <c r="F1083" s="25"/>
      <c r="G1083" s="20">
        <f>TRUNC(SUM(G1077:G1082))</f>
        <v>2662218</v>
      </c>
      <c r="H1083" s="25"/>
      <c r="I1083" s="20">
        <f>TRUNC(SUM(I1077:I1082))</f>
        <v>2662218</v>
      </c>
    </row>
    <row r="1084" spans="2:9" ht="12.95" customHeight="1" x14ac:dyDescent="0.3">
      <c r="B1084" s="77"/>
      <c r="C1084" s="75"/>
      <c r="D1084" s="75"/>
      <c r="E1084" s="112"/>
      <c r="F1084" s="25"/>
      <c r="G1084" s="78"/>
      <c r="H1084" s="25"/>
      <c r="I1084" s="78"/>
    </row>
    <row r="1085" spans="2:9" ht="12.95" customHeight="1" x14ac:dyDescent="0.3">
      <c r="B1085" s="68" t="s">
        <v>291</v>
      </c>
      <c r="C1085" s="68" t="s">
        <v>23</v>
      </c>
      <c r="D1085" s="69" t="s">
        <v>48</v>
      </c>
      <c r="E1085" s="70">
        <v>23423</v>
      </c>
      <c r="F1085" s="21">
        <v>8</v>
      </c>
      <c r="G1085" s="3">
        <f t="shared" ref="G1085:G1089" si="216">TRUNC($E1085*F1085,1)</f>
        <v>187384</v>
      </c>
      <c r="H1085" s="21">
        <v>8</v>
      </c>
      <c r="I1085" s="3">
        <f t="shared" ref="I1085:I1089" si="217">TRUNC($E1085*H1085,1)</f>
        <v>187384</v>
      </c>
    </row>
    <row r="1086" spans="2:9" ht="12.95" customHeight="1" x14ac:dyDescent="0.3">
      <c r="B1086" s="68" t="s">
        <v>4</v>
      </c>
      <c r="C1086" s="68" t="s">
        <v>23</v>
      </c>
      <c r="D1086" s="69" t="s">
        <v>48</v>
      </c>
      <c r="E1086" s="95">
        <v>9356</v>
      </c>
      <c r="F1086" s="21">
        <v>8</v>
      </c>
      <c r="G1086" s="3">
        <f t="shared" si="216"/>
        <v>74848</v>
      </c>
      <c r="H1086" s="21">
        <v>8</v>
      </c>
      <c r="I1086" s="3">
        <f t="shared" si="217"/>
        <v>74848</v>
      </c>
    </row>
    <row r="1087" spans="2:9" ht="12.95" customHeight="1" x14ac:dyDescent="0.3">
      <c r="B1087" s="68" t="s">
        <v>121</v>
      </c>
      <c r="C1087" s="68" t="s">
        <v>2</v>
      </c>
      <c r="D1087" s="35" t="s">
        <v>44</v>
      </c>
      <c r="E1087" s="95">
        <v>13065</v>
      </c>
      <c r="F1087" s="21">
        <v>8</v>
      </c>
      <c r="G1087" s="3">
        <f t="shared" si="216"/>
        <v>104520</v>
      </c>
      <c r="H1087" s="21">
        <v>8</v>
      </c>
      <c r="I1087" s="3">
        <f t="shared" si="217"/>
        <v>104520</v>
      </c>
    </row>
    <row r="1088" spans="2:9" ht="12.95" customHeight="1" x14ac:dyDescent="0.3">
      <c r="B1088" s="68" t="s">
        <v>0</v>
      </c>
      <c r="C1088" s="68" t="s">
        <v>2</v>
      </c>
      <c r="D1088" s="35" t="s">
        <v>44</v>
      </c>
      <c r="E1088" s="95">
        <v>6451</v>
      </c>
      <c r="F1088" s="21">
        <v>8</v>
      </c>
      <c r="G1088" s="3">
        <f t="shared" si="216"/>
        <v>51608</v>
      </c>
      <c r="H1088" s="21">
        <v>8</v>
      </c>
      <c r="I1088" s="3">
        <f t="shared" si="217"/>
        <v>51608</v>
      </c>
    </row>
    <row r="1089" spans="2:13" ht="12.95" customHeight="1" x14ac:dyDescent="0.3">
      <c r="B1089" s="68" t="s">
        <v>54</v>
      </c>
      <c r="C1089" s="68" t="s">
        <v>55</v>
      </c>
      <c r="D1089" s="69" t="s">
        <v>48</v>
      </c>
      <c r="E1089" s="95">
        <v>6522</v>
      </c>
      <c r="F1089" s="21">
        <v>8</v>
      </c>
      <c r="G1089" s="3">
        <f t="shared" si="216"/>
        <v>52176</v>
      </c>
      <c r="H1089" s="21">
        <v>8</v>
      </c>
      <c r="I1089" s="3">
        <f t="shared" si="217"/>
        <v>52176</v>
      </c>
    </row>
    <row r="1090" spans="2:13" ht="12.95" customHeight="1" x14ac:dyDescent="0.3">
      <c r="B1090" s="74" t="s">
        <v>40</v>
      </c>
      <c r="C1090" s="75"/>
      <c r="D1090" s="75"/>
      <c r="E1090" s="81"/>
      <c r="F1090" s="19"/>
      <c r="G1090" s="20">
        <f>TRUNC(SUM(G1085:G1089))</f>
        <v>470536</v>
      </c>
      <c r="H1090" s="19"/>
      <c r="I1090" s="20">
        <f>TRUNC(SUM(I1085:I1089))</f>
        <v>470536</v>
      </c>
    </row>
    <row r="1091" spans="2:13" ht="12.95" customHeight="1" x14ac:dyDescent="0.3">
      <c r="B1091" s="82"/>
      <c r="C1091" s="68"/>
      <c r="D1091" s="68"/>
      <c r="E1091" s="83"/>
      <c r="F1091" s="84"/>
      <c r="G1091" s="72"/>
      <c r="H1091" s="84"/>
      <c r="I1091" s="72"/>
    </row>
    <row r="1092" spans="2:13" ht="12.95" customHeight="1" x14ac:dyDescent="0.3">
      <c r="B1092" s="51" t="s">
        <v>42</v>
      </c>
      <c r="C1092" s="75"/>
      <c r="D1092" s="75"/>
      <c r="E1092" s="81"/>
      <c r="F1092" s="81"/>
      <c r="G1092" s="85">
        <f>SUM(G1075+G1083+G1090)</f>
        <v>3659114</v>
      </c>
      <c r="H1092" s="81"/>
      <c r="I1092" s="85">
        <f>SUM(I1075+I1083+I1090)</f>
        <v>3659114</v>
      </c>
    </row>
    <row r="1093" spans="2:13" ht="12.95" customHeight="1" x14ac:dyDescent="0.3">
      <c r="B1093" s="52" t="s">
        <v>220</v>
      </c>
      <c r="C1093" s="86"/>
      <c r="D1093" s="86"/>
      <c r="E1093" s="87"/>
      <c r="F1093" s="87"/>
      <c r="G1093" s="8">
        <f>TRUNC(G1092/G1070)</f>
        <v>14073</v>
      </c>
      <c r="H1093" s="87"/>
      <c r="I1093" s="8">
        <f>TRUNC(I1092/I1070)</f>
        <v>7036</v>
      </c>
    </row>
    <row r="1095" spans="2:13" ht="12.95" customHeight="1" x14ac:dyDescent="0.3">
      <c r="B1095" s="60" t="s">
        <v>118</v>
      </c>
      <c r="C1095" s="61"/>
      <c r="D1095" s="62"/>
      <c r="E1095" s="63"/>
      <c r="F1095" s="62"/>
      <c r="G1095" s="33"/>
      <c r="H1095" s="62"/>
      <c r="I1095" s="33"/>
      <c r="J1095" s="62"/>
      <c r="K1095" s="33"/>
      <c r="L1095" s="62"/>
      <c r="M1095" s="33" t="s">
        <v>58</v>
      </c>
    </row>
    <row r="1096" spans="2:13" ht="12.95" customHeight="1" x14ac:dyDescent="0.3">
      <c r="B1096" s="142" t="s">
        <v>30</v>
      </c>
      <c r="C1096" s="145" t="s">
        <v>34</v>
      </c>
      <c r="D1096" s="145" t="s">
        <v>35</v>
      </c>
      <c r="E1096" s="145" t="s">
        <v>31</v>
      </c>
      <c r="F1096" s="139" t="s">
        <v>119</v>
      </c>
      <c r="G1096" s="140"/>
      <c r="H1096" s="140"/>
      <c r="I1096" s="156"/>
      <c r="J1096" s="139" t="s">
        <v>120</v>
      </c>
      <c r="K1096" s="140"/>
      <c r="L1096" s="140"/>
      <c r="M1096" s="140"/>
    </row>
    <row r="1097" spans="2:13" ht="12.95" customHeight="1" x14ac:dyDescent="0.3">
      <c r="B1097" s="143"/>
      <c r="C1097" s="146"/>
      <c r="D1097" s="146"/>
      <c r="E1097" s="146"/>
      <c r="F1097" s="139" t="s">
        <v>249</v>
      </c>
      <c r="G1097" s="140"/>
      <c r="H1097" s="139" t="s">
        <v>250</v>
      </c>
      <c r="I1097" s="140"/>
      <c r="J1097" s="139" t="s">
        <v>249</v>
      </c>
      <c r="K1097" s="140"/>
      <c r="L1097" s="139" t="s">
        <v>250</v>
      </c>
      <c r="M1097" s="140"/>
    </row>
    <row r="1098" spans="2:13" ht="12.95" customHeight="1" x14ac:dyDescent="0.3">
      <c r="B1098" s="143"/>
      <c r="C1098" s="146"/>
      <c r="D1098" s="146"/>
      <c r="E1098" s="146"/>
      <c r="F1098" s="34" t="s">
        <v>221</v>
      </c>
      <c r="G1098" s="37">
        <v>260</v>
      </c>
      <c r="H1098" s="34" t="s">
        <v>221</v>
      </c>
      <c r="I1098" s="37">
        <v>220</v>
      </c>
      <c r="J1098" s="34" t="s">
        <v>221</v>
      </c>
      <c r="K1098" s="37">
        <v>340</v>
      </c>
      <c r="L1098" s="34" t="s">
        <v>221</v>
      </c>
      <c r="M1098" s="37">
        <v>280</v>
      </c>
    </row>
    <row r="1099" spans="2:13" ht="12.95" customHeight="1" x14ac:dyDescent="0.3">
      <c r="B1099" s="144"/>
      <c r="C1099" s="147"/>
      <c r="D1099" s="147"/>
      <c r="E1099" s="147"/>
      <c r="F1099" s="38" t="s">
        <v>32</v>
      </c>
      <c r="G1099" s="39" t="s">
        <v>33</v>
      </c>
      <c r="H1099" s="38" t="s">
        <v>32</v>
      </c>
      <c r="I1099" s="39" t="s">
        <v>33</v>
      </c>
      <c r="J1099" s="38" t="s">
        <v>32</v>
      </c>
      <c r="K1099" s="39" t="s">
        <v>33</v>
      </c>
      <c r="L1099" s="38" t="s">
        <v>32</v>
      </c>
      <c r="M1099" s="39" t="s">
        <v>33</v>
      </c>
    </row>
    <row r="1100" spans="2:13" ht="12.95" customHeight="1" x14ac:dyDescent="0.3">
      <c r="B1100" s="68" t="s">
        <v>54</v>
      </c>
      <c r="C1100" s="68" t="s">
        <v>55</v>
      </c>
      <c r="D1100" s="69" t="s">
        <v>48</v>
      </c>
      <c r="E1100" s="70">
        <v>6024</v>
      </c>
      <c r="F1100" s="21">
        <v>8</v>
      </c>
      <c r="G1100" s="3">
        <f t="shared" ref="G1100" si="218">TRUNC($E1100*F1100,1)</f>
        <v>48192</v>
      </c>
      <c r="H1100" s="21">
        <v>8</v>
      </c>
      <c r="I1100" s="3">
        <f t="shared" ref="I1100" si="219">TRUNC($E1100*H1100,1)</f>
        <v>48192</v>
      </c>
      <c r="J1100" s="21">
        <v>8</v>
      </c>
      <c r="K1100" s="3">
        <f t="shared" ref="K1100" si="220">TRUNC($E1100*J1100,1)</f>
        <v>48192</v>
      </c>
      <c r="L1100" s="21">
        <v>8</v>
      </c>
      <c r="M1100" s="3">
        <f t="shared" ref="M1100" si="221">TRUNC($E1100*L1100,1)</f>
        <v>48192</v>
      </c>
    </row>
    <row r="1101" spans="2:13" ht="12.95" customHeight="1" x14ac:dyDescent="0.3">
      <c r="B1101" s="96" t="s">
        <v>36</v>
      </c>
      <c r="C1101" s="97" t="s">
        <v>97</v>
      </c>
      <c r="D1101" s="35" t="s">
        <v>45</v>
      </c>
      <c r="E1101" s="98"/>
      <c r="F1101" s="109">
        <v>1</v>
      </c>
      <c r="G1101" s="5">
        <f>TRUNC(SUM(G1104:G1105)*0.05,1)</f>
        <v>62431.199999999997</v>
      </c>
      <c r="H1101" s="109">
        <v>1</v>
      </c>
      <c r="I1101" s="5">
        <f>TRUNC(SUM(I1104:I1105)*0.05,1)</f>
        <v>62431.199999999997</v>
      </c>
      <c r="J1101" s="109">
        <v>1</v>
      </c>
      <c r="K1101" s="5">
        <f>TRUNC(SUM(K1104:K1105)*0.05,1)</f>
        <v>62431.199999999997</v>
      </c>
      <c r="L1101" s="109">
        <v>1</v>
      </c>
      <c r="M1101" s="5">
        <f>TRUNC(SUM(M1104:M1105)*0.05,1)</f>
        <v>62431.199999999997</v>
      </c>
    </row>
    <row r="1102" spans="2:13" ht="12.95" customHeight="1" x14ac:dyDescent="0.3">
      <c r="B1102" s="74" t="s">
        <v>38</v>
      </c>
      <c r="C1102" s="75"/>
      <c r="D1102" s="75"/>
      <c r="E1102" s="24"/>
      <c r="F1102" s="25"/>
      <c r="G1102" s="20">
        <f>TRUNC(SUM(G1100:G1101))</f>
        <v>110623</v>
      </c>
      <c r="H1102" s="25"/>
      <c r="I1102" s="20">
        <f>TRUNC(SUM(I1100:I1101))</f>
        <v>110623</v>
      </c>
      <c r="J1102" s="25"/>
      <c r="K1102" s="20">
        <f>TRUNC(SUM(K1100:K1101))</f>
        <v>110623</v>
      </c>
      <c r="L1102" s="25"/>
      <c r="M1102" s="20">
        <f>TRUNC(SUM(M1100:M1101))</f>
        <v>110623</v>
      </c>
    </row>
    <row r="1103" spans="2:13" ht="12.95" customHeight="1" x14ac:dyDescent="0.3">
      <c r="B1103" s="77"/>
      <c r="C1103" s="75"/>
      <c r="D1103" s="75"/>
      <c r="E1103" s="24"/>
      <c r="F1103" s="25"/>
      <c r="G1103" s="78"/>
      <c r="H1103" s="25"/>
      <c r="I1103" s="78"/>
      <c r="J1103" s="25"/>
      <c r="K1103" s="78"/>
      <c r="L1103" s="25"/>
      <c r="M1103" s="78"/>
    </row>
    <row r="1104" spans="2:13" ht="12.95" customHeight="1" x14ac:dyDescent="0.3">
      <c r="B1104" s="40" t="s">
        <v>53</v>
      </c>
      <c r="C1104" s="41"/>
      <c r="D1104" s="42" t="s">
        <v>37</v>
      </c>
      <c r="E1104" s="95">
        <v>226122</v>
      </c>
      <c r="F1104" s="21">
        <v>4</v>
      </c>
      <c r="G1104" s="3">
        <f t="shared" ref="G1104:G1106" si="222">TRUNC($E1104*F1104,1)</f>
        <v>904488</v>
      </c>
      <c r="H1104" s="21">
        <v>4</v>
      </c>
      <c r="I1104" s="3">
        <f t="shared" ref="I1104:I1106" si="223">TRUNC($E1104*H1104,1)</f>
        <v>904488</v>
      </c>
      <c r="J1104" s="21">
        <v>4</v>
      </c>
      <c r="K1104" s="3">
        <f t="shared" ref="K1104:K1106" si="224">TRUNC($E1104*J1104,1)</f>
        <v>904488</v>
      </c>
      <c r="L1104" s="21">
        <v>4</v>
      </c>
      <c r="M1104" s="3">
        <f t="shared" ref="M1104:M1106" si="225">TRUNC($E1104*L1104,1)</f>
        <v>904488</v>
      </c>
    </row>
    <row r="1105" spans="2:13" ht="12.95" customHeight="1" x14ac:dyDescent="0.3">
      <c r="B1105" s="40" t="s">
        <v>8</v>
      </c>
      <c r="C1105" s="41"/>
      <c r="D1105" s="42" t="s">
        <v>37</v>
      </c>
      <c r="E1105" s="95">
        <v>172068</v>
      </c>
      <c r="F1105" s="21">
        <v>2</v>
      </c>
      <c r="G1105" s="3">
        <f t="shared" si="222"/>
        <v>344136</v>
      </c>
      <c r="H1105" s="21">
        <v>2</v>
      </c>
      <c r="I1105" s="3">
        <f t="shared" si="223"/>
        <v>344136</v>
      </c>
      <c r="J1105" s="21">
        <v>2</v>
      </c>
      <c r="K1105" s="3">
        <f t="shared" si="224"/>
        <v>344136</v>
      </c>
      <c r="L1105" s="21">
        <v>2</v>
      </c>
      <c r="M1105" s="3">
        <f t="shared" si="225"/>
        <v>344136</v>
      </c>
    </row>
    <row r="1106" spans="2:13" ht="12.95" customHeight="1" x14ac:dyDescent="0.3">
      <c r="B1106" s="68" t="s">
        <v>54</v>
      </c>
      <c r="C1106" s="68" t="s">
        <v>55</v>
      </c>
      <c r="D1106" s="35" t="s">
        <v>44</v>
      </c>
      <c r="E1106" s="70">
        <v>49698</v>
      </c>
      <c r="F1106" s="21">
        <v>8</v>
      </c>
      <c r="G1106" s="3">
        <f t="shared" si="222"/>
        <v>397584</v>
      </c>
      <c r="H1106" s="21">
        <v>8</v>
      </c>
      <c r="I1106" s="3">
        <f t="shared" si="223"/>
        <v>397584</v>
      </c>
      <c r="J1106" s="21">
        <v>8</v>
      </c>
      <c r="K1106" s="3">
        <f t="shared" si="224"/>
        <v>397584</v>
      </c>
      <c r="L1106" s="21">
        <v>8</v>
      </c>
      <c r="M1106" s="3">
        <f t="shared" si="225"/>
        <v>397584</v>
      </c>
    </row>
    <row r="1107" spans="2:13" ht="12.95" customHeight="1" x14ac:dyDescent="0.3">
      <c r="B1107" s="45" t="s">
        <v>39</v>
      </c>
      <c r="C1107" s="75"/>
      <c r="D1107" s="75"/>
      <c r="E1107" s="18"/>
      <c r="F1107" s="25"/>
      <c r="G1107" s="20">
        <f>TRUNC(SUM(G1104:G1106))</f>
        <v>1646208</v>
      </c>
      <c r="H1107" s="25"/>
      <c r="I1107" s="20">
        <f>TRUNC(SUM(I1104:I1106))</f>
        <v>1646208</v>
      </c>
      <c r="J1107" s="25"/>
      <c r="K1107" s="20">
        <f>TRUNC(SUM(K1104:K1106))</f>
        <v>1646208</v>
      </c>
      <c r="L1107" s="25"/>
      <c r="M1107" s="20">
        <f>TRUNC(SUM(M1104:M1106))</f>
        <v>1646208</v>
      </c>
    </row>
    <row r="1108" spans="2:13" ht="12.95" customHeight="1" x14ac:dyDescent="0.3">
      <c r="B1108" s="77"/>
      <c r="C1108" s="75"/>
      <c r="D1108" s="75"/>
      <c r="E1108" s="112"/>
      <c r="F1108" s="25"/>
      <c r="G1108" s="78"/>
      <c r="H1108" s="25"/>
      <c r="I1108" s="78"/>
      <c r="J1108" s="25"/>
      <c r="K1108" s="78"/>
      <c r="L1108" s="25"/>
      <c r="M1108" s="78"/>
    </row>
    <row r="1109" spans="2:13" ht="12.95" customHeight="1" x14ac:dyDescent="0.3">
      <c r="B1109" s="68" t="s">
        <v>54</v>
      </c>
      <c r="C1109" s="68" t="s">
        <v>55</v>
      </c>
      <c r="D1109" s="69" t="s">
        <v>48</v>
      </c>
      <c r="E1109" s="70">
        <v>6522</v>
      </c>
      <c r="F1109" s="21">
        <v>8</v>
      </c>
      <c r="G1109" s="3">
        <f t="shared" ref="G1109" si="226">TRUNC($E1109*F1109,1)</f>
        <v>52176</v>
      </c>
      <c r="H1109" s="21">
        <v>8</v>
      </c>
      <c r="I1109" s="3">
        <f t="shared" ref="I1109" si="227">TRUNC($E1109*H1109,1)</f>
        <v>52176</v>
      </c>
      <c r="J1109" s="21">
        <v>8</v>
      </c>
      <c r="K1109" s="3">
        <f t="shared" ref="K1109" si="228">TRUNC($E1109*J1109,1)</f>
        <v>52176</v>
      </c>
      <c r="L1109" s="21">
        <v>8</v>
      </c>
      <c r="M1109" s="3">
        <f t="shared" ref="M1109" si="229">TRUNC($E1109*L1109,1)</f>
        <v>52176</v>
      </c>
    </row>
    <row r="1110" spans="2:13" ht="12.95" customHeight="1" x14ac:dyDescent="0.3">
      <c r="B1110" s="74" t="s">
        <v>40</v>
      </c>
      <c r="C1110" s="75"/>
      <c r="D1110" s="75"/>
      <c r="E1110" s="81"/>
      <c r="F1110" s="19"/>
      <c r="G1110" s="20">
        <f>TRUNC(SUM(G1109:G1109))</f>
        <v>52176</v>
      </c>
      <c r="H1110" s="19"/>
      <c r="I1110" s="20">
        <f>TRUNC(SUM(I1109:I1109))</f>
        <v>52176</v>
      </c>
      <c r="J1110" s="19"/>
      <c r="K1110" s="20">
        <f>TRUNC(SUM(K1109:K1109))</f>
        <v>52176</v>
      </c>
      <c r="L1110" s="19"/>
      <c r="M1110" s="20">
        <f>TRUNC(SUM(M1109:M1109))</f>
        <v>52176</v>
      </c>
    </row>
    <row r="1111" spans="2:13" ht="12.95" customHeight="1" x14ac:dyDescent="0.3">
      <c r="B1111" s="82"/>
      <c r="C1111" s="68"/>
      <c r="D1111" s="68"/>
      <c r="E1111" s="83"/>
      <c r="F1111" s="84"/>
      <c r="G1111" s="72"/>
      <c r="H1111" s="84"/>
      <c r="I1111" s="72"/>
      <c r="J1111" s="84"/>
      <c r="K1111" s="72"/>
      <c r="L1111" s="84"/>
      <c r="M1111" s="72"/>
    </row>
    <row r="1112" spans="2:13" ht="12.95" customHeight="1" x14ac:dyDescent="0.3">
      <c r="B1112" s="51" t="s">
        <v>42</v>
      </c>
      <c r="C1112" s="75"/>
      <c r="D1112" s="75"/>
      <c r="E1112" s="81"/>
      <c r="F1112" s="81"/>
      <c r="G1112" s="85">
        <f>SUM(G1102+G1107+G1110)</f>
        <v>1809007</v>
      </c>
      <c r="H1112" s="81"/>
      <c r="I1112" s="85">
        <f>SUM(I1102+I1107+I1110)</f>
        <v>1809007</v>
      </c>
      <c r="J1112" s="81"/>
      <c r="K1112" s="85">
        <f>SUM(K1102+K1107+K1110)</f>
        <v>1809007</v>
      </c>
      <c r="L1112" s="81"/>
      <c r="M1112" s="85">
        <f>SUM(M1102+M1107+M1110)</f>
        <v>1809007</v>
      </c>
    </row>
    <row r="1113" spans="2:13" ht="12.95" customHeight="1" x14ac:dyDescent="0.3">
      <c r="B1113" s="52" t="s">
        <v>220</v>
      </c>
      <c r="C1113" s="86"/>
      <c r="D1113" s="86"/>
      <c r="E1113" s="87"/>
      <c r="F1113" s="87"/>
      <c r="G1113" s="8">
        <f>TRUNC(G1112/G1098)</f>
        <v>6957</v>
      </c>
      <c r="H1113" s="87"/>
      <c r="I1113" s="8">
        <f>TRUNC(I1112/I1098)</f>
        <v>8222</v>
      </c>
      <c r="J1113" s="87"/>
      <c r="K1113" s="8">
        <f>TRUNC(K1112/K1098)</f>
        <v>5320</v>
      </c>
      <c r="L1113" s="87"/>
      <c r="M1113" s="8">
        <f>TRUNC(M1112/M1098)</f>
        <v>6460</v>
      </c>
    </row>
    <row r="1115" spans="2:13" ht="12.95" customHeight="1" x14ac:dyDescent="0.3">
      <c r="B1115" s="60" t="s">
        <v>189</v>
      </c>
      <c r="C1115" s="61"/>
      <c r="D1115" s="62"/>
      <c r="E1115" s="63"/>
      <c r="F1115" s="62"/>
      <c r="G1115" s="33"/>
      <c r="H1115" s="62"/>
      <c r="I1115" s="33" t="s">
        <v>58</v>
      </c>
    </row>
    <row r="1116" spans="2:13" ht="12.95" customHeight="1" x14ac:dyDescent="0.3">
      <c r="B1116" s="127" t="s">
        <v>30</v>
      </c>
      <c r="C1116" s="130" t="s">
        <v>34</v>
      </c>
      <c r="D1116" s="133" t="s">
        <v>35</v>
      </c>
      <c r="E1116" s="136" t="s">
        <v>31</v>
      </c>
      <c r="F1116" s="139" t="s">
        <v>251</v>
      </c>
      <c r="G1116" s="140"/>
      <c r="H1116" s="139" t="s">
        <v>252</v>
      </c>
      <c r="I1116" s="140"/>
    </row>
    <row r="1117" spans="2:13" ht="12.95" customHeight="1" x14ac:dyDescent="0.3">
      <c r="B1117" s="128"/>
      <c r="C1117" s="131"/>
      <c r="D1117" s="134"/>
      <c r="E1117" s="137"/>
      <c r="F1117" s="34" t="s">
        <v>221</v>
      </c>
      <c r="G1117" s="37">
        <v>350</v>
      </c>
      <c r="H1117" s="34" t="s">
        <v>221</v>
      </c>
      <c r="I1117" s="37">
        <v>300</v>
      </c>
    </row>
    <row r="1118" spans="2:13" ht="12.95" customHeight="1" x14ac:dyDescent="0.3">
      <c r="B1118" s="129"/>
      <c r="C1118" s="132"/>
      <c r="D1118" s="135"/>
      <c r="E1118" s="138"/>
      <c r="F1118" s="38" t="s">
        <v>32</v>
      </c>
      <c r="G1118" s="39" t="s">
        <v>33</v>
      </c>
      <c r="H1118" s="38" t="s">
        <v>32</v>
      </c>
      <c r="I1118" s="39" t="s">
        <v>33</v>
      </c>
    </row>
    <row r="1119" spans="2:13" ht="12.95" customHeight="1" x14ac:dyDescent="0.3">
      <c r="B1119" s="68" t="s">
        <v>28</v>
      </c>
      <c r="C1119" s="68" t="s">
        <v>122</v>
      </c>
      <c r="D1119" s="69" t="s">
        <v>48</v>
      </c>
      <c r="E1119" s="95">
        <v>18830</v>
      </c>
      <c r="F1119" s="21">
        <v>8</v>
      </c>
      <c r="G1119" s="3">
        <f t="shared" ref="G1119:G1120" si="230">TRUNC($E1119*F1119,1)</f>
        <v>150640</v>
      </c>
      <c r="H1119" s="21">
        <v>8</v>
      </c>
      <c r="I1119" s="3">
        <f t="shared" ref="I1119:I1120" si="231">TRUNC($E1119*H1119,1)</f>
        <v>150640</v>
      </c>
    </row>
    <row r="1120" spans="2:13" ht="12.95" customHeight="1" x14ac:dyDescent="0.3">
      <c r="B1120" s="68" t="s">
        <v>291</v>
      </c>
      <c r="C1120" s="68" t="s">
        <v>5</v>
      </c>
      <c r="D1120" s="69" t="s">
        <v>48</v>
      </c>
      <c r="E1120" s="95">
        <v>35814</v>
      </c>
      <c r="F1120" s="21">
        <v>8</v>
      </c>
      <c r="G1120" s="3">
        <f t="shared" si="230"/>
        <v>286512</v>
      </c>
      <c r="H1120" s="21">
        <v>8</v>
      </c>
      <c r="I1120" s="3">
        <f t="shared" si="231"/>
        <v>286512</v>
      </c>
    </row>
    <row r="1121" spans="2:9" ht="12.95" customHeight="1" x14ac:dyDescent="0.3">
      <c r="B1121" s="74" t="s">
        <v>38</v>
      </c>
      <c r="C1121" s="75"/>
      <c r="D1121" s="75"/>
      <c r="E1121" s="24"/>
      <c r="F1121" s="25"/>
      <c r="G1121" s="20">
        <f>TRUNC(SUM(G1119:G1120))</f>
        <v>437152</v>
      </c>
      <c r="H1121" s="25"/>
      <c r="I1121" s="20">
        <f>TRUNC(SUM(I1119:I1120))</f>
        <v>437152</v>
      </c>
    </row>
    <row r="1122" spans="2:9" ht="12.95" customHeight="1" x14ac:dyDescent="0.3">
      <c r="B1122" s="77"/>
      <c r="C1122" s="75"/>
      <c r="D1122" s="75"/>
      <c r="E1122" s="24"/>
      <c r="F1122" s="25"/>
      <c r="G1122" s="78"/>
      <c r="H1122" s="25"/>
      <c r="I1122" s="78"/>
    </row>
    <row r="1123" spans="2:9" ht="12.95" customHeight="1" x14ac:dyDescent="0.3">
      <c r="B1123" s="40" t="s">
        <v>3</v>
      </c>
      <c r="C1123" s="41"/>
      <c r="D1123" s="42" t="s">
        <v>37</v>
      </c>
      <c r="E1123" s="95">
        <v>273308</v>
      </c>
      <c r="F1123" s="21">
        <v>2</v>
      </c>
      <c r="G1123" s="3">
        <f t="shared" ref="G1123:G1127" si="232">TRUNC($E1123*F1123,1)</f>
        <v>546616</v>
      </c>
      <c r="H1123" s="21">
        <v>2</v>
      </c>
      <c r="I1123" s="3">
        <f t="shared" ref="I1123:I1127" si="233">TRUNC($E1123*H1123,1)</f>
        <v>546616</v>
      </c>
    </row>
    <row r="1124" spans="2:9" ht="12.95" customHeight="1" x14ac:dyDescent="0.3">
      <c r="B1124" s="40" t="s">
        <v>13</v>
      </c>
      <c r="C1124" s="41"/>
      <c r="D1124" s="42" t="s">
        <v>37</v>
      </c>
      <c r="E1124" s="95">
        <v>268187</v>
      </c>
      <c r="F1124" s="21">
        <v>1</v>
      </c>
      <c r="G1124" s="3">
        <f t="shared" si="232"/>
        <v>268187</v>
      </c>
      <c r="H1124" s="21">
        <v>1</v>
      </c>
      <c r="I1124" s="3">
        <f t="shared" si="233"/>
        <v>268187</v>
      </c>
    </row>
    <row r="1125" spans="2:9" ht="12.95" customHeight="1" x14ac:dyDescent="0.3">
      <c r="B1125" s="40" t="s">
        <v>8</v>
      </c>
      <c r="C1125" s="41"/>
      <c r="D1125" s="42" t="s">
        <v>37</v>
      </c>
      <c r="E1125" s="95">
        <v>172068</v>
      </c>
      <c r="F1125" s="21">
        <v>2</v>
      </c>
      <c r="G1125" s="3">
        <f t="shared" si="232"/>
        <v>344136</v>
      </c>
      <c r="H1125" s="21">
        <v>2</v>
      </c>
      <c r="I1125" s="3">
        <f t="shared" si="233"/>
        <v>344136</v>
      </c>
    </row>
    <row r="1126" spans="2:9" ht="12.95" customHeight="1" x14ac:dyDescent="0.3">
      <c r="B1126" s="68" t="s">
        <v>28</v>
      </c>
      <c r="C1126" s="68" t="s">
        <v>122</v>
      </c>
      <c r="D1126" s="35" t="s">
        <v>44</v>
      </c>
      <c r="E1126" s="95">
        <v>58925</v>
      </c>
      <c r="F1126" s="21">
        <v>8</v>
      </c>
      <c r="G1126" s="3">
        <f t="shared" si="232"/>
        <v>471400</v>
      </c>
      <c r="H1126" s="21">
        <v>8</v>
      </c>
      <c r="I1126" s="3">
        <f t="shared" si="233"/>
        <v>471400</v>
      </c>
    </row>
    <row r="1127" spans="2:9" ht="12.95" customHeight="1" x14ac:dyDescent="0.3">
      <c r="B1127" s="68" t="s">
        <v>291</v>
      </c>
      <c r="C1127" s="68" t="s">
        <v>5</v>
      </c>
      <c r="D1127" s="35" t="s">
        <v>44</v>
      </c>
      <c r="E1127" s="95">
        <v>58925</v>
      </c>
      <c r="F1127" s="21">
        <v>8</v>
      </c>
      <c r="G1127" s="3">
        <f t="shared" si="232"/>
        <v>471400</v>
      </c>
      <c r="H1127" s="21">
        <v>8</v>
      </c>
      <c r="I1127" s="3">
        <f t="shared" si="233"/>
        <v>471400</v>
      </c>
    </row>
    <row r="1128" spans="2:9" ht="12.95" customHeight="1" x14ac:dyDescent="0.3">
      <c r="B1128" s="45" t="s">
        <v>39</v>
      </c>
      <c r="C1128" s="75"/>
      <c r="D1128" s="75"/>
      <c r="E1128" s="18"/>
      <c r="F1128" s="25"/>
      <c r="G1128" s="20">
        <f>TRUNC(SUM(G1123:G1127))</f>
        <v>2101739</v>
      </c>
      <c r="H1128" s="25"/>
      <c r="I1128" s="20">
        <f>TRUNC(SUM(I1123:I1127))</f>
        <v>2101739</v>
      </c>
    </row>
    <row r="1129" spans="2:9" ht="12.95" customHeight="1" x14ac:dyDescent="0.3">
      <c r="B1129" s="77"/>
      <c r="C1129" s="75"/>
      <c r="D1129" s="75"/>
      <c r="E1129" s="112"/>
      <c r="F1129" s="25"/>
      <c r="G1129" s="78"/>
      <c r="H1129" s="25"/>
      <c r="I1129" s="78"/>
    </row>
    <row r="1130" spans="2:9" ht="12.95" customHeight="1" x14ac:dyDescent="0.3">
      <c r="B1130" s="68" t="s">
        <v>28</v>
      </c>
      <c r="C1130" s="68" t="s">
        <v>122</v>
      </c>
      <c r="D1130" s="69" t="s">
        <v>48</v>
      </c>
      <c r="E1130" s="95">
        <v>62676</v>
      </c>
      <c r="F1130" s="21">
        <v>8</v>
      </c>
      <c r="G1130" s="3">
        <f t="shared" ref="G1130:G1131" si="234">TRUNC($E1130*F1130,1)</f>
        <v>501408</v>
      </c>
      <c r="H1130" s="21">
        <v>8</v>
      </c>
      <c r="I1130" s="3">
        <f t="shared" ref="I1130:I1131" si="235">TRUNC($E1130*H1130,1)</f>
        <v>501408</v>
      </c>
    </row>
    <row r="1131" spans="2:9" ht="12.95" customHeight="1" x14ac:dyDescent="0.3">
      <c r="B1131" s="68" t="s">
        <v>291</v>
      </c>
      <c r="C1131" s="68" t="s">
        <v>5</v>
      </c>
      <c r="D1131" s="69" t="s">
        <v>48</v>
      </c>
      <c r="E1131" s="95">
        <v>29621</v>
      </c>
      <c r="F1131" s="21">
        <v>8</v>
      </c>
      <c r="G1131" s="3">
        <f t="shared" si="234"/>
        <v>236968</v>
      </c>
      <c r="H1131" s="21">
        <v>8</v>
      </c>
      <c r="I1131" s="3">
        <f t="shared" si="235"/>
        <v>236968</v>
      </c>
    </row>
    <row r="1132" spans="2:9" ht="12.95" customHeight="1" x14ac:dyDescent="0.3">
      <c r="B1132" s="74" t="s">
        <v>40</v>
      </c>
      <c r="C1132" s="75"/>
      <c r="D1132" s="75"/>
      <c r="E1132" s="81"/>
      <c r="F1132" s="19"/>
      <c r="G1132" s="20">
        <f>TRUNC(SUM(G1130:G1131))</f>
        <v>738376</v>
      </c>
      <c r="H1132" s="19"/>
      <c r="I1132" s="20">
        <f>TRUNC(SUM(I1130:I1131))</f>
        <v>738376</v>
      </c>
    </row>
    <row r="1133" spans="2:9" ht="12.95" customHeight="1" x14ac:dyDescent="0.3">
      <c r="B1133" s="82"/>
      <c r="C1133" s="68"/>
      <c r="D1133" s="68"/>
      <c r="E1133" s="83"/>
      <c r="F1133" s="84"/>
      <c r="G1133" s="72"/>
      <c r="H1133" s="84"/>
      <c r="I1133" s="72"/>
    </row>
    <row r="1134" spans="2:9" ht="12.95" customHeight="1" x14ac:dyDescent="0.3">
      <c r="B1134" s="51" t="s">
        <v>42</v>
      </c>
      <c r="C1134" s="75"/>
      <c r="D1134" s="75"/>
      <c r="E1134" s="81"/>
      <c r="F1134" s="81"/>
      <c r="G1134" s="85">
        <f>SUM(G1121+G1128+G1132)</f>
        <v>3277267</v>
      </c>
      <c r="H1134" s="81"/>
      <c r="I1134" s="85">
        <f>SUM(I1121+I1128+I1132)</f>
        <v>3277267</v>
      </c>
    </row>
    <row r="1135" spans="2:9" ht="12.95" customHeight="1" x14ac:dyDescent="0.3">
      <c r="B1135" s="52" t="s">
        <v>220</v>
      </c>
      <c r="C1135" s="86"/>
      <c r="D1135" s="86"/>
      <c r="E1135" s="87"/>
      <c r="F1135" s="87"/>
      <c r="G1135" s="8">
        <f>TRUNC(G1134/G1117)</f>
        <v>9363</v>
      </c>
      <c r="H1135" s="87"/>
      <c r="I1135" s="8">
        <f>TRUNC(I1134/I1117)</f>
        <v>10924</v>
      </c>
    </row>
    <row r="1137" spans="2:9" ht="12.95" customHeight="1" x14ac:dyDescent="0.3">
      <c r="B1137" s="60" t="s">
        <v>289</v>
      </c>
      <c r="C1137" s="61"/>
      <c r="D1137" s="62"/>
      <c r="E1137" s="63"/>
      <c r="F1137" s="62"/>
      <c r="G1137" s="33"/>
      <c r="H1137" s="62"/>
      <c r="I1137" s="33" t="s">
        <v>58</v>
      </c>
    </row>
    <row r="1138" spans="2:9" ht="12.95" customHeight="1" x14ac:dyDescent="0.3">
      <c r="B1138" s="127" t="s">
        <v>30</v>
      </c>
      <c r="C1138" s="130" t="s">
        <v>34</v>
      </c>
      <c r="D1138" s="133" t="s">
        <v>35</v>
      </c>
      <c r="E1138" s="136" t="s">
        <v>31</v>
      </c>
      <c r="F1138" s="139" t="s">
        <v>276</v>
      </c>
      <c r="G1138" s="140"/>
      <c r="H1138" s="139" t="s">
        <v>277</v>
      </c>
      <c r="I1138" s="140"/>
    </row>
    <row r="1139" spans="2:9" ht="12.95" customHeight="1" x14ac:dyDescent="0.3">
      <c r="B1139" s="128"/>
      <c r="C1139" s="131"/>
      <c r="D1139" s="134"/>
      <c r="E1139" s="137"/>
      <c r="F1139" s="34" t="s">
        <v>230</v>
      </c>
      <c r="G1139" s="37">
        <v>300</v>
      </c>
      <c r="H1139" s="34" t="s">
        <v>230</v>
      </c>
      <c r="I1139" s="37">
        <v>200</v>
      </c>
    </row>
    <row r="1140" spans="2:9" ht="12.95" customHeight="1" x14ac:dyDescent="0.3">
      <c r="B1140" s="129"/>
      <c r="C1140" s="132"/>
      <c r="D1140" s="135"/>
      <c r="E1140" s="138"/>
      <c r="F1140" s="38" t="s">
        <v>32</v>
      </c>
      <c r="G1140" s="39" t="s">
        <v>33</v>
      </c>
      <c r="H1140" s="38" t="s">
        <v>32</v>
      </c>
      <c r="I1140" s="39" t="s">
        <v>33</v>
      </c>
    </row>
    <row r="1141" spans="2:9" ht="12.95" customHeight="1" x14ac:dyDescent="0.3">
      <c r="B1141" s="68" t="s">
        <v>54</v>
      </c>
      <c r="C1141" s="68" t="s">
        <v>55</v>
      </c>
      <c r="D1141" s="69" t="s">
        <v>48</v>
      </c>
      <c r="E1141" s="95">
        <v>6024</v>
      </c>
      <c r="F1141" s="21">
        <v>8</v>
      </c>
      <c r="G1141" s="3">
        <f t="shared" ref="G1141" si="236">TRUNC($E1141*F1141,1)</f>
        <v>48192</v>
      </c>
      <c r="H1141" s="21">
        <v>8</v>
      </c>
      <c r="I1141" s="3">
        <f t="shared" ref="I1141" si="237">TRUNC($E1141*H1141,1)</f>
        <v>48192</v>
      </c>
    </row>
    <row r="1142" spans="2:9" ht="12.95" customHeight="1" x14ac:dyDescent="0.3">
      <c r="B1142" s="96" t="s">
        <v>36</v>
      </c>
      <c r="C1142" s="97" t="s">
        <v>41</v>
      </c>
      <c r="D1142" s="35" t="s">
        <v>45</v>
      </c>
      <c r="E1142" s="98"/>
      <c r="F1142" s="109">
        <v>1</v>
      </c>
      <c r="G1142" s="5">
        <f>TRUNC(SUM(G1145:G1146)*0.03,1)</f>
        <v>33995.599999999999</v>
      </c>
      <c r="H1142" s="109">
        <v>1</v>
      </c>
      <c r="I1142" s="5">
        <f>TRUNC(SUM(I1145:I1146)*0.03,1)</f>
        <v>33995.599999999999</v>
      </c>
    </row>
    <row r="1143" spans="2:9" ht="12.95" customHeight="1" x14ac:dyDescent="0.3">
      <c r="B1143" s="74" t="s">
        <v>38</v>
      </c>
      <c r="C1143" s="75"/>
      <c r="D1143" s="75"/>
      <c r="E1143" s="24"/>
      <c r="F1143" s="25"/>
      <c r="G1143" s="20">
        <f>TRUNC(SUM(G1141:G1142))</f>
        <v>82187</v>
      </c>
      <c r="H1143" s="25"/>
      <c r="I1143" s="20">
        <f>TRUNC(SUM(I1141:I1142))</f>
        <v>82187</v>
      </c>
    </row>
    <row r="1144" spans="2:9" ht="12.95" customHeight="1" x14ac:dyDescent="0.3">
      <c r="B1144" s="77"/>
      <c r="C1144" s="75"/>
      <c r="D1144" s="75"/>
      <c r="E1144" s="24"/>
      <c r="F1144" s="25"/>
      <c r="G1144" s="78"/>
      <c r="H1144" s="25"/>
      <c r="I1144" s="78"/>
    </row>
    <row r="1145" spans="2:9" ht="12.95" customHeight="1" x14ac:dyDescent="0.3">
      <c r="B1145" s="40" t="s">
        <v>290</v>
      </c>
      <c r="C1145" s="41"/>
      <c r="D1145" s="42" t="s">
        <v>37</v>
      </c>
      <c r="E1145" s="95">
        <v>263017</v>
      </c>
      <c r="F1145" s="21">
        <v>3</v>
      </c>
      <c r="G1145" s="3">
        <f t="shared" ref="G1145:G1147" si="238">TRUNC($E1145*F1145,1)</f>
        <v>789051</v>
      </c>
      <c r="H1145" s="21">
        <v>3</v>
      </c>
      <c r="I1145" s="3">
        <f t="shared" ref="I1145:I1147" si="239">TRUNC($E1145*H1145,1)</f>
        <v>789051</v>
      </c>
    </row>
    <row r="1146" spans="2:9" ht="12.95" customHeight="1" x14ac:dyDescent="0.3">
      <c r="B1146" s="40" t="s">
        <v>8</v>
      </c>
      <c r="C1146" s="41"/>
      <c r="D1146" s="42" t="s">
        <v>37</v>
      </c>
      <c r="E1146" s="95">
        <v>172068</v>
      </c>
      <c r="F1146" s="21">
        <v>2</v>
      </c>
      <c r="G1146" s="3">
        <f t="shared" si="238"/>
        <v>344136</v>
      </c>
      <c r="H1146" s="21">
        <v>2</v>
      </c>
      <c r="I1146" s="3">
        <f t="shared" si="239"/>
        <v>344136</v>
      </c>
    </row>
    <row r="1147" spans="2:9" ht="12.95" customHeight="1" x14ac:dyDescent="0.3">
      <c r="B1147" s="68" t="s">
        <v>54</v>
      </c>
      <c r="C1147" s="68" t="s">
        <v>55</v>
      </c>
      <c r="D1147" s="35" t="s">
        <v>44</v>
      </c>
      <c r="E1147" s="95">
        <v>49698</v>
      </c>
      <c r="F1147" s="21">
        <v>8</v>
      </c>
      <c r="G1147" s="3">
        <f t="shared" si="238"/>
        <v>397584</v>
      </c>
      <c r="H1147" s="21">
        <v>8</v>
      </c>
      <c r="I1147" s="3">
        <f t="shared" si="239"/>
        <v>397584</v>
      </c>
    </row>
    <row r="1148" spans="2:9" ht="12.95" customHeight="1" x14ac:dyDescent="0.3">
      <c r="B1148" s="45" t="s">
        <v>39</v>
      </c>
      <c r="C1148" s="75"/>
      <c r="D1148" s="75"/>
      <c r="E1148" s="24"/>
      <c r="F1148" s="25"/>
      <c r="G1148" s="20">
        <f>TRUNC(SUM(G1145:G1147))</f>
        <v>1530771</v>
      </c>
      <c r="H1148" s="25"/>
      <c r="I1148" s="20">
        <f>TRUNC(SUM(I1145:I1147))</f>
        <v>1530771</v>
      </c>
    </row>
    <row r="1149" spans="2:9" ht="12.95" customHeight="1" x14ac:dyDescent="0.3">
      <c r="B1149" s="77"/>
      <c r="C1149" s="75"/>
      <c r="D1149" s="75"/>
      <c r="E1149" s="24"/>
      <c r="F1149" s="25"/>
      <c r="G1149" s="78"/>
      <c r="H1149" s="25"/>
      <c r="I1149" s="78"/>
    </row>
    <row r="1150" spans="2:9" ht="12.95" customHeight="1" x14ac:dyDescent="0.3">
      <c r="B1150" s="68" t="s">
        <v>54</v>
      </c>
      <c r="C1150" s="68" t="s">
        <v>55</v>
      </c>
      <c r="D1150" s="69" t="s">
        <v>48</v>
      </c>
      <c r="E1150" s="95">
        <v>6522</v>
      </c>
      <c r="F1150" s="21">
        <v>8</v>
      </c>
      <c r="G1150" s="3">
        <f t="shared" ref="G1150" si="240">TRUNC($E1150*F1150,1)</f>
        <v>52176</v>
      </c>
      <c r="H1150" s="21">
        <v>8</v>
      </c>
      <c r="I1150" s="3">
        <f t="shared" ref="I1150" si="241">TRUNC($E1150*H1150,1)</f>
        <v>52176</v>
      </c>
    </row>
    <row r="1151" spans="2:9" ht="12.95" customHeight="1" x14ac:dyDescent="0.3">
      <c r="B1151" s="74" t="s">
        <v>40</v>
      </c>
      <c r="C1151" s="75"/>
      <c r="D1151" s="75"/>
      <c r="E1151" s="81"/>
      <c r="F1151" s="19"/>
      <c r="G1151" s="20">
        <f>TRUNC(SUM(G1150:G1150))</f>
        <v>52176</v>
      </c>
      <c r="H1151" s="19"/>
      <c r="I1151" s="20">
        <f>TRUNC(SUM(I1150:I1150))</f>
        <v>52176</v>
      </c>
    </row>
    <row r="1152" spans="2:9" ht="12.95" customHeight="1" x14ac:dyDescent="0.3">
      <c r="B1152" s="82"/>
      <c r="C1152" s="68"/>
      <c r="D1152" s="68"/>
      <c r="E1152" s="83"/>
      <c r="F1152" s="84"/>
      <c r="G1152" s="72"/>
      <c r="H1152" s="84"/>
      <c r="I1152" s="72"/>
    </row>
    <row r="1153" spans="2:9" ht="12.95" customHeight="1" x14ac:dyDescent="0.3">
      <c r="B1153" s="51" t="s">
        <v>42</v>
      </c>
      <c r="C1153" s="75"/>
      <c r="D1153" s="75"/>
      <c r="E1153" s="81"/>
      <c r="F1153" s="81"/>
      <c r="G1153" s="85">
        <f>SUM(G1143+G1148+G1151)</f>
        <v>1665134</v>
      </c>
      <c r="H1153" s="81"/>
      <c r="I1153" s="85">
        <f>SUM(I1143+I1148+I1151)</f>
        <v>1665134</v>
      </c>
    </row>
    <row r="1154" spans="2:9" ht="12.95" customHeight="1" x14ac:dyDescent="0.3">
      <c r="B1154" s="52" t="s">
        <v>231</v>
      </c>
      <c r="C1154" s="86"/>
      <c r="D1154" s="86"/>
      <c r="E1154" s="87"/>
      <c r="F1154" s="87"/>
      <c r="G1154" s="8">
        <f>TRUNC(G1153/G1139)</f>
        <v>5550</v>
      </c>
      <c r="H1154" s="87"/>
      <c r="I1154" s="8">
        <f>TRUNC(I1153/I1139)</f>
        <v>8325</v>
      </c>
    </row>
    <row r="1156" spans="2:9" ht="12.95" customHeight="1" x14ac:dyDescent="0.3">
      <c r="B1156" s="60" t="s">
        <v>190</v>
      </c>
      <c r="C1156" s="61"/>
      <c r="D1156" s="62"/>
      <c r="E1156" s="63"/>
      <c r="F1156" s="62"/>
      <c r="G1156" s="33"/>
      <c r="H1156" s="62"/>
      <c r="I1156" s="33" t="s">
        <v>58</v>
      </c>
    </row>
    <row r="1157" spans="2:9" ht="12.95" customHeight="1" x14ac:dyDescent="0.3">
      <c r="B1157" s="127" t="s">
        <v>30</v>
      </c>
      <c r="C1157" s="130" t="s">
        <v>34</v>
      </c>
      <c r="D1157" s="133" t="s">
        <v>35</v>
      </c>
      <c r="E1157" s="136" t="s">
        <v>31</v>
      </c>
      <c r="F1157" s="139" t="s">
        <v>276</v>
      </c>
      <c r="G1157" s="140"/>
      <c r="H1157" s="139" t="s">
        <v>277</v>
      </c>
      <c r="I1157" s="140"/>
    </row>
    <row r="1158" spans="2:9" ht="12.95" customHeight="1" x14ac:dyDescent="0.3">
      <c r="B1158" s="128"/>
      <c r="C1158" s="131"/>
      <c r="D1158" s="134"/>
      <c r="E1158" s="137"/>
      <c r="F1158" s="150" t="s">
        <v>280</v>
      </c>
      <c r="G1158" s="151"/>
      <c r="H1158" s="150" t="s">
        <v>278</v>
      </c>
      <c r="I1158" s="152"/>
    </row>
    <row r="1159" spans="2:9" ht="12.95" customHeight="1" x14ac:dyDescent="0.3">
      <c r="B1159" s="128"/>
      <c r="C1159" s="131"/>
      <c r="D1159" s="134"/>
      <c r="E1159" s="137"/>
      <c r="F1159" s="153" t="s">
        <v>281</v>
      </c>
      <c r="G1159" s="154"/>
      <c r="H1159" s="153" t="s">
        <v>279</v>
      </c>
      <c r="I1159" s="155"/>
    </row>
    <row r="1160" spans="2:9" ht="12.95" customHeight="1" x14ac:dyDescent="0.3">
      <c r="B1160" s="128"/>
      <c r="C1160" s="131"/>
      <c r="D1160" s="134"/>
      <c r="E1160" s="137"/>
      <c r="F1160" s="34" t="s">
        <v>239</v>
      </c>
      <c r="G1160" s="37">
        <v>20</v>
      </c>
      <c r="H1160" s="34" t="s">
        <v>239</v>
      </c>
      <c r="I1160" s="37">
        <v>60</v>
      </c>
    </row>
    <row r="1161" spans="2:9" ht="12.95" customHeight="1" x14ac:dyDescent="0.3">
      <c r="B1161" s="129"/>
      <c r="C1161" s="132"/>
      <c r="D1161" s="135"/>
      <c r="E1161" s="138"/>
      <c r="F1161" s="38" t="s">
        <v>32</v>
      </c>
      <c r="G1161" s="39" t="s">
        <v>33</v>
      </c>
      <c r="H1161" s="38" t="s">
        <v>32</v>
      </c>
      <c r="I1161" s="39" t="s">
        <v>33</v>
      </c>
    </row>
    <row r="1162" spans="2:9" ht="12.95" customHeight="1" x14ac:dyDescent="0.3">
      <c r="B1162" s="68" t="s">
        <v>54</v>
      </c>
      <c r="C1162" s="68" t="s">
        <v>55</v>
      </c>
      <c r="D1162" s="69" t="s">
        <v>48</v>
      </c>
      <c r="E1162" s="70">
        <v>6024</v>
      </c>
      <c r="F1162" s="21">
        <v>8</v>
      </c>
      <c r="G1162" s="3">
        <f t="shared" ref="G1162" si="242">TRUNC($E1162*F1162,1)</f>
        <v>48192</v>
      </c>
      <c r="H1162" s="21">
        <v>8</v>
      </c>
      <c r="I1162" s="3">
        <f t="shared" ref="I1162" si="243">TRUNC($E1162*H1162,1)</f>
        <v>48192</v>
      </c>
    </row>
    <row r="1163" spans="2:9" ht="12.95" customHeight="1" x14ac:dyDescent="0.3">
      <c r="B1163" s="96" t="s">
        <v>36</v>
      </c>
      <c r="C1163" s="97" t="s">
        <v>282</v>
      </c>
      <c r="D1163" s="35" t="s">
        <v>45</v>
      </c>
      <c r="E1163" s="98"/>
      <c r="F1163" s="109">
        <v>2</v>
      </c>
      <c r="G1163" s="5">
        <f>TRUNC(SUM(G1166:G1167)*0.02,1)</f>
        <v>7963.8</v>
      </c>
      <c r="H1163" s="109">
        <v>4</v>
      </c>
      <c r="I1163" s="5">
        <f>TRUNC(SUM(I1166:I1167)*0.04,1)</f>
        <v>15927.6</v>
      </c>
    </row>
    <row r="1164" spans="2:9" ht="12.95" customHeight="1" x14ac:dyDescent="0.3">
      <c r="B1164" s="74" t="s">
        <v>38</v>
      </c>
      <c r="C1164" s="75"/>
      <c r="D1164" s="75"/>
      <c r="E1164" s="24"/>
      <c r="F1164" s="25"/>
      <c r="G1164" s="20">
        <f>TRUNC(SUM(G1162:G1163))</f>
        <v>56155</v>
      </c>
      <c r="H1164" s="25"/>
      <c r="I1164" s="20">
        <f>TRUNC(SUM(I1162:I1163))</f>
        <v>64119</v>
      </c>
    </row>
    <row r="1165" spans="2:9" ht="12.95" customHeight="1" x14ac:dyDescent="0.3">
      <c r="B1165" s="77"/>
      <c r="C1165" s="75"/>
      <c r="D1165" s="75"/>
      <c r="E1165" s="24"/>
      <c r="F1165" s="25"/>
      <c r="G1165" s="78"/>
      <c r="H1165" s="25"/>
      <c r="I1165" s="78"/>
    </row>
    <row r="1166" spans="2:9" ht="12.95" customHeight="1" x14ac:dyDescent="0.3">
      <c r="B1166" s="40" t="s">
        <v>53</v>
      </c>
      <c r="C1166" s="41"/>
      <c r="D1166" s="42" t="s">
        <v>37</v>
      </c>
      <c r="E1166" s="95">
        <v>226122</v>
      </c>
      <c r="F1166" s="21">
        <v>1</v>
      </c>
      <c r="G1166" s="3">
        <f t="shared" ref="G1166:G1168" si="244">TRUNC($E1166*F1166,1)</f>
        <v>226122</v>
      </c>
      <c r="H1166" s="21">
        <v>1</v>
      </c>
      <c r="I1166" s="3">
        <f t="shared" ref="I1166:I1168" si="245">TRUNC($E1166*H1166,1)</f>
        <v>226122</v>
      </c>
    </row>
    <row r="1167" spans="2:9" ht="12.95" customHeight="1" x14ac:dyDescent="0.3">
      <c r="B1167" s="40" t="s">
        <v>8</v>
      </c>
      <c r="C1167" s="41"/>
      <c r="D1167" s="42" t="s">
        <v>37</v>
      </c>
      <c r="E1167" s="95">
        <v>172068</v>
      </c>
      <c r="F1167" s="21">
        <v>1</v>
      </c>
      <c r="G1167" s="3">
        <f t="shared" si="244"/>
        <v>172068</v>
      </c>
      <c r="H1167" s="21">
        <v>1</v>
      </c>
      <c r="I1167" s="3">
        <f t="shared" si="245"/>
        <v>172068</v>
      </c>
    </row>
    <row r="1168" spans="2:9" ht="12.95" customHeight="1" x14ac:dyDescent="0.3">
      <c r="B1168" s="68" t="s">
        <v>54</v>
      </c>
      <c r="C1168" s="68" t="s">
        <v>55</v>
      </c>
      <c r="D1168" s="35" t="s">
        <v>44</v>
      </c>
      <c r="E1168" s="70">
        <v>49698</v>
      </c>
      <c r="F1168" s="21">
        <v>8</v>
      </c>
      <c r="G1168" s="3">
        <f t="shared" si="244"/>
        <v>397584</v>
      </c>
      <c r="H1168" s="21">
        <v>8</v>
      </c>
      <c r="I1168" s="3">
        <f t="shared" si="245"/>
        <v>397584</v>
      </c>
    </row>
    <row r="1169" spans="2:9" ht="12.95" customHeight="1" x14ac:dyDescent="0.3">
      <c r="B1169" s="45" t="s">
        <v>39</v>
      </c>
      <c r="C1169" s="75"/>
      <c r="D1169" s="75"/>
      <c r="E1169" s="18"/>
      <c r="F1169" s="25"/>
      <c r="G1169" s="20">
        <f>TRUNC(SUM(G1166:G1168))</f>
        <v>795774</v>
      </c>
      <c r="H1169" s="25"/>
      <c r="I1169" s="20">
        <f>TRUNC(SUM(I1166:I1168))</f>
        <v>795774</v>
      </c>
    </row>
    <row r="1170" spans="2:9" ht="12.95" customHeight="1" x14ac:dyDescent="0.3">
      <c r="B1170" s="77"/>
      <c r="C1170" s="75"/>
      <c r="D1170" s="75"/>
      <c r="E1170" s="112"/>
      <c r="F1170" s="25"/>
      <c r="G1170" s="78"/>
      <c r="H1170" s="25"/>
      <c r="I1170" s="78"/>
    </row>
    <row r="1171" spans="2:9" ht="12.95" customHeight="1" x14ac:dyDescent="0.3">
      <c r="B1171" s="68" t="s">
        <v>54</v>
      </c>
      <c r="C1171" s="68" t="s">
        <v>55</v>
      </c>
      <c r="D1171" s="69" t="s">
        <v>48</v>
      </c>
      <c r="E1171" s="70">
        <v>6522</v>
      </c>
      <c r="F1171" s="21">
        <v>8</v>
      </c>
      <c r="G1171" s="3">
        <f t="shared" ref="G1171" si="246">TRUNC($E1171*F1171,1)</f>
        <v>52176</v>
      </c>
      <c r="H1171" s="21">
        <v>8</v>
      </c>
      <c r="I1171" s="3">
        <f t="shared" ref="I1171" si="247">TRUNC($E1171*H1171,1)</f>
        <v>52176</v>
      </c>
    </row>
    <row r="1172" spans="2:9" ht="12.95" customHeight="1" x14ac:dyDescent="0.3">
      <c r="B1172" s="74" t="s">
        <v>40</v>
      </c>
      <c r="C1172" s="75"/>
      <c r="D1172" s="75"/>
      <c r="E1172" s="81"/>
      <c r="F1172" s="19"/>
      <c r="G1172" s="20">
        <f>TRUNC(SUM(G1171:G1171))</f>
        <v>52176</v>
      </c>
      <c r="H1172" s="19"/>
      <c r="I1172" s="20">
        <f>TRUNC(SUM(I1171:I1171))</f>
        <v>52176</v>
      </c>
    </row>
    <row r="1173" spans="2:9" ht="12.95" customHeight="1" x14ac:dyDescent="0.3">
      <c r="B1173" s="82"/>
      <c r="C1173" s="68"/>
      <c r="D1173" s="68"/>
      <c r="E1173" s="83"/>
      <c r="F1173" s="84"/>
      <c r="G1173" s="72"/>
      <c r="H1173" s="84"/>
      <c r="I1173" s="72"/>
    </row>
    <row r="1174" spans="2:9" ht="12.95" customHeight="1" x14ac:dyDescent="0.3">
      <c r="B1174" s="51" t="s">
        <v>42</v>
      </c>
      <c r="C1174" s="75"/>
      <c r="D1174" s="75"/>
      <c r="E1174" s="81"/>
      <c r="F1174" s="81"/>
      <c r="G1174" s="85">
        <f>SUM(G1164+G1169+G1172)</f>
        <v>904105</v>
      </c>
      <c r="H1174" s="81"/>
      <c r="I1174" s="85">
        <f>SUM(I1164+I1169+I1172)</f>
        <v>912069</v>
      </c>
    </row>
    <row r="1175" spans="2:9" ht="12.95" customHeight="1" x14ac:dyDescent="0.3">
      <c r="B1175" s="52" t="s">
        <v>242</v>
      </c>
      <c r="C1175" s="86"/>
      <c r="D1175" s="86"/>
      <c r="E1175" s="87"/>
      <c r="F1175" s="87"/>
      <c r="G1175" s="8">
        <f>TRUNC(G1174/G1160)</f>
        <v>45205</v>
      </c>
      <c r="H1175" s="87"/>
      <c r="I1175" s="8">
        <f>TRUNC(I1174/I1160)</f>
        <v>15201</v>
      </c>
    </row>
    <row r="1177" spans="2:9" ht="12.95" customHeight="1" x14ac:dyDescent="0.3">
      <c r="B1177" s="99" t="s">
        <v>191</v>
      </c>
      <c r="C1177" s="100"/>
      <c r="D1177" s="9"/>
      <c r="E1177" s="32"/>
      <c r="F1177" s="4"/>
      <c r="G1177" s="4"/>
      <c r="H1177" s="4"/>
      <c r="I1177" s="33" t="s">
        <v>58</v>
      </c>
    </row>
    <row r="1178" spans="2:9" ht="12.95" customHeight="1" x14ac:dyDescent="0.3">
      <c r="B1178" s="127" t="s">
        <v>30</v>
      </c>
      <c r="C1178" s="130" t="s">
        <v>34</v>
      </c>
      <c r="D1178" s="133" t="s">
        <v>35</v>
      </c>
      <c r="E1178" s="136" t="s">
        <v>31</v>
      </c>
      <c r="F1178" s="148" t="s">
        <v>253</v>
      </c>
      <c r="G1178" s="149"/>
      <c r="H1178" s="148" t="s">
        <v>254</v>
      </c>
      <c r="I1178" s="149"/>
    </row>
    <row r="1179" spans="2:9" ht="12.95" customHeight="1" x14ac:dyDescent="0.3">
      <c r="B1179" s="128"/>
      <c r="C1179" s="131"/>
      <c r="D1179" s="134"/>
      <c r="E1179" s="137"/>
      <c r="F1179" s="34" t="s">
        <v>221</v>
      </c>
      <c r="G1179" s="37">
        <v>550</v>
      </c>
      <c r="H1179" s="34" t="s">
        <v>221</v>
      </c>
      <c r="I1179" s="37">
        <v>350</v>
      </c>
    </row>
    <row r="1180" spans="2:9" ht="12.95" customHeight="1" x14ac:dyDescent="0.3">
      <c r="B1180" s="129"/>
      <c r="C1180" s="132"/>
      <c r="D1180" s="135"/>
      <c r="E1180" s="138"/>
      <c r="F1180" s="67" t="s">
        <v>32</v>
      </c>
      <c r="G1180" s="101" t="s">
        <v>33</v>
      </c>
      <c r="H1180" s="67" t="s">
        <v>32</v>
      </c>
      <c r="I1180" s="101" t="s">
        <v>33</v>
      </c>
    </row>
    <row r="1181" spans="2:9" ht="12.95" customHeight="1" x14ac:dyDescent="0.3">
      <c r="B1181" s="96" t="s">
        <v>283</v>
      </c>
      <c r="C1181" s="96" t="s">
        <v>284</v>
      </c>
      <c r="D1181" s="35" t="s">
        <v>44</v>
      </c>
      <c r="E1181" s="113">
        <v>18830</v>
      </c>
      <c r="F1181" s="21">
        <v>8</v>
      </c>
      <c r="G1181" s="2">
        <f t="shared" ref="G1181:G1182" si="248">TRUNC($E1181*F1181,1)</f>
        <v>150640</v>
      </c>
      <c r="H1181" s="21">
        <v>8</v>
      </c>
      <c r="I1181" s="3">
        <f t="shared" ref="I1181:I1182" si="249">TRUNC($E1181*H1181,1)</f>
        <v>150640</v>
      </c>
    </row>
    <row r="1182" spans="2:9" ht="12.95" customHeight="1" x14ac:dyDescent="0.3">
      <c r="B1182" s="68" t="s">
        <v>291</v>
      </c>
      <c r="C1182" s="96" t="s">
        <v>23</v>
      </c>
      <c r="D1182" s="35" t="s">
        <v>44</v>
      </c>
      <c r="E1182" s="95">
        <v>18733</v>
      </c>
      <c r="F1182" s="21">
        <v>8</v>
      </c>
      <c r="G1182" s="2">
        <f t="shared" si="248"/>
        <v>149864</v>
      </c>
      <c r="H1182" s="21">
        <v>8</v>
      </c>
      <c r="I1182" s="3">
        <f t="shared" si="249"/>
        <v>149864</v>
      </c>
    </row>
    <row r="1183" spans="2:9" ht="12.95" customHeight="1" x14ac:dyDescent="0.3">
      <c r="B1183" s="74" t="s">
        <v>38</v>
      </c>
      <c r="C1183" s="102"/>
      <c r="D1183" s="103"/>
      <c r="E1183" s="104"/>
      <c r="F1183" s="84"/>
      <c r="G1183" s="17">
        <f>TRUNC(SUM(G1181:G1182))</f>
        <v>300504</v>
      </c>
      <c r="H1183" s="84"/>
      <c r="I1183" s="17">
        <f>TRUNC(SUM(I1181:I1182))</f>
        <v>300504</v>
      </c>
    </row>
    <row r="1184" spans="2:9" ht="12.95" customHeight="1" x14ac:dyDescent="0.3">
      <c r="B1184" s="82"/>
      <c r="C1184" s="82"/>
      <c r="D1184" s="35"/>
      <c r="E1184" s="105"/>
      <c r="F1184" s="84"/>
      <c r="G1184" s="106"/>
      <c r="H1184" s="84"/>
      <c r="I1184" s="106"/>
    </row>
    <row r="1185" spans="2:9" ht="12.95" customHeight="1" x14ac:dyDescent="0.3">
      <c r="B1185" s="114" t="s">
        <v>139</v>
      </c>
      <c r="C1185" s="115"/>
      <c r="D1185" s="94" t="s">
        <v>140</v>
      </c>
      <c r="E1185" s="95">
        <v>273308</v>
      </c>
      <c r="F1185" s="21">
        <v>3</v>
      </c>
      <c r="G1185" s="2">
        <f t="shared" ref="G1185:G1188" si="250">TRUNC($E1185*F1185,1)</f>
        <v>819924</v>
      </c>
      <c r="H1185" s="21">
        <v>3</v>
      </c>
      <c r="I1185" s="3">
        <f t="shared" ref="I1185:I1188" si="251">TRUNC($E1185*H1185,1)</f>
        <v>819924</v>
      </c>
    </row>
    <row r="1186" spans="2:9" ht="12.95" customHeight="1" x14ac:dyDescent="0.3">
      <c r="B1186" s="40" t="s">
        <v>8</v>
      </c>
      <c r="C1186" s="41"/>
      <c r="D1186" s="42" t="s">
        <v>37</v>
      </c>
      <c r="E1186" s="95">
        <v>172068</v>
      </c>
      <c r="F1186" s="21">
        <v>2</v>
      </c>
      <c r="G1186" s="2">
        <f t="shared" si="250"/>
        <v>344136</v>
      </c>
      <c r="H1186" s="21">
        <v>2</v>
      </c>
      <c r="I1186" s="3">
        <f t="shared" si="251"/>
        <v>344136</v>
      </c>
    </row>
    <row r="1187" spans="2:9" ht="12.95" customHeight="1" x14ac:dyDescent="0.3">
      <c r="B1187" s="96" t="s">
        <v>283</v>
      </c>
      <c r="C1187" s="96" t="s">
        <v>284</v>
      </c>
      <c r="D1187" s="35" t="s">
        <v>44</v>
      </c>
      <c r="E1187" s="95">
        <v>58925</v>
      </c>
      <c r="F1187" s="21">
        <v>8</v>
      </c>
      <c r="G1187" s="2">
        <f t="shared" si="250"/>
        <v>471400</v>
      </c>
      <c r="H1187" s="21">
        <v>8</v>
      </c>
      <c r="I1187" s="3">
        <f t="shared" si="251"/>
        <v>471400</v>
      </c>
    </row>
    <row r="1188" spans="2:9" ht="12.95" customHeight="1" x14ac:dyDescent="0.3">
      <c r="B1188" s="68" t="s">
        <v>291</v>
      </c>
      <c r="C1188" s="96" t="s">
        <v>23</v>
      </c>
      <c r="D1188" s="35" t="s">
        <v>44</v>
      </c>
      <c r="E1188" s="95">
        <v>58925</v>
      </c>
      <c r="F1188" s="21">
        <v>8</v>
      </c>
      <c r="G1188" s="2">
        <f t="shared" si="250"/>
        <v>471400</v>
      </c>
      <c r="H1188" s="21">
        <v>8</v>
      </c>
      <c r="I1188" s="3">
        <f t="shared" si="251"/>
        <v>471400</v>
      </c>
    </row>
    <row r="1189" spans="2:9" ht="12.95" customHeight="1" x14ac:dyDescent="0.3">
      <c r="B1189" s="45" t="s">
        <v>39</v>
      </c>
      <c r="C1189" s="102"/>
      <c r="D1189" s="103"/>
      <c r="E1189" s="16"/>
      <c r="F1189" s="84"/>
      <c r="G1189" s="17">
        <f>TRUNC(SUM(G1185:G1188))</f>
        <v>2106860</v>
      </c>
      <c r="H1189" s="84"/>
      <c r="I1189" s="17">
        <f>TRUNC(SUM(I1185:I1188))</f>
        <v>2106860</v>
      </c>
    </row>
    <row r="1190" spans="2:9" ht="12.95" customHeight="1" x14ac:dyDescent="0.3">
      <c r="B1190" s="82"/>
      <c r="C1190" s="82"/>
      <c r="D1190" s="35"/>
      <c r="E1190" s="105"/>
      <c r="F1190" s="84"/>
      <c r="G1190" s="106"/>
      <c r="H1190" s="84"/>
      <c r="I1190" s="106"/>
    </row>
    <row r="1191" spans="2:9" ht="12.95" customHeight="1" x14ac:dyDescent="0.3">
      <c r="B1191" s="96" t="s">
        <v>283</v>
      </c>
      <c r="C1191" s="96" t="s">
        <v>284</v>
      </c>
      <c r="D1191" s="35" t="s">
        <v>44</v>
      </c>
      <c r="E1191" s="95">
        <v>62676</v>
      </c>
      <c r="F1191" s="21">
        <v>8</v>
      </c>
      <c r="G1191" s="2">
        <f t="shared" ref="G1191:G1192" si="252">TRUNC($E1191*F1191,1)</f>
        <v>501408</v>
      </c>
      <c r="H1191" s="21">
        <v>8</v>
      </c>
      <c r="I1191" s="3">
        <f t="shared" ref="I1191:I1192" si="253">TRUNC($E1191*H1191,1)</f>
        <v>501408</v>
      </c>
    </row>
    <row r="1192" spans="2:9" ht="12.95" customHeight="1" x14ac:dyDescent="0.3">
      <c r="B1192" s="68" t="s">
        <v>291</v>
      </c>
      <c r="C1192" s="68" t="s">
        <v>23</v>
      </c>
      <c r="D1192" s="69" t="s">
        <v>48</v>
      </c>
      <c r="E1192" s="70">
        <v>23423</v>
      </c>
      <c r="F1192" s="21">
        <v>8</v>
      </c>
      <c r="G1192" s="2">
        <f t="shared" si="252"/>
        <v>187384</v>
      </c>
      <c r="H1192" s="21">
        <v>8</v>
      </c>
      <c r="I1192" s="3">
        <f t="shared" si="253"/>
        <v>187384</v>
      </c>
    </row>
    <row r="1193" spans="2:9" ht="12.95" customHeight="1" x14ac:dyDescent="0.3">
      <c r="B1193" s="74" t="s">
        <v>40</v>
      </c>
      <c r="C1193" s="102"/>
      <c r="D1193" s="47"/>
      <c r="E1193" s="16"/>
      <c r="F1193" s="104"/>
      <c r="G1193" s="17">
        <f>TRUNC(SUM(G1191:G1192))</f>
        <v>688792</v>
      </c>
      <c r="H1193" s="104"/>
      <c r="I1193" s="17">
        <f>TRUNC(SUM(I1191:I1192))</f>
        <v>688792</v>
      </c>
    </row>
    <row r="1194" spans="2:9" ht="12.95" customHeight="1" x14ac:dyDescent="0.3">
      <c r="B1194" s="82"/>
      <c r="C1194" s="82"/>
      <c r="D1194" s="35"/>
      <c r="E1194" s="105"/>
      <c r="F1194" s="105"/>
      <c r="G1194" s="106"/>
      <c r="H1194" s="105"/>
      <c r="I1194" s="106"/>
    </row>
    <row r="1195" spans="2:9" ht="12.95" customHeight="1" x14ac:dyDescent="0.3">
      <c r="B1195" s="51" t="s">
        <v>42</v>
      </c>
      <c r="C1195" s="82"/>
      <c r="D1195" s="35"/>
      <c r="E1195" s="107"/>
      <c r="F1195" s="108"/>
      <c r="G1195" s="26">
        <f>SUM(G1183+G1189+G1193)</f>
        <v>3096156</v>
      </c>
      <c r="H1195" s="108"/>
      <c r="I1195" s="26">
        <f>SUM(I1183+I1189+I1193)</f>
        <v>3096156</v>
      </c>
    </row>
    <row r="1196" spans="2:9" ht="12.95" customHeight="1" x14ac:dyDescent="0.3">
      <c r="B1196" s="52" t="s">
        <v>220</v>
      </c>
      <c r="C1196" s="86"/>
      <c r="D1196" s="86"/>
      <c r="E1196" s="87"/>
      <c r="F1196" s="87"/>
      <c r="G1196" s="8">
        <f>TRUNC(G1195/G1179)</f>
        <v>5629</v>
      </c>
      <c r="H1196" s="87"/>
      <c r="I1196" s="8">
        <f>TRUNC(I1195/I1179)</f>
        <v>8846</v>
      </c>
    </row>
    <row r="1198" spans="2:9" ht="12.95" customHeight="1" x14ac:dyDescent="0.3">
      <c r="B1198" s="29" t="s">
        <v>196</v>
      </c>
    </row>
    <row r="1199" spans="2:9" ht="12.95" customHeight="1" x14ac:dyDescent="0.3">
      <c r="B1199" s="99" t="s">
        <v>197</v>
      </c>
    </row>
    <row r="1200" spans="2:9" ht="12.95" customHeight="1" x14ac:dyDescent="0.3">
      <c r="B1200" s="99" t="s">
        <v>123</v>
      </c>
      <c r="C1200" s="100"/>
      <c r="D1200" s="9"/>
      <c r="E1200" s="32"/>
      <c r="F1200" s="4"/>
      <c r="G1200" s="33" t="s">
        <v>58</v>
      </c>
    </row>
    <row r="1201" spans="2:11" ht="12.95" customHeight="1" x14ac:dyDescent="0.3">
      <c r="B1201" s="122" t="s">
        <v>30</v>
      </c>
      <c r="C1201" s="123" t="s">
        <v>34</v>
      </c>
      <c r="D1201" s="141" t="s">
        <v>35</v>
      </c>
      <c r="E1201" s="125" t="s">
        <v>31</v>
      </c>
      <c r="F1201" s="34" t="s">
        <v>256</v>
      </c>
      <c r="G1201" s="37">
        <v>40</v>
      </c>
    </row>
    <row r="1202" spans="2:11" ht="12.95" customHeight="1" x14ac:dyDescent="0.3">
      <c r="B1202" s="122"/>
      <c r="C1202" s="123"/>
      <c r="D1202" s="141"/>
      <c r="E1202" s="125"/>
      <c r="F1202" s="67" t="s">
        <v>32</v>
      </c>
      <c r="G1202" s="101" t="s">
        <v>33</v>
      </c>
    </row>
    <row r="1203" spans="2:11" ht="12.95" customHeight="1" x14ac:dyDescent="0.3">
      <c r="B1203" s="96" t="s">
        <v>36</v>
      </c>
      <c r="C1203" s="97" t="s">
        <v>41</v>
      </c>
      <c r="D1203" s="35" t="s">
        <v>45</v>
      </c>
      <c r="E1203" s="98"/>
      <c r="F1203" s="109">
        <v>1</v>
      </c>
      <c r="G1203" s="5">
        <f>TRUNC(SUM(G1206:G1207)*0.03,1)</f>
        <v>19550.5</v>
      </c>
    </row>
    <row r="1204" spans="2:11" ht="12.95" customHeight="1" x14ac:dyDescent="0.3">
      <c r="B1204" s="74" t="s">
        <v>38</v>
      </c>
      <c r="C1204" s="102"/>
      <c r="D1204" s="103"/>
      <c r="E1204" s="104"/>
      <c r="F1204" s="104"/>
      <c r="G1204" s="17">
        <f>TRUNC(SUM(G1203:G1203))</f>
        <v>19550</v>
      </c>
    </row>
    <row r="1205" spans="2:11" ht="12.95" customHeight="1" x14ac:dyDescent="0.3">
      <c r="B1205" s="82"/>
      <c r="C1205" s="82"/>
      <c r="D1205" s="35"/>
      <c r="E1205" s="105"/>
      <c r="F1205" s="105"/>
      <c r="G1205" s="106"/>
    </row>
    <row r="1206" spans="2:11" ht="12.95" customHeight="1" x14ac:dyDescent="0.3">
      <c r="B1206" s="40" t="s">
        <v>12</v>
      </c>
      <c r="C1206" s="41"/>
      <c r="D1206" s="42" t="s">
        <v>37</v>
      </c>
      <c r="E1206" s="95">
        <v>239808</v>
      </c>
      <c r="F1206" s="21">
        <v>2</v>
      </c>
      <c r="G1206" s="3">
        <f>TRUNC($E1206*F1206,1)</f>
        <v>479616</v>
      </c>
    </row>
    <row r="1207" spans="2:11" ht="12.95" customHeight="1" x14ac:dyDescent="0.3">
      <c r="B1207" s="40" t="s">
        <v>8</v>
      </c>
      <c r="C1207" s="41"/>
      <c r="D1207" s="42" t="s">
        <v>37</v>
      </c>
      <c r="E1207" s="95">
        <v>172068</v>
      </c>
      <c r="F1207" s="21">
        <v>1</v>
      </c>
      <c r="G1207" s="3">
        <f>TRUNC($E1207*F1207,1)</f>
        <v>172068</v>
      </c>
    </row>
    <row r="1208" spans="2:11" ht="12.95" customHeight="1" x14ac:dyDescent="0.3">
      <c r="B1208" s="45" t="s">
        <v>39</v>
      </c>
      <c r="C1208" s="102"/>
      <c r="D1208" s="103"/>
      <c r="E1208" s="16"/>
      <c r="F1208" s="110"/>
      <c r="G1208" s="17">
        <f>TRUNC(SUM(G1206:G1207))</f>
        <v>651684</v>
      </c>
    </row>
    <row r="1209" spans="2:11" ht="12.95" customHeight="1" x14ac:dyDescent="0.3">
      <c r="B1209" s="82"/>
      <c r="C1209" s="82"/>
      <c r="D1209" s="35"/>
      <c r="E1209" s="105"/>
      <c r="F1209" s="111"/>
      <c r="G1209" s="106"/>
    </row>
    <row r="1210" spans="2:11" ht="12.95" customHeight="1" x14ac:dyDescent="0.3">
      <c r="B1210" s="51" t="s">
        <v>42</v>
      </c>
      <c r="C1210" s="82"/>
      <c r="D1210" s="35"/>
      <c r="E1210" s="107"/>
      <c r="F1210" s="108"/>
      <c r="G1210" s="26">
        <f>SUM(G1204+G1208)</f>
        <v>671234</v>
      </c>
    </row>
    <row r="1211" spans="2:11" ht="12.95" customHeight="1" x14ac:dyDescent="0.3">
      <c r="B1211" s="52" t="s">
        <v>255</v>
      </c>
      <c r="C1211" s="86"/>
      <c r="D1211" s="86"/>
      <c r="E1211" s="87"/>
      <c r="F1211" s="87"/>
      <c r="G1211" s="8">
        <f>TRUNC(G1210/G1201)</f>
        <v>16780</v>
      </c>
    </row>
    <row r="1213" spans="2:11" ht="12.95" customHeight="1" x14ac:dyDescent="0.3">
      <c r="B1213" s="60" t="s">
        <v>124</v>
      </c>
      <c r="C1213" s="61"/>
      <c r="D1213" s="62"/>
      <c r="E1213" s="63"/>
      <c r="F1213" s="62"/>
      <c r="G1213" s="33"/>
      <c r="H1213" s="62"/>
      <c r="I1213" s="33"/>
      <c r="J1213" s="62"/>
      <c r="K1213" s="33" t="s">
        <v>58</v>
      </c>
    </row>
    <row r="1214" spans="2:11" ht="12.95" customHeight="1" x14ac:dyDescent="0.3">
      <c r="B1214" s="142" t="s">
        <v>30</v>
      </c>
      <c r="C1214" s="145" t="s">
        <v>34</v>
      </c>
      <c r="D1214" s="145" t="s">
        <v>35</v>
      </c>
      <c r="E1214" s="145" t="s">
        <v>31</v>
      </c>
      <c r="F1214" s="139" t="s">
        <v>125</v>
      </c>
      <c r="G1214" s="140"/>
      <c r="H1214" s="140"/>
      <c r="I1214" s="140"/>
      <c r="J1214" s="140"/>
      <c r="K1214" s="140"/>
    </row>
    <row r="1215" spans="2:11" ht="12.95" customHeight="1" x14ac:dyDescent="0.3">
      <c r="B1215" s="143"/>
      <c r="C1215" s="146"/>
      <c r="D1215" s="146"/>
      <c r="E1215" s="146"/>
      <c r="F1215" s="139" t="s">
        <v>119</v>
      </c>
      <c r="G1215" s="140"/>
      <c r="H1215" s="139" t="s">
        <v>257</v>
      </c>
      <c r="I1215" s="140"/>
      <c r="J1215" s="139" t="s">
        <v>120</v>
      </c>
      <c r="K1215" s="140"/>
    </row>
    <row r="1216" spans="2:11" ht="12.95" customHeight="1" x14ac:dyDescent="0.3">
      <c r="B1216" s="143"/>
      <c r="C1216" s="146"/>
      <c r="D1216" s="146"/>
      <c r="E1216" s="146"/>
      <c r="F1216" s="34" t="s">
        <v>239</v>
      </c>
      <c r="G1216" s="37">
        <v>23</v>
      </c>
      <c r="H1216" s="34" t="s">
        <v>239</v>
      </c>
      <c r="I1216" s="37">
        <v>22</v>
      </c>
      <c r="J1216" s="34" t="s">
        <v>239</v>
      </c>
      <c r="K1216" s="37">
        <v>21</v>
      </c>
    </row>
    <row r="1217" spans="2:11" ht="12.95" customHeight="1" x14ac:dyDescent="0.3">
      <c r="B1217" s="144"/>
      <c r="C1217" s="147"/>
      <c r="D1217" s="147"/>
      <c r="E1217" s="147"/>
      <c r="F1217" s="38" t="s">
        <v>32</v>
      </c>
      <c r="G1217" s="39" t="s">
        <v>33</v>
      </c>
      <c r="H1217" s="38" t="s">
        <v>32</v>
      </c>
      <c r="I1217" s="39" t="s">
        <v>33</v>
      </c>
      <c r="J1217" s="38" t="s">
        <v>32</v>
      </c>
      <c r="K1217" s="39" t="s">
        <v>33</v>
      </c>
    </row>
    <row r="1218" spans="2:11" ht="12.95" customHeight="1" x14ac:dyDescent="0.3">
      <c r="B1218" s="68" t="s">
        <v>11</v>
      </c>
      <c r="C1218" s="68" t="s">
        <v>43</v>
      </c>
      <c r="D1218" s="69" t="s">
        <v>48</v>
      </c>
      <c r="E1218" s="95">
        <v>9213</v>
      </c>
      <c r="F1218" s="21">
        <v>8</v>
      </c>
      <c r="G1218" s="3">
        <f t="shared" ref="G1218" si="254">TRUNC($E1218*F1218,1)</f>
        <v>73704</v>
      </c>
      <c r="H1218" s="21">
        <v>8</v>
      </c>
      <c r="I1218" s="3">
        <f t="shared" ref="I1218" si="255">TRUNC($E1218*H1218,1)</f>
        <v>73704</v>
      </c>
      <c r="J1218" s="21">
        <v>8</v>
      </c>
      <c r="K1218" s="3">
        <f t="shared" ref="K1218" si="256">TRUNC($E1218*J1218,1)</f>
        <v>73704</v>
      </c>
    </row>
    <row r="1219" spans="2:11" ht="12.95" customHeight="1" x14ac:dyDescent="0.3">
      <c r="B1219" s="96" t="s">
        <v>36</v>
      </c>
      <c r="C1219" s="97" t="s">
        <v>41</v>
      </c>
      <c r="D1219" s="35" t="s">
        <v>45</v>
      </c>
      <c r="E1219" s="98"/>
      <c r="F1219" s="109">
        <v>1</v>
      </c>
      <c r="G1219" s="5">
        <f>TRUNC(SUM(G1222:G1223)*0.03,1)</f>
        <v>26744.7</v>
      </c>
      <c r="H1219" s="109">
        <v>1</v>
      </c>
      <c r="I1219" s="5">
        <f>TRUNC(SUM(I1222:I1223)*0.03,1)</f>
        <v>26744.7</v>
      </c>
      <c r="J1219" s="109">
        <v>1</v>
      </c>
      <c r="K1219" s="5">
        <f>TRUNC(SUM(K1222:K1223)*0.03,1)</f>
        <v>26744.7</v>
      </c>
    </row>
    <row r="1220" spans="2:11" ht="12.95" customHeight="1" x14ac:dyDescent="0.3">
      <c r="B1220" s="74" t="s">
        <v>38</v>
      </c>
      <c r="C1220" s="75"/>
      <c r="D1220" s="75"/>
      <c r="E1220" s="24"/>
      <c r="F1220" s="25"/>
      <c r="G1220" s="20">
        <f>TRUNC(SUM(G1218:G1219))</f>
        <v>100448</v>
      </c>
      <c r="H1220" s="25"/>
      <c r="I1220" s="20">
        <f>TRUNC(SUM(I1218:I1219))</f>
        <v>100448</v>
      </c>
      <c r="J1220" s="25"/>
      <c r="K1220" s="20">
        <f>TRUNC(SUM(K1218:K1219))</f>
        <v>100448</v>
      </c>
    </row>
    <row r="1221" spans="2:11" ht="12.95" customHeight="1" x14ac:dyDescent="0.3">
      <c r="B1221" s="77"/>
      <c r="C1221" s="75"/>
      <c r="D1221" s="75"/>
      <c r="E1221" s="24"/>
      <c r="F1221" s="25"/>
      <c r="G1221" s="78"/>
      <c r="H1221" s="25"/>
      <c r="I1221" s="78"/>
      <c r="J1221" s="25"/>
      <c r="K1221" s="78"/>
    </row>
    <row r="1222" spans="2:11" ht="12.95" customHeight="1" x14ac:dyDescent="0.3">
      <c r="B1222" s="40" t="s">
        <v>12</v>
      </c>
      <c r="C1222" s="41"/>
      <c r="D1222" s="42" t="s">
        <v>37</v>
      </c>
      <c r="E1222" s="95">
        <v>239808</v>
      </c>
      <c r="F1222" s="21">
        <v>3</v>
      </c>
      <c r="G1222" s="3">
        <f t="shared" ref="G1222:G1224" si="257">TRUNC($E1222*F1222,1)</f>
        <v>719424</v>
      </c>
      <c r="H1222" s="21">
        <v>3</v>
      </c>
      <c r="I1222" s="3">
        <f t="shared" ref="I1222:I1224" si="258">TRUNC($E1222*H1222,1)</f>
        <v>719424</v>
      </c>
      <c r="J1222" s="21">
        <v>3</v>
      </c>
      <c r="K1222" s="3">
        <f t="shared" ref="K1222:K1224" si="259">TRUNC($E1222*J1222,1)</f>
        <v>719424</v>
      </c>
    </row>
    <row r="1223" spans="2:11" ht="12.95" customHeight="1" x14ac:dyDescent="0.3">
      <c r="B1223" s="40" t="s">
        <v>8</v>
      </c>
      <c r="C1223" s="41"/>
      <c r="D1223" s="42" t="s">
        <v>37</v>
      </c>
      <c r="E1223" s="95">
        <v>172068</v>
      </c>
      <c r="F1223" s="21">
        <v>1</v>
      </c>
      <c r="G1223" s="3">
        <f t="shared" si="257"/>
        <v>172068</v>
      </c>
      <c r="H1223" s="21">
        <v>1</v>
      </c>
      <c r="I1223" s="3">
        <f t="shared" si="258"/>
        <v>172068</v>
      </c>
      <c r="J1223" s="21">
        <v>1</v>
      </c>
      <c r="K1223" s="3">
        <f t="shared" si="259"/>
        <v>172068</v>
      </c>
    </row>
    <row r="1224" spans="2:11" ht="12.95" customHeight="1" x14ac:dyDescent="0.3">
      <c r="B1224" s="68" t="s">
        <v>11</v>
      </c>
      <c r="C1224" s="68" t="s">
        <v>43</v>
      </c>
      <c r="D1224" s="35" t="s">
        <v>44</v>
      </c>
      <c r="E1224" s="95">
        <v>49698</v>
      </c>
      <c r="F1224" s="21">
        <v>8</v>
      </c>
      <c r="G1224" s="3">
        <f t="shared" si="257"/>
        <v>397584</v>
      </c>
      <c r="H1224" s="21">
        <v>8</v>
      </c>
      <c r="I1224" s="3">
        <f t="shared" si="258"/>
        <v>397584</v>
      </c>
      <c r="J1224" s="21">
        <v>8</v>
      </c>
      <c r="K1224" s="3">
        <f t="shared" si="259"/>
        <v>397584</v>
      </c>
    </row>
    <row r="1225" spans="2:11" ht="12.95" customHeight="1" x14ac:dyDescent="0.3">
      <c r="B1225" s="45" t="s">
        <v>39</v>
      </c>
      <c r="C1225" s="75"/>
      <c r="D1225" s="75"/>
      <c r="E1225" s="18"/>
      <c r="F1225" s="25"/>
      <c r="G1225" s="20">
        <f>TRUNC(SUM(G1222:G1224))</f>
        <v>1289076</v>
      </c>
      <c r="H1225" s="25"/>
      <c r="I1225" s="20">
        <f>TRUNC(SUM(I1222:I1224))</f>
        <v>1289076</v>
      </c>
      <c r="J1225" s="25"/>
      <c r="K1225" s="20">
        <f>TRUNC(SUM(K1222:K1224))</f>
        <v>1289076</v>
      </c>
    </row>
    <row r="1226" spans="2:11" ht="12.95" customHeight="1" x14ac:dyDescent="0.3">
      <c r="B1226" s="77"/>
      <c r="C1226" s="75"/>
      <c r="D1226" s="75"/>
      <c r="E1226" s="112"/>
      <c r="F1226" s="25"/>
      <c r="G1226" s="78"/>
      <c r="H1226" s="25"/>
      <c r="I1226" s="78"/>
      <c r="J1226" s="25"/>
      <c r="K1226" s="78"/>
    </row>
    <row r="1227" spans="2:11" ht="12.95" customHeight="1" x14ac:dyDescent="0.3">
      <c r="B1227" s="68" t="s">
        <v>11</v>
      </c>
      <c r="C1227" s="68" t="s">
        <v>43</v>
      </c>
      <c r="D1227" s="69" t="s">
        <v>48</v>
      </c>
      <c r="E1227" s="95">
        <v>11117</v>
      </c>
      <c r="F1227" s="21">
        <v>8</v>
      </c>
      <c r="G1227" s="3">
        <f t="shared" ref="G1227" si="260">TRUNC($E1227*F1227,1)</f>
        <v>88936</v>
      </c>
      <c r="H1227" s="21">
        <v>8</v>
      </c>
      <c r="I1227" s="3">
        <f t="shared" ref="I1227" si="261">TRUNC($E1227*H1227,1)</f>
        <v>88936</v>
      </c>
      <c r="J1227" s="21">
        <v>8</v>
      </c>
      <c r="K1227" s="3">
        <f t="shared" ref="K1227" si="262">TRUNC($E1227*J1227,1)</f>
        <v>88936</v>
      </c>
    </row>
    <row r="1228" spans="2:11" ht="12.95" customHeight="1" x14ac:dyDescent="0.3">
      <c r="B1228" s="74" t="s">
        <v>40</v>
      </c>
      <c r="C1228" s="75"/>
      <c r="D1228" s="75"/>
      <c r="E1228" s="81"/>
      <c r="F1228" s="19"/>
      <c r="G1228" s="20">
        <f>TRUNC(SUM(G1227:G1227))</f>
        <v>88936</v>
      </c>
      <c r="H1228" s="19"/>
      <c r="I1228" s="20">
        <f>TRUNC(SUM(I1227:I1227))</f>
        <v>88936</v>
      </c>
      <c r="J1228" s="19"/>
      <c r="K1228" s="20">
        <f>TRUNC(SUM(K1227:K1227))</f>
        <v>88936</v>
      </c>
    </row>
    <row r="1229" spans="2:11" ht="12.95" customHeight="1" x14ac:dyDescent="0.3">
      <c r="B1229" s="82"/>
      <c r="C1229" s="68"/>
      <c r="D1229" s="68"/>
      <c r="E1229" s="83"/>
      <c r="F1229" s="84"/>
      <c r="G1229" s="72"/>
      <c r="H1229" s="84"/>
      <c r="I1229" s="72"/>
      <c r="J1229" s="84"/>
      <c r="K1229" s="72"/>
    </row>
    <row r="1230" spans="2:11" ht="12.95" customHeight="1" x14ac:dyDescent="0.3">
      <c r="B1230" s="51" t="s">
        <v>42</v>
      </c>
      <c r="C1230" s="75"/>
      <c r="D1230" s="75"/>
      <c r="E1230" s="81"/>
      <c r="F1230" s="81"/>
      <c r="G1230" s="85">
        <f>SUM(G1220+G1225+G1228)</f>
        <v>1478460</v>
      </c>
      <c r="H1230" s="81"/>
      <c r="I1230" s="85">
        <f>SUM(I1220+I1225+I1228)</f>
        <v>1478460</v>
      </c>
      <c r="J1230" s="81"/>
      <c r="K1230" s="85">
        <f>SUM(K1220+K1225+K1228)</f>
        <v>1478460</v>
      </c>
    </row>
    <row r="1231" spans="2:11" ht="12.95" customHeight="1" x14ac:dyDescent="0.3">
      <c r="B1231" s="52" t="s">
        <v>242</v>
      </c>
      <c r="C1231" s="86"/>
      <c r="D1231" s="86"/>
      <c r="E1231" s="87"/>
      <c r="F1231" s="87"/>
      <c r="G1231" s="8">
        <f>TRUNC(G1230/G1216)</f>
        <v>64280</v>
      </c>
      <c r="H1231" s="87"/>
      <c r="I1231" s="8">
        <f>TRUNC(I1230/I1216)</f>
        <v>67202</v>
      </c>
      <c r="J1231" s="87"/>
      <c r="K1231" s="8">
        <f>TRUNC(K1230/K1216)</f>
        <v>70402</v>
      </c>
    </row>
    <row r="1232" spans="2:11" ht="12.95" customHeight="1" x14ac:dyDescent="0.3">
      <c r="B1232" s="142" t="s">
        <v>30</v>
      </c>
      <c r="C1232" s="145" t="s">
        <v>34</v>
      </c>
      <c r="D1232" s="145" t="s">
        <v>35</v>
      </c>
      <c r="E1232" s="145" t="s">
        <v>31</v>
      </c>
      <c r="F1232" s="139" t="s">
        <v>126</v>
      </c>
      <c r="G1232" s="140"/>
      <c r="H1232" s="140"/>
      <c r="I1232" s="140"/>
      <c r="J1232" s="140"/>
      <c r="K1232" s="140"/>
    </row>
    <row r="1233" spans="2:11" ht="12.95" customHeight="1" x14ac:dyDescent="0.3">
      <c r="B1233" s="143"/>
      <c r="C1233" s="146"/>
      <c r="D1233" s="146"/>
      <c r="E1233" s="146"/>
      <c r="F1233" s="139" t="s">
        <v>119</v>
      </c>
      <c r="G1233" s="140"/>
      <c r="H1233" s="139" t="s">
        <v>257</v>
      </c>
      <c r="I1233" s="140"/>
      <c r="J1233" s="139" t="s">
        <v>120</v>
      </c>
      <c r="K1233" s="140"/>
    </row>
    <row r="1234" spans="2:11" ht="12.95" customHeight="1" x14ac:dyDescent="0.3">
      <c r="B1234" s="143"/>
      <c r="C1234" s="146"/>
      <c r="D1234" s="146"/>
      <c r="E1234" s="146"/>
      <c r="F1234" s="34" t="s">
        <v>239</v>
      </c>
      <c r="G1234" s="37">
        <v>20</v>
      </c>
      <c r="H1234" s="34" t="s">
        <v>239</v>
      </c>
      <c r="I1234" s="37">
        <v>19</v>
      </c>
      <c r="J1234" s="34" t="s">
        <v>239</v>
      </c>
      <c r="K1234" s="37">
        <v>18</v>
      </c>
    </row>
    <row r="1235" spans="2:11" ht="12.95" customHeight="1" x14ac:dyDescent="0.3">
      <c r="B1235" s="144"/>
      <c r="C1235" s="147"/>
      <c r="D1235" s="147"/>
      <c r="E1235" s="147"/>
      <c r="F1235" s="38" t="s">
        <v>32</v>
      </c>
      <c r="G1235" s="39" t="s">
        <v>33</v>
      </c>
      <c r="H1235" s="38" t="s">
        <v>32</v>
      </c>
      <c r="I1235" s="39" t="s">
        <v>33</v>
      </c>
      <c r="J1235" s="38" t="s">
        <v>32</v>
      </c>
      <c r="K1235" s="39" t="s">
        <v>33</v>
      </c>
    </row>
    <row r="1236" spans="2:11" ht="12.95" customHeight="1" x14ac:dyDescent="0.3">
      <c r="B1236" s="68" t="s">
        <v>11</v>
      </c>
      <c r="C1236" s="68" t="s">
        <v>43</v>
      </c>
      <c r="D1236" s="69" t="s">
        <v>48</v>
      </c>
      <c r="E1236" s="95">
        <v>9213</v>
      </c>
      <c r="F1236" s="21">
        <v>8</v>
      </c>
      <c r="G1236" s="3">
        <f t="shared" ref="G1236" si="263">TRUNC($E1236*F1236,1)</f>
        <v>73704</v>
      </c>
      <c r="H1236" s="21">
        <v>8</v>
      </c>
      <c r="I1236" s="3">
        <f t="shared" ref="I1236" si="264">TRUNC($E1236*H1236,1)</f>
        <v>73704</v>
      </c>
      <c r="J1236" s="21">
        <v>8</v>
      </c>
      <c r="K1236" s="3">
        <f t="shared" ref="K1236" si="265">TRUNC($E1236*J1236,1)</f>
        <v>73704</v>
      </c>
    </row>
    <row r="1237" spans="2:11" ht="12.95" customHeight="1" x14ac:dyDescent="0.3">
      <c r="B1237" s="96" t="s">
        <v>36</v>
      </c>
      <c r="C1237" s="97" t="s">
        <v>41</v>
      </c>
      <c r="D1237" s="35" t="s">
        <v>45</v>
      </c>
      <c r="E1237" s="98"/>
      <c r="F1237" s="109">
        <v>1</v>
      </c>
      <c r="G1237" s="5">
        <f>TRUNC(SUM(G1240:G1241)*0.03,1)</f>
        <v>26744.7</v>
      </c>
      <c r="H1237" s="109">
        <v>1</v>
      </c>
      <c r="I1237" s="5">
        <f>TRUNC(SUM(I1240:I1241)*0.03,1)</f>
        <v>26744.7</v>
      </c>
      <c r="J1237" s="109">
        <v>1</v>
      </c>
      <c r="K1237" s="5">
        <f>TRUNC(SUM(K1240:K1241)*0.03,1)</f>
        <v>26744.7</v>
      </c>
    </row>
    <row r="1238" spans="2:11" ht="12.95" customHeight="1" x14ac:dyDescent="0.3">
      <c r="B1238" s="74" t="s">
        <v>38</v>
      </c>
      <c r="C1238" s="75"/>
      <c r="D1238" s="75"/>
      <c r="E1238" s="24"/>
      <c r="F1238" s="25"/>
      <c r="G1238" s="20">
        <f>TRUNC(SUM(G1236:G1237))</f>
        <v>100448</v>
      </c>
      <c r="H1238" s="25"/>
      <c r="I1238" s="20">
        <f>TRUNC(SUM(I1236:I1237))</f>
        <v>100448</v>
      </c>
      <c r="J1238" s="25"/>
      <c r="K1238" s="20">
        <f>TRUNC(SUM(K1236:K1237))</f>
        <v>100448</v>
      </c>
    </row>
    <row r="1239" spans="2:11" ht="12.95" customHeight="1" x14ac:dyDescent="0.3">
      <c r="B1239" s="77"/>
      <c r="C1239" s="75"/>
      <c r="D1239" s="75"/>
      <c r="E1239" s="24"/>
      <c r="F1239" s="25"/>
      <c r="G1239" s="78"/>
      <c r="H1239" s="25"/>
      <c r="I1239" s="78"/>
      <c r="J1239" s="25"/>
      <c r="K1239" s="78"/>
    </row>
    <row r="1240" spans="2:11" ht="12.95" customHeight="1" x14ac:dyDescent="0.3">
      <c r="B1240" s="40" t="s">
        <v>12</v>
      </c>
      <c r="C1240" s="41"/>
      <c r="D1240" s="42" t="s">
        <v>37</v>
      </c>
      <c r="E1240" s="95">
        <v>239808</v>
      </c>
      <c r="F1240" s="21">
        <v>3</v>
      </c>
      <c r="G1240" s="3">
        <f t="shared" ref="G1240:G1242" si="266">TRUNC($E1240*F1240,1)</f>
        <v>719424</v>
      </c>
      <c r="H1240" s="21">
        <v>3</v>
      </c>
      <c r="I1240" s="3">
        <f t="shared" ref="I1240:I1242" si="267">TRUNC($E1240*H1240,1)</f>
        <v>719424</v>
      </c>
      <c r="J1240" s="21">
        <v>3</v>
      </c>
      <c r="K1240" s="3">
        <f t="shared" ref="K1240:K1242" si="268">TRUNC($E1240*J1240,1)</f>
        <v>719424</v>
      </c>
    </row>
    <row r="1241" spans="2:11" ht="12.95" customHeight="1" x14ac:dyDescent="0.3">
      <c r="B1241" s="40" t="s">
        <v>8</v>
      </c>
      <c r="C1241" s="41"/>
      <c r="D1241" s="42" t="s">
        <v>37</v>
      </c>
      <c r="E1241" s="95">
        <v>172068</v>
      </c>
      <c r="F1241" s="21">
        <v>1</v>
      </c>
      <c r="G1241" s="3">
        <f t="shared" si="266"/>
        <v>172068</v>
      </c>
      <c r="H1241" s="21">
        <v>1</v>
      </c>
      <c r="I1241" s="3">
        <f t="shared" si="267"/>
        <v>172068</v>
      </c>
      <c r="J1241" s="21">
        <v>1</v>
      </c>
      <c r="K1241" s="3">
        <f t="shared" si="268"/>
        <v>172068</v>
      </c>
    </row>
    <row r="1242" spans="2:11" ht="12.95" customHeight="1" x14ac:dyDescent="0.3">
      <c r="B1242" s="68" t="s">
        <v>11</v>
      </c>
      <c r="C1242" s="68" t="s">
        <v>43</v>
      </c>
      <c r="D1242" s="35" t="s">
        <v>44</v>
      </c>
      <c r="E1242" s="95">
        <v>49698</v>
      </c>
      <c r="F1242" s="21">
        <v>8</v>
      </c>
      <c r="G1242" s="3">
        <f t="shared" si="266"/>
        <v>397584</v>
      </c>
      <c r="H1242" s="21">
        <v>8</v>
      </c>
      <c r="I1242" s="3">
        <f t="shared" si="267"/>
        <v>397584</v>
      </c>
      <c r="J1242" s="21">
        <v>8</v>
      </c>
      <c r="K1242" s="3">
        <f t="shared" si="268"/>
        <v>397584</v>
      </c>
    </row>
    <row r="1243" spans="2:11" ht="12.95" customHeight="1" x14ac:dyDescent="0.3">
      <c r="B1243" s="45" t="s">
        <v>39</v>
      </c>
      <c r="C1243" s="75"/>
      <c r="D1243" s="75"/>
      <c r="E1243" s="18"/>
      <c r="F1243" s="25"/>
      <c r="G1243" s="20">
        <f>TRUNC(SUM(G1240:G1242))</f>
        <v>1289076</v>
      </c>
      <c r="H1243" s="25"/>
      <c r="I1243" s="20">
        <f>TRUNC(SUM(I1240:I1242))</f>
        <v>1289076</v>
      </c>
      <c r="J1243" s="25"/>
      <c r="K1243" s="20">
        <f>TRUNC(SUM(K1240:K1242))</f>
        <v>1289076</v>
      </c>
    </row>
    <row r="1244" spans="2:11" ht="12.95" customHeight="1" x14ac:dyDescent="0.3">
      <c r="B1244" s="77"/>
      <c r="C1244" s="75"/>
      <c r="D1244" s="75"/>
      <c r="E1244" s="112"/>
      <c r="F1244" s="25"/>
      <c r="G1244" s="78"/>
      <c r="H1244" s="25"/>
      <c r="I1244" s="78"/>
      <c r="J1244" s="25"/>
      <c r="K1244" s="78"/>
    </row>
    <row r="1245" spans="2:11" ht="12.95" customHeight="1" x14ac:dyDescent="0.3">
      <c r="B1245" s="68" t="s">
        <v>11</v>
      </c>
      <c r="C1245" s="68" t="s">
        <v>43</v>
      </c>
      <c r="D1245" s="69" t="s">
        <v>48</v>
      </c>
      <c r="E1245" s="95">
        <v>11117</v>
      </c>
      <c r="F1245" s="21">
        <v>8</v>
      </c>
      <c r="G1245" s="3">
        <f t="shared" ref="G1245" si="269">TRUNC($E1245*F1245,1)</f>
        <v>88936</v>
      </c>
      <c r="H1245" s="21">
        <v>8</v>
      </c>
      <c r="I1245" s="3">
        <f t="shared" ref="I1245" si="270">TRUNC($E1245*H1245,1)</f>
        <v>88936</v>
      </c>
      <c r="J1245" s="21">
        <v>8</v>
      </c>
      <c r="K1245" s="3">
        <f t="shared" ref="K1245" si="271">TRUNC($E1245*J1245,1)</f>
        <v>88936</v>
      </c>
    </row>
    <row r="1246" spans="2:11" ht="12.95" customHeight="1" x14ac:dyDescent="0.3">
      <c r="B1246" s="74" t="s">
        <v>40</v>
      </c>
      <c r="C1246" s="75"/>
      <c r="D1246" s="75"/>
      <c r="E1246" s="81"/>
      <c r="F1246" s="19"/>
      <c r="G1246" s="20">
        <f>TRUNC(SUM(G1245:G1245))</f>
        <v>88936</v>
      </c>
      <c r="H1246" s="19"/>
      <c r="I1246" s="20">
        <f>TRUNC(SUM(I1245:I1245))</f>
        <v>88936</v>
      </c>
      <c r="J1246" s="19"/>
      <c r="K1246" s="20">
        <f>TRUNC(SUM(K1245:K1245))</f>
        <v>88936</v>
      </c>
    </row>
    <row r="1247" spans="2:11" ht="12.95" customHeight="1" x14ac:dyDescent="0.3">
      <c r="B1247" s="82"/>
      <c r="C1247" s="68"/>
      <c r="D1247" s="68"/>
      <c r="E1247" s="83"/>
      <c r="F1247" s="84"/>
      <c r="G1247" s="72"/>
      <c r="H1247" s="84"/>
      <c r="I1247" s="72"/>
      <c r="J1247" s="84"/>
      <c r="K1247" s="72"/>
    </row>
    <row r="1248" spans="2:11" ht="12.95" customHeight="1" x14ac:dyDescent="0.3">
      <c r="B1248" s="51" t="s">
        <v>42</v>
      </c>
      <c r="C1248" s="75"/>
      <c r="D1248" s="75"/>
      <c r="E1248" s="81"/>
      <c r="F1248" s="81"/>
      <c r="G1248" s="85">
        <f>SUM(G1238+G1243+G1246)</f>
        <v>1478460</v>
      </c>
      <c r="H1248" s="81"/>
      <c r="I1248" s="85">
        <f>SUM(I1238+I1243+I1246)</f>
        <v>1478460</v>
      </c>
      <c r="J1248" s="81"/>
      <c r="K1248" s="85">
        <f>SUM(K1238+K1243+K1246)</f>
        <v>1478460</v>
      </c>
    </row>
    <row r="1249" spans="2:11" ht="12.95" customHeight="1" x14ac:dyDescent="0.3">
      <c r="B1249" s="52" t="s">
        <v>242</v>
      </c>
      <c r="C1249" s="86"/>
      <c r="D1249" s="86"/>
      <c r="E1249" s="87"/>
      <c r="F1249" s="87"/>
      <c r="G1249" s="8">
        <f>TRUNC(G1248/G1234)</f>
        <v>73923</v>
      </c>
      <c r="H1249" s="87"/>
      <c r="I1249" s="8">
        <f>TRUNC(I1248/I1234)</f>
        <v>77813</v>
      </c>
      <c r="J1249" s="87"/>
      <c r="K1249" s="8">
        <f>TRUNC(K1248/K1234)</f>
        <v>82136</v>
      </c>
    </row>
    <row r="1250" spans="2:11" ht="12.95" customHeight="1" x14ac:dyDescent="0.3">
      <c r="B1250" s="142" t="s">
        <v>30</v>
      </c>
      <c r="C1250" s="145" t="s">
        <v>34</v>
      </c>
      <c r="D1250" s="145" t="s">
        <v>35</v>
      </c>
      <c r="E1250" s="145" t="s">
        <v>31</v>
      </c>
      <c r="F1250" s="139" t="s">
        <v>127</v>
      </c>
      <c r="G1250" s="140"/>
      <c r="H1250" s="139" t="s">
        <v>128</v>
      </c>
      <c r="I1250" s="140"/>
    </row>
    <row r="1251" spans="2:11" ht="12.95" customHeight="1" x14ac:dyDescent="0.3">
      <c r="B1251" s="143"/>
      <c r="C1251" s="146"/>
      <c r="D1251" s="146"/>
      <c r="E1251" s="146"/>
      <c r="F1251" s="139" t="s">
        <v>119</v>
      </c>
      <c r="G1251" s="140"/>
      <c r="H1251" s="139" t="s">
        <v>119</v>
      </c>
      <c r="I1251" s="140"/>
    </row>
    <row r="1252" spans="2:11" ht="12.95" customHeight="1" x14ac:dyDescent="0.3">
      <c r="B1252" s="143"/>
      <c r="C1252" s="146"/>
      <c r="D1252" s="146"/>
      <c r="E1252" s="146"/>
      <c r="F1252" s="34" t="s">
        <v>239</v>
      </c>
      <c r="G1252" s="37">
        <v>17</v>
      </c>
      <c r="H1252" s="34" t="s">
        <v>239</v>
      </c>
      <c r="I1252" s="37">
        <v>13</v>
      </c>
    </row>
    <row r="1253" spans="2:11" ht="12.95" customHeight="1" x14ac:dyDescent="0.3">
      <c r="B1253" s="144"/>
      <c r="C1253" s="147"/>
      <c r="D1253" s="147"/>
      <c r="E1253" s="147"/>
      <c r="F1253" s="38" t="s">
        <v>32</v>
      </c>
      <c r="G1253" s="39" t="s">
        <v>33</v>
      </c>
      <c r="H1253" s="38" t="s">
        <v>32</v>
      </c>
      <c r="I1253" s="39" t="s">
        <v>33</v>
      </c>
    </row>
    <row r="1254" spans="2:11" ht="12.95" customHeight="1" x14ac:dyDescent="0.3">
      <c r="B1254" s="68" t="s">
        <v>11</v>
      </c>
      <c r="C1254" s="68" t="s">
        <v>43</v>
      </c>
      <c r="D1254" s="69" t="s">
        <v>48</v>
      </c>
      <c r="E1254" s="95">
        <v>9213</v>
      </c>
      <c r="F1254" s="21">
        <v>8</v>
      </c>
      <c r="G1254" s="3">
        <f t="shared" ref="G1254" si="272">TRUNC($E1254*F1254,1)</f>
        <v>73704</v>
      </c>
      <c r="H1254" s="21">
        <v>8</v>
      </c>
      <c r="I1254" s="3">
        <f t="shared" ref="I1254" si="273">TRUNC($E1254*H1254,1)</f>
        <v>73704</v>
      </c>
    </row>
    <row r="1255" spans="2:11" ht="12.95" customHeight="1" x14ac:dyDescent="0.3">
      <c r="B1255" s="96" t="s">
        <v>36</v>
      </c>
      <c r="C1255" s="97" t="s">
        <v>41</v>
      </c>
      <c r="D1255" s="35" t="s">
        <v>45</v>
      </c>
      <c r="E1255" s="98"/>
      <c r="F1255" s="109">
        <v>1</v>
      </c>
      <c r="G1255" s="5">
        <f>TRUNC(SUM(G1258:G1259)*0.03,1)</f>
        <v>31906.799999999999</v>
      </c>
      <c r="H1255" s="109">
        <v>1</v>
      </c>
      <c r="I1255" s="5">
        <f>TRUNC(SUM(I1258:I1259)*0.03,1)</f>
        <v>31906.799999999999</v>
      </c>
    </row>
    <row r="1256" spans="2:11" ht="12.95" customHeight="1" x14ac:dyDescent="0.3">
      <c r="B1256" s="74" t="s">
        <v>38</v>
      </c>
      <c r="C1256" s="75"/>
      <c r="D1256" s="75"/>
      <c r="E1256" s="24"/>
      <c r="F1256" s="25"/>
      <c r="G1256" s="20">
        <f>TRUNC(SUM(G1254:G1255))</f>
        <v>105610</v>
      </c>
      <c r="H1256" s="25"/>
      <c r="I1256" s="20">
        <f>TRUNC(SUM(I1254:I1255))</f>
        <v>105610</v>
      </c>
    </row>
    <row r="1257" spans="2:11" ht="12.95" customHeight="1" x14ac:dyDescent="0.3">
      <c r="B1257" s="77"/>
      <c r="C1257" s="75"/>
      <c r="D1257" s="75"/>
      <c r="E1257" s="24"/>
      <c r="F1257" s="25"/>
      <c r="G1257" s="78"/>
      <c r="H1257" s="25"/>
      <c r="I1257" s="78"/>
    </row>
    <row r="1258" spans="2:11" ht="12.95" customHeight="1" x14ac:dyDescent="0.3">
      <c r="B1258" s="40" t="s">
        <v>12</v>
      </c>
      <c r="C1258" s="41"/>
      <c r="D1258" s="42" t="s">
        <v>37</v>
      </c>
      <c r="E1258" s="95">
        <v>239808</v>
      </c>
      <c r="F1258" s="21">
        <v>3</v>
      </c>
      <c r="G1258" s="3">
        <f t="shared" ref="G1258:G1260" si="274">TRUNC($E1258*F1258,1)</f>
        <v>719424</v>
      </c>
      <c r="H1258" s="21">
        <v>3</v>
      </c>
      <c r="I1258" s="3">
        <f t="shared" ref="I1258:I1260" si="275">TRUNC($E1258*H1258,1)</f>
        <v>719424</v>
      </c>
    </row>
    <row r="1259" spans="2:11" ht="12.95" customHeight="1" x14ac:dyDescent="0.3">
      <c r="B1259" s="40" t="s">
        <v>8</v>
      </c>
      <c r="C1259" s="41"/>
      <c r="D1259" s="42" t="s">
        <v>37</v>
      </c>
      <c r="E1259" s="95">
        <v>172068</v>
      </c>
      <c r="F1259" s="21">
        <v>2</v>
      </c>
      <c r="G1259" s="3">
        <f t="shared" si="274"/>
        <v>344136</v>
      </c>
      <c r="H1259" s="21">
        <v>2</v>
      </c>
      <c r="I1259" s="3">
        <f t="shared" si="275"/>
        <v>344136</v>
      </c>
    </row>
    <row r="1260" spans="2:11" ht="12.95" customHeight="1" x14ac:dyDescent="0.3">
      <c r="B1260" s="68" t="s">
        <v>11</v>
      </c>
      <c r="C1260" s="68" t="s">
        <v>43</v>
      </c>
      <c r="D1260" s="35" t="s">
        <v>44</v>
      </c>
      <c r="E1260" s="95">
        <v>49698</v>
      </c>
      <c r="F1260" s="21">
        <v>8</v>
      </c>
      <c r="G1260" s="3">
        <f t="shared" si="274"/>
        <v>397584</v>
      </c>
      <c r="H1260" s="21">
        <v>8</v>
      </c>
      <c r="I1260" s="3">
        <f t="shared" si="275"/>
        <v>397584</v>
      </c>
    </row>
    <row r="1261" spans="2:11" ht="12.95" customHeight="1" x14ac:dyDescent="0.3">
      <c r="B1261" s="45" t="s">
        <v>39</v>
      </c>
      <c r="C1261" s="75"/>
      <c r="D1261" s="75"/>
      <c r="E1261" s="18"/>
      <c r="F1261" s="25"/>
      <c r="G1261" s="20">
        <f>TRUNC(SUM(G1258:G1260))</f>
        <v>1461144</v>
      </c>
      <c r="H1261" s="25"/>
      <c r="I1261" s="20">
        <f>TRUNC(SUM(I1258:I1260))</f>
        <v>1461144</v>
      </c>
    </row>
    <row r="1262" spans="2:11" ht="12.95" customHeight="1" x14ac:dyDescent="0.3">
      <c r="B1262" s="77"/>
      <c r="C1262" s="75"/>
      <c r="D1262" s="75"/>
      <c r="E1262" s="112"/>
      <c r="F1262" s="25"/>
      <c r="G1262" s="78"/>
      <c r="H1262" s="25"/>
      <c r="I1262" s="78"/>
    </row>
    <row r="1263" spans="2:11" ht="12.95" customHeight="1" x14ac:dyDescent="0.3">
      <c r="B1263" s="68" t="s">
        <v>11</v>
      </c>
      <c r="C1263" s="68" t="s">
        <v>43</v>
      </c>
      <c r="D1263" s="69" t="s">
        <v>48</v>
      </c>
      <c r="E1263" s="95">
        <v>11117</v>
      </c>
      <c r="F1263" s="21">
        <v>8</v>
      </c>
      <c r="G1263" s="3">
        <f t="shared" ref="G1263" si="276">TRUNC($E1263*F1263,1)</f>
        <v>88936</v>
      </c>
      <c r="H1263" s="21">
        <v>8</v>
      </c>
      <c r="I1263" s="3">
        <f t="shared" ref="I1263" si="277">TRUNC($E1263*H1263,1)</f>
        <v>88936</v>
      </c>
    </row>
    <row r="1264" spans="2:11" ht="12.95" customHeight="1" x14ac:dyDescent="0.3">
      <c r="B1264" s="74" t="s">
        <v>40</v>
      </c>
      <c r="C1264" s="75"/>
      <c r="D1264" s="75"/>
      <c r="E1264" s="81"/>
      <c r="F1264" s="19"/>
      <c r="G1264" s="20">
        <f>TRUNC(SUM(G1263:G1263))</f>
        <v>88936</v>
      </c>
      <c r="H1264" s="19"/>
      <c r="I1264" s="20">
        <f>TRUNC(SUM(I1263:I1263))</f>
        <v>88936</v>
      </c>
    </row>
    <row r="1265" spans="2:13" ht="12.95" customHeight="1" x14ac:dyDescent="0.3">
      <c r="B1265" s="82"/>
      <c r="C1265" s="68"/>
      <c r="D1265" s="68"/>
      <c r="E1265" s="83"/>
      <c r="F1265" s="84"/>
      <c r="G1265" s="72"/>
      <c r="H1265" s="84"/>
      <c r="I1265" s="72"/>
    </row>
    <row r="1266" spans="2:13" ht="12.95" customHeight="1" x14ac:dyDescent="0.3">
      <c r="B1266" s="51" t="s">
        <v>42</v>
      </c>
      <c r="C1266" s="75"/>
      <c r="D1266" s="75"/>
      <c r="E1266" s="81"/>
      <c r="F1266" s="81"/>
      <c r="G1266" s="85">
        <f>SUM(G1256+G1261+G1264)</f>
        <v>1655690</v>
      </c>
      <c r="H1266" s="81"/>
      <c r="I1266" s="85">
        <f>SUM(I1256+I1261+I1264)</f>
        <v>1655690</v>
      </c>
    </row>
    <row r="1267" spans="2:13" ht="12.95" customHeight="1" x14ac:dyDescent="0.3">
      <c r="B1267" s="52" t="s">
        <v>242</v>
      </c>
      <c r="C1267" s="86"/>
      <c r="D1267" s="86"/>
      <c r="E1267" s="87"/>
      <c r="F1267" s="87"/>
      <c r="G1267" s="8">
        <f>TRUNC(G1266/G1252)</f>
        <v>97393</v>
      </c>
      <c r="H1267" s="87"/>
      <c r="I1267" s="8">
        <f>TRUNC(I1266/I1252)</f>
        <v>127360</v>
      </c>
    </row>
    <row r="1269" spans="2:13" ht="12.95" customHeight="1" x14ac:dyDescent="0.3">
      <c r="B1269" s="60" t="s">
        <v>130</v>
      </c>
      <c r="C1269" s="61"/>
      <c r="D1269" s="62"/>
      <c r="E1269" s="63"/>
      <c r="F1269" s="62"/>
      <c r="G1269" s="33"/>
      <c r="H1269" s="62"/>
      <c r="I1269" s="33"/>
      <c r="J1269" s="62"/>
      <c r="K1269" s="33"/>
      <c r="M1269" s="33" t="s">
        <v>58</v>
      </c>
    </row>
    <row r="1270" spans="2:13" ht="12.95" customHeight="1" x14ac:dyDescent="0.3">
      <c r="B1270" s="142" t="s">
        <v>30</v>
      </c>
      <c r="C1270" s="145" t="s">
        <v>34</v>
      </c>
      <c r="D1270" s="145" t="s">
        <v>35</v>
      </c>
      <c r="E1270" s="145" t="s">
        <v>31</v>
      </c>
      <c r="F1270" s="139" t="s">
        <v>125</v>
      </c>
      <c r="G1270" s="140"/>
      <c r="H1270" s="140"/>
      <c r="I1270" s="140"/>
      <c r="J1270" s="140"/>
      <c r="K1270" s="140"/>
      <c r="L1270" s="140"/>
      <c r="M1270" s="140"/>
    </row>
    <row r="1271" spans="2:13" ht="12.95" customHeight="1" x14ac:dyDescent="0.3">
      <c r="B1271" s="143"/>
      <c r="C1271" s="146"/>
      <c r="D1271" s="146"/>
      <c r="E1271" s="146"/>
      <c r="F1271" s="139" t="s">
        <v>258</v>
      </c>
      <c r="G1271" s="140"/>
      <c r="H1271" s="139" t="s">
        <v>259</v>
      </c>
      <c r="I1271" s="140"/>
      <c r="J1271" s="139" t="s">
        <v>260</v>
      </c>
      <c r="K1271" s="140"/>
      <c r="L1271" s="139" t="s">
        <v>261</v>
      </c>
      <c r="M1271" s="140"/>
    </row>
    <row r="1272" spans="2:13" ht="12.95" customHeight="1" x14ac:dyDescent="0.3">
      <c r="B1272" s="143"/>
      <c r="C1272" s="146"/>
      <c r="D1272" s="146"/>
      <c r="E1272" s="146"/>
      <c r="F1272" s="34" t="s">
        <v>256</v>
      </c>
      <c r="G1272" s="37">
        <v>109</v>
      </c>
      <c r="H1272" s="34" t="s">
        <v>256</v>
      </c>
      <c r="I1272" s="37">
        <v>87</v>
      </c>
      <c r="J1272" s="34" t="s">
        <v>256</v>
      </c>
      <c r="K1272" s="37">
        <v>85</v>
      </c>
      <c r="L1272" s="34" t="s">
        <v>256</v>
      </c>
      <c r="M1272" s="37">
        <v>72</v>
      </c>
    </row>
    <row r="1273" spans="2:13" ht="12.95" customHeight="1" x14ac:dyDescent="0.3">
      <c r="B1273" s="144"/>
      <c r="C1273" s="147"/>
      <c r="D1273" s="147"/>
      <c r="E1273" s="147"/>
      <c r="F1273" s="38" t="s">
        <v>32</v>
      </c>
      <c r="G1273" s="39" t="s">
        <v>33</v>
      </c>
      <c r="H1273" s="38" t="s">
        <v>32</v>
      </c>
      <c r="I1273" s="39" t="s">
        <v>33</v>
      </c>
      <c r="J1273" s="38" t="s">
        <v>32</v>
      </c>
      <c r="K1273" s="39" t="s">
        <v>33</v>
      </c>
      <c r="L1273" s="38" t="s">
        <v>32</v>
      </c>
      <c r="M1273" s="39" t="s">
        <v>33</v>
      </c>
    </row>
    <row r="1274" spans="2:13" ht="12.95" customHeight="1" x14ac:dyDescent="0.3">
      <c r="B1274" s="68" t="s">
        <v>11</v>
      </c>
      <c r="C1274" s="68" t="s">
        <v>43</v>
      </c>
      <c r="D1274" s="69" t="s">
        <v>48</v>
      </c>
      <c r="E1274" s="95">
        <v>9213</v>
      </c>
      <c r="F1274" s="21">
        <v>8</v>
      </c>
      <c r="G1274" s="3">
        <f t="shared" ref="G1274" si="278">TRUNC($E1274*F1274,1)</f>
        <v>73704</v>
      </c>
      <c r="H1274" s="21">
        <v>8</v>
      </c>
      <c r="I1274" s="3">
        <f t="shared" ref="I1274" si="279">TRUNC($E1274*H1274,1)</f>
        <v>73704</v>
      </c>
      <c r="J1274" s="21">
        <v>8</v>
      </c>
      <c r="K1274" s="3">
        <f t="shared" ref="K1274" si="280">TRUNC($E1274*J1274,1)</f>
        <v>73704</v>
      </c>
      <c r="L1274" s="21">
        <v>8</v>
      </c>
      <c r="M1274" s="3">
        <f t="shared" ref="M1274" si="281">TRUNC($E1274*L1274,1)</f>
        <v>73704</v>
      </c>
    </row>
    <row r="1275" spans="2:13" ht="12.95" customHeight="1" x14ac:dyDescent="0.3">
      <c r="B1275" s="96" t="s">
        <v>36</v>
      </c>
      <c r="C1275" s="97" t="s">
        <v>41</v>
      </c>
      <c r="D1275" s="35" t="s">
        <v>45</v>
      </c>
      <c r="E1275" s="98"/>
      <c r="F1275" s="109">
        <v>1</v>
      </c>
      <c r="G1275" s="5">
        <f>TRUNC(SUM(G1278:G1279)*0.03,1)</f>
        <v>39101</v>
      </c>
      <c r="H1275" s="109">
        <v>1</v>
      </c>
      <c r="I1275" s="5">
        <f>TRUNC(SUM(I1278:I1279)*0.03,1)</f>
        <v>39101</v>
      </c>
      <c r="J1275" s="109">
        <v>1</v>
      </c>
      <c r="K1275" s="5">
        <f>TRUNC(SUM(K1278:K1279)*0.03,1)</f>
        <v>39101</v>
      </c>
      <c r="L1275" s="109">
        <v>1</v>
      </c>
      <c r="M1275" s="5">
        <f>TRUNC(SUM(M1278:M1279)*0.03,1)</f>
        <v>39101</v>
      </c>
    </row>
    <row r="1276" spans="2:13" ht="12.95" customHeight="1" x14ac:dyDescent="0.3">
      <c r="B1276" s="74" t="s">
        <v>38</v>
      </c>
      <c r="C1276" s="75"/>
      <c r="D1276" s="75"/>
      <c r="E1276" s="24"/>
      <c r="F1276" s="25"/>
      <c r="G1276" s="20">
        <f>TRUNC(SUM(G1274:G1275))</f>
        <v>112805</v>
      </c>
      <c r="H1276" s="25"/>
      <c r="I1276" s="20">
        <f>TRUNC(SUM(I1274:I1275))</f>
        <v>112805</v>
      </c>
      <c r="J1276" s="25"/>
      <c r="K1276" s="20">
        <f>TRUNC(SUM(K1274:K1275))</f>
        <v>112805</v>
      </c>
      <c r="L1276" s="25"/>
      <c r="M1276" s="20">
        <f>TRUNC(SUM(M1274:M1275))</f>
        <v>112805</v>
      </c>
    </row>
    <row r="1277" spans="2:13" ht="12.95" customHeight="1" x14ac:dyDescent="0.3">
      <c r="B1277" s="77"/>
      <c r="C1277" s="75"/>
      <c r="D1277" s="75"/>
      <c r="E1277" s="24"/>
      <c r="F1277" s="25"/>
      <c r="G1277" s="78"/>
      <c r="H1277" s="25"/>
      <c r="I1277" s="78"/>
      <c r="J1277" s="25"/>
      <c r="K1277" s="78"/>
      <c r="L1277" s="25"/>
      <c r="M1277" s="78"/>
    </row>
    <row r="1278" spans="2:13" ht="12.95" customHeight="1" x14ac:dyDescent="0.3">
      <c r="B1278" s="40" t="s">
        <v>12</v>
      </c>
      <c r="C1278" s="41"/>
      <c r="D1278" s="42" t="s">
        <v>37</v>
      </c>
      <c r="E1278" s="95">
        <v>239808</v>
      </c>
      <c r="F1278" s="21">
        <v>4</v>
      </c>
      <c r="G1278" s="3">
        <f t="shared" ref="G1278:G1280" si="282">TRUNC($E1278*F1278,1)</f>
        <v>959232</v>
      </c>
      <c r="H1278" s="21">
        <v>4</v>
      </c>
      <c r="I1278" s="3">
        <f t="shared" ref="I1278:I1280" si="283">TRUNC($E1278*H1278,1)</f>
        <v>959232</v>
      </c>
      <c r="J1278" s="21">
        <v>4</v>
      </c>
      <c r="K1278" s="3">
        <f t="shared" ref="K1278:K1280" si="284">TRUNC($E1278*J1278,1)</f>
        <v>959232</v>
      </c>
      <c r="L1278" s="21">
        <v>4</v>
      </c>
      <c r="M1278" s="3">
        <f t="shared" ref="M1278:M1280" si="285">TRUNC($E1278*L1278,1)</f>
        <v>959232</v>
      </c>
    </row>
    <row r="1279" spans="2:13" ht="12.95" customHeight="1" x14ac:dyDescent="0.3">
      <c r="B1279" s="40" t="s">
        <v>8</v>
      </c>
      <c r="C1279" s="41"/>
      <c r="D1279" s="42" t="s">
        <v>37</v>
      </c>
      <c r="E1279" s="95">
        <v>172068</v>
      </c>
      <c r="F1279" s="21">
        <v>2</v>
      </c>
      <c r="G1279" s="3">
        <f t="shared" si="282"/>
        <v>344136</v>
      </c>
      <c r="H1279" s="21">
        <v>2</v>
      </c>
      <c r="I1279" s="3">
        <f t="shared" si="283"/>
        <v>344136</v>
      </c>
      <c r="J1279" s="21">
        <v>2</v>
      </c>
      <c r="K1279" s="3">
        <f t="shared" si="284"/>
        <v>344136</v>
      </c>
      <c r="L1279" s="21">
        <v>2</v>
      </c>
      <c r="M1279" s="3">
        <f t="shared" si="285"/>
        <v>344136</v>
      </c>
    </row>
    <row r="1280" spans="2:13" ht="12.95" customHeight="1" x14ac:dyDescent="0.3">
      <c r="B1280" s="68" t="s">
        <v>11</v>
      </c>
      <c r="C1280" s="68" t="s">
        <v>43</v>
      </c>
      <c r="D1280" s="35" t="s">
        <v>44</v>
      </c>
      <c r="E1280" s="95">
        <v>49698</v>
      </c>
      <c r="F1280" s="21">
        <v>8</v>
      </c>
      <c r="G1280" s="3">
        <f t="shared" si="282"/>
        <v>397584</v>
      </c>
      <c r="H1280" s="21">
        <v>8</v>
      </c>
      <c r="I1280" s="3">
        <f t="shared" si="283"/>
        <v>397584</v>
      </c>
      <c r="J1280" s="21">
        <v>8</v>
      </c>
      <c r="K1280" s="3">
        <f t="shared" si="284"/>
        <v>397584</v>
      </c>
      <c r="L1280" s="21">
        <v>8</v>
      </c>
      <c r="M1280" s="3">
        <f t="shared" si="285"/>
        <v>397584</v>
      </c>
    </row>
    <row r="1281" spans="2:13" ht="12.95" customHeight="1" x14ac:dyDescent="0.3">
      <c r="B1281" s="45" t="s">
        <v>39</v>
      </c>
      <c r="C1281" s="75"/>
      <c r="D1281" s="75"/>
      <c r="E1281" s="18"/>
      <c r="F1281" s="25"/>
      <c r="G1281" s="20">
        <f>TRUNC(SUM(G1278:G1280))</f>
        <v>1700952</v>
      </c>
      <c r="H1281" s="25"/>
      <c r="I1281" s="20">
        <f>TRUNC(SUM(I1278:I1280))</f>
        <v>1700952</v>
      </c>
      <c r="J1281" s="25"/>
      <c r="K1281" s="20">
        <f>TRUNC(SUM(K1278:K1280))</f>
        <v>1700952</v>
      </c>
      <c r="L1281" s="25"/>
      <c r="M1281" s="20">
        <f>TRUNC(SUM(M1278:M1280))</f>
        <v>1700952</v>
      </c>
    </row>
    <row r="1282" spans="2:13" ht="12.95" customHeight="1" x14ac:dyDescent="0.3">
      <c r="B1282" s="77"/>
      <c r="C1282" s="75"/>
      <c r="D1282" s="75"/>
      <c r="E1282" s="112"/>
      <c r="F1282" s="25"/>
      <c r="G1282" s="78"/>
      <c r="H1282" s="25"/>
      <c r="I1282" s="78"/>
      <c r="J1282" s="25"/>
      <c r="K1282" s="78"/>
      <c r="L1282" s="25"/>
      <c r="M1282" s="78"/>
    </row>
    <row r="1283" spans="2:13" ht="12.95" customHeight="1" x14ac:dyDescent="0.3">
      <c r="B1283" s="68" t="s">
        <v>11</v>
      </c>
      <c r="C1283" s="68" t="s">
        <v>43</v>
      </c>
      <c r="D1283" s="69" t="s">
        <v>48</v>
      </c>
      <c r="E1283" s="95">
        <v>11117</v>
      </c>
      <c r="F1283" s="21">
        <v>8</v>
      </c>
      <c r="G1283" s="3">
        <f t="shared" ref="G1283" si="286">TRUNC($E1283*F1283,1)</f>
        <v>88936</v>
      </c>
      <c r="H1283" s="21">
        <v>8</v>
      </c>
      <c r="I1283" s="3">
        <f t="shared" ref="I1283" si="287">TRUNC($E1283*H1283,1)</f>
        <v>88936</v>
      </c>
      <c r="J1283" s="21">
        <v>8</v>
      </c>
      <c r="K1283" s="3">
        <f t="shared" ref="K1283" si="288">TRUNC($E1283*J1283,1)</f>
        <v>88936</v>
      </c>
      <c r="L1283" s="21">
        <v>8</v>
      </c>
      <c r="M1283" s="3">
        <f t="shared" ref="M1283" si="289">TRUNC($E1283*L1283,1)</f>
        <v>88936</v>
      </c>
    </row>
    <row r="1284" spans="2:13" ht="12.95" customHeight="1" x14ac:dyDescent="0.3">
      <c r="B1284" s="74" t="s">
        <v>40</v>
      </c>
      <c r="C1284" s="75"/>
      <c r="D1284" s="75"/>
      <c r="E1284" s="81"/>
      <c r="F1284" s="19"/>
      <c r="G1284" s="20">
        <f>TRUNC(SUM(G1283:G1283))</f>
        <v>88936</v>
      </c>
      <c r="H1284" s="19"/>
      <c r="I1284" s="20">
        <f>TRUNC(SUM(I1283:I1283))</f>
        <v>88936</v>
      </c>
      <c r="J1284" s="19"/>
      <c r="K1284" s="20">
        <f>TRUNC(SUM(K1283:K1283))</f>
        <v>88936</v>
      </c>
      <c r="L1284" s="19"/>
      <c r="M1284" s="20">
        <f>TRUNC(SUM(M1283:M1283))</f>
        <v>88936</v>
      </c>
    </row>
    <row r="1285" spans="2:13" ht="12.95" customHeight="1" x14ac:dyDescent="0.3">
      <c r="B1285" s="82"/>
      <c r="C1285" s="68"/>
      <c r="D1285" s="68"/>
      <c r="E1285" s="83"/>
      <c r="F1285" s="84"/>
      <c r="G1285" s="72"/>
      <c r="H1285" s="84"/>
      <c r="I1285" s="72"/>
      <c r="J1285" s="84"/>
      <c r="K1285" s="72"/>
      <c r="L1285" s="84"/>
      <c r="M1285" s="72"/>
    </row>
    <row r="1286" spans="2:13" ht="12.95" customHeight="1" x14ac:dyDescent="0.3">
      <c r="B1286" s="51" t="s">
        <v>42</v>
      </c>
      <c r="C1286" s="75"/>
      <c r="D1286" s="75"/>
      <c r="E1286" s="81"/>
      <c r="F1286" s="81"/>
      <c r="G1286" s="85">
        <f>SUM(G1276+G1281+G1284)</f>
        <v>1902693</v>
      </c>
      <c r="H1286" s="81"/>
      <c r="I1286" s="85">
        <f>SUM(I1276+I1281+I1284)</f>
        <v>1902693</v>
      </c>
      <c r="J1286" s="81"/>
      <c r="K1286" s="85">
        <f>SUM(K1276+K1281+K1284)</f>
        <v>1902693</v>
      </c>
      <c r="L1286" s="81"/>
      <c r="M1286" s="85">
        <f>SUM(M1276+M1281+M1284)</f>
        <v>1902693</v>
      </c>
    </row>
    <row r="1287" spans="2:13" ht="12.95" customHeight="1" x14ac:dyDescent="0.3">
      <c r="B1287" s="52" t="s">
        <v>255</v>
      </c>
      <c r="C1287" s="86"/>
      <c r="D1287" s="86"/>
      <c r="E1287" s="87"/>
      <c r="F1287" s="87"/>
      <c r="G1287" s="8">
        <f>TRUNC(G1286/G1272)</f>
        <v>17455</v>
      </c>
      <c r="H1287" s="87"/>
      <c r="I1287" s="8">
        <f>TRUNC(I1286/I1272)</f>
        <v>21870</v>
      </c>
      <c r="J1287" s="87"/>
      <c r="K1287" s="8">
        <f>TRUNC(K1286/K1272)</f>
        <v>22384</v>
      </c>
      <c r="L1287" s="87"/>
      <c r="M1287" s="8">
        <f>TRUNC(M1286/M1272)</f>
        <v>26426</v>
      </c>
    </row>
    <row r="1288" spans="2:13" ht="12.95" customHeight="1" x14ac:dyDescent="0.3">
      <c r="B1288" s="142" t="s">
        <v>30</v>
      </c>
      <c r="C1288" s="145" t="s">
        <v>34</v>
      </c>
      <c r="D1288" s="145" t="s">
        <v>35</v>
      </c>
      <c r="E1288" s="145" t="s">
        <v>31</v>
      </c>
      <c r="F1288" s="139" t="s">
        <v>129</v>
      </c>
      <c r="G1288" s="140"/>
      <c r="H1288" s="140"/>
      <c r="I1288" s="140"/>
      <c r="J1288" s="140"/>
      <c r="K1288" s="140"/>
      <c r="L1288" s="140"/>
      <c r="M1288" s="140"/>
    </row>
    <row r="1289" spans="2:13" ht="12.95" customHeight="1" x14ac:dyDescent="0.3">
      <c r="B1289" s="143"/>
      <c r="C1289" s="146"/>
      <c r="D1289" s="146"/>
      <c r="E1289" s="146"/>
      <c r="F1289" s="139" t="s">
        <v>258</v>
      </c>
      <c r="G1289" s="140"/>
      <c r="H1289" s="139" t="s">
        <v>259</v>
      </c>
      <c r="I1289" s="140"/>
      <c r="J1289" s="139" t="s">
        <v>260</v>
      </c>
      <c r="K1289" s="140"/>
      <c r="L1289" s="139" t="s">
        <v>261</v>
      </c>
      <c r="M1289" s="140"/>
    </row>
    <row r="1290" spans="2:13" ht="12.95" customHeight="1" x14ac:dyDescent="0.3">
      <c r="B1290" s="143"/>
      <c r="C1290" s="146"/>
      <c r="D1290" s="146"/>
      <c r="E1290" s="146"/>
      <c r="F1290" s="34" t="s">
        <v>256</v>
      </c>
      <c r="G1290" s="37">
        <v>138</v>
      </c>
      <c r="H1290" s="34" t="s">
        <v>256</v>
      </c>
      <c r="I1290" s="37">
        <v>121</v>
      </c>
      <c r="J1290" s="34" t="s">
        <v>256</v>
      </c>
      <c r="K1290" s="37">
        <v>111</v>
      </c>
      <c r="L1290" s="34" t="s">
        <v>256</v>
      </c>
      <c r="M1290" s="37">
        <v>77</v>
      </c>
    </row>
    <row r="1291" spans="2:13" ht="12.95" customHeight="1" x14ac:dyDescent="0.3">
      <c r="B1291" s="144"/>
      <c r="C1291" s="147"/>
      <c r="D1291" s="147"/>
      <c r="E1291" s="147"/>
      <c r="F1291" s="38" t="s">
        <v>32</v>
      </c>
      <c r="G1291" s="39" t="s">
        <v>33</v>
      </c>
      <c r="H1291" s="38" t="s">
        <v>32</v>
      </c>
      <c r="I1291" s="39" t="s">
        <v>33</v>
      </c>
      <c r="J1291" s="38" t="s">
        <v>32</v>
      </c>
      <c r="K1291" s="39" t="s">
        <v>33</v>
      </c>
      <c r="L1291" s="38" t="s">
        <v>32</v>
      </c>
      <c r="M1291" s="39" t="s">
        <v>33</v>
      </c>
    </row>
    <row r="1292" spans="2:13" ht="12.95" customHeight="1" x14ac:dyDescent="0.3">
      <c r="B1292" s="68" t="s">
        <v>11</v>
      </c>
      <c r="C1292" s="68" t="s">
        <v>43</v>
      </c>
      <c r="D1292" s="69" t="s">
        <v>48</v>
      </c>
      <c r="E1292" s="95">
        <v>9213</v>
      </c>
      <c r="F1292" s="21">
        <v>8</v>
      </c>
      <c r="G1292" s="3">
        <f t="shared" ref="G1292:M1293" si="290">TRUNC($E1292*F1292,1)</f>
        <v>73704</v>
      </c>
      <c r="H1292" s="21">
        <v>8</v>
      </c>
      <c r="I1292" s="3">
        <f t="shared" si="290"/>
        <v>73704</v>
      </c>
      <c r="J1292" s="21">
        <v>8</v>
      </c>
      <c r="K1292" s="3">
        <f t="shared" si="290"/>
        <v>73704</v>
      </c>
      <c r="L1292" s="21">
        <v>8</v>
      </c>
      <c r="M1292" s="3">
        <f t="shared" si="290"/>
        <v>73704</v>
      </c>
    </row>
    <row r="1293" spans="2:13" ht="12.95" customHeight="1" x14ac:dyDescent="0.3">
      <c r="B1293" s="68" t="s">
        <v>198</v>
      </c>
      <c r="C1293" s="68" t="s">
        <v>199</v>
      </c>
      <c r="D1293" s="69" t="s">
        <v>48</v>
      </c>
      <c r="E1293" s="95">
        <v>5600</v>
      </c>
      <c r="F1293" s="21">
        <v>8</v>
      </c>
      <c r="G1293" s="3">
        <f t="shared" si="290"/>
        <v>44800</v>
      </c>
      <c r="H1293" s="21">
        <v>8</v>
      </c>
      <c r="I1293" s="3">
        <f t="shared" si="290"/>
        <v>44800</v>
      </c>
      <c r="J1293" s="21">
        <v>8</v>
      </c>
      <c r="K1293" s="3">
        <f t="shared" si="290"/>
        <v>44800</v>
      </c>
      <c r="L1293" s="21">
        <v>8</v>
      </c>
      <c r="M1293" s="3">
        <f t="shared" si="290"/>
        <v>44800</v>
      </c>
    </row>
    <row r="1294" spans="2:13" ht="12.95" customHeight="1" x14ac:dyDescent="0.3">
      <c r="B1294" s="96" t="s">
        <v>36</v>
      </c>
      <c r="C1294" s="97" t="s">
        <v>41</v>
      </c>
      <c r="D1294" s="35" t="s">
        <v>45</v>
      </c>
      <c r="E1294" s="98"/>
      <c r="F1294" s="109">
        <v>1</v>
      </c>
      <c r="G1294" s="5">
        <f>TRUNC(SUM(G1297:G1298)*0.03,1)</f>
        <v>44263</v>
      </c>
      <c r="H1294" s="109">
        <v>1</v>
      </c>
      <c r="I1294" s="5">
        <f>TRUNC(SUM(I1297:I1298)*0.03,1)</f>
        <v>44263</v>
      </c>
      <c r="J1294" s="109">
        <v>1</v>
      </c>
      <c r="K1294" s="5">
        <f>TRUNC(SUM(K1297:K1298)*0.03,1)</f>
        <v>44263</v>
      </c>
      <c r="L1294" s="109">
        <v>1</v>
      </c>
      <c r="M1294" s="5">
        <f>TRUNC(SUM(M1297:M1298)*0.03,1)</f>
        <v>44263</v>
      </c>
    </row>
    <row r="1295" spans="2:13" ht="12.95" customHeight="1" x14ac:dyDescent="0.3">
      <c r="B1295" s="74" t="s">
        <v>38</v>
      </c>
      <c r="C1295" s="75"/>
      <c r="D1295" s="75"/>
      <c r="E1295" s="24"/>
      <c r="F1295" s="25"/>
      <c r="G1295" s="20">
        <f>TRUNC(SUM(G1292:G1294))</f>
        <v>162767</v>
      </c>
      <c r="H1295" s="25"/>
      <c r="I1295" s="20">
        <f>TRUNC(SUM(I1292:I1294))</f>
        <v>162767</v>
      </c>
      <c r="J1295" s="25"/>
      <c r="K1295" s="20">
        <f>TRUNC(SUM(K1292:K1294))</f>
        <v>162767</v>
      </c>
      <c r="L1295" s="25"/>
      <c r="M1295" s="20">
        <f>TRUNC(SUM(M1292:M1294))</f>
        <v>162767</v>
      </c>
    </row>
    <row r="1296" spans="2:13" ht="12.95" customHeight="1" x14ac:dyDescent="0.3">
      <c r="B1296" s="77"/>
      <c r="C1296" s="75"/>
      <c r="D1296" s="75"/>
      <c r="E1296" s="24"/>
      <c r="F1296" s="25"/>
      <c r="G1296" s="78"/>
      <c r="H1296" s="25"/>
      <c r="I1296" s="78"/>
      <c r="J1296" s="25"/>
      <c r="K1296" s="78"/>
      <c r="L1296" s="25"/>
      <c r="M1296" s="78"/>
    </row>
    <row r="1297" spans="2:13" ht="12.95" customHeight="1" x14ac:dyDescent="0.3">
      <c r="B1297" s="40" t="s">
        <v>12</v>
      </c>
      <c r="C1297" s="41"/>
      <c r="D1297" s="42" t="s">
        <v>37</v>
      </c>
      <c r="E1297" s="95">
        <v>239808</v>
      </c>
      <c r="F1297" s="21">
        <v>4</v>
      </c>
      <c r="G1297" s="3">
        <f t="shared" ref="G1297:M1300" si="291">TRUNC($E1297*F1297,1)</f>
        <v>959232</v>
      </c>
      <c r="H1297" s="21">
        <v>4</v>
      </c>
      <c r="I1297" s="3">
        <f t="shared" si="291"/>
        <v>959232</v>
      </c>
      <c r="J1297" s="21">
        <v>4</v>
      </c>
      <c r="K1297" s="3">
        <f t="shared" si="291"/>
        <v>959232</v>
      </c>
      <c r="L1297" s="21">
        <v>4</v>
      </c>
      <c r="M1297" s="3">
        <f t="shared" si="291"/>
        <v>959232</v>
      </c>
    </row>
    <row r="1298" spans="2:13" ht="12.95" customHeight="1" x14ac:dyDescent="0.3">
      <c r="B1298" s="40" t="s">
        <v>8</v>
      </c>
      <c r="C1298" s="41"/>
      <c r="D1298" s="42" t="s">
        <v>37</v>
      </c>
      <c r="E1298" s="95">
        <v>172068</v>
      </c>
      <c r="F1298" s="21">
        <v>3</v>
      </c>
      <c r="G1298" s="3">
        <f t="shared" si="291"/>
        <v>516204</v>
      </c>
      <c r="H1298" s="21">
        <v>3</v>
      </c>
      <c r="I1298" s="3">
        <f t="shared" si="291"/>
        <v>516204</v>
      </c>
      <c r="J1298" s="21">
        <v>3</v>
      </c>
      <c r="K1298" s="3">
        <f t="shared" si="291"/>
        <v>516204</v>
      </c>
      <c r="L1298" s="21">
        <v>3</v>
      </c>
      <c r="M1298" s="3">
        <f t="shared" si="291"/>
        <v>516204</v>
      </c>
    </row>
    <row r="1299" spans="2:13" ht="12.95" customHeight="1" x14ac:dyDescent="0.3">
      <c r="B1299" s="68" t="s">
        <v>11</v>
      </c>
      <c r="C1299" s="68" t="s">
        <v>43</v>
      </c>
      <c r="D1299" s="35" t="s">
        <v>44</v>
      </c>
      <c r="E1299" s="95">
        <v>49698</v>
      </c>
      <c r="F1299" s="21">
        <v>8</v>
      </c>
      <c r="G1299" s="3">
        <f t="shared" si="291"/>
        <v>397584</v>
      </c>
      <c r="H1299" s="21">
        <v>8</v>
      </c>
      <c r="I1299" s="3">
        <f t="shared" si="291"/>
        <v>397584</v>
      </c>
      <c r="J1299" s="21">
        <v>8</v>
      </c>
      <c r="K1299" s="3">
        <f t="shared" si="291"/>
        <v>397584</v>
      </c>
      <c r="L1299" s="21">
        <v>8</v>
      </c>
      <c r="M1299" s="3">
        <f t="shared" si="291"/>
        <v>397584</v>
      </c>
    </row>
    <row r="1300" spans="2:13" ht="12.95" customHeight="1" x14ac:dyDescent="0.3">
      <c r="B1300" s="68" t="s">
        <v>198</v>
      </c>
      <c r="C1300" s="68" t="s">
        <v>199</v>
      </c>
      <c r="D1300" s="35" t="s">
        <v>44</v>
      </c>
      <c r="E1300" s="95">
        <v>49698</v>
      </c>
      <c r="F1300" s="21">
        <v>8</v>
      </c>
      <c r="G1300" s="3">
        <f t="shared" si="291"/>
        <v>397584</v>
      </c>
      <c r="H1300" s="21">
        <v>8</v>
      </c>
      <c r="I1300" s="3">
        <f t="shared" si="291"/>
        <v>397584</v>
      </c>
      <c r="J1300" s="21">
        <v>8</v>
      </c>
      <c r="K1300" s="3">
        <f t="shared" si="291"/>
        <v>397584</v>
      </c>
      <c r="L1300" s="21">
        <v>8</v>
      </c>
      <c r="M1300" s="3">
        <f t="shared" si="291"/>
        <v>397584</v>
      </c>
    </row>
    <row r="1301" spans="2:13" ht="12.95" customHeight="1" x14ac:dyDescent="0.3">
      <c r="B1301" s="45" t="s">
        <v>39</v>
      </c>
      <c r="C1301" s="75"/>
      <c r="D1301" s="75"/>
      <c r="E1301" s="18"/>
      <c r="F1301" s="25"/>
      <c r="G1301" s="20">
        <f>TRUNC(SUM(G1297:G1300))</f>
        <v>2270604</v>
      </c>
      <c r="H1301" s="25"/>
      <c r="I1301" s="20">
        <f>TRUNC(SUM(I1297:I1300))</f>
        <v>2270604</v>
      </c>
      <c r="J1301" s="25"/>
      <c r="K1301" s="20">
        <f>TRUNC(SUM(K1297:K1300))</f>
        <v>2270604</v>
      </c>
      <c r="L1301" s="25"/>
      <c r="M1301" s="20">
        <f>TRUNC(SUM(M1297:M1300))</f>
        <v>2270604</v>
      </c>
    </row>
    <row r="1302" spans="2:13" ht="12.95" customHeight="1" x14ac:dyDescent="0.3">
      <c r="B1302" s="77"/>
      <c r="C1302" s="75"/>
      <c r="D1302" s="75"/>
      <c r="E1302" s="112"/>
      <c r="F1302" s="25"/>
      <c r="G1302" s="78"/>
      <c r="H1302" s="25"/>
      <c r="I1302" s="78"/>
      <c r="J1302" s="25"/>
      <c r="K1302" s="78"/>
      <c r="L1302" s="25"/>
      <c r="M1302" s="78"/>
    </row>
    <row r="1303" spans="2:13" ht="12.95" customHeight="1" x14ac:dyDescent="0.3">
      <c r="B1303" s="68" t="s">
        <v>11</v>
      </c>
      <c r="C1303" s="68" t="s">
        <v>43</v>
      </c>
      <c r="D1303" s="69" t="s">
        <v>48</v>
      </c>
      <c r="E1303" s="95">
        <v>11117</v>
      </c>
      <c r="F1303" s="21">
        <v>8</v>
      </c>
      <c r="G1303" s="3">
        <f t="shared" ref="G1303:M1304" si="292">TRUNC($E1303*F1303,1)</f>
        <v>88936</v>
      </c>
      <c r="H1303" s="21">
        <v>8</v>
      </c>
      <c r="I1303" s="3">
        <f t="shared" si="292"/>
        <v>88936</v>
      </c>
      <c r="J1303" s="21">
        <v>8</v>
      </c>
      <c r="K1303" s="3">
        <f t="shared" si="292"/>
        <v>88936</v>
      </c>
      <c r="L1303" s="21">
        <v>8</v>
      </c>
      <c r="M1303" s="3">
        <f t="shared" si="292"/>
        <v>88936</v>
      </c>
    </row>
    <row r="1304" spans="2:13" ht="12.95" customHeight="1" x14ac:dyDescent="0.3">
      <c r="B1304" s="68" t="s">
        <v>198</v>
      </c>
      <c r="C1304" s="68" t="s">
        <v>199</v>
      </c>
      <c r="D1304" s="69" t="s">
        <v>48</v>
      </c>
      <c r="E1304" s="95">
        <v>17396</v>
      </c>
      <c r="F1304" s="21">
        <v>8</v>
      </c>
      <c r="G1304" s="3">
        <f t="shared" si="292"/>
        <v>139168</v>
      </c>
      <c r="H1304" s="21">
        <v>8</v>
      </c>
      <c r="I1304" s="3">
        <f t="shared" si="292"/>
        <v>139168</v>
      </c>
      <c r="J1304" s="21">
        <v>8</v>
      </c>
      <c r="K1304" s="3">
        <f t="shared" si="292"/>
        <v>139168</v>
      </c>
      <c r="L1304" s="21">
        <v>8</v>
      </c>
      <c r="M1304" s="3">
        <f t="shared" si="292"/>
        <v>139168</v>
      </c>
    </row>
    <row r="1305" spans="2:13" ht="12.95" customHeight="1" x14ac:dyDescent="0.3">
      <c r="B1305" s="74" t="s">
        <v>40</v>
      </c>
      <c r="C1305" s="75"/>
      <c r="D1305" s="75"/>
      <c r="E1305" s="81"/>
      <c r="F1305" s="19"/>
      <c r="G1305" s="20">
        <f>TRUNC(SUM(G1303:G1304))</f>
        <v>228104</v>
      </c>
      <c r="H1305" s="19"/>
      <c r="I1305" s="20">
        <f>TRUNC(SUM(I1303:I1304))</f>
        <v>228104</v>
      </c>
      <c r="J1305" s="19"/>
      <c r="K1305" s="20">
        <f>TRUNC(SUM(K1303:K1304))</f>
        <v>228104</v>
      </c>
      <c r="L1305" s="19"/>
      <c r="M1305" s="20">
        <f>TRUNC(SUM(M1303:M1304))</f>
        <v>228104</v>
      </c>
    </row>
    <row r="1306" spans="2:13" ht="12.95" customHeight="1" x14ac:dyDescent="0.3">
      <c r="B1306" s="82"/>
      <c r="C1306" s="68"/>
      <c r="D1306" s="68"/>
      <c r="E1306" s="83"/>
      <c r="F1306" s="84"/>
      <c r="G1306" s="72"/>
      <c r="H1306" s="84"/>
      <c r="I1306" s="72"/>
      <c r="J1306" s="84"/>
      <c r="K1306" s="72"/>
      <c r="L1306" s="84"/>
      <c r="M1306" s="72"/>
    </row>
    <row r="1307" spans="2:13" ht="12.95" customHeight="1" x14ac:dyDescent="0.3">
      <c r="B1307" s="51" t="s">
        <v>42</v>
      </c>
      <c r="C1307" s="75"/>
      <c r="D1307" s="75"/>
      <c r="E1307" s="81"/>
      <c r="F1307" s="81"/>
      <c r="G1307" s="85">
        <f>SUM(G1295+G1301+G1305)</f>
        <v>2661475</v>
      </c>
      <c r="H1307" s="81"/>
      <c r="I1307" s="85">
        <f>SUM(I1295+I1301+I1305)</f>
        <v>2661475</v>
      </c>
      <c r="J1307" s="81"/>
      <c r="K1307" s="85">
        <f>SUM(K1295+K1301+K1305)</f>
        <v>2661475</v>
      </c>
      <c r="L1307" s="81"/>
      <c r="M1307" s="85">
        <f>SUM(M1295+M1301+M1305)</f>
        <v>2661475</v>
      </c>
    </row>
    <row r="1308" spans="2:13" ht="12.95" customHeight="1" x14ac:dyDescent="0.3">
      <c r="B1308" s="52" t="s">
        <v>255</v>
      </c>
      <c r="C1308" s="86"/>
      <c r="D1308" s="86"/>
      <c r="E1308" s="87"/>
      <c r="F1308" s="87"/>
      <c r="G1308" s="8">
        <f>TRUNC(G1307/G1290)</f>
        <v>19286</v>
      </c>
      <c r="H1308" s="87"/>
      <c r="I1308" s="8">
        <f>TRUNC(I1307/I1290)</f>
        <v>21995</v>
      </c>
      <c r="J1308" s="87"/>
      <c r="K1308" s="8">
        <f>TRUNC(K1307/K1290)</f>
        <v>23977</v>
      </c>
      <c r="L1308" s="87"/>
      <c r="M1308" s="8">
        <f>TRUNC(M1307/M1290)</f>
        <v>34564</v>
      </c>
    </row>
    <row r="1309" spans="2:13" ht="12.95" customHeight="1" x14ac:dyDescent="0.3">
      <c r="B1309" s="142" t="s">
        <v>30</v>
      </c>
      <c r="C1309" s="145" t="s">
        <v>34</v>
      </c>
      <c r="D1309" s="145" t="s">
        <v>35</v>
      </c>
      <c r="E1309" s="145" t="s">
        <v>31</v>
      </c>
      <c r="F1309" s="139" t="s">
        <v>126</v>
      </c>
      <c r="G1309" s="140"/>
      <c r="H1309" s="140"/>
      <c r="I1309" s="140"/>
      <c r="J1309" s="140"/>
      <c r="K1309" s="140"/>
    </row>
    <row r="1310" spans="2:13" ht="12.95" customHeight="1" x14ac:dyDescent="0.3">
      <c r="B1310" s="143"/>
      <c r="C1310" s="146"/>
      <c r="D1310" s="146"/>
      <c r="E1310" s="146"/>
      <c r="F1310" s="139" t="s">
        <v>258</v>
      </c>
      <c r="G1310" s="140"/>
      <c r="H1310" s="139" t="s">
        <v>259</v>
      </c>
      <c r="I1310" s="140"/>
      <c r="J1310" s="139" t="s">
        <v>260</v>
      </c>
      <c r="K1310" s="140"/>
    </row>
    <row r="1311" spans="2:13" ht="12.95" customHeight="1" x14ac:dyDescent="0.3">
      <c r="B1311" s="143"/>
      <c r="C1311" s="146"/>
      <c r="D1311" s="146"/>
      <c r="E1311" s="146"/>
      <c r="F1311" s="34" t="s">
        <v>256</v>
      </c>
      <c r="G1311" s="37">
        <v>129</v>
      </c>
      <c r="H1311" s="34" t="s">
        <v>256</v>
      </c>
      <c r="I1311" s="37">
        <v>103</v>
      </c>
      <c r="J1311" s="34" t="s">
        <v>256</v>
      </c>
      <c r="K1311" s="37">
        <v>90</v>
      </c>
    </row>
    <row r="1312" spans="2:13" ht="12.95" customHeight="1" x14ac:dyDescent="0.3">
      <c r="B1312" s="144"/>
      <c r="C1312" s="147"/>
      <c r="D1312" s="147"/>
      <c r="E1312" s="147"/>
      <c r="F1312" s="38" t="s">
        <v>32</v>
      </c>
      <c r="G1312" s="39" t="s">
        <v>33</v>
      </c>
      <c r="H1312" s="38" t="s">
        <v>32</v>
      </c>
      <c r="I1312" s="39" t="s">
        <v>33</v>
      </c>
      <c r="J1312" s="38" t="s">
        <v>32</v>
      </c>
      <c r="K1312" s="39" t="s">
        <v>33</v>
      </c>
    </row>
    <row r="1313" spans="2:11" ht="12.95" customHeight="1" x14ac:dyDescent="0.3">
      <c r="B1313" s="68" t="s">
        <v>11</v>
      </c>
      <c r="C1313" s="68" t="s">
        <v>43</v>
      </c>
      <c r="D1313" s="69" t="s">
        <v>48</v>
      </c>
      <c r="E1313" s="95">
        <v>9213</v>
      </c>
      <c r="F1313" s="21">
        <v>8</v>
      </c>
      <c r="G1313" s="3">
        <f t="shared" ref="G1313:K1314" si="293">TRUNC($E1313*F1313,1)</f>
        <v>73704</v>
      </c>
      <c r="H1313" s="21">
        <v>8</v>
      </c>
      <c r="I1313" s="3">
        <f t="shared" si="293"/>
        <v>73704</v>
      </c>
      <c r="J1313" s="21">
        <v>8</v>
      </c>
      <c r="K1313" s="3">
        <f t="shared" si="293"/>
        <v>73704</v>
      </c>
    </row>
    <row r="1314" spans="2:11" ht="12.95" customHeight="1" x14ac:dyDescent="0.3">
      <c r="B1314" s="68" t="s">
        <v>198</v>
      </c>
      <c r="C1314" s="68" t="s">
        <v>199</v>
      </c>
      <c r="D1314" s="69" t="s">
        <v>48</v>
      </c>
      <c r="E1314" s="95">
        <v>5600</v>
      </c>
      <c r="F1314" s="21">
        <v>8</v>
      </c>
      <c r="G1314" s="3">
        <f t="shared" si="293"/>
        <v>44800</v>
      </c>
      <c r="H1314" s="21">
        <v>8</v>
      </c>
      <c r="I1314" s="3">
        <f t="shared" si="293"/>
        <v>44800</v>
      </c>
      <c r="J1314" s="21">
        <v>8</v>
      </c>
      <c r="K1314" s="3">
        <f t="shared" si="293"/>
        <v>44800</v>
      </c>
    </row>
    <row r="1315" spans="2:11" ht="12.95" customHeight="1" x14ac:dyDescent="0.3">
      <c r="B1315" s="96" t="s">
        <v>36</v>
      </c>
      <c r="C1315" s="97" t="s">
        <v>41</v>
      </c>
      <c r="D1315" s="35" t="s">
        <v>45</v>
      </c>
      <c r="E1315" s="98"/>
      <c r="F1315" s="109">
        <v>1</v>
      </c>
      <c r="G1315" s="5">
        <f>TRUNC(SUM(G1318:G1319)*0.03,1)</f>
        <v>44263</v>
      </c>
      <c r="H1315" s="109">
        <v>1</v>
      </c>
      <c r="I1315" s="5">
        <f>TRUNC(SUM(I1318:I1319)*0.03,1)</f>
        <v>44263</v>
      </c>
      <c r="J1315" s="109">
        <v>1</v>
      </c>
      <c r="K1315" s="5">
        <f>TRUNC(SUM(K1318:K1319)*0.03,1)</f>
        <v>44263</v>
      </c>
    </row>
    <row r="1316" spans="2:11" ht="12.95" customHeight="1" x14ac:dyDescent="0.3">
      <c r="B1316" s="74" t="s">
        <v>38</v>
      </c>
      <c r="C1316" s="75"/>
      <c r="D1316" s="75"/>
      <c r="E1316" s="24"/>
      <c r="F1316" s="25"/>
      <c r="G1316" s="20">
        <f>TRUNC(SUM(G1313:G1315))</f>
        <v>162767</v>
      </c>
      <c r="H1316" s="25"/>
      <c r="I1316" s="20">
        <f>TRUNC(SUM(I1313:I1315))</f>
        <v>162767</v>
      </c>
      <c r="J1316" s="25"/>
      <c r="K1316" s="20">
        <f>TRUNC(SUM(K1313:K1315))</f>
        <v>162767</v>
      </c>
    </row>
    <row r="1317" spans="2:11" ht="12.95" customHeight="1" x14ac:dyDescent="0.3">
      <c r="B1317" s="77"/>
      <c r="C1317" s="75"/>
      <c r="D1317" s="75"/>
      <c r="E1317" s="24"/>
      <c r="F1317" s="25"/>
      <c r="G1317" s="78"/>
      <c r="H1317" s="25"/>
      <c r="I1317" s="78"/>
      <c r="J1317" s="25"/>
      <c r="K1317" s="78"/>
    </row>
    <row r="1318" spans="2:11" ht="12.95" customHeight="1" x14ac:dyDescent="0.3">
      <c r="B1318" s="40" t="s">
        <v>12</v>
      </c>
      <c r="C1318" s="41"/>
      <c r="D1318" s="42" t="s">
        <v>37</v>
      </c>
      <c r="E1318" s="95">
        <v>239808</v>
      </c>
      <c r="F1318" s="21">
        <v>4</v>
      </c>
      <c r="G1318" s="3">
        <f t="shared" ref="G1318:K1321" si="294">TRUNC($E1318*F1318,1)</f>
        <v>959232</v>
      </c>
      <c r="H1318" s="21">
        <v>4</v>
      </c>
      <c r="I1318" s="3">
        <f t="shared" si="294"/>
        <v>959232</v>
      </c>
      <c r="J1318" s="21">
        <v>4</v>
      </c>
      <c r="K1318" s="3">
        <f t="shared" si="294"/>
        <v>959232</v>
      </c>
    </row>
    <row r="1319" spans="2:11" ht="12.95" customHeight="1" x14ac:dyDescent="0.3">
      <c r="B1319" s="40" t="s">
        <v>8</v>
      </c>
      <c r="C1319" s="41"/>
      <c r="D1319" s="42" t="s">
        <v>37</v>
      </c>
      <c r="E1319" s="95">
        <v>172068</v>
      </c>
      <c r="F1319" s="21">
        <v>3</v>
      </c>
      <c r="G1319" s="3">
        <f t="shared" si="294"/>
        <v>516204</v>
      </c>
      <c r="H1319" s="21">
        <v>3</v>
      </c>
      <c r="I1319" s="3">
        <f t="shared" si="294"/>
        <v>516204</v>
      </c>
      <c r="J1319" s="21">
        <v>3</v>
      </c>
      <c r="K1319" s="3">
        <f t="shared" si="294"/>
        <v>516204</v>
      </c>
    </row>
    <row r="1320" spans="2:11" ht="12.95" customHeight="1" x14ac:dyDescent="0.3">
      <c r="B1320" s="68" t="s">
        <v>11</v>
      </c>
      <c r="C1320" s="68" t="s">
        <v>43</v>
      </c>
      <c r="D1320" s="35" t="s">
        <v>44</v>
      </c>
      <c r="E1320" s="95">
        <v>49698</v>
      </c>
      <c r="F1320" s="21">
        <v>8</v>
      </c>
      <c r="G1320" s="3">
        <f t="shared" si="294"/>
        <v>397584</v>
      </c>
      <c r="H1320" s="21">
        <v>8</v>
      </c>
      <c r="I1320" s="3">
        <f t="shared" si="294"/>
        <v>397584</v>
      </c>
      <c r="J1320" s="21">
        <v>8</v>
      </c>
      <c r="K1320" s="3">
        <f t="shared" si="294"/>
        <v>397584</v>
      </c>
    </row>
    <row r="1321" spans="2:11" ht="12.95" customHeight="1" x14ac:dyDescent="0.3">
      <c r="B1321" s="68" t="s">
        <v>198</v>
      </c>
      <c r="C1321" s="68" t="s">
        <v>199</v>
      </c>
      <c r="D1321" s="35" t="s">
        <v>44</v>
      </c>
      <c r="E1321" s="95">
        <v>49698</v>
      </c>
      <c r="F1321" s="21">
        <v>8</v>
      </c>
      <c r="G1321" s="3">
        <f t="shared" si="294"/>
        <v>397584</v>
      </c>
      <c r="H1321" s="21">
        <v>8</v>
      </c>
      <c r="I1321" s="3">
        <f t="shared" si="294"/>
        <v>397584</v>
      </c>
      <c r="J1321" s="21">
        <v>8</v>
      </c>
      <c r="K1321" s="3">
        <f t="shared" si="294"/>
        <v>397584</v>
      </c>
    </row>
    <row r="1322" spans="2:11" ht="12.95" customHeight="1" x14ac:dyDescent="0.3">
      <c r="B1322" s="45" t="s">
        <v>39</v>
      </c>
      <c r="C1322" s="75"/>
      <c r="D1322" s="75"/>
      <c r="E1322" s="18"/>
      <c r="F1322" s="25"/>
      <c r="G1322" s="20">
        <f>TRUNC(SUM(G1318:G1321))</f>
        <v>2270604</v>
      </c>
      <c r="H1322" s="25"/>
      <c r="I1322" s="20">
        <f>TRUNC(SUM(I1318:I1321))</f>
        <v>2270604</v>
      </c>
      <c r="J1322" s="25"/>
      <c r="K1322" s="20">
        <f>TRUNC(SUM(K1318:K1321))</f>
        <v>2270604</v>
      </c>
    </row>
    <row r="1323" spans="2:11" ht="12.95" customHeight="1" x14ac:dyDescent="0.3">
      <c r="B1323" s="77"/>
      <c r="C1323" s="75"/>
      <c r="D1323" s="75"/>
      <c r="E1323" s="112"/>
      <c r="F1323" s="25"/>
      <c r="G1323" s="78"/>
      <c r="H1323" s="25"/>
      <c r="I1323" s="78"/>
      <c r="J1323" s="25"/>
      <c r="K1323" s="78"/>
    </row>
    <row r="1324" spans="2:11" ht="12.95" customHeight="1" x14ac:dyDescent="0.3">
      <c r="B1324" s="68" t="s">
        <v>11</v>
      </c>
      <c r="C1324" s="68" t="s">
        <v>43</v>
      </c>
      <c r="D1324" s="69" t="s">
        <v>48</v>
      </c>
      <c r="E1324" s="95">
        <v>11117</v>
      </c>
      <c r="F1324" s="21">
        <v>8</v>
      </c>
      <c r="G1324" s="3">
        <f t="shared" ref="G1324:K1325" si="295">TRUNC($E1324*F1324,1)</f>
        <v>88936</v>
      </c>
      <c r="H1324" s="21">
        <v>8</v>
      </c>
      <c r="I1324" s="3">
        <f t="shared" si="295"/>
        <v>88936</v>
      </c>
      <c r="J1324" s="21">
        <v>8</v>
      </c>
      <c r="K1324" s="3">
        <f t="shared" si="295"/>
        <v>88936</v>
      </c>
    </row>
    <row r="1325" spans="2:11" ht="12.95" customHeight="1" x14ac:dyDescent="0.3">
      <c r="B1325" s="68" t="s">
        <v>198</v>
      </c>
      <c r="C1325" s="68" t="s">
        <v>199</v>
      </c>
      <c r="D1325" s="69" t="s">
        <v>48</v>
      </c>
      <c r="E1325" s="95">
        <v>17396</v>
      </c>
      <c r="F1325" s="21">
        <v>8</v>
      </c>
      <c r="G1325" s="3">
        <f t="shared" si="295"/>
        <v>139168</v>
      </c>
      <c r="H1325" s="21">
        <v>8</v>
      </c>
      <c r="I1325" s="3">
        <f t="shared" si="295"/>
        <v>139168</v>
      </c>
      <c r="J1325" s="21">
        <v>8</v>
      </c>
      <c r="K1325" s="3">
        <f t="shared" si="295"/>
        <v>139168</v>
      </c>
    </row>
    <row r="1326" spans="2:11" ht="12.95" customHeight="1" x14ac:dyDescent="0.3">
      <c r="B1326" s="74" t="s">
        <v>40</v>
      </c>
      <c r="C1326" s="75"/>
      <c r="D1326" s="75"/>
      <c r="E1326" s="81"/>
      <c r="F1326" s="19"/>
      <c r="G1326" s="20">
        <f>TRUNC(SUM(G1324:G1325))</f>
        <v>228104</v>
      </c>
      <c r="H1326" s="19"/>
      <c r="I1326" s="20">
        <f>TRUNC(SUM(I1324:I1325))</f>
        <v>228104</v>
      </c>
      <c r="J1326" s="19"/>
      <c r="K1326" s="20">
        <f>TRUNC(SUM(K1324:K1325))</f>
        <v>228104</v>
      </c>
    </row>
    <row r="1327" spans="2:11" ht="12.95" customHeight="1" x14ac:dyDescent="0.3">
      <c r="B1327" s="82"/>
      <c r="C1327" s="68"/>
      <c r="D1327" s="68"/>
      <c r="E1327" s="83"/>
      <c r="F1327" s="84"/>
      <c r="G1327" s="72"/>
      <c r="H1327" s="84"/>
      <c r="I1327" s="72"/>
      <c r="J1327" s="84"/>
      <c r="K1327" s="72"/>
    </row>
    <row r="1328" spans="2:11" ht="12.95" customHeight="1" x14ac:dyDescent="0.3">
      <c r="B1328" s="51" t="s">
        <v>42</v>
      </c>
      <c r="C1328" s="75"/>
      <c r="D1328" s="75"/>
      <c r="E1328" s="81"/>
      <c r="F1328" s="81"/>
      <c r="G1328" s="85">
        <f>SUM(G1316+G1322+G1326)</f>
        <v>2661475</v>
      </c>
      <c r="H1328" s="81"/>
      <c r="I1328" s="85">
        <f>SUM(I1316+I1322+I1326)</f>
        <v>2661475</v>
      </c>
      <c r="J1328" s="81"/>
      <c r="K1328" s="85">
        <f>SUM(K1316+K1322+K1326)</f>
        <v>2661475</v>
      </c>
    </row>
    <row r="1329" spans="2:11" ht="12.95" customHeight="1" x14ac:dyDescent="0.3">
      <c r="B1329" s="52" t="s">
        <v>255</v>
      </c>
      <c r="C1329" s="86"/>
      <c r="D1329" s="86"/>
      <c r="E1329" s="87"/>
      <c r="F1329" s="87"/>
      <c r="G1329" s="8">
        <f>TRUNC(G1328/G1311)</f>
        <v>20631</v>
      </c>
      <c r="H1329" s="87"/>
      <c r="I1329" s="8">
        <f>TRUNC(I1328/I1311)</f>
        <v>25839</v>
      </c>
      <c r="J1329" s="87"/>
      <c r="K1329" s="8">
        <f>TRUNC(K1328/K1311)</f>
        <v>29571</v>
      </c>
    </row>
    <row r="1330" spans="2:11" ht="12.95" customHeight="1" x14ac:dyDescent="0.3">
      <c r="B1330" s="142" t="s">
        <v>30</v>
      </c>
      <c r="C1330" s="145" t="s">
        <v>34</v>
      </c>
      <c r="D1330" s="145" t="s">
        <v>35</v>
      </c>
      <c r="E1330" s="145" t="s">
        <v>31</v>
      </c>
      <c r="F1330" s="139" t="s">
        <v>127</v>
      </c>
      <c r="G1330" s="140"/>
      <c r="H1330" s="140"/>
      <c r="I1330" s="140"/>
    </row>
    <row r="1331" spans="2:11" ht="12.95" customHeight="1" x14ac:dyDescent="0.3">
      <c r="B1331" s="143"/>
      <c r="C1331" s="146"/>
      <c r="D1331" s="146"/>
      <c r="E1331" s="146"/>
      <c r="F1331" s="139" t="s">
        <v>258</v>
      </c>
      <c r="G1331" s="140"/>
      <c r="H1331" s="139" t="s">
        <v>259</v>
      </c>
      <c r="I1331" s="140"/>
    </row>
    <row r="1332" spans="2:11" ht="12.95" customHeight="1" x14ac:dyDescent="0.3">
      <c r="B1332" s="143"/>
      <c r="C1332" s="146"/>
      <c r="D1332" s="146"/>
      <c r="E1332" s="146"/>
      <c r="F1332" s="34" t="s">
        <v>256</v>
      </c>
      <c r="G1332" s="37">
        <v>119</v>
      </c>
      <c r="H1332" s="34" t="s">
        <v>256</v>
      </c>
      <c r="I1332" s="37">
        <v>95</v>
      </c>
    </row>
    <row r="1333" spans="2:11" ht="12.95" customHeight="1" x14ac:dyDescent="0.3">
      <c r="B1333" s="144"/>
      <c r="C1333" s="147"/>
      <c r="D1333" s="147"/>
      <c r="E1333" s="147"/>
      <c r="F1333" s="38" t="s">
        <v>32</v>
      </c>
      <c r="G1333" s="39" t="s">
        <v>33</v>
      </c>
      <c r="H1333" s="38" t="s">
        <v>32</v>
      </c>
      <c r="I1333" s="39" t="s">
        <v>33</v>
      </c>
    </row>
    <row r="1334" spans="2:11" ht="12.95" customHeight="1" x14ac:dyDescent="0.3">
      <c r="B1334" s="68" t="s">
        <v>11</v>
      </c>
      <c r="C1334" s="68" t="s">
        <v>43</v>
      </c>
      <c r="D1334" s="69" t="s">
        <v>48</v>
      </c>
      <c r="E1334" s="95">
        <v>9213</v>
      </c>
      <c r="F1334" s="21">
        <v>8</v>
      </c>
      <c r="G1334" s="3">
        <f t="shared" ref="G1334:G1335" si="296">TRUNC($E1334*F1334,1)</f>
        <v>73704</v>
      </c>
      <c r="H1334" s="21">
        <v>8</v>
      </c>
      <c r="I1334" s="3">
        <f t="shared" ref="I1334:I1335" si="297">TRUNC($E1334*H1334,1)</f>
        <v>73704</v>
      </c>
    </row>
    <row r="1335" spans="2:11" ht="12.95" customHeight="1" x14ac:dyDescent="0.3">
      <c r="B1335" s="68" t="s">
        <v>198</v>
      </c>
      <c r="C1335" s="68" t="s">
        <v>199</v>
      </c>
      <c r="D1335" s="69" t="s">
        <v>48</v>
      </c>
      <c r="E1335" s="95">
        <v>5600</v>
      </c>
      <c r="F1335" s="21">
        <v>8</v>
      </c>
      <c r="G1335" s="3">
        <f t="shared" si="296"/>
        <v>44800</v>
      </c>
      <c r="H1335" s="21">
        <v>8</v>
      </c>
      <c r="I1335" s="3">
        <f t="shared" si="297"/>
        <v>44800</v>
      </c>
    </row>
    <row r="1336" spans="2:11" ht="12.95" customHeight="1" x14ac:dyDescent="0.3">
      <c r="B1336" s="96" t="s">
        <v>36</v>
      </c>
      <c r="C1336" s="97" t="s">
        <v>41</v>
      </c>
      <c r="D1336" s="35" t="s">
        <v>45</v>
      </c>
      <c r="E1336" s="98"/>
      <c r="F1336" s="109">
        <v>1</v>
      </c>
      <c r="G1336" s="5">
        <f>TRUNC(SUM(G1339:G1340)*0.03,1)</f>
        <v>44263</v>
      </c>
      <c r="H1336" s="109">
        <v>1</v>
      </c>
      <c r="I1336" s="5">
        <f>TRUNC(SUM(I1339:I1340)*0.03,1)</f>
        <v>44263</v>
      </c>
    </row>
    <row r="1337" spans="2:11" ht="12.95" customHeight="1" x14ac:dyDescent="0.3">
      <c r="B1337" s="74" t="s">
        <v>38</v>
      </c>
      <c r="C1337" s="75"/>
      <c r="D1337" s="75"/>
      <c r="E1337" s="24"/>
      <c r="F1337" s="25"/>
      <c r="G1337" s="20">
        <f>TRUNC(SUM(G1334:G1336))</f>
        <v>162767</v>
      </c>
      <c r="H1337" s="25"/>
      <c r="I1337" s="20">
        <f>TRUNC(SUM(I1334:I1336))</f>
        <v>162767</v>
      </c>
    </row>
    <row r="1338" spans="2:11" ht="12.95" customHeight="1" x14ac:dyDescent="0.3">
      <c r="B1338" s="77"/>
      <c r="C1338" s="75"/>
      <c r="D1338" s="75"/>
      <c r="E1338" s="24"/>
      <c r="F1338" s="25"/>
      <c r="G1338" s="78"/>
      <c r="H1338" s="25"/>
      <c r="I1338" s="78"/>
    </row>
    <row r="1339" spans="2:11" ht="12.95" customHeight="1" x14ac:dyDescent="0.3">
      <c r="B1339" s="40" t="s">
        <v>12</v>
      </c>
      <c r="C1339" s="41"/>
      <c r="D1339" s="42" t="s">
        <v>37</v>
      </c>
      <c r="E1339" s="95">
        <v>239808</v>
      </c>
      <c r="F1339" s="21">
        <v>4</v>
      </c>
      <c r="G1339" s="3">
        <f t="shared" ref="G1339:G1342" si="298">TRUNC($E1339*F1339,1)</f>
        <v>959232</v>
      </c>
      <c r="H1339" s="21">
        <v>4</v>
      </c>
      <c r="I1339" s="3">
        <f t="shared" ref="I1339:I1342" si="299">TRUNC($E1339*H1339,1)</f>
        <v>959232</v>
      </c>
    </row>
    <row r="1340" spans="2:11" ht="12.95" customHeight="1" x14ac:dyDescent="0.3">
      <c r="B1340" s="40" t="s">
        <v>8</v>
      </c>
      <c r="C1340" s="41"/>
      <c r="D1340" s="42" t="s">
        <v>37</v>
      </c>
      <c r="E1340" s="95">
        <v>172068</v>
      </c>
      <c r="F1340" s="21">
        <v>3</v>
      </c>
      <c r="G1340" s="3">
        <f t="shared" si="298"/>
        <v>516204</v>
      </c>
      <c r="H1340" s="21">
        <v>3</v>
      </c>
      <c r="I1340" s="3">
        <f t="shared" si="299"/>
        <v>516204</v>
      </c>
    </row>
    <row r="1341" spans="2:11" ht="12.95" customHeight="1" x14ac:dyDescent="0.3">
      <c r="B1341" s="68" t="s">
        <v>11</v>
      </c>
      <c r="C1341" s="68" t="s">
        <v>43</v>
      </c>
      <c r="D1341" s="35" t="s">
        <v>44</v>
      </c>
      <c r="E1341" s="95">
        <v>49698</v>
      </c>
      <c r="F1341" s="21">
        <v>8</v>
      </c>
      <c r="G1341" s="3">
        <f t="shared" si="298"/>
        <v>397584</v>
      </c>
      <c r="H1341" s="21">
        <v>8</v>
      </c>
      <c r="I1341" s="3">
        <f t="shared" si="299"/>
        <v>397584</v>
      </c>
    </row>
    <row r="1342" spans="2:11" ht="12.95" customHeight="1" x14ac:dyDescent="0.3">
      <c r="B1342" s="68" t="s">
        <v>198</v>
      </c>
      <c r="C1342" s="68" t="s">
        <v>199</v>
      </c>
      <c r="D1342" s="35" t="s">
        <v>44</v>
      </c>
      <c r="E1342" s="95">
        <v>49698</v>
      </c>
      <c r="F1342" s="21">
        <v>8</v>
      </c>
      <c r="G1342" s="3">
        <f t="shared" si="298"/>
        <v>397584</v>
      </c>
      <c r="H1342" s="21">
        <v>8</v>
      </c>
      <c r="I1342" s="3">
        <f t="shared" si="299"/>
        <v>397584</v>
      </c>
    </row>
    <row r="1343" spans="2:11" ht="12.95" customHeight="1" x14ac:dyDescent="0.3">
      <c r="B1343" s="45" t="s">
        <v>39</v>
      </c>
      <c r="C1343" s="75"/>
      <c r="D1343" s="75"/>
      <c r="E1343" s="18"/>
      <c r="F1343" s="25"/>
      <c r="G1343" s="20">
        <f>TRUNC(SUM(G1339:G1342))</f>
        <v>2270604</v>
      </c>
      <c r="H1343" s="25"/>
      <c r="I1343" s="20">
        <f>TRUNC(SUM(I1339:I1342))</f>
        <v>2270604</v>
      </c>
    </row>
    <row r="1344" spans="2:11" ht="12.95" customHeight="1" x14ac:dyDescent="0.3">
      <c r="B1344" s="77"/>
      <c r="C1344" s="75"/>
      <c r="D1344" s="75"/>
      <c r="E1344" s="112"/>
      <c r="F1344" s="25"/>
      <c r="G1344" s="78"/>
      <c r="H1344" s="25"/>
      <c r="I1344" s="78"/>
    </row>
    <row r="1345" spans="2:9" ht="12.95" customHeight="1" x14ac:dyDescent="0.3">
      <c r="B1345" s="68" t="s">
        <v>11</v>
      </c>
      <c r="C1345" s="68" t="s">
        <v>43</v>
      </c>
      <c r="D1345" s="69" t="s">
        <v>48</v>
      </c>
      <c r="E1345" s="95">
        <v>11117</v>
      </c>
      <c r="F1345" s="21">
        <v>8</v>
      </c>
      <c r="G1345" s="3">
        <f t="shared" ref="G1345:G1346" si="300">TRUNC($E1345*F1345,1)</f>
        <v>88936</v>
      </c>
      <c r="H1345" s="21">
        <v>8</v>
      </c>
      <c r="I1345" s="3">
        <f t="shared" ref="I1345:I1346" si="301">TRUNC($E1345*H1345,1)</f>
        <v>88936</v>
      </c>
    </row>
    <row r="1346" spans="2:9" ht="12.95" customHeight="1" x14ac:dyDescent="0.3">
      <c r="B1346" s="68" t="s">
        <v>198</v>
      </c>
      <c r="C1346" s="68" t="s">
        <v>199</v>
      </c>
      <c r="D1346" s="69" t="s">
        <v>48</v>
      </c>
      <c r="E1346" s="95">
        <v>17396</v>
      </c>
      <c r="F1346" s="21">
        <v>8</v>
      </c>
      <c r="G1346" s="3">
        <f t="shared" si="300"/>
        <v>139168</v>
      </c>
      <c r="H1346" s="21">
        <v>8</v>
      </c>
      <c r="I1346" s="3">
        <f t="shared" si="301"/>
        <v>139168</v>
      </c>
    </row>
    <row r="1347" spans="2:9" ht="12.95" customHeight="1" x14ac:dyDescent="0.3">
      <c r="B1347" s="74" t="s">
        <v>40</v>
      </c>
      <c r="C1347" s="75"/>
      <c r="D1347" s="75"/>
      <c r="E1347" s="81"/>
      <c r="F1347" s="19"/>
      <c r="G1347" s="20">
        <f>TRUNC(SUM(G1345:G1346))</f>
        <v>228104</v>
      </c>
      <c r="H1347" s="19"/>
      <c r="I1347" s="20">
        <f>TRUNC(SUM(I1345:I1346))</f>
        <v>228104</v>
      </c>
    </row>
    <row r="1348" spans="2:9" ht="12.95" customHeight="1" x14ac:dyDescent="0.3">
      <c r="B1348" s="82"/>
      <c r="C1348" s="68"/>
      <c r="D1348" s="68"/>
      <c r="E1348" s="83"/>
      <c r="F1348" s="84"/>
      <c r="G1348" s="72"/>
      <c r="H1348" s="84"/>
      <c r="I1348" s="72"/>
    </row>
    <row r="1349" spans="2:9" ht="12.95" customHeight="1" x14ac:dyDescent="0.3">
      <c r="B1349" s="51" t="s">
        <v>42</v>
      </c>
      <c r="C1349" s="75"/>
      <c r="D1349" s="75"/>
      <c r="E1349" s="81"/>
      <c r="F1349" s="81"/>
      <c r="G1349" s="85">
        <f>SUM(G1337+G1343+G1347)</f>
        <v>2661475</v>
      </c>
      <c r="H1349" s="81"/>
      <c r="I1349" s="85">
        <f>SUM(I1337+I1343+I1347)</f>
        <v>2661475</v>
      </c>
    </row>
    <row r="1350" spans="2:9" ht="12.95" customHeight="1" x14ac:dyDescent="0.3">
      <c r="B1350" s="52" t="s">
        <v>255</v>
      </c>
      <c r="C1350" s="86"/>
      <c r="D1350" s="86"/>
      <c r="E1350" s="87"/>
      <c r="F1350" s="87"/>
      <c r="G1350" s="8">
        <f>TRUNC(G1349/G1332)</f>
        <v>22365</v>
      </c>
      <c r="H1350" s="87"/>
      <c r="I1350" s="8">
        <f>TRUNC(I1349/I1332)</f>
        <v>28015</v>
      </c>
    </row>
    <row r="1351" spans="2:9" ht="12.95" customHeight="1" x14ac:dyDescent="0.3">
      <c r="B1351" s="142" t="s">
        <v>30</v>
      </c>
      <c r="C1351" s="145" t="s">
        <v>34</v>
      </c>
      <c r="D1351" s="145" t="s">
        <v>35</v>
      </c>
      <c r="E1351" s="145" t="s">
        <v>31</v>
      </c>
      <c r="F1351" s="139" t="s">
        <v>128</v>
      </c>
      <c r="G1351" s="140"/>
      <c r="H1351" s="140"/>
      <c r="I1351" s="140"/>
    </row>
    <row r="1352" spans="2:9" ht="12.95" customHeight="1" x14ac:dyDescent="0.3">
      <c r="B1352" s="143"/>
      <c r="C1352" s="146"/>
      <c r="D1352" s="146"/>
      <c r="E1352" s="146"/>
      <c r="F1352" s="139" t="s">
        <v>258</v>
      </c>
      <c r="G1352" s="140"/>
      <c r="H1352" s="139" t="s">
        <v>259</v>
      </c>
      <c r="I1352" s="140"/>
    </row>
    <row r="1353" spans="2:9" ht="12.95" customHeight="1" x14ac:dyDescent="0.3">
      <c r="B1353" s="143"/>
      <c r="C1353" s="146"/>
      <c r="D1353" s="146"/>
      <c r="E1353" s="146"/>
      <c r="F1353" s="34" t="s">
        <v>256</v>
      </c>
      <c r="G1353" s="37">
        <v>108</v>
      </c>
      <c r="H1353" s="34" t="s">
        <v>256</v>
      </c>
      <c r="I1353" s="37">
        <v>86</v>
      </c>
    </row>
    <row r="1354" spans="2:9" ht="12.95" customHeight="1" x14ac:dyDescent="0.3">
      <c r="B1354" s="144"/>
      <c r="C1354" s="147"/>
      <c r="D1354" s="147"/>
      <c r="E1354" s="147"/>
      <c r="F1354" s="38" t="s">
        <v>32</v>
      </c>
      <c r="G1354" s="39" t="s">
        <v>33</v>
      </c>
      <c r="H1354" s="38" t="s">
        <v>32</v>
      </c>
      <c r="I1354" s="39" t="s">
        <v>33</v>
      </c>
    </row>
    <row r="1355" spans="2:9" ht="12.95" customHeight="1" x14ac:dyDescent="0.3">
      <c r="B1355" s="68" t="s">
        <v>11</v>
      </c>
      <c r="C1355" s="68" t="s">
        <v>43</v>
      </c>
      <c r="D1355" s="69" t="s">
        <v>48</v>
      </c>
      <c r="E1355" s="95">
        <v>9213</v>
      </c>
      <c r="F1355" s="21">
        <v>8</v>
      </c>
      <c r="G1355" s="3">
        <f t="shared" ref="G1355:G1356" si="302">TRUNC($E1355*F1355,1)</f>
        <v>73704</v>
      </c>
      <c r="H1355" s="21">
        <v>8</v>
      </c>
      <c r="I1355" s="3">
        <f t="shared" ref="I1355:I1356" si="303">TRUNC($E1355*H1355,1)</f>
        <v>73704</v>
      </c>
    </row>
    <row r="1356" spans="2:9" ht="12.95" customHeight="1" x14ac:dyDescent="0.3">
      <c r="B1356" s="68" t="s">
        <v>198</v>
      </c>
      <c r="C1356" s="68" t="s">
        <v>199</v>
      </c>
      <c r="D1356" s="69" t="s">
        <v>48</v>
      </c>
      <c r="E1356" s="95">
        <v>5600</v>
      </c>
      <c r="F1356" s="21">
        <v>8</v>
      </c>
      <c r="G1356" s="3">
        <f t="shared" si="302"/>
        <v>44800</v>
      </c>
      <c r="H1356" s="21">
        <v>8</v>
      </c>
      <c r="I1356" s="3">
        <f t="shared" si="303"/>
        <v>44800</v>
      </c>
    </row>
    <row r="1357" spans="2:9" ht="12.95" customHeight="1" x14ac:dyDescent="0.3">
      <c r="B1357" s="96" t="s">
        <v>36</v>
      </c>
      <c r="C1357" s="97" t="s">
        <v>41</v>
      </c>
      <c r="D1357" s="35" t="s">
        <v>45</v>
      </c>
      <c r="E1357" s="98"/>
      <c r="F1357" s="109">
        <v>1</v>
      </c>
      <c r="G1357" s="5">
        <f>TRUNC(SUM(G1360:G1361)*0.03,1)</f>
        <v>44263</v>
      </c>
      <c r="H1357" s="109">
        <v>1</v>
      </c>
      <c r="I1357" s="5">
        <f>TRUNC(SUM(I1360:I1361)*0.03,1)</f>
        <v>44263</v>
      </c>
    </row>
    <row r="1358" spans="2:9" ht="12.95" customHeight="1" x14ac:dyDescent="0.3">
      <c r="B1358" s="74" t="s">
        <v>38</v>
      </c>
      <c r="C1358" s="75"/>
      <c r="D1358" s="75"/>
      <c r="E1358" s="24"/>
      <c r="F1358" s="25"/>
      <c r="G1358" s="20">
        <f>TRUNC(SUM(G1355:G1357))</f>
        <v>162767</v>
      </c>
      <c r="H1358" s="25"/>
      <c r="I1358" s="20">
        <f>TRUNC(SUM(I1355:I1357))</f>
        <v>162767</v>
      </c>
    </row>
    <row r="1359" spans="2:9" ht="12.95" customHeight="1" x14ac:dyDescent="0.3">
      <c r="B1359" s="77"/>
      <c r="C1359" s="75"/>
      <c r="D1359" s="75"/>
      <c r="E1359" s="24"/>
      <c r="F1359" s="25"/>
      <c r="G1359" s="78"/>
      <c r="H1359" s="25"/>
      <c r="I1359" s="78"/>
    </row>
    <row r="1360" spans="2:9" ht="12.95" customHeight="1" x14ac:dyDescent="0.3">
      <c r="B1360" s="40" t="s">
        <v>12</v>
      </c>
      <c r="C1360" s="41"/>
      <c r="D1360" s="42" t="s">
        <v>37</v>
      </c>
      <c r="E1360" s="95">
        <v>239808</v>
      </c>
      <c r="F1360" s="21">
        <v>4</v>
      </c>
      <c r="G1360" s="3">
        <f t="shared" ref="G1360:G1363" si="304">TRUNC($E1360*F1360,1)</f>
        <v>959232</v>
      </c>
      <c r="H1360" s="21">
        <v>4</v>
      </c>
      <c r="I1360" s="3">
        <f t="shared" ref="I1360:I1363" si="305">TRUNC($E1360*H1360,1)</f>
        <v>959232</v>
      </c>
    </row>
    <row r="1361" spans="2:11" ht="12.95" customHeight="1" x14ac:dyDescent="0.3">
      <c r="B1361" s="40" t="s">
        <v>8</v>
      </c>
      <c r="C1361" s="41"/>
      <c r="D1361" s="42" t="s">
        <v>37</v>
      </c>
      <c r="E1361" s="95">
        <v>172068</v>
      </c>
      <c r="F1361" s="21">
        <v>3</v>
      </c>
      <c r="G1361" s="3">
        <f t="shared" si="304"/>
        <v>516204</v>
      </c>
      <c r="H1361" s="21">
        <v>3</v>
      </c>
      <c r="I1361" s="3">
        <f t="shared" si="305"/>
        <v>516204</v>
      </c>
    </row>
    <row r="1362" spans="2:11" ht="12.95" customHeight="1" x14ac:dyDescent="0.3">
      <c r="B1362" s="68" t="s">
        <v>11</v>
      </c>
      <c r="C1362" s="68" t="s">
        <v>43</v>
      </c>
      <c r="D1362" s="35" t="s">
        <v>44</v>
      </c>
      <c r="E1362" s="95">
        <v>49698</v>
      </c>
      <c r="F1362" s="21">
        <v>8</v>
      </c>
      <c r="G1362" s="3">
        <f t="shared" si="304"/>
        <v>397584</v>
      </c>
      <c r="H1362" s="21">
        <v>8</v>
      </c>
      <c r="I1362" s="3">
        <f t="shared" si="305"/>
        <v>397584</v>
      </c>
    </row>
    <row r="1363" spans="2:11" ht="12.95" customHeight="1" x14ac:dyDescent="0.3">
      <c r="B1363" s="68" t="s">
        <v>198</v>
      </c>
      <c r="C1363" s="68" t="s">
        <v>199</v>
      </c>
      <c r="D1363" s="35" t="s">
        <v>44</v>
      </c>
      <c r="E1363" s="95">
        <v>49698</v>
      </c>
      <c r="F1363" s="21">
        <v>8</v>
      </c>
      <c r="G1363" s="3">
        <f t="shared" si="304"/>
        <v>397584</v>
      </c>
      <c r="H1363" s="21">
        <v>8</v>
      </c>
      <c r="I1363" s="3">
        <f t="shared" si="305"/>
        <v>397584</v>
      </c>
    </row>
    <row r="1364" spans="2:11" ht="12.95" customHeight="1" x14ac:dyDescent="0.3">
      <c r="B1364" s="45" t="s">
        <v>39</v>
      </c>
      <c r="C1364" s="75"/>
      <c r="D1364" s="75"/>
      <c r="E1364" s="18"/>
      <c r="F1364" s="25"/>
      <c r="G1364" s="20">
        <f>TRUNC(SUM(G1360:G1363))</f>
        <v>2270604</v>
      </c>
      <c r="H1364" s="25"/>
      <c r="I1364" s="20">
        <f>TRUNC(SUM(I1360:I1363))</f>
        <v>2270604</v>
      </c>
    </row>
    <row r="1365" spans="2:11" ht="12.95" customHeight="1" x14ac:dyDescent="0.3">
      <c r="B1365" s="77"/>
      <c r="C1365" s="75"/>
      <c r="D1365" s="75"/>
      <c r="E1365" s="112"/>
      <c r="F1365" s="25"/>
      <c r="G1365" s="78"/>
      <c r="H1365" s="25"/>
      <c r="I1365" s="78"/>
    </row>
    <row r="1366" spans="2:11" ht="12.95" customHeight="1" x14ac:dyDescent="0.3">
      <c r="B1366" s="68" t="s">
        <v>11</v>
      </c>
      <c r="C1366" s="68" t="s">
        <v>43</v>
      </c>
      <c r="D1366" s="69" t="s">
        <v>48</v>
      </c>
      <c r="E1366" s="95">
        <v>11117</v>
      </c>
      <c r="F1366" s="21">
        <v>8</v>
      </c>
      <c r="G1366" s="3">
        <f t="shared" ref="G1366:G1367" si="306">TRUNC($E1366*F1366,1)</f>
        <v>88936</v>
      </c>
      <c r="H1366" s="21">
        <v>8</v>
      </c>
      <c r="I1366" s="3">
        <f t="shared" ref="I1366:I1367" si="307">TRUNC($E1366*H1366,1)</f>
        <v>88936</v>
      </c>
    </row>
    <row r="1367" spans="2:11" ht="12.95" customHeight="1" x14ac:dyDescent="0.3">
      <c r="B1367" s="68" t="s">
        <v>198</v>
      </c>
      <c r="C1367" s="68" t="s">
        <v>199</v>
      </c>
      <c r="D1367" s="69" t="s">
        <v>48</v>
      </c>
      <c r="E1367" s="95">
        <v>17396</v>
      </c>
      <c r="F1367" s="21">
        <v>8</v>
      </c>
      <c r="G1367" s="3">
        <f t="shared" si="306"/>
        <v>139168</v>
      </c>
      <c r="H1367" s="21">
        <v>8</v>
      </c>
      <c r="I1367" s="3">
        <f t="shared" si="307"/>
        <v>139168</v>
      </c>
    </row>
    <row r="1368" spans="2:11" ht="12.95" customHeight="1" x14ac:dyDescent="0.3">
      <c r="B1368" s="74" t="s">
        <v>40</v>
      </c>
      <c r="C1368" s="75"/>
      <c r="D1368" s="75"/>
      <c r="E1368" s="81"/>
      <c r="F1368" s="19"/>
      <c r="G1368" s="20">
        <f>TRUNC(SUM(G1366:G1367))</f>
        <v>228104</v>
      </c>
      <c r="H1368" s="19"/>
      <c r="I1368" s="20">
        <f>TRUNC(SUM(I1366:I1367))</f>
        <v>228104</v>
      </c>
    </row>
    <row r="1369" spans="2:11" ht="12.95" customHeight="1" x14ac:dyDescent="0.3">
      <c r="B1369" s="82"/>
      <c r="C1369" s="68"/>
      <c r="D1369" s="68"/>
      <c r="E1369" s="83"/>
      <c r="F1369" s="84"/>
      <c r="G1369" s="72"/>
      <c r="H1369" s="84"/>
      <c r="I1369" s="72"/>
    </row>
    <row r="1370" spans="2:11" ht="12.95" customHeight="1" x14ac:dyDescent="0.3">
      <c r="B1370" s="51" t="s">
        <v>42</v>
      </c>
      <c r="C1370" s="75"/>
      <c r="D1370" s="75"/>
      <c r="E1370" s="81"/>
      <c r="F1370" s="81"/>
      <c r="G1370" s="85">
        <f>SUM(G1358+G1364+G1368)</f>
        <v>2661475</v>
      </c>
      <c r="H1370" s="81"/>
      <c r="I1370" s="85">
        <f>SUM(I1358+I1364+I1368)</f>
        <v>2661475</v>
      </c>
    </row>
    <row r="1371" spans="2:11" ht="12.95" customHeight="1" x14ac:dyDescent="0.3">
      <c r="B1371" s="52" t="s">
        <v>255</v>
      </c>
      <c r="C1371" s="86"/>
      <c r="D1371" s="86"/>
      <c r="E1371" s="87"/>
      <c r="F1371" s="87"/>
      <c r="G1371" s="8">
        <f>TRUNC(G1370/G1353)</f>
        <v>24643</v>
      </c>
      <c r="H1371" s="87"/>
      <c r="I1371" s="8">
        <f>TRUNC(I1370/I1353)</f>
        <v>30947</v>
      </c>
    </row>
    <row r="1373" spans="2:11" ht="12.95" customHeight="1" x14ac:dyDescent="0.3">
      <c r="B1373" s="1" t="s">
        <v>200</v>
      </c>
      <c r="K1373" s="33" t="s">
        <v>58</v>
      </c>
    </row>
    <row r="1374" spans="2:11" ht="12.95" customHeight="1" x14ac:dyDescent="0.3">
      <c r="B1374" s="142" t="s">
        <v>30</v>
      </c>
      <c r="C1374" s="145" t="s">
        <v>34</v>
      </c>
      <c r="D1374" s="145" t="s">
        <v>35</v>
      </c>
      <c r="E1374" s="145" t="s">
        <v>31</v>
      </c>
      <c r="F1374" s="139" t="s">
        <v>201</v>
      </c>
      <c r="G1374" s="140"/>
      <c r="H1374" s="140"/>
      <c r="I1374" s="140"/>
      <c r="J1374" s="140"/>
      <c r="K1374" s="140"/>
    </row>
    <row r="1375" spans="2:11" ht="12.95" customHeight="1" x14ac:dyDescent="0.3">
      <c r="B1375" s="143"/>
      <c r="C1375" s="146"/>
      <c r="D1375" s="146"/>
      <c r="E1375" s="146"/>
      <c r="F1375" s="139" t="s">
        <v>262</v>
      </c>
      <c r="G1375" s="140"/>
      <c r="H1375" s="139" t="s">
        <v>263</v>
      </c>
      <c r="I1375" s="140"/>
      <c r="J1375" s="139" t="s">
        <v>264</v>
      </c>
      <c r="K1375" s="140"/>
    </row>
    <row r="1376" spans="2:11" ht="12.95" customHeight="1" x14ac:dyDescent="0.3">
      <c r="B1376" s="143"/>
      <c r="C1376" s="146"/>
      <c r="D1376" s="146"/>
      <c r="E1376" s="146"/>
      <c r="F1376" s="34" t="s">
        <v>221</v>
      </c>
      <c r="G1376" s="37">
        <v>170</v>
      </c>
      <c r="H1376" s="34" t="s">
        <v>221</v>
      </c>
      <c r="I1376" s="37">
        <v>145</v>
      </c>
      <c r="J1376" s="34" t="s">
        <v>221</v>
      </c>
      <c r="K1376" s="37">
        <v>130</v>
      </c>
    </row>
    <row r="1377" spans="2:11" ht="12.95" customHeight="1" x14ac:dyDescent="0.3">
      <c r="B1377" s="144"/>
      <c r="C1377" s="147"/>
      <c r="D1377" s="147"/>
      <c r="E1377" s="147"/>
      <c r="F1377" s="38" t="s">
        <v>32</v>
      </c>
      <c r="G1377" s="39" t="s">
        <v>33</v>
      </c>
      <c r="H1377" s="38" t="s">
        <v>32</v>
      </c>
      <c r="I1377" s="39" t="s">
        <v>33</v>
      </c>
      <c r="J1377" s="38" t="s">
        <v>32</v>
      </c>
      <c r="K1377" s="39" t="s">
        <v>33</v>
      </c>
    </row>
    <row r="1378" spans="2:11" ht="12.95" customHeight="1" x14ac:dyDescent="0.3">
      <c r="B1378" s="68" t="s">
        <v>291</v>
      </c>
      <c r="C1378" s="68" t="s">
        <v>270</v>
      </c>
      <c r="D1378" s="69" t="s">
        <v>48</v>
      </c>
      <c r="E1378" s="95">
        <v>18182</v>
      </c>
      <c r="F1378" s="21">
        <v>8</v>
      </c>
      <c r="G1378" s="3">
        <f t="shared" ref="G1378" si="308">TRUNC($E1378*F1378,1)</f>
        <v>145456</v>
      </c>
      <c r="H1378" s="21">
        <v>8</v>
      </c>
      <c r="I1378" s="3">
        <f t="shared" ref="I1378" si="309">TRUNC($E1378*H1378,1)</f>
        <v>145456</v>
      </c>
      <c r="J1378" s="21">
        <v>8</v>
      </c>
      <c r="K1378" s="3">
        <f t="shared" ref="K1378" si="310">TRUNC($E1378*J1378,1)</f>
        <v>145456</v>
      </c>
    </row>
    <row r="1379" spans="2:11" ht="12.95" customHeight="1" x14ac:dyDescent="0.3">
      <c r="B1379" s="116" t="s">
        <v>36</v>
      </c>
      <c r="C1379" s="97" t="s">
        <v>99</v>
      </c>
      <c r="D1379" s="35" t="s">
        <v>45</v>
      </c>
      <c r="E1379" s="98"/>
      <c r="F1379" s="109">
        <v>1</v>
      </c>
      <c r="G1379" s="5">
        <f>TRUNC(SUM(G1382:G1383)*0.02,1)</f>
        <v>17008.599999999999</v>
      </c>
      <c r="H1379" s="109">
        <v>1</v>
      </c>
      <c r="I1379" s="5">
        <f>TRUNC(SUM(I1382:I1383)*0.02,1)</f>
        <v>17008.599999999999</v>
      </c>
      <c r="J1379" s="109">
        <v>1</v>
      </c>
      <c r="K1379" s="5">
        <f>TRUNC(SUM(K1382:K1383)*0.02,1)</f>
        <v>17008.599999999999</v>
      </c>
    </row>
    <row r="1380" spans="2:11" ht="12.95" customHeight="1" x14ac:dyDescent="0.3">
      <c r="B1380" s="74" t="s">
        <v>38</v>
      </c>
      <c r="C1380" s="75"/>
      <c r="D1380" s="75"/>
      <c r="E1380" s="24"/>
      <c r="F1380" s="25"/>
      <c r="G1380" s="20">
        <f>TRUNC(SUM(G1378:G1379))</f>
        <v>162464</v>
      </c>
      <c r="H1380" s="25"/>
      <c r="I1380" s="20">
        <f>TRUNC(SUM(I1378:I1379))</f>
        <v>162464</v>
      </c>
      <c r="J1380" s="25"/>
      <c r="K1380" s="20">
        <f>TRUNC(SUM(K1378:K1379))</f>
        <v>162464</v>
      </c>
    </row>
    <row r="1381" spans="2:11" ht="12.95" customHeight="1" x14ac:dyDescent="0.3">
      <c r="B1381" s="77"/>
      <c r="C1381" s="75"/>
      <c r="D1381" s="75"/>
      <c r="E1381" s="24"/>
      <c r="F1381" s="25"/>
      <c r="G1381" s="78"/>
      <c r="H1381" s="25"/>
      <c r="I1381" s="78"/>
      <c r="J1381" s="25"/>
      <c r="K1381" s="78"/>
    </row>
    <row r="1382" spans="2:11" ht="12.95" customHeight="1" x14ac:dyDescent="0.3">
      <c r="B1382" s="40" t="s">
        <v>53</v>
      </c>
      <c r="C1382" s="41"/>
      <c r="D1382" s="42" t="s">
        <v>37</v>
      </c>
      <c r="E1382" s="95">
        <v>226122</v>
      </c>
      <c r="F1382" s="21">
        <v>3</v>
      </c>
      <c r="G1382" s="3">
        <f t="shared" ref="G1382:G1384" si="311">TRUNC($E1382*F1382,1)</f>
        <v>678366</v>
      </c>
      <c r="H1382" s="21">
        <v>3</v>
      </c>
      <c r="I1382" s="3">
        <f t="shared" ref="I1382:I1384" si="312">TRUNC($E1382*H1382,1)</f>
        <v>678366</v>
      </c>
      <c r="J1382" s="21">
        <v>3</v>
      </c>
      <c r="K1382" s="3">
        <f t="shared" ref="K1382:K1384" si="313">TRUNC($E1382*J1382,1)</f>
        <v>678366</v>
      </c>
    </row>
    <row r="1383" spans="2:11" ht="12.95" customHeight="1" x14ac:dyDescent="0.3">
      <c r="B1383" s="40" t="s">
        <v>8</v>
      </c>
      <c r="C1383" s="41"/>
      <c r="D1383" s="42" t="s">
        <v>37</v>
      </c>
      <c r="E1383" s="95">
        <v>172068</v>
      </c>
      <c r="F1383" s="21">
        <v>1</v>
      </c>
      <c r="G1383" s="3">
        <f t="shared" si="311"/>
        <v>172068</v>
      </c>
      <c r="H1383" s="21">
        <v>1</v>
      </c>
      <c r="I1383" s="3">
        <f t="shared" si="312"/>
        <v>172068</v>
      </c>
      <c r="J1383" s="21">
        <v>1</v>
      </c>
      <c r="K1383" s="3">
        <f t="shared" si="313"/>
        <v>172068</v>
      </c>
    </row>
    <row r="1384" spans="2:11" ht="12.95" customHeight="1" x14ac:dyDescent="0.3">
      <c r="B1384" s="68" t="s">
        <v>291</v>
      </c>
      <c r="C1384" s="68" t="s">
        <v>270</v>
      </c>
      <c r="D1384" s="35" t="s">
        <v>44</v>
      </c>
      <c r="E1384" s="95">
        <v>58925</v>
      </c>
      <c r="F1384" s="21">
        <v>8</v>
      </c>
      <c r="G1384" s="3">
        <f t="shared" si="311"/>
        <v>471400</v>
      </c>
      <c r="H1384" s="21">
        <v>8</v>
      </c>
      <c r="I1384" s="3">
        <f t="shared" si="312"/>
        <v>471400</v>
      </c>
      <c r="J1384" s="21">
        <v>8</v>
      </c>
      <c r="K1384" s="3">
        <f t="shared" si="313"/>
        <v>471400</v>
      </c>
    </row>
    <row r="1385" spans="2:11" ht="12.95" customHeight="1" x14ac:dyDescent="0.3">
      <c r="B1385" s="45" t="s">
        <v>39</v>
      </c>
      <c r="C1385" s="75"/>
      <c r="D1385" s="75"/>
      <c r="E1385" s="18"/>
      <c r="F1385" s="25"/>
      <c r="G1385" s="20">
        <f>TRUNC(SUM(G1382:G1384))</f>
        <v>1321834</v>
      </c>
      <c r="H1385" s="25"/>
      <c r="I1385" s="20">
        <f>TRUNC(SUM(I1382:I1384))</f>
        <v>1321834</v>
      </c>
      <c r="J1385" s="25"/>
      <c r="K1385" s="20">
        <f>TRUNC(SUM(K1382:K1384))</f>
        <v>1321834</v>
      </c>
    </row>
    <row r="1386" spans="2:11" ht="12.95" customHeight="1" x14ac:dyDescent="0.3">
      <c r="B1386" s="77"/>
      <c r="C1386" s="75"/>
      <c r="D1386" s="75"/>
      <c r="E1386" s="112"/>
      <c r="F1386" s="25"/>
      <c r="G1386" s="78"/>
      <c r="H1386" s="25"/>
      <c r="I1386" s="78"/>
      <c r="J1386" s="25"/>
      <c r="K1386" s="78"/>
    </row>
    <row r="1387" spans="2:11" ht="12.95" customHeight="1" x14ac:dyDescent="0.3">
      <c r="B1387" s="68" t="s">
        <v>291</v>
      </c>
      <c r="C1387" s="68" t="s">
        <v>270</v>
      </c>
      <c r="D1387" s="69" t="s">
        <v>48</v>
      </c>
      <c r="E1387" s="95">
        <v>17514</v>
      </c>
      <c r="F1387" s="21">
        <v>8</v>
      </c>
      <c r="G1387" s="3">
        <f t="shared" ref="G1387" si="314">TRUNC($E1387*F1387,1)</f>
        <v>140112</v>
      </c>
      <c r="H1387" s="21">
        <v>8</v>
      </c>
      <c r="I1387" s="3">
        <f t="shared" ref="I1387" si="315">TRUNC($E1387*H1387,1)</f>
        <v>140112</v>
      </c>
      <c r="J1387" s="21">
        <v>8</v>
      </c>
      <c r="K1387" s="3">
        <f t="shared" ref="K1387" si="316">TRUNC($E1387*J1387,1)</f>
        <v>140112</v>
      </c>
    </row>
    <row r="1388" spans="2:11" ht="12.95" customHeight="1" x14ac:dyDescent="0.3">
      <c r="B1388" s="74" t="s">
        <v>40</v>
      </c>
      <c r="C1388" s="75"/>
      <c r="D1388" s="75"/>
      <c r="E1388" s="81"/>
      <c r="F1388" s="19"/>
      <c r="G1388" s="20">
        <f>TRUNC(SUM(G1387:G1387))</f>
        <v>140112</v>
      </c>
      <c r="H1388" s="19"/>
      <c r="I1388" s="20">
        <f>TRUNC(SUM(I1387:I1387))</f>
        <v>140112</v>
      </c>
      <c r="J1388" s="19"/>
      <c r="K1388" s="20">
        <f>TRUNC(SUM(K1387:K1387))</f>
        <v>140112</v>
      </c>
    </row>
    <row r="1389" spans="2:11" ht="12.95" customHeight="1" x14ac:dyDescent="0.3">
      <c r="B1389" s="82"/>
      <c r="C1389" s="68"/>
      <c r="D1389" s="68"/>
      <c r="E1389" s="83"/>
      <c r="F1389" s="84"/>
      <c r="G1389" s="72"/>
      <c r="H1389" s="84"/>
      <c r="I1389" s="72"/>
      <c r="J1389" s="84"/>
      <c r="K1389" s="72"/>
    </row>
    <row r="1390" spans="2:11" ht="12.95" customHeight="1" x14ac:dyDescent="0.3">
      <c r="B1390" s="51" t="s">
        <v>42</v>
      </c>
      <c r="C1390" s="75"/>
      <c r="D1390" s="75"/>
      <c r="E1390" s="81"/>
      <c r="F1390" s="81"/>
      <c r="G1390" s="85">
        <f>SUM(G1380+G1385+G1388)</f>
        <v>1624410</v>
      </c>
      <c r="H1390" s="81"/>
      <c r="I1390" s="85">
        <f>SUM(I1380+I1385+I1388)</f>
        <v>1624410</v>
      </c>
      <c r="J1390" s="81"/>
      <c r="K1390" s="85">
        <f>SUM(K1380+K1385+K1388)</f>
        <v>1624410</v>
      </c>
    </row>
    <row r="1391" spans="2:11" ht="12.95" customHeight="1" x14ac:dyDescent="0.3">
      <c r="B1391" s="52" t="s">
        <v>220</v>
      </c>
      <c r="C1391" s="86"/>
      <c r="D1391" s="86"/>
      <c r="E1391" s="87"/>
      <c r="F1391" s="87"/>
      <c r="G1391" s="8">
        <f>TRUNC(G1390/G1376)</f>
        <v>9555</v>
      </c>
      <c r="H1391" s="87"/>
      <c r="I1391" s="8">
        <f>TRUNC(I1390/I1376)</f>
        <v>11202</v>
      </c>
      <c r="J1391" s="87"/>
      <c r="K1391" s="8">
        <f>TRUNC(K1390/K1376)</f>
        <v>12495</v>
      </c>
    </row>
    <row r="1392" spans="2:11" ht="12.95" customHeight="1" x14ac:dyDescent="0.3">
      <c r="B1392" s="142" t="s">
        <v>30</v>
      </c>
      <c r="C1392" s="145" t="s">
        <v>34</v>
      </c>
      <c r="D1392" s="145" t="s">
        <v>35</v>
      </c>
      <c r="E1392" s="145" t="s">
        <v>31</v>
      </c>
      <c r="F1392" s="139" t="s">
        <v>201</v>
      </c>
      <c r="G1392" s="140"/>
      <c r="H1392" s="140"/>
      <c r="I1392" s="140"/>
    </row>
    <row r="1393" spans="2:9" ht="12.95" customHeight="1" x14ac:dyDescent="0.3">
      <c r="B1393" s="143"/>
      <c r="C1393" s="146"/>
      <c r="D1393" s="146"/>
      <c r="E1393" s="146"/>
      <c r="F1393" s="139" t="s">
        <v>265</v>
      </c>
      <c r="G1393" s="140"/>
      <c r="H1393" s="139" t="s">
        <v>266</v>
      </c>
      <c r="I1393" s="140"/>
    </row>
    <row r="1394" spans="2:9" ht="12.95" customHeight="1" x14ac:dyDescent="0.3">
      <c r="B1394" s="143"/>
      <c r="C1394" s="146"/>
      <c r="D1394" s="146"/>
      <c r="E1394" s="146"/>
      <c r="F1394" s="34" t="s">
        <v>221</v>
      </c>
      <c r="G1394" s="37">
        <v>90</v>
      </c>
      <c r="H1394" s="34" t="s">
        <v>221</v>
      </c>
      <c r="I1394" s="37">
        <v>60</v>
      </c>
    </row>
    <row r="1395" spans="2:9" ht="12.95" customHeight="1" x14ac:dyDescent="0.3">
      <c r="B1395" s="144"/>
      <c r="C1395" s="147"/>
      <c r="D1395" s="147"/>
      <c r="E1395" s="147"/>
      <c r="F1395" s="38" t="s">
        <v>32</v>
      </c>
      <c r="G1395" s="39" t="s">
        <v>33</v>
      </c>
      <c r="H1395" s="38" t="s">
        <v>32</v>
      </c>
      <c r="I1395" s="39" t="s">
        <v>33</v>
      </c>
    </row>
    <row r="1396" spans="2:9" ht="12.95" customHeight="1" x14ac:dyDescent="0.3">
      <c r="B1396" s="68" t="s">
        <v>291</v>
      </c>
      <c r="C1396" s="68" t="s">
        <v>270</v>
      </c>
      <c r="D1396" s="69" t="s">
        <v>48</v>
      </c>
      <c r="E1396" s="95">
        <v>18182</v>
      </c>
      <c r="F1396" s="21">
        <v>8</v>
      </c>
      <c r="G1396" s="3">
        <f t="shared" ref="G1396" si="317">TRUNC($E1396*F1396,1)</f>
        <v>145456</v>
      </c>
      <c r="H1396" s="21">
        <v>8</v>
      </c>
      <c r="I1396" s="3">
        <f t="shared" ref="I1396" si="318">TRUNC($E1396*H1396,1)</f>
        <v>145456</v>
      </c>
    </row>
    <row r="1397" spans="2:9" ht="12.95" customHeight="1" x14ac:dyDescent="0.3">
      <c r="B1397" s="116" t="s">
        <v>36</v>
      </c>
      <c r="C1397" s="97" t="s">
        <v>99</v>
      </c>
      <c r="D1397" s="35" t="s">
        <v>45</v>
      </c>
      <c r="E1397" s="98"/>
      <c r="F1397" s="109">
        <v>1</v>
      </c>
      <c r="G1397" s="5">
        <f>TRUNC(SUM(G1400:G1401)*0.02,1)</f>
        <v>17008.599999999999</v>
      </c>
      <c r="H1397" s="109">
        <v>1</v>
      </c>
      <c r="I1397" s="5">
        <f>TRUNC(SUM(I1400:I1401)*0.02,1)</f>
        <v>17008.599999999999</v>
      </c>
    </row>
    <row r="1398" spans="2:9" ht="12.95" customHeight="1" x14ac:dyDescent="0.3">
      <c r="B1398" s="74" t="s">
        <v>38</v>
      </c>
      <c r="C1398" s="75"/>
      <c r="D1398" s="75"/>
      <c r="E1398" s="24"/>
      <c r="F1398" s="25"/>
      <c r="G1398" s="20">
        <f>TRUNC(SUM(G1396:G1397))</f>
        <v>162464</v>
      </c>
      <c r="H1398" s="25"/>
      <c r="I1398" s="20">
        <f>TRUNC(SUM(I1396:I1397))</f>
        <v>162464</v>
      </c>
    </row>
    <row r="1399" spans="2:9" ht="12.95" customHeight="1" x14ac:dyDescent="0.3">
      <c r="B1399" s="77"/>
      <c r="C1399" s="75"/>
      <c r="D1399" s="75"/>
      <c r="E1399" s="24"/>
      <c r="F1399" s="25"/>
      <c r="G1399" s="78"/>
      <c r="H1399" s="25"/>
      <c r="I1399" s="78"/>
    </row>
    <row r="1400" spans="2:9" ht="12.95" customHeight="1" x14ac:dyDescent="0.3">
      <c r="B1400" s="40" t="s">
        <v>53</v>
      </c>
      <c r="C1400" s="41"/>
      <c r="D1400" s="42" t="s">
        <v>37</v>
      </c>
      <c r="E1400" s="95">
        <v>226122</v>
      </c>
      <c r="F1400" s="21">
        <v>3</v>
      </c>
      <c r="G1400" s="3">
        <f t="shared" ref="G1400:G1402" si="319">TRUNC($E1400*F1400,1)</f>
        <v>678366</v>
      </c>
      <c r="H1400" s="21">
        <v>3</v>
      </c>
      <c r="I1400" s="3">
        <f t="shared" ref="I1400:I1402" si="320">TRUNC($E1400*H1400,1)</f>
        <v>678366</v>
      </c>
    </row>
    <row r="1401" spans="2:9" ht="12.95" customHeight="1" x14ac:dyDescent="0.3">
      <c r="B1401" s="40" t="s">
        <v>8</v>
      </c>
      <c r="C1401" s="41"/>
      <c r="D1401" s="42" t="s">
        <v>37</v>
      </c>
      <c r="E1401" s="95">
        <v>172068</v>
      </c>
      <c r="F1401" s="21">
        <v>1</v>
      </c>
      <c r="G1401" s="3">
        <f t="shared" si="319"/>
        <v>172068</v>
      </c>
      <c r="H1401" s="21">
        <v>1</v>
      </c>
      <c r="I1401" s="3">
        <f t="shared" si="320"/>
        <v>172068</v>
      </c>
    </row>
    <row r="1402" spans="2:9" ht="12.95" customHeight="1" x14ac:dyDescent="0.3">
      <c r="B1402" s="68" t="s">
        <v>291</v>
      </c>
      <c r="C1402" s="68" t="s">
        <v>270</v>
      </c>
      <c r="D1402" s="35" t="s">
        <v>44</v>
      </c>
      <c r="E1402" s="95">
        <v>58925</v>
      </c>
      <c r="F1402" s="21">
        <v>8</v>
      </c>
      <c r="G1402" s="3">
        <f t="shared" si="319"/>
        <v>471400</v>
      </c>
      <c r="H1402" s="21">
        <v>8</v>
      </c>
      <c r="I1402" s="3">
        <f t="shared" si="320"/>
        <v>471400</v>
      </c>
    </row>
    <row r="1403" spans="2:9" ht="12.95" customHeight="1" x14ac:dyDescent="0.3">
      <c r="B1403" s="45" t="s">
        <v>39</v>
      </c>
      <c r="C1403" s="75"/>
      <c r="D1403" s="75"/>
      <c r="E1403" s="18"/>
      <c r="F1403" s="25"/>
      <c r="G1403" s="20">
        <f>TRUNC(SUM(G1400:G1402))</f>
        <v>1321834</v>
      </c>
      <c r="H1403" s="25"/>
      <c r="I1403" s="20">
        <f>TRUNC(SUM(I1400:I1402))</f>
        <v>1321834</v>
      </c>
    </row>
    <row r="1404" spans="2:9" ht="12.95" customHeight="1" x14ac:dyDescent="0.3">
      <c r="B1404" s="77"/>
      <c r="C1404" s="75"/>
      <c r="D1404" s="75"/>
      <c r="E1404" s="112"/>
      <c r="F1404" s="25"/>
      <c r="G1404" s="78"/>
      <c r="H1404" s="25"/>
      <c r="I1404" s="78"/>
    </row>
    <row r="1405" spans="2:9" ht="12.95" customHeight="1" x14ac:dyDescent="0.3">
      <c r="B1405" s="68" t="s">
        <v>291</v>
      </c>
      <c r="C1405" s="68" t="s">
        <v>270</v>
      </c>
      <c r="D1405" s="69" t="s">
        <v>48</v>
      </c>
      <c r="E1405" s="95">
        <v>17514</v>
      </c>
      <c r="F1405" s="21">
        <v>8</v>
      </c>
      <c r="G1405" s="3">
        <f t="shared" ref="G1405" si="321">TRUNC($E1405*F1405,1)</f>
        <v>140112</v>
      </c>
      <c r="H1405" s="21">
        <v>8</v>
      </c>
      <c r="I1405" s="3">
        <f t="shared" ref="I1405" si="322">TRUNC($E1405*H1405,1)</f>
        <v>140112</v>
      </c>
    </row>
    <row r="1406" spans="2:9" ht="12.95" customHeight="1" x14ac:dyDescent="0.3">
      <c r="B1406" s="74" t="s">
        <v>40</v>
      </c>
      <c r="C1406" s="75"/>
      <c r="D1406" s="75"/>
      <c r="E1406" s="81"/>
      <c r="F1406" s="19"/>
      <c r="G1406" s="20">
        <f>TRUNC(SUM(G1405:G1405))</f>
        <v>140112</v>
      </c>
      <c r="H1406" s="19"/>
      <c r="I1406" s="20">
        <f>TRUNC(SUM(I1405:I1405))</f>
        <v>140112</v>
      </c>
    </row>
    <row r="1407" spans="2:9" ht="12.95" customHeight="1" x14ac:dyDescent="0.3">
      <c r="B1407" s="82"/>
      <c r="C1407" s="68"/>
      <c r="D1407" s="68"/>
      <c r="E1407" s="83"/>
      <c r="F1407" s="84"/>
      <c r="G1407" s="72"/>
      <c r="H1407" s="84"/>
      <c r="I1407" s="72"/>
    </row>
    <row r="1408" spans="2:9" ht="12.95" customHeight="1" x14ac:dyDescent="0.3">
      <c r="B1408" s="51" t="s">
        <v>42</v>
      </c>
      <c r="C1408" s="75"/>
      <c r="D1408" s="75"/>
      <c r="E1408" s="81"/>
      <c r="F1408" s="81"/>
      <c r="G1408" s="85">
        <f>SUM(G1398+G1403+G1406)</f>
        <v>1624410</v>
      </c>
      <c r="H1408" s="81"/>
      <c r="I1408" s="85">
        <f>SUM(I1398+I1403+I1406)</f>
        <v>1624410</v>
      </c>
    </row>
    <row r="1409" spans="2:11" ht="12.95" customHeight="1" x14ac:dyDescent="0.3">
      <c r="B1409" s="52" t="s">
        <v>220</v>
      </c>
      <c r="C1409" s="86"/>
      <c r="D1409" s="86"/>
      <c r="E1409" s="87"/>
      <c r="F1409" s="87"/>
      <c r="G1409" s="8">
        <f>TRUNC(G1408/G1394)</f>
        <v>18049</v>
      </c>
      <c r="H1409" s="87"/>
      <c r="I1409" s="8">
        <f>TRUNC(I1408/I1394)</f>
        <v>27073</v>
      </c>
    </row>
    <row r="1410" spans="2:11" ht="12.95" customHeight="1" x14ac:dyDescent="0.3">
      <c r="B1410" s="142" t="s">
        <v>30</v>
      </c>
      <c r="C1410" s="145" t="s">
        <v>34</v>
      </c>
      <c r="D1410" s="145" t="s">
        <v>35</v>
      </c>
      <c r="E1410" s="145" t="s">
        <v>31</v>
      </c>
      <c r="F1410" s="139" t="s">
        <v>203</v>
      </c>
      <c r="G1410" s="140"/>
      <c r="H1410" s="140"/>
      <c r="I1410" s="140"/>
      <c r="J1410" s="140"/>
      <c r="K1410" s="140"/>
    </row>
    <row r="1411" spans="2:11" ht="12.95" customHeight="1" x14ac:dyDescent="0.3">
      <c r="B1411" s="143"/>
      <c r="C1411" s="146"/>
      <c r="D1411" s="146"/>
      <c r="E1411" s="146"/>
      <c r="F1411" s="139" t="s">
        <v>262</v>
      </c>
      <c r="G1411" s="140"/>
      <c r="H1411" s="139" t="s">
        <v>263</v>
      </c>
      <c r="I1411" s="140"/>
      <c r="J1411" s="139" t="s">
        <v>264</v>
      </c>
      <c r="K1411" s="140"/>
    </row>
    <row r="1412" spans="2:11" ht="12.95" customHeight="1" x14ac:dyDescent="0.3">
      <c r="B1412" s="143"/>
      <c r="C1412" s="146"/>
      <c r="D1412" s="146"/>
      <c r="E1412" s="146"/>
      <c r="F1412" s="34" t="s">
        <v>221</v>
      </c>
      <c r="G1412" s="37">
        <v>150</v>
      </c>
      <c r="H1412" s="34" t="s">
        <v>221</v>
      </c>
      <c r="I1412" s="37">
        <v>125</v>
      </c>
      <c r="J1412" s="34" t="s">
        <v>221</v>
      </c>
      <c r="K1412" s="37">
        <v>110</v>
      </c>
    </row>
    <row r="1413" spans="2:11" ht="12.95" customHeight="1" x14ac:dyDescent="0.3">
      <c r="B1413" s="144"/>
      <c r="C1413" s="147"/>
      <c r="D1413" s="147"/>
      <c r="E1413" s="147"/>
      <c r="F1413" s="38" t="s">
        <v>32</v>
      </c>
      <c r="G1413" s="39" t="s">
        <v>33</v>
      </c>
      <c r="H1413" s="38" t="s">
        <v>32</v>
      </c>
      <c r="I1413" s="39" t="s">
        <v>33</v>
      </c>
      <c r="J1413" s="38" t="s">
        <v>32</v>
      </c>
      <c r="K1413" s="39" t="s">
        <v>33</v>
      </c>
    </row>
    <row r="1414" spans="2:11" ht="12.95" customHeight="1" x14ac:dyDescent="0.3">
      <c r="B1414" s="68" t="s">
        <v>291</v>
      </c>
      <c r="C1414" s="68" t="s">
        <v>270</v>
      </c>
      <c r="D1414" s="69" t="s">
        <v>48</v>
      </c>
      <c r="E1414" s="95">
        <v>18182</v>
      </c>
      <c r="F1414" s="21">
        <v>8</v>
      </c>
      <c r="G1414" s="3">
        <f t="shared" ref="G1414" si="323">TRUNC($E1414*F1414,1)</f>
        <v>145456</v>
      </c>
      <c r="H1414" s="21">
        <v>8</v>
      </c>
      <c r="I1414" s="3">
        <f t="shared" ref="I1414" si="324">TRUNC($E1414*H1414,1)</f>
        <v>145456</v>
      </c>
      <c r="J1414" s="21">
        <v>8</v>
      </c>
      <c r="K1414" s="3">
        <f t="shared" ref="K1414" si="325">TRUNC($E1414*J1414,1)</f>
        <v>145456</v>
      </c>
    </row>
    <row r="1415" spans="2:11" ht="12.95" customHeight="1" x14ac:dyDescent="0.3">
      <c r="B1415" s="116" t="s">
        <v>36</v>
      </c>
      <c r="C1415" s="97" t="s">
        <v>99</v>
      </c>
      <c r="D1415" s="35" t="s">
        <v>45</v>
      </c>
      <c r="E1415" s="98"/>
      <c r="F1415" s="109">
        <v>1</v>
      </c>
      <c r="G1415" s="5">
        <f>TRUNC(SUM(G1418:G1419)*0.02,1)</f>
        <v>17008.599999999999</v>
      </c>
      <c r="H1415" s="109">
        <v>1</v>
      </c>
      <c r="I1415" s="5">
        <f>TRUNC(SUM(I1418:I1419)*0.02,1)</f>
        <v>17008.599999999999</v>
      </c>
      <c r="J1415" s="109">
        <v>1</v>
      </c>
      <c r="K1415" s="5">
        <f>TRUNC(SUM(K1418:K1419)*0.02,1)</f>
        <v>17008.599999999999</v>
      </c>
    </row>
    <row r="1416" spans="2:11" ht="12.95" customHeight="1" x14ac:dyDescent="0.3">
      <c r="B1416" s="74" t="s">
        <v>38</v>
      </c>
      <c r="C1416" s="75"/>
      <c r="D1416" s="75"/>
      <c r="E1416" s="24"/>
      <c r="F1416" s="25"/>
      <c r="G1416" s="20">
        <f>TRUNC(SUM(G1414:G1415))</f>
        <v>162464</v>
      </c>
      <c r="H1416" s="25"/>
      <c r="I1416" s="20">
        <f>TRUNC(SUM(I1414:I1415))</f>
        <v>162464</v>
      </c>
      <c r="J1416" s="25"/>
      <c r="K1416" s="20">
        <f>TRUNC(SUM(K1414:K1415))</f>
        <v>162464</v>
      </c>
    </row>
    <row r="1417" spans="2:11" ht="12.95" customHeight="1" x14ac:dyDescent="0.3">
      <c r="B1417" s="77"/>
      <c r="C1417" s="75"/>
      <c r="D1417" s="75"/>
      <c r="E1417" s="24"/>
      <c r="F1417" s="25"/>
      <c r="G1417" s="78"/>
      <c r="H1417" s="25"/>
      <c r="I1417" s="78"/>
      <c r="J1417" s="25"/>
      <c r="K1417" s="78"/>
    </row>
    <row r="1418" spans="2:11" ht="12.95" customHeight="1" x14ac:dyDescent="0.3">
      <c r="B1418" s="40" t="s">
        <v>53</v>
      </c>
      <c r="C1418" s="41"/>
      <c r="D1418" s="42" t="s">
        <v>37</v>
      </c>
      <c r="E1418" s="95">
        <v>226122</v>
      </c>
      <c r="F1418" s="21">
        <v>3</v>
      </c>
      <c r="G1418" s="3">
        <f t="shared" ref="G1418:G1420" si="326">TRUNC($E1418*F1418,1)</f>
        <v>678366</v>
      </c>
      <c r="H1418" s="21">
        <v>3</v>
      </c>
      <c r="I1418" s="3">
        <f t="shared" ref="I1418:I1420" si="327">TRUNC($E1418*H1418,1)</f>
        <v>678366</v>
      </c>
      <c r="J1418" s="21">
        <v>3</v>
      </c>
      <c r="K1418" s="3">
        <f t="shared" ref="K1418:K1420" si="328">TRUNC($E1418*J1418,1)</f>
        <v>678366</v>
      </c>
    </row>
    <row r="1419" spans="2:11" ht="12.95" customHeight="1" x14ac:dyDescent="0.3">
      <c r="B1419" s="40" t="s">
        <v>8</v>
      </c>
      <c r="C1419" s="41"/>
      <c r="D1419" s="42" t="s">
        <v>37</v>
      </c>
      <c r="E1419" s="95">
        <v>172068</v>
      </c>
      <c r="F1419" s="21">
        <v>1</v>
      </c>
      <c r="G1419" s="3">
        <f t="shared" si="326"/>
        <v>172068</v>
      </c>
      <c r="H1419" s="21">
        <v>1</v>
      </c>
      <c r="I1419" s="3">
        <f t="shared" si="327"/>
        <v>172068</v>
      </c>
      <c r="J1419" s="21">
        <v>1</v>
      </c>
      <c r="K1419" s="3">
        <f t="shared" si="328"/>
        <v>172068</v>
      </c>
    </row>
    <row r="1420" spans="2:11" ht="12.95" customHeight="1" x14ac:dyDescent="0.3">
      <c r="B1420" s="68" t="s">
        <v>291</v>
      </c>
      <c r="C1420" s="68" t="s">
        <v>270</v>
      </c>
      <c r="D1420" s="35" t="s">
        <v>44</v>
      </c>
      <c r="E1420" s="95">
        <v>58925</v>
      </c>
      <c r="F1420" s="21">
        <v>8</v>
      </c>
      <c r="G1420" s="3">
        <f t="shared" si="326"/>
        <v>471400</v>
      </c>
      <c r="H1420" s="21">
        <v>8</v>
      </c>
      <c r="I1420" s="3">
        <f t="shared" si="327"/>
        <v>471400</v>
      </c>
      <c r="J1420" s="21">
        <v>8</v>
      </c>
      <c r="K1420" s="3">
        <f t="shared" si="328"/>
        <v>471400</v>
      </c>
    </row>
    <row r="1421" spans="2:11" ht="12.95" customHeight="1" x14ac:dyDescent="0.3">
      <c r="B1421" s="45" t="s">
        <v>39</v>
      </c>
      <c r="C1421" s="75"/>
      <c r="D1421" s="75"/>
      <c r="E1421" s="18"/>
      <c r="F1421" s="25"/>
      <c r="G1421" s="20">
        <f>TRUNC(SUM(G1418:G1420))</f>
        <v>1321834</v>
      </c>
      <c r="H1421" s="25"/>
      <c r="I1421" s="20">
        <f>TRUNC(SUM(I1418:I1420))</f>
        <v>1321834</v>
      </c>
      <c r="J1421" s="25"/>
      <c r="K1421" s="20">
        <f>TRUNC(SUM(K1418:K1420))</f>
        <v>1321834</v>
      </c>
    </row>
    <row r="1422" spans="2:11" ht="12.95" customHeight="1" x14ac:dyDescent="0.3">
      <c r="B1422" s="77"/>
      <c r="C1422" s="75"/>
      <c r="D1422" s="75"/>
      <c r="E1422" s="112"/>
      <c r="F1422" s="25"/>
      <c r="G1422" s="78"/>
      <c r="H1422" s="25"/>
      <c r="I1422" s="78"/>
      <c r="J1422" s="25"/>
      <c r="K1422" s="78"/>
    </row>
    <row r="1423" spans="2:11" ht="12.95" customHeight="1" x14ac:dyDescent="0.3">
      <c r="B1423" s="68" t="s">
        <v>291</v>
      </c>
      <c r="C1423" s="68" t="s">
        <v>270</v>
      </c>
      <c r="D1423" s="69" t="s">
        <v>48</v>
      </c>
      <c r="E1423" s="95">
        <v>17514</v>
      </c>
      <c r="F1423" s="21">
        <v>8</v>
      </c>
      <c r="G1423" s="3">
        <f t="shared" ref="G1423" si="329">TRUNC($E1423*F1423,1)</f>
        <v>140112</v>
      </c>
      <c r="H1423" s="21">
        <v>8</v>
      </c>
      <c r="I1423" s="3">
        <f t="shared" ref="I1423" si="330">TRUNC($E1423*H1423,1)</f>
        <v>140112</v>
      </c>
      <c r="J1423" s="21">
        <v>8</v>
      </c>
      <c r="K1423" s="3">
        <f t="shared" ref="K1423" si="331">TRUNC($E1423*J1423,1)</f>
        <v>140112</v>
      </c>
    </row>
    <row r="1424" spans="2:11" ht="12.95" customHeight="1" x14ac:dyDescent="0.3">
      <c r="B1424" s="74" t="s">
        <v>40</v>
      </c>
      <c r="C1424" s="75"/>
      <c r="D1424" s="75"/>
      <c r="E1424" s="81"/>
      <c r="F1424" s="19"/>
      <c r="G1424" s="20">
        <f>TRUNC(SUM(G1423:G1423))</f>
        <v>140112</v>
      </c>
      <c r="H1424" s="19"/>
      <c r="I1424" s="20">
        <f>TRUNC(SUM(I1423:I1423))</f>
        <v>140112</v>
      </c>
      <c r="J1424" s="19"/>
      <c r="K1424" s="20">
        <f>TRUNC(SUM(K1423:K1423))</f>
        <v>140112</v>
      </c>
    </row>
    <row r="1425" spans="2:11" ht="12.95" customHeight="1" x14ac:dyDescent="0.3">
      <c r="B1425" s="82"/>
      <c r="C1425" s="68"/>
      <c r="D1425" s="68"/>
      <c r="E1425" s="83"/>
      <c r="F1425" s="84"/>
      <c r="G1425" s="72"/>
      <c r="H1425" s="84"/>
      <c r="I1425" s="72"/>
      <c r="J1425" s="84"/>
      <c r="K1425" s="72"/>
    </row>
    <row r="1426" spans="2:11" ht="12.95" customHeight="1" x14ac:dyDescent="0.3">
      <c r="B1426" s="51" t="s">
        <v>42</v>
      </c>
      <c r="C1426" s="75"/>
      <c r="D1426" s="75"/>
      <c r="E1426" s="81"/>
      <c r="F1426" s="81"/>
      <c r="G1426" s="85">
        <f>SUM(G1416+G1421+G1424)</f>
        <v>1624410</v>
      </c>
      <c r="H1426" s="81"/>
      <c r="I1426" s="85">
        <f>SUM(I1416+I1421+I1424)</f>
        <v>1624410</v>
      </c>
      <c r="J1426" s="81"/>
      <c r="K1426" s="85">
        <f>SUM(K1416+K1421+K1424)</f>
        <v>1624410</v>
      </c>
    </row>
    <row r="1427" spans="2:11" ht="12.95" customHeight="1" x14ac:dyDescent="0.3">
      <c r="B1427" s="52" t="s">
        <v>220</v>
      </c>
      <c r="C1427" s="86"/>
      <c r="D1427" s="86"/>
      <c r="E1427" s="87"/>
      <c r="F1427" s="87"/>
      <c r="G1427" s="8">
        <f>TRUNC(G1426/G1412)</f>
        <v>10829</v>
      </c>
      <c r="H1427" s="87"/>
      <c r="I1427" s="8">
        <f>TRUNC(I1426/I1412)</f>
        <v>12995</v>
      </c>
      <c r="J1427" s="87"/>
      <c r="K1427" s="8">
        <f>TRUNC(K1426/K1412)</f>
        <v>14767</v>
      </c>
    </row>
    <row r="1428" spans="2:11" ht="12.95" customHeight="1" x14ac:dyDescent="0.3">
      <c r="B1428" s="142" t="s">
        <v>30</v>
      </c>
      <c r="C1428" s="145" t="s">
        <v>34</v>
      </c>
      <c r="D1428" s="145" t="s">
        <v>35</v>
      </c>
      <c r="E1428" s="145" t="s">
        <v>31</v>
      </c>
      <c r="F1428" s="139" t="s">
        <v>203</v>
      </c>
      <c r="G1428" s="140"/>
      <c r="H1428" s="140"/>
      <c r="I1428" s="140"/>
    </row>
    <row r="1429" spans="2:11" ht="12.95" customHeight="1" x14ac:dyDescent="0.3">
      <c r="B1429" s="143"/>
      <c r="C1429" s="146"/>
      <c r="D1429" s="146"/>
      <c r="E1429" s="146"/>
      <c r="F1429" s="139" t="s">
        <v>265</v>
      </c>
      <c r="G1429" s="140"/>
      <c r="H1429" s="139" t="s">
        <v>266</v>
      </c>
      <c r="I1429" s="140"/>
    </row>
    <row r="1430" spans="2:11" ht="12.95" customHeight="1" x14ac:dyDescent="0.3">
      <c r="B1430" s="143"/>
      <c r="C1430" s="146"/>
      <c r="D1430" s="146"/>
      <c r="E1430" s="146"/>
      <c r="F1430" s="34" t="s">
        <v>221</v>
      </c>
      <c r="G1430" s="37">
        <v>80</v>
      </c>
      <c r="H1430" s="34" t="s">
        <v>221</v>
      </c>
      <c r="I1430" s="37">
        <v>50</v>
      </c>
    </row>
    <row r="1431" spans="2:11" ht="12.95" customHeight="1" x14ac:dyDescent="0.3">
      <c r="B1431" s="144"/>
      <c r="C1431" s="147"/>
      <c r="D1431" s="147"/>
      <c r="E1431" s="147"/>
      <c r="F1431" s="38" t="s">
        <v>32</v>
      </c>
      <c r="G1431" s="39" t="s">
        <v>33</v>
      </c>
      <c r="H1431" s="38" t="s">
        <v>32</v>
      </c>
      <c r="I1431" s="39" t="s">
        <v>33</v>
      </c>
    </row>
    <row r="1432" spans="2:11" ht="12.95" customHeight="1" x14ac:dyDescent="0.3">
      <c r="B1432" s="68" t="s">
        <v>291</v>
      </c>
      <c r="C1432" s="68" t="s">
        <v>270</v>
      </c>
      <c r="D1432" s="69" t="s">
        <v>48</v>
      </c>
      <c r="E1432" s="95">
        <v>18182</v>
      </c>
      <c r="F1432" s="21">
        <v>8</v>
      </c>
      <c r="G1432" s="3">
        <f t="shared" ref="G1432" si="332">TRUNC($E1432*F1432,1)</f>
        <v>145456</v>
      </c>
      <c r="H1432" s="21">
        <v>8</v>
      </c>
      <c r="I1432" s="3">
        <f t="shared" ref="I1432" si="333">TRUNC($E1432*H1432,1)</f>
        <v>145456</v>
      </c>
    </row>
    <row r="1433" spans="2:11" ht="12.95" customHeight="1" x14ac:dyDescent="0.3">
      <c r="B1433" s="116" t="s">
        <v>36</v>
      </c>
      <c r="C1433" s="97" t="s">
        <v>99</v>
      </c>
      <c r="D1433" s="35" t="s">
        <v>45</v>
      </c>
      <c r="E1433" s="98"/>
      <c r="F1433" s="109">
        <v>1</v>
      </c>
      <c r="G1433" s="5">
        <f>TRUNC(SUM(G1436:G1437)*0.02,1)</f>
        <v>17008.599999999999</v>
      </c>
      <c r="H1433" s="109">
        <v>1</v>
      </c>
      <c r="I1433" s="5">
        <f>TRUNC(SUM(I1436:I1437)*0.02,1)</f>
        <v>17008.599999999999</v>
      </c>
    </row>
    <row r="1434" spans="2:11" ht="12.95" customHeight="1" x14ac:dyDescent="0.3">
      <c r="B1434" s="74" t="s">
        <v>38</v>
      </c>
      <c r="C1434" s="75"/>
      <c r="D1434" s="75"/>
      <c r="E1434" s="24"/>
      <c r="F1434" s="25"/>
      <c r="G1434" s="20">
        <f>TRUNC(SUM(G1432:G1433))</f>
        <v>162464</v>
      </c>
      <c r="H1434" s="25"/>
      <c r="I1434" s="20">
        <f>TRUNC(SUM(I1432:I1433))</f>
        <v>162464</v>
      </c>
    </row>
    <row r="1435" spans="2:11" ht="12.95" customHeight="1" x14ac:dyDescent="0.3">
      <c r="B1435" s="77"/>
      <c r="C1435" s="75"/>
      <c r="D1435" s="75"/>
      <c r="E1435" s="24"/>
      <c r="F1435" s="25"/>
      <c r="G1435" s="78"/>
      <c r="H1435" s="25"/>
      <c r="I1435" s="78"/>
    </row>
    <row r="1436" spans="2:11" ht="12.95" customHeight="1" x14ac:dyDescent="0.3">
      <c r="B1436" s="40" t="s">
        <v>53</v>
      </c>
      <c r="C1436" s="41"/>
      <c r="D1436" s="42" t="s">
        <v>37</v>
      </c>
      <c r="E1436" s="95">
        <v>226122</v>
      </c>
      <c r="F1436" s="21">
        <v>3</v>
      </c>
      <c r="G1436" s="3">
        <f t="shared" ref="G1436:G1438" si="334">TRUNC($E1436*F1436,1)</f>
        <v>678366</v>
      </c>
      <c r="H1436" s="21">
        <v>3</v>
      </c>
      <c r="I1436" s="3">
        <f t="shared" ref="I1436:I1438" si="335">TRUNC($E1436*H1436,1)</f>
        <v>678366</v>
      </c>
    </row>
    <row r="1437" spans="2:11" ht="12.95" customHeight="1" x14ac:dyDescent="0.3">
      <c r="B1437" s="40" t="s">
        <v>8</v>
      </c>
      <c r="C1437" s="41"/>
      <c r="D1437" s="42" t="s">
        <v>37</v>
      </c>
      <c r="E1437" s="95">
        <v>172068</v>
      </c>
      <c r="F1437" s="21">
        <v>1</v>
      </c>
      <c r="G1437" s="3">
        <f t="shared" si="334"/>
        <v>172068</v>
      </c>
      <c r="H1437" s="21">
        <v>1</v>
      </c>
      <c r="I1437" s="3">
        <f t="shared" si="335"/>
        <v>172068</v>
      </c>
    </row>
    <row r="1438" spans="2:11" ht="12.95" customHeight="1" x14ac:dyDescent="0.3">
      <c r="B1438" s="68" t="s">
        <v>291</v>
      </c>
      <c r="C1438" s="68" t="s">
        <v>270</v>
      </c>
      <c r="D1438" s="35" t="s">
        <v>44</v>
      </c>
      <c r="E1438" s="95">
        <v>58925</v>
      </c>
      <c r="F1438" s="21">
        <v>8</v>
      </c>
      <c r="G1438" s="3">
        <f t="shared" si="334"/>
        <v>471400</v>
      </c>
      <c r="H1438" s="21">
        <v>8</v>
      </c>
      <c r="I1438" s="3">
        <f t="shared" si="335"/>
        <v>471400</v>
      </c>
    </row>
    <row r="1439" spans="2:11" ht="12.95" customHeight="1" x14ac:dyDescent="0.3">
      <c r="B1439" s="45" t="s">
        <v>39</v>
      </c>
      <c r="C1439" s="75"/>
      <c r="D1439" s="75"/>
      <c r="E1439" s="18"/>
      <c r="F1439" s="25"/>
      <c r="G1439" s="20">
        <f>TRUNC(SUM(G1436:G1438))</f>
        <v>1321834</v>
      </c>
      <c r="H1439" s="25"/>
      <c r="I1439" s="20">
        <f>TRUNC(SUM(I1436:I1438))</f>
        <v>1321834</v>
      </c>
    </row>
    <row r="1440" spans="2:11" ht="12.95" customHeight="1" x14ac:dyDescent="0.3">
      <c r="B1440" s="77"/>
      <c r="C1440" s="75"/>
      <c r="D1440" s="75"/>
      <c r="E1440" s="112"/>
      <c r="F1440" s="25"/>
      <c r="G1440" s="78"/>
      <c r="H1440" s="25"/>
      <c r="I1440" s="78"/>
    </row>
    <row r="1441" spans="2:11" ht="12.95" customHeight="1" x14ac:dyDescent="0.3">
      <c r="B1441" s="68" t="s">
        <v>291</v>
      </c>
      <c r="C1441" s="68" t="s">
        <v>270</v>
      </c>
      <c r="D1441" s="69" t="s">
        <v>48</v>
      </c>
      <c r="E1441" s="95">
        <v>17514</v>
      </c>
      <c r="F1441" s="21">
        <v>8</v>
      </c>
      <c r="G1441" s="3">
        <f t="shared" ref="G1441" si="336">TRUNC($E1441*F1441,1)</f>
        <v>140112</v>
      </c>
      <c r="H1441" s="21">
        <v>8</v>
      </c>
      <c r="I1441" s="3">
        <f t="shared" ref="I1441" si="337">TRUNC($E1441*H1441,1)</f>
        <v>140112</v>
      </c>
    </row>
    <row r="1442" spans="2:11" ht="12.95" customHeight="1" x14ac:dyDescent="0.3">
      <c r="B1442" s="74" t="s">
        <v>40</v>
      </c>
      <c r="C1442" s="75"/>
      <c r="D1442" s="75"/>
      <c r="E1442" s="81"/>
      <c r="F1442" s="19"/>
      <c r="G1442" s="20">
        <f>TRUNC(SUM(G1441:G1441))</f>
        <v>140112</v>
      </c>
      <c r="H1442" s="19"/>
      <c r="I1442" s="20">
        <f>TRUNC(SUM(I1441:I1441))</f>
        <v>140112</v>
      </c>
    </row>
    <row r="1443" spans="2:11" ht="12.95" customHeight="1" x14ac:dyDescent="0.3">
      <c r="B1443" s="82"/>
      <c r="C1443" s="68"/>
      <c r="D1443" s="68"/>
      <c r="E1443" s="83"/>
      <c r="F1443" s="84"/>
      <c r="G1443" s="72"/>
      <c r="H1443" s="84"/>
      <c r="I1443" s="72"/>
    </row>
    <row r="1444" spans="2:11" ht="12.95" customHeight="1" x14ac:dyDescent="0.3">
      <c r="B1444" s="51" t="s">
        <v>42</v>
      </c>
      <c r="C1444" s="75"/>
      <c r="D1444" s="75"/>
      <c r="E1444" s="81"/>
      <c r="F1444" s="81"/>
      <c r="G1444" s="85">
        <f>SUM(G1434+G1439+G1442)</f>
        <v>1624410</v>
      </c>
      <c r="H1444" s="81"/>
      <c r="I1444" s="85">
        <f>SUM(I1434+I1439+I1442)</f>
        <v>1624410</v>
      </c>
    </row>
    <row r="1445" spans="2:11" ht="12.95" customHeight="1" x14ac:dyDescent="0.3">
      <c r="B1445" s="52" t="s">
        <v>220</v>
      </c>
      <c r="C1445" s="86"/>
      <c r="D1445" s="86"/>
      <c r="E1445" s="87"/>
      <c r="F1445" s="87"/>
      <c r="G1445" s="8">
        <f>TRUNC(G1444/G1430)</f>
        <v>20305</v>
      </c>
      <c r="H1445" s="87"/>
      <c r="I1445" s="8">
        <f>TRUNC(I1444/I1430)</f>
        <v>32488</v>
      </c>
    </row>
    <row r="1446" spans="2:11" ht="12.95" customHeight="1" x14ac:dyDescent="0.3">
      <c r="B1446" s="142" t="s">
        <v>30</v>
      </c>
      <c r="C1446" s="145" t="s">
        <v>34</v>
      </c>
      <c r="D1446" s="145" t="s">
        <v>35</v>
      </c>
      <c r="E1446" s="145" t="s">
        <v>31</v>
      </c>
      <c r="F1446" s="139" t="s">
        <v>202</v>
      </c>
      <c r="G1446" s="140"/>
      <c r="H1446" s="140"/>
      <c r="I1446" s="140"/>
      <c r="J1446" s="140"/>
      <c r="K1446" s="140"/>
    </row>
    <row r="1447" spans="2:11" ht="12.95" customHeight="1" x14ac:dyDescent="0.3">
      <c r="B1447" s="143"/>
      <c r="C1447" s="146"/>
      <c r="D1447" s="146"/>
      <c r="E1447" s="146"/>
      <c r="F1447" s="139" t="s">
        <v>262</v>
      </c>
      <c r="G1447" s="140"/>
      <c r="H1447" s="139" t="s">
        <v>263</v>
      </c>
      <c r="I1447" s="140"/>
      <c r="J1447" s="139" t="s">
        <v>264</v>
      </c>
      <c r="K1447" s="140"/>
    </row>
    <row r="1448" spans="2:11" ht="12.95" customHeight="1" x14ac:dyDescent="0.3">
      <c r="B1448" s="143"/>
      <c r="C1448" s="146"/>
      <c r="D1448" s="146"/>
      <c r="E1448" s="146"/>
      <c r="F1448" s="34" t="s">
        <v>221</v>
      </c>
      <c r="G1448" s="37">
        <v>115</v>
      </c>
      <c r="H1448" s="34" t="s">
        <v>221</v>
      </c>
      <c r="I1448" s="37">
        <v>100</v>
      </c>
      <c r="J1448" s="34" t="s">
        <v>221</v>
      </c>
      <c r="K1448" s="37">
        <v>90</v>
      </c>
    </row>
    <row r="1449" spans="2:11" ht="12.95" customHeight="1" x14ac:dyDescent="0.3">
      <c r="B1449" s="144"/>
      <c r="C1449" s="147"/>
      <c r="D1449" s="147"/>
      <c r="E1449" s="147"/>
      <c r="F1449" s="38" t="s">
        <v>32</v>
      </c>
      <c r="G1449" s="39" t="s">
        <v>33</v>
      </c>
      <c r="H1449" s="38" t="s">
        <v>32</v>
      </c>
      <c r="I1449" s="39" t="s">
        <v>33</v>
      </c>
      <c r="J1449" s="38" t="s">
        <v>32</v>
      </c>
      <c r="K1449" s="39" t="s">
        <v>33</v>
      </c>
    </row>
    <row r="1450" spans="2:11" ht="12.95" customHeight="1" x14ac:dyDescent="0.3">
      <c r="B1450" s="68" t="s">
        <v>291</v>
      </c>
      <c r="C1450" s="68" t="s">
        <v>285</v>
      </c>
      <c r="D1450" s="69" t="s">
        <v>48</v>
      </c>
      <c r="E1450" s="95">
        <v>9107</v>
      </c>
      <c r="F1450" s="21">
        <v>8</v>
      </c>
      <c r="G1450" s="3">
        <f t="shared" ref="G1450" si="338">TRUNC($E1450*F1450,1)</f>
        <v>72856</v>
      </c>
      <c r="H1450" s="21">
        <v>8</v>
      </c>
      <c r="I1450" s="3">
        <f t="shared" ref="I1450" si="339">TRUNC($E1450*H1450,1)</f>
        <v>72856</v>
      </c>
      <c r="J1450" s="21">
        <v>8</v>
      </c>
      <c r="K1450" s="3">
        <f t="shared" ref="K1450" si="340">TRUNC($E1450*J1450,1)</f>
        <v>72856</v>
      </c>
    </row>
    <row r="1451" spans="2:11" ht="12.95" customHeight="1" x14ac:dyDescent="0.3">
      <c r="B1451" s="116" t="s">
        <v>36</v>
      </c>
      <c r="C1451" s="97" t="s">
        <v>99</v>
      </c>
      <c r="D1451" s="35" t="s">
        <v>45</v>
      </c>
      <c r="E1451" s="98"/>
      <c r="F1451" s="109">
        <v>1</v>
      </c>
      <c r="G1451" s="5">
        <f>TRUNC(SUM(G1454:G1455)*0.02,1)</f>
        <v>17008.599999999999</v>
      </c>
      <c r="H1451" s="109">
        <v>1</v>
      </c>
      <c r="I1451" s="5">
        <f>TRUNC(SUM(I1454:I1455)*0.02,1)</f>
        <v>17008.599999999999</v>
      </c>
      <c r="J1451" s="109">
        <v>1</v>
      </c>
      <c r="K1451" s="5">
        <f>TRUNC(SUM(K1454:K1455)*0.02,1)</f>
        <v>17008.599999999999</v>
      </c>
    </row>
    <row r="1452" spans="2:11" ht="12.95" customHeight="1" x14ac:dyDescent="0.3">
      <c r="B1452" s="74" t="s">
        <v>38</v>
      </c>
      <c r="C1452" s="75"/>
      <c r="D1452" s="75"/>
      <c r="E1452" s="24"/>
      <c r="F1452" s="25"/>
      <c r="G1452" s="20">
        <f>TRUNC(SUM(G1450:G1451))</f>
        <v>89864</v>
      </c>
      <c r="H1452" s="25"/>
      <c r="I1452" s="20">
        <f>TRUNC(SUM(I1450:I1451))</f>
        <v>89864</v>
      </c>
      <c r="J1452" s="25"/>
      <c r="K1452" s="20">
        <f>TRUNC(SUM(K1450:K1451))</f>
        <v>89864</v>
      </c>
    </row>
    <row r="1453" spans="2:11" ht="12.95" customHeight="1" x14ac:dyDescent="0.3">
      <c r="B1453" s="77"/>
      <c r="C1453" s="75"/>
      <c r="D1453" s="75"/>
      <c r="E1453" s="24"/>
      <c r="F1453" s="25"/>
      <c r="G1453" s="78"/>
      <c r="H1453" s="25"/>
      <c r="I1453" s="78"/>
      <c r="J1453" s="25"/>
      <c r="K1453" s="78"/>
    </row>
    <row r="1454" spans="2:11" ht="12.95" customHeight="1" x14ac:dyDescent="0.3">
      <c r="B1454" s="40" t="s">
        <v>53</v>
      </c>
      <c r="C1454" s="41"/>
      <c r="D1454" s="42" t="s">
        <v>37</v>
      </c>
      <c r="E1454" s="95">
        <v>226122</v>
      </c>
      <c r="F1454" s="21">
        <v>3</v>
      </c>
      <c r="G1454" s="3">
        <f t="shared" ref="G1454:G1456" si="341">TRUNC($E1454*F1454,1)</f>
        <v>678366</v>
      </c>
      <c r="H1454" s="21">
        <v>3</v>
      </c>
      <c r="I1454" s="3">
        <f t="shared" ref="I1454:I1456" si="342">TRUNC($E1454*H1454,1)</f>
        <v>678366</v>
      </c>
      <c r="J1454" s="21">
        <v>3</v>
      </c>
      <c r="K1454" s="3">
        <f t="shared" ref="K1454:K1456" si="343">TRUNC($E1454*J1454,1)</f>
        <v>678366</v>
      </c>
    </row>
    <row r="1455" spans="2:11" ht="12.95" customHeight="1" x14ac:dyDescent="0.3">
      <c r="B1455" s="40" t="s">
        <v>8</v>
      </c>
      <c r="C1455" s="41"/>
      <c r="D1455" s="42" t="s">
        <v>37</v>
      </c>
      <c r="E1455" s="95">
        <v>172068</v>
      </c>
      <c r="F1455" s="21">
        <v>1</v>
      </c>
      <c r="G1455" s="3">
        <f t="shared" si="341"/>
        <v>172068</v>
      </c>
      <c r="H1455" s="21">
        <v>1</v>
      </c>
      <c r="I1455" s="3">
        <f t="shared" si="342"/>
        <v>172068</v>
      </c>
      <c r="J1455" s="21">
        <v>1</v>
      </c>
      <c r="K1455" s="3">
        <f t="shared" si="343"/>
        <v>172068</v>
      </c>
    </row>
    <row r="1456" spans="2:11" ht="12.95" customHeight="1" x14ac:dyDescent="0.3">
      <c r="B1456" s="68" t="s">
        <v>291</v>
      </c>
      <c r="C1456" s="68" t="s">
        <v>285</v>
      </c>
      <c r="D1456" s="35" t="s">
        <v>44</v>
      </c>
      <c r="E1456" s="95">
        <v>58925</v>
      </c>
      <c r="F1456" s="21">
        <v>8</v>
      </c>
      <c r="G1456" s="3">
        <f t="shared" si="341"/>
        <v>471400</v>
      </c>
      <c r="H1456" s="21">
        <v>8</v>
      </c>
      <c r="I1456" s="3">
        <f t="shared" si="342"/>
        <v>471400</v>
      </c>
      <c r="J1456" s="21">
        <v>8</v>
      </c>
      <c r="K1456" s="3">
        <f t="shared" si="343"/>
        <v>471400</v>
      </c>
    </row>
    <row r="1457" spans="2:11" ht="12.95" customHeight="1" x14ac:dyDescent="0.3">
      <c r="B1457" s="45" t="s">
        <v>39</v>
      </c>
      <c r="C1457" s="75"/>
      <c r="D1457" s="75"/>
      <c r="E1457" s="18"/>
      <c r="F1457" s="25"/>
      <c r="G1457" s="20">
        <f>TRUNC(SUM(G1454:G1456))</f>
        <v>1321834</v>
      </c>
      <c r="H1457" s="25"/>
      <c r="I1457" s="20">
        <f>TRUNC(SUM(I1454:I1456))</f>
        <v>1321834</v>
      </c>
      <c r="J1457" s="25"/>
      <c r="K1457" s="20">
        <f>TRUNC(SUM(K1454:K1456))</f>
        <v>1321834</v>
      </c>
    </row>
    <row r="1458" spans="2:11" ht="12.95" customHeight="1" x14ac:dyDescent="0.3">
      <c r="B1458" s="77"/>
      <c r="C1458" s="75"/>
      <c r="D1458" s="75"/>
      <c r="E1458" s="112"/>
      <c r="F1458" s="25"/>
      <c r="G1458" s="78"/>
      <c r="H1458" s="25"/>
      <c r="I1458" s="78"/>
      <c r="J1458" s="25"/>
      <c r="K1458" s="78"/>
    </row>
    <row r="1459" spans="2:11" ht="12.95" customHeight="1" x14ac:dyDescent="0.3">
      <c r="B1459" s="68" t="s">
        <v>291</v>
      </c>
      <c r="C1459" s="68" t="s">
        <v>285</v>
      </c>
      <c r="D1459" s="69" t="s">
        <v>48</v>
      </c>
      <c r="E1459" s="95">
        <v>13873</v>
      </c>
      <c r="F1459" s="21">
        <v>8</v>
      </c>
      <c r="G1459" s="3">
        <f t="shared" ref="G1459" si="344">TRUNC($E1459*F1459,1)</f>
        <v>110984</v>
      </c>
      <c r="H1459" s="21">
        <v>8</v>
      </c>
      <c r="I1459" s="3">
        <f t="shared" ref="I1459" si="345">TRUNC($E1459*H1459,1)</f>
        <v>110984</v>
      </c>
      <c r="J1459" s="21">
        <v>8</v>
      </c>
      <c r="K1459" s="3">
        <f t="shared" ref="K1459" si="346">TRUNC($E1459*J1459,1)</f>
        <v>110984</v>
      </c>
    </row>
    <row r="1460" spans="2:11" ht="12.95" customHeight="1" x14ac:dyDescent="0.3">
      <c r="B1460" s="74" t="s">
        <v>40</v>
      </c>
      <c r="C1460" s="75"/>
      <c r="D1460" s="75"/>
      <c r="E1460" s="81"/>
      <c r="F1460" s="19"/>
      <c r="G1460" s="20">
        <f>TRUNC(SUM(G1459:G1459))</f>
        <v>110984</v>
      </c>
      <c r="H1460" s="19"/>
      <c r="I1460" s="20">
        <f>TRUNC(SUM(I1459:I1459))</f>
        <v>110984</v>
      </c>
      <c r="J1460" s="19"/>
      <c r="K1460" s="20">
        <f>TRUNC(SUM(K1459:K1459))</f>
        <v>110984</v>
      </c>
    </row>
    <row r="1461" spans="2:11" ht="12.95" customHeight="1" x14ac:dyDescent="0.3">
      <c r="B1461" s="82"/>
      <c r="C1461" s="68"/>
      <c r="D1461" s="68"/>
      <c r="E1461" s="83"/>
      <c r="F1461" s="84"/>
      <c r="G1461" s="72"/>
      <c r="H1461" s="84"/>
      <c r="I1461" s="72"/>
      <c r="J1461" s="84"/>
      <c r="K1461" s="72"/>
    </row>
    <row r="1462" spans="2:11" ht="12.95" customHeight="1" x14ac:dyDescent="0.3">
      <c r="B1462" s="51" t="s">
        <v>42</v>
      </c>
      <c r="C1462" s="75"/>
      <c r="D1462" s="75"/>
      <c r="E1462" s="81"/>
      <c r="F1462" s="81"/>
      <c r="G1462" s="85">
        <f>SUM(G1452+G1457+G1460)</f>
        <v>1522682</v>
      </c>
      <c r="H1462" s="81"/>
      <c r="I1462" s="85">
        <f>SUM(I1452+I1457+I1460)</f>
        <v>1522682</v>
      </c>
      <c r="J1462" s="81"/>
      <c r="K1462" s="85">
        <f>SUM(K1452+K1457+K1460)</f>
        <v>1522682</v>
      </c>
    </row>
    <row r="1463" spans="2:11" ht="12.95" customHeight="1" x14ac:dyDescent="0.3">
      <c r="B1463" s="52" t="s">
        <v>220</v>
      </c>
      <c r="C1463" s="86"/>
      <c r="D1463" s="86"/>
      <c r="E1463" s="87"/>
      <c r="F1463" s="87"/>
      <c r="G1463" s="8">
        <f>TRUNC(G1462/G1448)</f>
        <v>13240</v>
      </c>
      <c r="H1463" s="87"/>
      <c r="I1463" s="8">
        <f>TRUNC(I1462/I1448)</f>
        <v>15226</v>
      </c>
      <c r="J1463" s="87"/>
      <c r="K1463" s="8">
        <f>TRUNC(K1462/K1448)</f>
        <v>16918</v>
      </c>
    </row>
    <row r="1464" spans="2:11" ht="12.95" customHeight="1" x14ac:dyDescent="0.3">
      <c r="B1464" s="142" t="s">
        <v>30</v>
      </c>
      <c r="C1464" s="145" t="s">
        <v>34</v>
      </c>
      <c r="D1464" s="145" t="s">
        <v>35</v>
      </c>
      <c r="E1464" s="145" t="s">
        <v>31</v>
      </c>
      <c r="F1464" s="139" t="s">
        <v>202</v>
      </c>
      <c r="G1464" s="140"/>
      <c r="H1464" s="140"/>
      <c r="I1464" s="140"/>
    </row>
    <row r="1465" spans="2:11" ht="12.95" customHeight="1" x14ac:dyDescent="0.3">
      <c r="B1465" s="143"/>
      <c r="C1465" s="146"/>
      <c r="D1465" s="146"/>
      <c r="E1465" s="146"/>
      <c r="F1465" s="139" t="s">
        <v>265</v>
      </c>
      <c r="G1465" s="140"/>
      <c r="H1465" s="139" t="s">
        <v>266</v>
      </c>
      <c r="I1465" s="140"/>
    </row>
    <row r="1466" spans="2:11" ht="12.95" customHeight="1" x14ac:dyDescent="0.3">
      <c r="B1466" s="143"/>
      <c r="C1466" s="146"/>
      <c r="D1466" s="146"/>
      <c r="E1466" s="146"/>
      <c r="F1466" s="34" t="s">
        <v>221</v>
      </c>
      <c r="G1466" s="37">
        <v>65</v>
      </c>
      <c r="H1466" s="34" t="s">
        <v>221</v>
      </c>
      <c r="I1466" s="37">
        <v>40</v>
      </c>
    </row>
    <row r="1467" spans="2:11" ht="12.95" customHeight="1" x14ac:dyDescent="0.3">
      <c r="B1467" s="144"/>
      <c r="C1467" s="147"/>
      <c r="D1467" s="147"/>
      <c r="E1467" s="147"/>
      <c r="F1467" s="38" t="s">
        <v>32</v>
      </c>
      <c r="G1467" s="39" t="s">
        <v>33</v>
      </c>
      <c r="H1467" s="38" t="s">
        <v>32</v>
      </c>
      <c r="I1467" s="39" t="s">
        <v>33</v>
      </c>
    </row>
    <row r="1468" spans="2:11" ht="12.95" customHeight="1" x14ac:dyDescent="0.3">
      <c r="B1468" s="68" t="s">
        <v>291</v>
      </c>
      <c r="C1468" s="68" t="s">
        <v>285</v>
      </c>
      <c r="D1468" s="69" t="s">
        <v>48</v>
      </c>
      <c r="E1468" s="95">
        <v>9107</v>
      </c>
      <c r="F1468" s="21">
        <v>8</v>
      </c>
      <c r="G1468" s="3">
        <f t="shared" ref="G1468" si="347">TRUNC($E1468*F1468,1)</f>
        <v>72856</v>
      </c>
      <c r="H1468" s="21">
        <v>8</v>
      </c>
      <c r="I1468" s="3">
        <f t="shared" ref="I1468" si="348">TRUNC($E1468*H1468,1)</f>
        <v>72856</v>
      </c>
    </row>
    <row r="1469" spans="2:11" ht="12.95" customHeight="1" x14ac:dyDescent="0.3">
      <c r="B1469" s="116" t="s">
        <v>36</v>
      </c>
      <c r="C1469" s="97" t="s">
        <v>99</v>
      </c>
      <c r="D1469" s="35" t="s">
        <v>45</v>
      </c>
      <c r="E1469" s="98"/>
      <c r="F1469" s="109">
        <v>1</v>
      </c>
      <c r="G1469" s="5">
        <f>TRUNC(SUM(G1472:G1473)*0.02,1)</f>
        <v>17008.599999999999</v>
      </c>
      <c r="H1469" s="109">
        <v>1</v>
      </c>
      <c r="I1469" s="5">
        <f>TRUNC(SUM(I1472:I1473)*0.02,1)</f>
        <v>17008.599999999999</v>
      </c>
    </row>
    <row r="1470" spans="2:11" ht="12.95" customHeight="1" x14ac:dyDescent="0.3">
      <c r="B1470" s="74" t="s">
        <v>38</v>
      </c>
      <c r="C1470" s="75"/>
      <c r="D1470" s="75"/>
      <c r="E1470" s="24"/>
      <c r="F1470" s="25"/>
      <c r="G1470" s="20">
        <f>TRUNC(SUM(G1468:G1469))</f>
        <v>89864</v>
      </c>
      <c r="H1470" s="25"/>
      <c r="I1470" s="20">
        <f>TRUNC(SUM(I1468:I1469))</f>
        <v>89864</v>
      </c>
    </row>
    <row r="1471" spans="2:11" ht="12.95" customHeight="1" x14ac:dyDescent="0.3">
      <c r="B1471" s="77"/>
      <c r="C1471" s="75"/>
      <c r="D1471" s="75"/>
      <c r="E1471" s="24"/>
      <c r="F1471" s="25"/>
      <c r="G1471" s="78"/>
      <c r="H1471" s="25"/>
      <c r="I1471" s="78"/>
    </row>
    <row r="1472" spans="2:11" ht="12.95" customHeight="1" x14ac:dyDescent="0.3">
      <c r="B1472" s="40" t="s">
        <v>53</v>
      </c>
      <c r="C1472" s="41"/>
      <c r="D1472" s="42" t="s">
        <v>37</v>
      </c>
      <c r="E1472" s="95">
        <v>226122</v>
      </c>
      <c r="F1472" s="21">
        <v>3</v>
      </c>
      <c r="G1472" s="3">
        <f t="shared" ref="G1472:G1474" si="349">TRUNC($E1472*F1472,1)</f>
        <v>678366</v>
      </c>
      <c r="H1472" s="21">
        <v>3</v>
      </c>
      <c r="I1472" s="3">
        <f t="shared" ref="I1472:I1474" si="350">TRUNC($E1472*H1472,1)</f>
        <v>678366</v>
      </c>
    </row>
    <row r="1473" spans="2:11" ht="12.95" customHeight="1" x14ac:dyDescent="0.3">
      <c r="B1473" s="40" t="s">
        <v>8</v>
      </c>
      <c r="C1473" s="41"/>
      <c r="D1473" s="42" t="s">
        <v>37</v>
      </c>
      <c r="E1473" s="95">
        <v>172068</v>
      </c>
      <c r="F1473" s="21">
        <v>1</v>
      </c>
      <c r="G1473" s="3">
        <f t="shared" si="349"/>
        <v>172068</v>
      </c>
      <c r="H1473" s="21">
        <v>1</v>
      </c>
      <c r="I1473" s="3">
        <f t="shared" si="350"/>
        <v>172068</v>
      </c>
    </row>
    <row r="1474" spans="2:11" ht="12.95" customHeight="1" x14ac:dyDescent="0.3">
      <c r="B1474" s="68" t="s">
        <v>291</v>
      </c>
      <c r="C1474" s="68" t="s">
        <v>285</v>
      </c>
      <c r="D1474" s="35" t="s">
        <v>44</v>
      </c>
      <c r="E1474" s="95">
        <v>58925</v>
      </c>
      <c r="F1474" s="21">
        <v>8</v>
      </c>
      <c r="G1474" s="3">
        <f t="shared" si="349"/>
        <v>471400</v>
      </c>
      <c r="H1474" s="21">
        <v>8</v>
      </c>
      <c r="I1474" s="3">
        <f t="shared" si="350"/>
        <v>471400</v>
      </c>
    </row>
    <row r="1475" spans="2:11" ht="12.95" customHeight="1" x14ac:dyDescent="0.3">
      <c r="B1475" s="45" t="s">
        <v>39</v>
      </c>
      <c r="C1475" s="75"/>
      <c r="D1475" s="75"/>
      <c r="E1475" s="18"/>
      <c r="F1475" s="25"/>
      <c r="G1475" s="20">
        <f>TRUNC(SUM(G1472:G1474))</f>
        <v>1321834</v>
      </c>
      <c r="H1475" s="25"/>
      <c r="I1475" s="20">
        <f>TRUNC(SUM(I1472:I1474))</f>
        <v>1321834</v>
      </c>
    </row>
    <row r="1476" spans="2:11" ht="12.95" customHeight="1" x14ac:dyDescent="0.3">
      <c r="B1476" s="77"/>
      <c r="C1476" s="75"/>
      <c r="D1476" s="75"/>
      <c r="E1476" s="112"/>
      <c r="F1476" s="25"/>
      <c r="G1476" s="78"/>
      <c r="H1476" s="25"/>
      <c r="I1476" s="78"/>
    </row>
    <row r="1477" spans="2:11" ht="12.95" customHeight="1" x14ac:dyDescent="0.3">
      <c r="B1477" s="68" t="s">
        <v>291</v>
      </c>
      <c r="C1477" s="68" t="s">
        <v>285</v>
      </c>
      <c r="D1477" s="69" t="s">
        <v>48</v>
      </c>
      <c r="E1477" s="95">
        <v>13873</v>
      </c>
      <c r="F1477" s="21">
        <v>8</v>
      </c>
      <c r="G1477" s="3">
        <f t="shared" ref="G1477" si="351">TRUNC($E1477*F1477,1)</f>
        <v>110984</v>
      </c>
      <c r="H1477" s="21">
        <v>8</v>
      </c>
      <c r="I1477" s="3">
        <f t="shared" ref="I1477" si="352">TRUNC($E1477*H1477,1)</f>
        <v>110984</v>
      </c>
    </row>
    <row r="1478" spans="2:11" ht="12.95" customHeight="1" x14ac:dyDescent="0.3">
      <c r="B1478" s="74" t="s">
        <v>40</v>
      </c>
      <c r="C1478" s="75"/>
      <c r="D1478" s="75"/>
      <c r="E1478" s="81"/>
      <c r="F1478" s="19"/>
      <c r="G1478" s="20">
        <f>TRUNC(SUM(G1477:G1477))</f>
        <v>110984</v>
      </c>
      <c r="H1478" s="19"/>
      <c r="I1478" s="20">
        <f>TRUNC(SUM(I1477:I1477))</f>
        <v>110984</v>
      </c>
    </row>
    <row r="1479" spans="2:11" ht="12.95" customHeight="1" x14ac:dyDescent="0.3">
      <c r="B1479" s="82"/>
      <c r="C1479" s="68"/>
      <c r="D1479" s="68"/>
      <c r="E1479" s="83"/>
      <c r="F1479" s="84"/>
      <c r="G1479" s="72"/>
      <c r="H1479" s="84"/>
      <c r="I1479" s="72"/>
    </row>
    <row r="1480" spans="2:11" ht="12.95" customHeight="1" x14ac:dyDescent="0.3">
      <c r="B1480" s="51" t="s">
        <v>42</v>
      </c>
      <c r="C1480" s="75"/>
      <c r="D1480" s="75"/>
      <c r="E1480" s="81"/>
      <c r="F1480" s="81"/>
      <c r="G1480" s="85">
        <f>SUM(G1470+G1475+G1478)</f>
        <v>1522682</v>
      </c>
      <c r="H1480" s="81"/>
      <c r="I1480" s="85">
        <f>SUM(I1470+I1475+I1478)</f>
        <v>1522682</v>
      </c>
    </row>
    <row r="1481" spans="2:11" ht="12.95" customHeight="1" x14ac:dyDescent="0.3">
      <c r="B1481" s="52" t="s">
        <v>220</v>
      </c>
      <c r="C1481" s="86"/>
      <c r="D1481" s="86"/>
      <c r="E1481" s="87"/>
      <c r="F1481" s="87"/>
      <c r="G1481" s="8">
        <f>TRUNC(G1480/G1466)</f>
        <v>23425</v>
      </c>
      <c r="H1481" s="87"/>
      <c r="I1481" s="8">
        <f>TRUNC(I1480/I1466)</f>
        <v>38067</v>
      </c>
    </row>
    <row r="1482" spans="2:11" ht="12.95" customHeight="1" x14ac:dyDescent="0.3">
      <c r="B1482" s="142" t="s">
        <v>30</v>
      </c>
      <c r="C1482" s="145" t="s">
        <v>34</v>
      </c>
      <c r="D1482" s="145" t="s">
        <v>35</v>
      </c>
      <c r="E1482" s="145" t="s">
        <v>31</v>
      </c>
      <c r="F1482" s="139" t="s">
        <v>204</v>
      </c>
      <c r="G1482" s="140"/>
      <c r="H1482" s="140"/>
      <c r="I1482" s="140"/>
      <c r="J1482" s="140"/>
      <c r="K1482" s="140"/>
    </row>
    <row r="1483" spans="2:11" ht="12.95" customHeight="1" x14ac:dyDescent="0.3">
      <c r="B1483" s="143"/>
      <c r="C1483" s="146"/>
      <c r="D1483" s="146"/>
      <c r="E1483" s="146"/>
      <c r="F1483" s="139" t="s">
        <v>262</v>
      </c>
      <c r="G1483" s="140"/>
      <c r="H1483" s="139" t="s">
        <v>263</v>
      </c>
      <c r="I1483" s="140"/>
      <c r="J1483" s="139" t="s">
        <v>264</v>
      </c>
      <c r="K1483" s="140"/>
    </row>
    <row r="1484" spans="2:11" ht="12.95" customHeight="1" x14ac:dyDescent="0.3">
      <c r="B1484" s="143"/>
      <c r="C1484" s="146"/>
      <c r="D1484" s="146"/>
      <c r="E1484" s="146"/>
      <c r="F1484" s="34" t="s">
        <v>221</v>
      </c>
      <c r="G1484" s="37">
        <v>110</v>
      </c>
      <c r="H1484" s="34" t="s">
        <v>221</v>
      </c>
      <c r="I1484" s="37">
        <v>85</v>
      </c>
      <c r="J1484" s="34" t="s">
        <v>221</v>
      </c>
      <c r="K1484" s="37">
        <v>75</v>
      </c>
    </row>
    <row r="1485" spans="2:11" ht="12.95" customHeight="1" x14ac:dyDescent="0.3">
      <c r="B1485" s="144"/>
      <c r="C1485" s="147"/>
      <c r="D1485" s="147"/>
      <c r="E1485" s="147"/>
      <c r="F1485" s="38" t="s">
        <v>32</v>
      </c>
      <c r="G1485" s="39" t="s">
        <v>33</v>
      </c>
      <c r="H1485" s="38" t="s">
        <v>32</v>
      </c>
      <c r="I1485" s="39" t="s">
        <v>33</v>
      </c>
      <c r="J1485" s="38" t="s">
        <v>32</v>
      </c>
      <c r="K1485" s="39" t="s">
        <v>33</v>
      </c>
    </row>
    <row r="1486" spans="2:11" ht="12.95" customHeight="1" x14ac:dyDescent="0.3">
      <c r="B1486" s="68" t="s">
        <v>291</v>
      </c>
      <c r="C1486" s="68" t="s">
        <v>285</v>
      </c>
      <c r="D1486" s="69" t="s">
        <v>48</v>
      </c>
      <c r="E1486" s="95">
        <v>9107</v>
      </c>
      <c r="F1486" s="21">
        <v>8</v>
      </c>
      <c r="G1486" s="3">
        <f t="shared" ref="G1486" si="353">TRUNC($E1486*F1486,1)</f>
        <v>72856</v>
      </c>
      <c r="H1486" s="21">
        <v>8</v>
      </c>
      <c r="I1486" s="3">
        <f t="shared" ref="I1486" si="354">TRUNC($E1486*H1486,1)</f>
        <v>72856</v>
      </c>
      <c r="J1486" s="21">
        <v>8</v>
      </c>
      <c r="K1486" s="3">
        <f t="shared" ref="K1486" si="355">TRUNC($E1486*J1486,1)</f>
        <v>72856</v>
      </c>
    </row>
    <row r="1487" spans="2:11" ht="12.95" customHeight="1" x14ac:dyDescent="0.3">
      <c r="B1487" s="116" t="s">
        <v>36</v>
      </c>
      <c r="C1487" s="97" t="s">
        <v>99</v>
      </c>
      <c r="D1487" s="35" t="s">
        <v>45</v>
      </c>
      <c r="E1487" s="98"/>
      <c r="F1487" s="109">
        <v>1</v>
      </c>
      <c r="G1487" s="5">
        <f>TRUNC(SUM(G1490:G1491)*0.02,1)</f>
        <v>17008.599999999999</v>
      </c>
      <c r="H1487" s="109">
        <v>1</v>
      </c>
      <c r="I1487" s="5">
        <f>TRUNC(SUM(I1490:I1491)*0.02,1)</f>
        <v>17008.599999999999</v>
      </c>
      <c r="J1487" s="109">
        <v>1</v>
      </c>
      <c r="K1487" s="5">
        <f>TRUNC(SUM(K1490:K1491)*0.02,1)</f>
        <v>17008.599999999999</v>
      </c>
    </row>
    <row r="1488" spans="2:11" ht="12.95" customHeight="1" x14ac:dyDescent="0.3">
      <c r="B1488" s="74" t="s">
        <v>38</v>
      </c>
      <c r="C1488" s="75"/>
      <c r="D1488" s="75"/>
      <c r="E1488" s="24"/>
      <c r="F1488" s="25"/>
      <c r="G1488" s="20">
        <f>TRUNC(SUM(G1486:G1487))</f>
        <v>89864</v>
      </c>
      <c r="H1488" s="25"/>
      <c r="I1488" s="20">
        <f>TRUNC(SUM(I1486:I1487))</f>
        <v>89864</v>
      </c>
      <c r="J1488" s="25"/>
      <c r="K1488" s="20">
        <f>TRUNC(SUM(K1486:K1487))</f>
        <v>89864</v>
      </c>
    </row>
    <row r="1489" spans="2:11" ht="12.95" customHeight="1" x14ac:dyDescent="0.3">
      <c r="B1489" s="77"/>
      <c r="C1489" s="75"/>
      <c r="D1489" s="75"/>
      <c r="E1489" s="24"/>
      <c r="F1489" s="25"/>
      <c r="G1489" s="78"/>
      <c r="H1489" s="25"/>
      <c r="I1489" s="78"/>
      <c r="J1489" s="25"/>
      <c r="K1489" s="78"/>
    </row>
    <row r="1490" spans="2:11" ht="12.95" customHeight="1" x14ac:dyDescent="0.3">
      <c r="B1490" s="40" t="s">
        <v>53</v>
      </c>
      <c r="C1490" s="41"/>
      <c r="D1490" s="42" t="s">
        <v>37</v>
      </c>
      <c r="E1490" s="95">
        <v>226122</v>
      </c>
      <c r="F1490" s="21">
        <v>3</v>
      </c>
      <c r="G1490" s="3">
        <f t="shared" ref="G1490:G1492" si="356">TRUNC($E1490*F1490,1)</f>
        <v>678366</v>
      </c>
      <c r="H1490" s="21">
        <v>3</v>
      </c>
      <c r="I1490" s="3">
        <f t="shared" ref="I1490:I1492" si="357">TRUNC($E1490*H1490,1)</f>
        <v>678366</v>
      </c>
      <c r="J1490" s="21">
        <v>3</v>
      </c>
      <c r="K1490" s="3">
        <f t="shared" ref="K1490:K1492" si="358">TRUNC($E1490*J1490,1)</f>
        <v>678366</v>
      </c>
    </row>
    <row r="1491" spans="2:11" ht="12.95" customHeight="1" x14ac:dyDescent="0.3">
      <c r="B1491" s="40" t="s">
        <v>8</v>
      </c>
      <c r="C1491" s="41"/>
      <c r="D1491" s="42" t="s">
        <v>37</v>
      </c>
      <c r="E1491" s="95">
        <v>172068</v>
      </c>
      <c r="F1491" s="21">
        <v>1</v>
      </c>
      <c r="G1491" s="3">
        <f t="shared" si="356"/>
        <v>172068</v>
      </c>
      <c r="H1491" s="21">
        <v>1</v>
      </c>
      <c r="I1491" s="3">
        <f t="shared" si="357"/>
        <v>172068</v>
      </c>
      <c r="J1491" s="21">
        <v>1</v>
      </c>
      <c r="K1491" s="3">
        <f t="shared" si="358"/>
        <v>172068</v>
      </c>
    </row>
    <row r="1492" spans="2:11" ht="12.95" customHeight="1" x14ac:dyDescent="0.3">
      <c r="B1492" s="68" t="s">
        <v>291</v>
      </c>
      <c r="C1492" s="68" t="s">
        <v>285</v>
      </c>
      <c r="D1492" s="35" t="s">
        <v>44</v>
      </c>
      <c r="E1492" s="95">
        <v>58925</v>
      </c>
      <c r="F1492" s="21">
        <v>8</v>
      </c>
      <c r="G1492" s="3">
        <f t="shared" si="356"/>
        <v>471400</v>
      </c>
      <c r="H1492" s="21">
        <v>8</v>
      </c>
      <c r="I1492" s="3">
        <f t="shared" si="357"/>
        <v>471400</v>
      </c>
      <c r="J1492" s="21">
        <v>8</v>
      </c>
      <c r="K1492" s="3">
        <f t="shared" si="358"/>
        <v>471400</v>
      </c>
    </row>
    <row r="1493" spans="2:11" ht="12.95" customHeight="1" x14ac:dyDescent="0.3">
      <c r="B1493" s="45" t="s">
        <v>39</v>
      </c>
      <c r="C1493" s="75"/>
      <c r="D1493" s="75"/>
      <c r="E1493" s="18"/>
      <c r="F1493" s="25"/>
      <c r="G1493" s="20">
        <f>TRUNC(SUM(G1490:G1492))</f>
        <v>1321834</v>
      </c>
      <c r="H1493" s="25"/>
      <c r="I1493" s="20">
        <f>TRUNC(SUM(I1490:I1492))</f>
        <v>1321834</v>
      </c>
      <c r="J1493" s="25"/>
      <c r="K1493" s="20">
        <f>TRUNC(SUM(K1490:K1492))</f>
        <v>1321834</v>
      </c>
    </row>
    <row r="1494" spans="2:11" ht="12.95" customHeight="1" x14ac:dyDescent="0.3">
      <c r="B1494" s="77"/>
      <c r="C1494" s="75"/>
      <c r="D1494" s="75"/>
      <c r="E1494" s="112"/>
      <c r="F1494" s="25"/>
      <c r="G1494" s="78"/>
      <c r="H1494" s="25"/>
      <c r="I1494" s="78"/>
      <c r="J1494" s="25"/>
      <c r="K1494" s="78"/>
    </row>
    <row r="1495" spans="2:11" ht="12.95" customHeight="1" x14ac:dyDescent="0.3">
      <c r="B1495" s="68" t="s">
        <v>291</v>
      </c>
      <c r="C1495" s="68" t="s">
        <v>285</v>
      </c>
      <c r="D1495" s="69" t="s">
        <v>48</v>
      </c>
      <c r="E1495" s="95">
        <v>13873</v>
      </c>
      <c r="F1495" s="21">
        <v>8</v>
      </c>
      <c r="G1495" s="3">
        <f t="shared" ref="G1495" si="359">TRUNC($E1495*F1495,1)</f>
        <v>110984</v>
      </c>
      <c r="H1495" s="21">
        <v>8</v>
      </c>
      <c r="I1495" s="3">
        <f t="shared" ref="I1495" si="360">TRUNC($E1495*H1495,1)</f>
        <v>110984</v>
      </c>
      <c r="J1495" s="21">
        <v>8</v>
      </c>
      <c r="K1495" s="3">
        <f t="shared" ref="K1495" si="361">TRUNC($E1495*J1495,1)</f>
        <v>110984</v>
      </c>
    </row>
    <row r="1496" spans="2:11" ht="12.95" customHeight="1" x14ac:dyDescent="0.3">
      <c r="B1496" s="74" t="s">
        <v>40</v>
      </c>
      <c r="C1496" s="75"/>
      <c r="D1496" s="75"/>
      <c r="E1496" s="81"/>
      <c r="F1496" s="19"/>
      <c r="G1496" s="20">
        <f>TRUNC(SUM(G1495:G1495))</f>
        <v>110984</v>
      </c>
      <c r="H1496" s="19"/>
      <c r="I1496" s="20">
        <f>TRUNC(SUM(I1495:I1495))</f>
        <v>110984</v>
      </c>
      <c r="J1496" s="19"/>
      <c r="K1496" s="20">
        <f>TRUNC(SUM(K1495:K1495))</f>
        <v>110984</v>
      </c>
    </row>
    <row r="1497" spans="2:11" ht="12.95" customHeight="1" x14ac:dyDescent="0.3">
      <c r="B1497" s="82"/>
      <c r="C1497" s="68"/>
      <c r="D1497" s="68"/>
      <c r="E1497" s="83"/>
      <c r="F1497" s="84"/>
      <c r="G1497" s="72"/>
      <c r="H1497" s="84"/>
      <c r="I1497" s="72"/>
      <c r="J1497" s="84"/>
      <c r="K1497" s="72"/>
    </row>
    <row r="1498" spans="2:11" ht="12.95" customHeight="1" x14ac:dyDescent="0.3">
      <c r="B1498" s="51" t="s">
        <v>42</v>
      </c>
      <c r="C1498" s="75"/>
      <c r="D1498" s="75"/>
      <c r="E1498" s="81"/>
      <c r="F1498" s="81"/>
      <c r="G1498" s="85">
        <f>SUM(G1488+G1493+G1496)</f>
        <v>1522682</v>
      </c>
      <c r="H1498" s="81"/>
      <c r="I1498" s="85">
        <f>SUM(I1488+I1493+I1496)</f>
        <v>1522682</v>
      </c>
      <c r="J1498" s="81"/>
      <c r="K1498" s="85">
        <f>SUM(K1488+K1493+K1496)</f>
        <v>1522682</v>
      </c>
    </row>
    <row r="1499" spans="2:11" ht="12.95" customHeight="1" x14ac:dyDescent="0.3">
      <c r="B1499" s="52" t="s">
        <v>220</v>
      </c>
      <c r="C1499" s="86"/>
      <c r="D1499" s="86"/>
      <c r="E1499" s="87"/>
      <c r="F1499" s="87"/>
      <c r="G1499" s="8">
        <f>TRUNC(G1498/G1484)</f>
        <v>13842</v>
      </c>
      <c r="H1499" s="87"/>
      <c r="I1499" s="8">
        <f>TRUNC(I1498/I1484)</f>
        <v>17913</v>
      </c>
      <c r="J1499" s="87"/>
      <c r="K1499" s="8">
        <f>TRUNC(K1498/K1484)</f>
        <v>20302</v>
      </c>
    </row>
    <row r="1500" spans="2:11" ht="12.95" customHeight="1" x14ac:dyDescent="0.3">
      <c r="B1500" s="142" t="s">
        <v>30</v>
      </c>
      <c r="C1500" s="145" t="s">
        <v>34</v>
      </c>
      <c r="D1500" s="145" t="s">
        <v>35</v>
      </c>
      <c r="E1500" s="145" t="s">
        <v>31</v>
      </c>
      <c r="F1500" s="139" t="s">
        <v>204</v>
      </c>
      <c r="G1500" s="140"/>
      <c r="H1500" s="140"/>
      <c r="I1500" s="140"/>
    </row>
    <row r="1501" spans="2:11" ht="12.95" customHeight="1" x14ac:dyDescent="0.3">
      <c r="B1501" s="143"/>
      <c r="C1501" s="146"/>
      <c r="D1501" s="146"/>
      <c r="E1501" s="146"/>
      <c r="F1501" s="139" t="s">
        <v>205</v>
      </c>
      <c r="G1501" s="140"/>
      <c r="H1501" s="139" t="s">
        <v>206</v>
      </c>
      <c r="I1501" s="140"/>
    </row>
    <row r="1502" spans="2:11" ht="12.95" customHeight="1" x14ac:dyDescent="0.3">
      <c r="B1502" s="143"/>
      <c r="C1502" s="146"/>
      <c r="D1502" s="146"/>
      <c r="E1502" s="146"/>
      <c r="F1502" s="34" t="s">
        <v>221</v>
      </c>
      <c r="G1502" s="37">
        <v>60</v>
      </c>
      <c r="H1502" s="34" t="s">
        <v>221</v>
      </c>
      <c r="I1502" s="37">
        <v>35</v>
      </c>
    </row>
    <row r="1503" spans="2:11" ht="12.95" customHeight="1" x14ac:dyDescent="0.3">
      <c r="B1503" s="144"/>
      <c r="C1503" s="147"/>
      <c r="D1503" s="147"/>
      <c r="E1503" s="147"/>
      <c r="F1503" s="38" t="s">
        <v>32</v>
      </c>
      <c r="G1503" s="39" t="s">
        <v>33</v>
      </c>
      <c r="H1503" s="38" t="s">
        <v>32</v>
      </c>
      <c r="I1503" s="39" t="s">
        <v>33</v>
      </c>
    </row>
    <row r="1504" spans="2:11" ht="12.95" customHeight="1" x14ac:dyDescent="0.3">
      <c r="B1504" s="68" t="s">
        <v>291</v>
      </c>
      <c r="C1504" s="68" t="s">
        <v>285</v>
      </c>
      <c r="D1504" s="69" t="s">
        <v>48</v>
      </c>
      <c r="E1504" s="95">
        <v>9107</v>
      </c>
      <c r="F1504" s="21">
        <v>8</v>
      </c>
      <c r="G1504" s="3">
        <f t="shared" ref="G1504:I1504" si="362">TRUNC($E1504*F1504,1)</f>
        <v>72856</v>
      </c>
      <c r="H1504" s="21">
        <v>8</v>
      </c>
      <c r="I1504" s="3">
        <f t="shared" si="362"/>
        <v>72856</v>
      </c>
    </row>
    <row r="1505" spans="2:9" ht="12.95" customHeight="1" x14ac:dyDescent="0.3">
      <c r="B1505" s="116" t="s">
        <v>36</v>
      </c>
      <c r="C1505" s="97" t="s">
        <v>99</v>
      </c>
      <c r="D1505" s="35" t="s">
        <v>45</v>
      </c>
      <c r="E1505" s="98"/>
      <c r="F1505" s="109">
        <v>1</v>
      </c>
      <c r="G1505" s="5">
        <f>TRUNC(SUM(G1508:G1509)*0.02,1)</f>
        <v>17008.599999999999</v>
      </c>
      <c r="H1505" s="109">
        <v>1</v>
      </c>
      <c r="I1505" s="5">
        <f>TRUNC(SUM(I1508:I1509)*0.02,1)</f>
        <v>17008.599999999999</v>
      </c>
    </row>
    <row r="1506" spans="2:9" ht="12.95" customHeight="1" x14ac:dyDescent="0.3">
      <c r="B1506" s="74" t="s">
        <v>38</v>
      </c>
      <c r="C1506" s="75"/>
      <c r="D1506" s="75"/>
      <c r="E1506" s="24"/>
      <c r="F1506" s="25"/>
      <c r="G1506" s="20">
        <f>TRUNC(SUM(G1504:G1505))</f>
        <v>89864</v>
      </c>
      <c r="H1506" s="25"/>
      <c r="I1506" s="20">
        <f>TRUNC(SUM(I1504:I1505))</f>
        <v>89864</v>
      </c>
    </row>
    <row r="1507" spans="2:9" ht="12.95" customHeight="1" x14ac:dyDescent="0.3">
      <c r="B1507" s="77"/>
      <c r="C1507" s="75"/>
      <c r="D1507" s="75"/>
      <c r="E1507" s="24"/>
      <c r="F1507" s="25"/>
      <c r="G1507" s="78"/>
      <c r="H1507" s="25"/>
      <c r="I1507" s="78"/>
    </row>
    <row r="1508" spans="2:9" ht="12.95" customHeight="1" x14ac:dyDescent="0.3">
      <c r="B1508" s="40" t="s">
        <v>53</v>
      </c>
      <c r="C1508" s="41"/>
      <c r="D1508" s="42" t="s">
        <v>37</v>
      </c>
      <c r="E1508" s="95">
        <v>226122</v>
      </c>
      <c r="F1508" s="21">
        <v>3</v>
      </c>
      <c r="G1508" s="3">
        <f t="shared" ref="G1508:I1510" si="363">TRUNC($E1508*F1508,1)</f>
        <v>678366</v>
      </c>
      <c r="H1508" s="21">
        <v>3</v>
      </c>
      <c r="I1508" s="3">
        <f t="shared" si="363"/>
        <v>678366</v>
      </c>
    </row>
    <row r="1509" spans="2:9" ht="12.95" customHeight="1" x14ac:dyDescent="0.3">
      <c r="B1509" s="40" t="s">
        <v>8</v>
      </c>
      <c r="C1509" s="41"/>
      <c r="D1509" s="42" t="s">
        <v>37</v>
      </c>
      <c r="E1509" s="95">
        <v>172068</v>
      </c>
      <c r="F1509" s="21">
        <v>1</v>
      </c>
      <c r="G1509" s="3">
        <f t="shared" si="363"/>
        <v>172068</v>
      </c>
      <c r="H1509" s="21">
        <v>1</v>
      </c>
      <c r="I1509" s="3">
        <f t="shared" si="363"/>
        <v>172068</v>
      </c>
    </row>
    <row r="1510" spans="2:9" ht="12.95" customHeight="1" x14ac:dyDescent="0.3">
      <c r="B1510" s="68" t="s">
        <v>291</v>
      </c>
      <c r="C1510" s="68" t="s">
        <v>285</v>
      </c>
      <c r="D1510" s="35" t="s">
        <v>44</v>
      </c>
      <c r="E1510" s="95">
        <v>58925</v>
      </c>
      <c r="F1510" s="21">
        <v>8</v>
      </c>
      <c r="G1510" s="3">
        <f t="shared" si="363"/>
        <v>471400</v>
      </c>
      <c r="H1510" s="21">
        <v>8</v>
      </c>
      <c r="I1510" s="3">
        <f t="shared" si="363"/>
        <v>471400</v>
      </c>
    </row>
    <row r="1511" spans="2:9" ht="12.95" customHeight="1" x14ac:dyDescent="0.3">
      <c r="B1511" s="45" t="s">
        <v>39</v>
      </c>
      <c r="C1511" s="75"/>
      <c r="D1511" s="75"/>
      <c r="E1511" s="18"/>
      <c r="F1511" s="25"/>
      <c r="G1511" s="20">
        <f>TRUNC(SUM(G1508:G1510))</f>
        <v>1321834</v>
      </c>
      <c r="H1511" s="25"/>
      <c r="I1511" s="20">
        <f>TRUNC(SUM(I1508:I1510))</f>
        <v>1321834</v>
      </c>
    </row>
    <row r="1512" spans="2:9" ht="12.95" customHeight="1" x14ac:dyDescent="0.3">
      <c r="B1512" s="77"/>
      <c r="C1512" s="75"/>
      <c r="D1512" s="75"/>
      <c r="E1512" s="112"/>
      <c r="F1512" s="25"/>
      <c r="G1512" s="78"/>
      <c r="H1512" s="25"/>
      <c r="I1512" s="78"/>
    </row>
    <row r="1513" spans="2:9" ht="12.95" customHeight="1" x14ac:dyDescent="0.3">
      <c r="B1513" s="68" t="s">
        <v>291</v>
      </c>
      <c r="C1513" s="68" t="s">
        <v>285</v>
      </c>
      <c r="D1513" s="69" t="s">
        <v>48</v>
      </c>
      <c r="E1513" s="95">
        <v>13873</v>
      </c>
      <c r="F1513" s="21">
        <v>8</v>
      </c>
      <c r="G1513" s="3">
        <f t="shared" ref="G1513:I1513" si="364">TRUNC($E1513*F1513,1)</f>
        <v>110984</v>
      </c>
      <c r="H1513" s="21">
        <v>8</v>
      </c>
      <c r="I1513" s="3">
        <f t="shared" si="364"/>
        <v>110984</v>
      </c>
    </row>
    <row r="1514" spans="2:9" ht="12.95" customHeight="1" x14ac:dyDescent="0.3">
      <c r="B1514" s="74" t="s">
        <v>40</v>
      </c>
      <c r="C1514" s="75"/>
      <c r="D1514" s="75"/>
      <c r="E1514" s="81"/>
      <c r="F1514" s="19"/>
      <c r="G1514" s="20">
        <f>TRUNC(SUM(G1513:G1513))</f>
        <v>110984</v>
      </c>
      <c r="H1514" s="19"/>
      <c r="I1514" s="20">
        <f>TRUNC(SUM(I1513:I1513))</f>
        <v>110984</v>
      </c>
    </row>
    <row r="1515" spans="2:9" ht="12.95" customHeight="1" x14ac:dyDescent="0.3">
      <c r="B1515" s="82"/>
      <c r="C1515" s="68"/>
      <c r="D1515" s="68"/>
      <c r="E1515" s="83"/>
      <c r="F1515" s="84"/>
      <c r="G1515" s="72"/>
      <c r="H1515" s="84"/>
      <c r="I1515" s="72"/>
    </row>
    <row r="1516" spans="2:9" ht="12.95" customHeight="1" x14ac:dyDescent="0.3">
      <c r="B1516" s="51" t="s">
        <v>42</v>
      </c>
      <c r="C1516" s="75"/>
      <c r="D1516" s="75"/>
      <c r="E1516" s="81"/>
      <c r="F1516" s="81"/>
      <c r="G1516" s="85">
        <f>SUM(G1506+G1511+G1514)</f>
        <v>1522682</v>
      </c>
      <c r="H1516" s="81"/>
      <c r="I1516" s="85">
        <f>SUM(I1506+I1511+I1514)</f>
        <v>1522682</v>
      </c>
    </row>
    <row r="1517" spans="2:9" ht="12.95" customHeight="1" x14ac:dyDescent="0.3">
      <c r="B1517" s="52" t="s">
        <v>220</v>
      </c>
      <c r="C1517" s="86"/>
      <c r="D1517" s="86"/>
      <c r="E1517" s="87"/>
      <c r="F1517" s="87"/>
      <c r="G1517" s="8">
        <f>TRUNC(G1516/G1502)</f>
        <v>25378</v>
      </c>
      <c r="H1517" s="87"/>
      <c r="I1517" s="8">
        <f>TRUNC(I1516/I1502)</f>
        <v>43505</v>
      </c>
    </row>
    <row r="1519" spans="2:9" ht="12.95" customHeight="1" x14ac:dyDescent="0.3">
      <c r="B1519" s="1" t="s">
        <v>207</v>
      </c>
    </row>
    <row r="1520" spans="2:9" ht="12.95" customHeight="1" x14ac:dyDescent="0.3">
      <c r="B1520" s="60" t="s">
        <v>132</v>
      </c>
      <c r="C1520" s="61"/>
      <c r="D1520" s="62"/>
      <c r="E1520" s="63"/>
      <c r="F1520" s="62"/>
      <c r="G1520" s="33" t="s">
        <v>58</v>
      </c>
    </row>
    <row r="1521" spans="2:7" ht="12.95" customHeight="1" x14ac:dyDescent="0.3">
      <c r="B1521" s="122" t="s">
        <v>30</v>
      </c>
      <c r="C1521" s="123" t="s">
        <v>34</v>
      </c>
      <c r="D1521" s="141" t="s">
        <v>35</v>
      </c>
      <c r="E1521" s="125" t="s">
        <v>31</v>
      </c>
      <c r="F1521" s="34" t="s">
        <v>256</v>
      </c>
      <c r="G1521" s="37">
        <v>40</v>
      </c>
    </row>
    <row r="1522" spans="2:7" ht="12.95" customHeight="1" x14ac:dyDescent="0.3">
      <c r="B1522" s="122"/>
      <c r="C1522" s="123"/>
      <c r="D1522" s="141"/>
      <c r="E1522" s="125"/>
      <c r="F1522" s="38" t="s">
        <v>32</v>
      </c>
      <c r="G1522" s="39" t="s">
        <v>33</v>
      </c>
    </row>
    <row r="1523" spans="2:7" ht="12.95" customHeight="1" x14ac:dyDescent="0.3">
      <c r="B1523" s="68" t="s">
        <v>269</v>
      </c>
      <c r="C1523" s="68" t="s">
        <v>47</v>
      </c>
      <c r="D1523" s="69" t="s">
        <v>48</v>
      </c>
      <c r="E1523" s="70">
        <v>7951</v>
      </c>
      <c r="F1523" s="21">
        <v>8</v>
      </c>
      <c r="G1523" s="3">
        <f t="shared" ref="G1523" si="365">TRUNC($E1523*F1523,1)</f>
        <v>63608</v>
      </c>
    </row>
    <row r="1524" spans="2:7" ht="12.95" customHeight="1" x14ac:dyDescent="0.3">
      <c r="B1524" s="116" t="s">
        <v>36</v>
      </c>
      <c r="C1524" s="97" t="s">
        <v>99</v>
      </c>
      <c r="D1524" s="35" t="s">
        <v>45</v>
      </c>
      <c r="E1524" s="98"/>
      <c r="F1524" s="109">
        <v>1</v>
      </c>
      <c r="G1524" s="5">
        <f>TRUNC(SUM(G1527:G1529)*0.02,1)</f>
        <v>26100.7</v>
      </c>
    </row>
    <row r="1525" spans="2:7" ht="12.95" customHeight="1" x14ac:dyDescent="0.3">
      <c r="B1525" s="74" t="s">
        <v>38</v>
      </c>
      <c r="C1525" s="75"/>
      <c r="D1525" s="75"/>
      <c r="E1525" s="117"/>
      <c r="F1525" s="25"/>
      <c r="G1525" s="20">
        <f>TRUNC(SUM(G1523:G1524))</f>
        <v>89708</v>
      </c>
    </row>
    <row r="1526" spans="2:7" ht="12.95" customHeight="1" x14ac:dyDescent="0.3">
      <c r="B1526" s="77"/>
      <c r="C1526" s="75"/>
      <c r="D1526" s="75"/>
      <c r="E1526" s="118"/>
      <c r="F1526" s="25"/>
      <c r="G1526" s="78"/>
    </row>
    <row r="1527" spans="2:7" ht="12.95" customHeight="1" x14ac:dyDescent="0.3">
      <c r="B1527" s="40" t="s">
        <v>131</v>
      </c>
      <c r="C1527" s="41"/>
      <c r="D1527" s="42" t="s">
        <v>37</v>
      </c>
      <c r="E1527" s="70">
        <v>282536</v>
      </c>
      <c r="F1527" s="21">
        <v>1</v>
      </c>
      <c r="G1527" s="3">
        <f t="shared" ref="G1527:G1530" si="366">TRUNC($E1527*F1527,1)</f>
        <v>282536</v>
      </c>
    </row>
    <row r="1528" spans="2:7" ht="12.95" customHeight="1" x14ac:dyDescent="0.3">
      <c r="B1528" s="40" t="s">
        <v>53</v>
      </c>
      <c r="C1528" s="41"/>
      <c r="D1528" s="42" t="s">
        <v>37</v>
      </c>
      <c r="E1528" s="95">
        <v>226122</v>
      </c>
      <c r="F1528" s="21">
        <v>3</v>
      </c>
      <c r="G1528" s="3">
        <f t="shared" si="366"/>
        <v>678366</v>
      </c>
    </row>
    <row r="1529" spans="2:7" ht="12.95" customHeight="1" x14ac:dyDescent="0.3">
      <c r="B1529" s="40" t="s">
        <v>8</v>
      </c>
      <c r="C1529" s="41"/>
      <c r="D1529" s="42" t="s">
        <v>37</v>
      </c>
      <c r="E1529" s="95">
        <v>172068</v>
      </c>
      <c r="F1529" s="21">
        <v>2</v>
      </c>
      <c r="G1529" s="3">
        <f t="shared" si="366"/>
        <v>344136</v>
      </c>
    </row>
    <row r="1530" spans="2:7" ht="12.95" customHeight="1" x14ac:dyDescent="0.3">
      <c r="B1530" s="68" t="s">
        <v>269</v>
      </c>
      <c r="C1530" s="68" t="s">
        <v>47</v>
      </c>
      <c r="D1530" s="35" t="s">
        <v>44</v>
      </c>
      <c r="E1530" s="70">
        <v>58925</v>
      </c>
      <c r="F1530" s="21">
        <v>8</v>
      </c>
      <c r="G1530" s="3">
        <f t="shared" si="366"/>
        <v>471400</v>
      </c>
    </row>
    <row r="1531" spans="2:7" ht="12.95" customHeight="1" x14ac:dyDescent="0.3">
      <c r="B1531" s="45" t="s">
        <v>39</v>
      </c>
      <c r="C1531" s="75"/>
      <c r="D1531" s="75"/>
      <c r="E1531" s="117"/>
      <c r="F1531" s="25"/>
      <c r="G1531" s="20">
        <f>TRUNC(SUM(G1527:G1530))</f>
        <v>1776438</v>
      </c>
    </row>
    <row r="1532" spans="2:7" ht="12.95" customHeight="1" x14ac:dyDescent="0.3">
      <c r="B1532" s="77"/>
      <c r="C1532" s="75"/>
      <c r="D1532" s="75"/>
      <c r="E1532" s="118"/>
      <c r="F1532" s="25"/>
      <c r="G1532" s="78"/>
    </row>
    <row r="1533" spans="2:7" ht="12.95" customHeight="1" x14ac:dyDescent="0.3">
      <c r="B1533" s="68" t="s">
        <v>269</v>
      </c>
      <c r="C1533" s="68" t="s">
        <v>47</v>
      </c>
      <c r="D1533" s="69" t="s">
        <v>48</v>
      </c>
      <c r="E1533" s="70">
        <v>31344</v>
      </c>
      <c r="F1533" s="21">
        <v>8</v>
      </c>
      <c r="G1533" s="3">
        <f t="shared" ref="G1533" si="367">TRUNC($E1533*F1533,1)</f>
        <v>250752</v>
      </c>
    </row>
    <row r="1534" spans="2:7" ht="12.95" customHeight="1" x14ac:dyDescent="0.3">
      <c r="B1534" s="74" t="s">
        <v>40</v>
      </c>
      <c r="C1534" s="75"/>
      <c r="D1534" s="75"/>
      <c r="E1534" s="81"/>
      <c r="F1534" s="19"/>
      <c r="G1534" s="20">
        <f>TRUNC(SUM(G1533:G1533))</f>
        <v>250752</v>
      </c>
    </row>
    <row r="1535" spans="2:7" ht="12.95" customHeight="1" x14ac:dyDescent="0.3">
      <c r="B1535" s="82"/>
      <c r="C1535" s="68"/>
      <c r="D1535" s="68"/>
      <c r="E1535" s="83"/>
      <c r="F1535" s="84"/>
      <c r="G1535" s="72"/>
    </row>
    <row r="1536" spans="2:7" ht="12.95" customHeight="1" x14ac:dyDescent="0.3">
      <c r="B1536" s="51" t="s">
        <v>42</v>
      </c>
      <c r="C1536" s="75"/>
      <c r="D1536" s="75"/>
      <c r="E1536" s="81"/>
      <c r="F1536" s="81"/>
      <c r="G1536" s="85">
        <f>SUM(G1525+G1531+G1534)</f>
        <v>2116898</v>
      </c>
    </row>
    <row r="1537" spans="2:7" ht="12.95" customHeight="1" x14ac:dyDescent="0.3">
      <c r="B1537" s="52" t="s">
        <v>255</v>
      </c>
      <c r="C1537" s="86"/>
      <c r="D1537" s="86"/>
      <c r="E1537" s="87"/>
      <c r="F1537" s="87"/>
      <c r="G1537" s="8">
        <f>TRUNC(G1536/G1521)</f>
        <v>52922</v>
      </c>
    </row>
    <row r="1539" spans="2:7" ht="12.95" customHeight="1" x14ac:dyDescent="0.3">
      <c r="B1539" s="60" t="s">
        <v>133</v>
      </c>
      <c r="C1539" s="61"/>
      <c r="D1539" s="62"/>
      <c r="E1539" s="63"/>
      <c r="F1539" s="62"/>
      <c r="G1539" s="33" t="s">
        <v>58</v>
      </c>
    </row>
    <row r="1540" spans="2:7" ht="12.95" customHeight="1" x14ac:dyDescent="0.3">
      <c r="B1540" s="122" t="s">
        <v>30</v>
      </c>
      <c r="C1540" s="123" t="s">
        <v>34</v>
      </c>
      <c r="D1540" s="141" t="s">
        <v>35</v>
      </c>
      <c r="E1540" s="125" t="s">
        <v>31</v>
      </c>
      <c r="F1540" s="34" t="s">
        <v>221</v>
      </c>
      <c r="G1540" s="37">
        <v>200</v>
      </c>
    </row>
    <row r="1541" spans="2:7" ht="12.95" customHeight="1" x14ac:dyDescent="0.3">
      <c r="B1541" s="122"/>
      <c r="C1541" s="123"/>
      <c r="D1541" s="141"/>
      <c r="E1541" s="125"/>
      <c r="F1541" s="38" t="s">
        <v>32</v>
      </c>
      <c r="G1541" s="39" t="s">
        <v>33</v>
      </c>
    </row>
    <row r="1542" spans="2:7" ht="12.95" customHeight="1" x14ac:dyDescent="0.3">
      <c r="B1542" s="116" t="s">
        <v>36</v>
      </c>
      <c r="C1542" s="97" t="s">
        <v>99</v>
      </c>
      <c r="D1542" s="35" t="s">
        <v>45</v>
      </c>
      <c r="E1542" s="98"/>
      <c r="F1542" s="109">
        <v>1</v>
      </c>
      <c r="G1542" s="5">
        <f>TRUNC(SUM(G1545:G1546)*0.02,1)</f>
        <v>24972.400000000001</v>
      </c>
    </row>
    <row r="1543" spans="2:7" ht="12.95" customHeight="1" x14ac:dyDescent="0.3">
      <c r="B1543" s="74" t="s">
        <v>38</v>
      </c>
      <c r="C1543" s="75"/>
      <c r="D1543" s="75"/>
      <c r="E1543" s="117"/>
      <c r="F1543" s="25"/>
      <c r="G1543" s="20">
        <f>TRUNC(SUM(G1542:G1542))</f>
        <v>24972</v>
      </c>
    </row>
    <row r="1544" spans="2:7" ht="12.95" customHeight="1" x14ac:dyDescent="0.3">
      <c r="B1544" s="77"/>
      <c r="C1544" s="75"/>
      <c r="D1544" s="75"/>
      <c r="E1544" s="118"/>
      <c r="F1544" s="25"/>
      <c r="G1544" s="78"/>
    </row>
    <row r="1545" spans="2:7" ht="12.95" customHeight="1" x14ac:dyDescent="0.3">
      <c r="B1545" s="40" t="s">
        <v>53</v>
      </c>
      <c r="C1545" s="41"/>
      <c r="D1545" s="42" t="s">
        <v>37</v>
      </c>
      <c r="E1545" s="70">
        <v>226122</v>
      </c>
      <c r="F1545" s="21">
        <v>4</v>
      </c>
      <c r="G1545" s="3">
        <f t="shared" ref="G1545:G1546" si="368">TRUNC($E1545*F1545,1)</f>
        <v>904488</v>
      </c>
    </row>
    <row r="1546" spans="2:7" ht="12.95" customHeight="1" x14ac:dyDescent="0.3">
      <c r="B1546" s="40" t="s">
        <v>8</v>
      </c>
      <c r="C1546" s="41"/>
      <c r="D1546" s="42" t="s">
        <v>37</v>
      </c>
      <c r="E1546" s="95">
        <v>172068</v>
      </c>
      <c r="F1546" s="21">
        <v>2</v>
      </c>
      <c r="G1546" s="3">
        <f t="shared" si="368"/>
        <v>344136</v>
      </c>
    </row>
    <row r="1547" spans="2:7" ht="12.95" customHeight="1" x14ac:dyDescent="0.3">
      <c r="B1547" s="45" t="s">
        <v>39</v>
      </c>
      <c r="C1547" s="75"/>
      <c r="D1547" s="75"/>
      <c r="E1547" s="117"/>
      <c r="F1547" s="25"/>
      <c r="G1547" s="20">
        <f>TRUNC(SUM(G1545:G1546))</f>
        <v>1248624</v>
      </c>
    </row>
    <row r="1548" spans="2:7" ht="12.95" customHeight="1" x14ac:dyDescent="0.3">
      <c r="B1548" s="77"/>
      <c r="C1548" s="75"/>
      <c r="D1548" s="75"/>
      <c r="E1548" s="118"/>
      <c r="F1548" s="25"/>
      <c r="G1548" s="78"/>
    </row>
    <row r="1549" spans="2:7" ht="12.95" customHeight="1" x14ac:dyDescent="0.3">
      <c r="B1549" s="51" t="s">
        <v>42</v>
      </c>
      <c r="C1549" s="75"/>
      <c r="D1549" s="75"/>
      <c r="E1549" s="81"/>
      <c r="F1549" s="81"/>
      <c r="G1549" s="85">
        <f>SUM(G1543+G1547)</f>
        <v>1273596</v>
      </c>
    </row>
    <row r="1550" spans="2:7" ht="12.95" customHeight="1" x14ac:dyDescent="0.3">
      <c r="B1550" s="52" t="s">
        <v>220</v>
      </c>
      <c r="C1550" s="86"/>
      <c r="D1550" s="86"/>
      <c r="E1550" s="87"/>
      <c r="F1550" s="87"/>
      <c r="G1550" s="8">
        <f>TRUNC(G1549/G1540)</f>
        <v>6367</v>
      </c>
    </row>
    <row r="1552" spans="2:7" ht="12.95" customHeight="1" x14ac:dyDescent="0.3">
      <c r="B1552" s="60" t="s">
        <v>134</v>
      </c>
      <c r="C1552" s="61"/>
      <c r="D1552" s="62"/>
      <c r="E1552" s="63"/>
      <c r="F1552" s="62"/>
      <c r="G1552" s="33" t="s">
        <v>58</v>
      </c>
    </row>
    <row r="1553" spans="2:7" ht="12.95" customHeight="1" x14ac:dyDescent="0.3">
      <c r="B1553" s="122" t="s">
        <v>30</v>
      </c>
      <c r="C1553" s="123" t="s">
        <v>34</v>
      </c>
      <c r="D1553" s="141" t="s">
        <v>35</v>
      </c>
      <c r="E1553" s="125" t="s">
        <v>31</v>
      </c>
      <c r="F1553" s="34" t="s">
        <v>230</v>
      </c>
      <c r="G1553" s="37">
        <v>360</v>
      </c>
    </row>
    <row r="1554" spans="2:7" ht="12.95" customHeight="1" x14ac:dyDescent="0.3">
      <c r="B1554" s="122"/>
      <c r="C1554" s="123"/>
      <c r="D1554" s="141"/>
      <c r="E1554" s="125"/>
      <c r="F1554" s="38" t="s">
        <v>32</v>
      </c>
      <c r="G1554" s="39" t="s">
        <v>33</v>
      </c>
    </row>
    <row r="1555" spans="2:7" ht="12.95" customHeight="1" x14ac:dyDescent="0.3">
      <c r="B1555" s="116" t="s">
        <v>36</v>
      </c>
      <c r="C1555" s="97" t="s">
        <v>99</v>
      </c>
      <c r="D1555" s="35" t="s">
        <v>45</v>
      </c>
      <c r="E1555" s="98"/>
      <c r="F1555" s="109">
        <v>1</v>
      </c>
      <c r="G1555" s="5">
        <f>TRUNC(SUM(G1558:G1559)*0.02,1)</f>
        <v>24972.400000000001</v>
      </c>
    </row>
    <row r="1556" spans="2:7" ht="12.95" customHeight="1" x14ac:dyDescent="0.3">
      <c r="B1556" s="74" t="s">
        <v>38</v>
      </c>
      <c r="C1556" s="75"/>
      <c r="D1556" s="75"/>
      <c r="E1556" s="117"/>
      <c r="F1556" s="25"/>
      <c r="G1556" s="20">
        <f>TRUNC(SUM(G1555:G1555))</f>
        <v>24972</v>
      </c>
    </row>
    <row r="1557" spans="2:7" ht="12.95" customHeight="1" x14ac:dyDescent="0.3">
      <c r="B1557" s="77"/>
      <c r="C1557" s="75"/>
      <c r="D1557" s="75"/>
      <c r="E1557" s="118"/>
      <c r="F1557" s="25"/>
      <c r="G1557" s="78"/>
    </row>
    <row r="1558" spans="2:7" ht="12.95" customHeight="1" x14ac:dyDescent="0.3">
      <c r="B1558" s="40" t="s">
        <v>53</v>
      </c>
      <c r="C1558" s="41"/>
      <c r="D1558" s="42" t="s">
        <v>37</v>
      </c>
      <c r="E1558" s="70">
        <v>226122</v>
      </c>
      <c r="F1558" s="21">
        <v>4</v>
      </c>
      <c r="G1558" s="3">
        <f t="shared" ref="G1558:G1559" si="369">TRUNC($E1558*F1558,1)</f>
        <v>904488</v>
      </c>
    </row>
    <row r="1559" spans="2:7" ht="12.95" customHeight="1" x14ac:dyDescent="0.3">
      <c r="B1559" s="40" t="s">
        <v>8</v>
      </c>
      <c r="C1559" s="41"/>
      <c r="D1559" s="42" t="s">
        <v>37</v>
      </c>
      <c r="E1559" s="95">
        <v>172068</v>
      </c>
      <c r="F1559" s="21">
        <v>2</v>
      </c>
      <c r="G1559" s="3">
        <f t="shared" si="369"/>
        <v>344136</v>
      </c>
    </row>
    <row r="1560" spans="2:7" ht="12.95" customHeight="1" x14ac:dyDescent="0.3">
      <c r="B1560" s="45" t="s">
        <v>39</v>
      </c>
      <c r="C1560" s="75"/>
      <c r="D1560" s="75"/>
      <c r="E1560" s="117"/>
      <c r="F1560" s="25"/>
      <c r="G1560" s="20">
        <f>TRUNC(SUM(G1558:G1559))</f>
        <v>1248624</v>
      </c>
    </row>
    <row r="1561" spans="2:7" ht="12.95" customHeight="1" x14ac:dyDescent="0.3">
      <c r="B1561" s="77"/>
      <c r="C1561" s="75"/>
      <c r="D1561" s="75"/>
      <c r="E1561" s="118"/>
      <c r="F1561" s="25"/>
      <c r="G1561" s="78"/>
    </row>
    <row r="1562" spans="2:7" ht="12.95" customHeight="1" x14ac:dyDescent="0.3">
      <c r="B1562" s="51" t="s">
        <v>42</v>
      </c>
      <c r="C1562" s="75"/>
      <c r="D1562" s="75"/>
      <c r="E1562" s="81"/>
      <c r="F1562" s="81"/>
      <c r="G1562" s="85">
        <f>SUM(G1556+G1560)</f>
        <v>1273596</v>
      </c>
    </row>
    <row r="1563" spans="2:7" ht="12.95" customHeight="1" x14ac:dyDescent="0.3">
      <c r="B1563" s="52" t="s">
        <v>231</v>
      </c>
      <c r="C1563" s="86"/>
      <c r="D1563" s="86"/>
      <c r="E1563" s="87"/>
      <c r="F1563" s="87"/>
      <c r="G1563" s="8">
        <f>TRUNC(G1562/G1553)</f>
        <v>3537</v>
      </c>
    </row>
    <row r="1565" spans="2:7" ht="12.95" customHeight="1" x14ac:dyDescent="0.3">
      <c r="B1565" s="1" t="s">
        <v>208</v>
      </c>
    </row>
    <row r="1566" spans="2:7" ht="12.95" customHeight="1" x14ac:dyDescent="0.3">
      <c r="B1566" s="60" t="s">
        <v>135</v>
      </c>
      <c r="C1566" s="61"/>
      <c r="D1566" s="62"/>
      <c r="E1566" s="63"/>
      <c r="F1566" s="62"/>
      <c r="G1566" s="33" t="s">
        <v>58</v>
      </c>
    </row>
    <row r="1567" spans="2:7" ht="12.95" customHeight="1" x14ac:dyDescent="0.3">
      <c r="B1567" s="122" t="s">
        <v>30</v>
      </c>
      <c r="C1567" s="123" t="s">
        <v>34</v>
      </c>
      <c r="D1567" s="124" t="s">
        <v>35</v>
      </c>
      <c r="E1567" s="125" t="s">
        <v>31</v>
      </c>
      <c r="F1567" s="34" t="s">
        <v>230</v>
      </c>
      <c r="G1567" s="37">
        <v>800</v>
      </c>
    </row>
    <row r="1568" spans="2:7" ht="12.95" customHeight="1" x14ac:dyDescent="0.3">
      <c r="B1568" s="122"/>
      <c r="C1568" s="123"/>
      <c r="D1568" s="124"/>
      <c r="E1568" s="125"/>
      <c r="F1568" s="38" t="s">
        <v>32</v>
      </c>
      <c r="G1568" s="39" t="s">
        <v>33</v>
      </c>
    </row>
    <row r="1569" spans="2:7" ht="12.95" customHeight="1" x14ac:dyDescent="0.3">
      <c r="B1569" s="68" t="s">
        <v>0</v>
      </c>
      <c r="C1569" s="115" t="s">
        <v>1</v>
      </c>
      <c r="D1569" s="69" t="s">
        <v>48</v>
      </c>
      <c r="E1569" s="113">
        <v>24797</v>
      </c>
      <c r="F1569" s="21">
        <v>8</v>
      </c>
      <c r="G1569" s="3">
        <f t="shared" ref="G1569" si="370">TRUNC($E1569*F1569,1)</f>
        <v>198376</v>
      </c>
    </row>
    <row r="1570" spans="2:7" ht="12.95" customHeight="1" x14ac:dyDescent="0.3">
      <c r="B1570" s="74" t="s">
        <v>38</v>
      </c>
      <c r="C1570" s="75"/>
      <c r="D1570" s="75"/>
      <c r="E1570" s="118"/>
      <c r="F1570" s="25"/>
      <c r="G1570" s="20">
        <f>TRUNC(SUM(G1569:G1569))</f>
        <v>198376</v>
      </c>
    </row>
    <row r="1571" spans="2:7" ht="12.95" customHeight="1" x14ac:dyDescent="0.3">
      <c r="B1571" s="77"/>
      <c r="C1571" s="75"/>
      <c r="D1571" s="75"/>
      <c r="E1571" s="118"/>
      <c r="F1571" s="25"/>
      <c r="G1571" s="78"/>
    </row>
    <row r="1572" spans="2:7" ht="12.95" customHeight="1" x14ac:dyDescent="0.3">
      <c r="B1572" s="40" t="s">
        <v>10</v>
      </c>
      <c r="C1572" s="41"/>
      <c r="D1572" s="42" t="s">
        <v>37</v>
      </c>
      <c r="E1572" s="95">
        <v>222306</v>
      </c>
      <c r="F1572" s="21">
        <v>2</v>
      </c>
      <c r="G1572" s="3">
        <f t="shared" ref="G1572:G1575" si="371">TRUNC($E1572*F1572,1)</f>
        <v>444612</v>
      </c>
    </row>
    <row r="1573" spans="2:7" ht="12.95" customHeight="1" x14ac:dyDescent="0.3">
      <c r="B1573" s="40" t="s">
        <v>9</v>
      </c>
      <c r="C1573" s="41"/>
      <c r="D1573" s="42" t="s">
        <v>37</v>
      </c>
      <c r="E1573" s="95">
        <v>281939</v>
      </c>
      <c r="F1573" s="21">
        <v>3</v>
      </c>
      <c r="G1573" s="3">
        <f t="shared" si="371"/>
        <v>845817</v>
      </c>
    </row>
    <row r="1574" spans="2:7" ht="12.95" customHeight="1" x14ac:dyDescent="0.3">
      <c r="B1574" s="40" t="s">
        <v>8</v>
      </c>
      <c r="C1574" s="41"/>
      <c r="D1574" s="42" t="s">
        <v>37</v>
      </c>
      <c r="E1574" s="95">
        <v>172068</v>
      </c>
      <c r="F1574" s="21">
        <v>2</v>
      </c>
      <c r="G1574" s="3">
        <f t="shared" si="371"/>
        <v>344136</v>
      </c>
    </row>
    <row r="1575" spans="2:7" ht="12.95" customHeight="1" x14ac:dyDescent="0.3">
      <c r="B1575" s="68" t="s">
        <v>0</v>
      </c>
      <c r="C1575" s="115" t="s">
        <v>1</v>
      </c>
      <c r="D1575" s="35" t="s">
        <v>44</v>
      </c>
      <c r="E1575" s="95">
        <v>58925</v>
      </c>
      <c r="F1575" s="21">
        <v>8</v>
      </c>
      <c r="G1575" s="3">
        <f t="shared" si="371"/>
        <v>471400</v>
      </c>
    </row>
    <row r="1576" spans="2:7" ht="12.95" customHeight="1" x14ac:dyDescent="0.3">
      <c r="B1576" s="45" t="s">
        <v>39</v>
      </c>
      <c r="C1576" s="75"/>
      <c r="D1576" s="75"/>
      <c r="E1576" s="118"/>
      <c r="F1576" s="25"/>
      <c r="G1576" s="20">
        <f>TRUNC(SUM(G1572:G1575))</f>
        <v>2105965</v>
      </c>
    </row>
    <row r="1577" spans="2:7" ht="12.95" customHeight="1" x14ac:dyDescent="0.3">
      <c r="B1577" s="77"/>
      <c r="C1577" s="75"/>
      <c r="D1577" s="75"/>
      <c r="E1577" s="118"/>
      <c r="F1577" s="25"/>
      <c r="G1577" s="78"/>
    </row>
    <row r="1578" spans="2:7" ht="12.95" customHeight="1" x14ac:dyDescent="0.3">
      <c r="B1578" s="68" t="s">
        <v>0</v>
      </c>
      <c r="C1578" s="115" t="s">
        <v>1</v>
      </c>
      <c r="D1578" s="69" t="s">
        <v>48</v>
      </c>
      <c r="E1578" s="95">
        <v>5883</v>
      </c>
      <c r="F1578" s="21">
        <v>8</v>
      </c>
      <c r="G1578" s="3">
        <f t="shared" ref="G1578:G1579" si="372">TRUNC($E1578*F1578,1)</f>
        <v>47064</v>
      </c>
    </row>
    <row r="1579" spans="2:7" ht="12.95" customHeight="1" x14ac:dyDescent="0.3">
      <c r="B1579" s="68" t="s">
        <v>136</v>
      </c>
      <c r="C1579" s="68" t="s">
        <v>6</v>
      </c>
      <c r="D1579" s="69" t="s">
        <v>48</v>
      </c>
      <c r="E1579" s="95">
        <v>776</v>
      </c>
      <c r="F1579" s="21">
        <v>16</v>
      </c>
      <c r="G1579" s="3">
        <f t="shared" si="372"/>
        <v>12416</v>
      </c>
    </row>
    <row r="1580" spans="2:7" ht="12.95" customHeight="1" x14ac:dyDescent="0.3">
      <c r="B1580" s="74" t="s">
        <v>40</v>
      </c>
      <c r="C1580" s="75"/>
      <c r="D1580" s="75"/>
      <c r="E1580" s="81"/>
      <c r="F1580" s="19"/>
      <c r="G1580" s="20">
        <f>TRUNC(SUM(G1578:G1579))</f>
        <v>59480</v>
      </c>
    </row>
    <row r="1581" spans="2:7" ht="12.95" customHeight="1" x14ac:dyDescent="0.3">
      <c r="B1581" s="82"/>
      <c r="C1581" s="68"/>
      <c r="D1581" s="68"/>
      <c r="E1581" s="83"/>
      <c r="F1581" s="84"/>
      <c r="G1581" s="72"/>
    </row>
    <row r="1582" spans="2:7" ht="12.95" customHeight="1" x14ac:dyDescent="0.3">
      <c r="B1582" s="51" t="s">
        <v>42</v>
      </c>
      <c r="C1582" s="75"/>
      <c r="D1582" s="75"/>
      <c r="E1582" s="81"/>
      <c r="F1582" s="81"/>
      <c r="G1582" s="85">
        <f>SUM(G1570+G1576+G1580)</f>
        <v>2363821</v>
      </c>
    </row>
    <row r="1583" spans="2:7" ht="12.95" customHeight="1" x14ac:dyDescent="0.3">
      <c r="B1583" s="52" t="s">
        <v>231</v>
      </c>
      <c r="C1583" s="86"/>
      <c r="D1583" s="86"/>
      <c r="E1583" s="87"/>
      <c r="F1583" s="87"/>
      <c r="G1583" s="8">
        <f>TRUNC(G1582/G1567)</f>
        <v>2954</v>
      </c>
    </row>
    <row r="1585" spans="2:9" ht="12.95" customHeight="1" x14ac:dyDescent="0.3">
      <c r="B1585" s="60" t="s">
        <v>138</v>
      </c>
      <c r="C1585" s="61"/>
      <c r="D1585" s="62"/>
      <c r="E1585" s="63"/>
      <c r="F1585" s="62"/>
      <c r="G1585" s="33"/>
      <c r="I1585" s="33" t="s">
        <v>58</v>
      </c>
    </row>
    <row r="1586" spans="2:9" ht="12.95" customHeight="1" x14ac:dyDescent="0.3">
      <c r="B1586" s="127" t="s">
        <v>30</v>
      </c>
      <c r="C1586" s="130" t="s">
        <v>34</v>
      </c>
      <c r="D1586" s="133" t="s">
        <v>35</v>
      </c>
      <c r="E1586" s="136" t="s">
        <v>31</v>
      </c>
      <c r="F1586" s="139" t="s">
        <v>267</v>
      </c>
      <c r="G1586" s="140"/>
      <c r="H1586" s="139" t="s">
        <v>268</v>
      </c>
      <c r="I1586" s="140"/>
    </row>
    <row r="1587" spans="2:9" ht="12.95" customHeight="1" x14ac:dyDescent="0.3">
      <c r="B1587" s="128"/>
      <c r="C1587" s="131"/>
      <c r="D1587" s="134"/>
      <c r="E1587" s="137"/>
      <c r="F1587" s="34" t="s">
        <v>230</v>
      </c>
      <c r="G1587" s="37">
        <v>400</v>
      </c>
      <c r="H1587" s="34" t="s">
        <v>230</v>
      </c>
      <c r="I1587" s="37">
        <v>100</v>
      </c>
    </row>
    <row r="1588" spans="2:9" ht="12.95" customHeight="1" x14ac:dyDescent="0.3">
      <c r="B1588" s="129"/>
      <c r="C1588" s="132"/>
      <c r="D1588" s="135"/>
      <c r="E1588" s="138"/>
      <c r="F1588" s="38" t="s">
        <v>32</v>
      </c>
      <c r="G1588" s="39" t="s">
        <v>33</v>
      </c>
      <c r="H1588" s="38" t="s">
        <v>32</v>
      </c>
      <c r="I1588" s="39" t="s">
        <v>33</v>
      </c>
    </row>
    <row r="1589" spans="2:9" ht="12.95" customHeight="1" x14ac:dyDescent="0.3">
      <c r="B1589" s="68" t="s">
        <v>269</v>
      </c>
      <c r="C1589" s="68" t="s">
        <v>137</v>
      </c>
      <c r="D1589" s="69" t="s">
        <v>48</v>
      </c>
      <c r="E1589" s="113">
        <v>23635</v>
      </c>
      <c r="F1589" s="21">
        <v>8</v>
      </c>
      <c r="G1589" s="3">
        <f t="shared" ref="G1589" si="373">TRUNC($E1589*F1589,1)</f>
        <v>189080</v>
      </c>
      <c r="H1589" s="21">
        <v>0</v>
      </c>
      <c r="I1589" s="3">
        <f t="shared" ref="I1589" si="374">TRUNC($E1589*H1589,1)</f>
        <v>0</v>
      </c>
    </row>
    <row r="1590" spans="2:9" ht="12.95" customHeight="1" x14ac:dyDescent="0.3">
      <c r="B1590" s="74" t="s">
        <v>38</v>
      </c>
      <c r="C1590" s="75"/>
      <c r="D1590" s="75"/>
      <c r="E1590" s="118"/>
      <c r="F1590" s="25"/>
      <c r="G1590" s="20">
        <f>TRUNC(SUM(G1589:G1589))</f>
        <v>189080</v>
      </c>
      <c r="H1590" s="25"/>
      <c r="I1590" s="20">
        <f>TRUNC(SUM(I1589:I1589))</f>
        <v>0</v>
      </c>
    </row>
    <row r="1591" spans="2:9" ht="12.95" customHeight="1" x14ac:dyDescent="0.3">
      <c r="B1591" s="77"/>
      <c r="C1591" s="75"/>
      <c r="D1591" s="75"/>
      <c r="E1591" s="118"/>
      <c r="F1591" s="25"/>
      <c r="G1591" s="78"/>
      <c r="H1591" s="25"/>
      <c r="I1591" s="78"/>
    </row>
    <row r="1592" spans="2:9" ht="12.95" customHeight="1" x14ac:dyDescent="0.3">
      <c r="B1592" s="40" t="s">
        <v>53</v>
      </c>
      <c r="C1592" s="41"/>
      <c r="D1592" s="42" t="s">
        <v>37</v>
      </c>
      <c r="E1592" s="95">
        <v>226122</v>
      </c>
      <c r="F1592" s="21">
        <v>2</v>
      </c>
      <c r="G1592" s="3">
        <f t="shared" ref="G1592:G1594" si="375">TRUNC($E1592*F1592,1)</f>
        <v>452244</v>
      </c>
      <c r="H1592" s="21">
        <v>2</v>
      </c>
      <c r="I1592" s="3">
        <f t="shared" ref="I1592:I1594" si="376">TRUNC($E1592*H1592,1)</f>
        <v>452244</v>
      </c>
    </row>
    <row r="1593" spans="2:9" ht="12.95" customHeight="1" x14ac:dyDescent="0.3">
      <c r="B1593" s="40" t="s">
        <v>8</v>
      </c>
      <c r="C1593" s="41"/>
      <c r="D1593" s="42" t="s">
        <v>37</v>
      </c>
      <c r="E1593" s="95">
        <v>172068</v>
      </c>
      <c r="F1593" s="21">
        <v>3</v>
      </c>
      <c r="G1593" s="3">
        <f t="shared" si="375"/>
        <v>516204</v>
      </c>
      <c r="H1593" s="21">
        <v>3</v>
      </c>
      <c r="I1593" s="3">
        <f t="shared" si="376"/>
        <v>516204</v>
      </c>
    </row>
    <row r="1594" spans="2:9" ht="12.95" customHeight="1" x14ac:dyDescent="0.3">
      <c r="B1594" s="68" t="s">
        <v>269</v>
      </c>
      <c r="C1594" s="68" t="s">
        <v>137</v>
      </c>
      <c r="D1594" s="35" t="s">
        <v>44</v>
      </c>
      <c r="E1594" s="95">
        <v>58925</v>
      </c>
      <c r="F1594" s="21">
        <v>8</v>
      </c>
      <c r="G1594" s="3">
        <f t="shared" si="375"/>
        <v>471400</v>
      </c>
      <c r="H1594" s="21">
        <v>0</v>
      </c>
      <c r="I1594" s="3">
        <f t="shared" si="376"/>
        <v>0</v>
      </c>
    </row>
    <row r="1595" spans="2:9" ht="12.95" customHeight="1" x14ac:dyDescent="0.3">
      <c r="B1595" s="45" t="s">
        <v>39</v>
      </c>
      <c r="C1595" s="75"/>
      <c r="D1595" s="75"/>
      <c r="E1595" s="118"/>
      <c r="F1595" s="25"/>
      <c r="G1595" s="20">
        <f>TRUNC(SUM(G1592:G1594))</f>
        <v>1439848</v>
      </c>
      <c r="H1595" s="25"/>
      <c r="I1595" s="20">
        <f>TRUNC(SUM(I1592:I1594))</f>
        <v>968448</v>
      </c>
    </row>
    <row r="1596" spans="2:9" ht="12.95" customHeight="1" x14ac:dyDescent="0.3">
      <c r="B1596" s="77"/>
      <c r="C1596" s="75"/>
      <c r="D1596" s="75"/>
      <c r="E1596" s="118"/>
      <c r="F1596" s="25"/>
      <c r="G1596" s="78"/>
      <c r="H1596" s="25"/>
      <c r="I1596" s="78"/>
    </row>
    <row r="1597" spans="2:9" ht="12.95" customHeight="1" x14ac:dyDescent="0.3">
      <c r="B1597" s="68" t="s">
        <v>269</v>
      </c>
      <c r="C1597" s="68" t="s">
        <v>137</v>
      </c>
      <c r="D1597" s="69" t="s">
        <v>48</v>
      </c>
      <c r="E1597" s="95">
        <v>90444</v>
      </c>
      <c r="F1597" s="21">
        <v>8</v>
      </c>
      <c r="G1597" s="3">
        <f t="shared" ref="G1597" si="377">TRUNC($E1597*F1597,1)</f>
        <v>723552</v>
      </c>
      <c r="H1597" s="21">
        <v>0</v>
      </c>
      <c r="I1597" s="3">
        <f t="shared" ref="I1597" si="378">TRUNC($E1597*H1597,1)</f>
        <v>0</v>
      </c>
    </row>
    <row r="1598" spans="2:9" ht="12.95" customHeight="1" x14ac:dyDescent="0.3">
      <c r="B1598" s="74" t="s">
        <v>40</v>
      </c>
      <c r="C1598" s="75"/>
      <c r="D1598" s="75"/>
      <c r="E1598" s="81"/>
      <c r="F1598" s="19"/>
      <c r="G1598" s="20">
        <f>TRUNC(SUM(G1597:G1597))</f>
        <v>723552</v>
      </c>
      <c r="H1598" s="19"/>
      <c r="I1598" s="20">
        <f>TRUNC(SUM(I1597:I1597))</f>
        <v>0</v>
      </c>
    </row>
    <row r="1599" spans="2:9" ht="12.95" customHeight="1" x14ac:dyDescent="0.3">
      <c r="B1599" s="82"/>
      <c r="C1599" s="68"/>
      <c r="D1599" s="68"/>
      <c r="E1599" s="83"/>
      <c r="F1599" s="84"/>
      <c r="G1599" s="72"/>
      <c r="H1599" s="84"/>
      <c r="I1599" s="72"/>
    </row>
    <row r="1600" spans="2:9" ht="12.95" customHeight="1" x14ac:dyDescent="0.3">
      <c r="B1600" s="51" t="s">
        <v>42</v>
      </c>
      <c r="C1600" s="75"/>
      <c r="D1600" s="75"/>
      <c r="E1600" s="81"/>
      <c r="F1600" s="81"/>
      <c r="G1600" s="85">
        <f>SUM(G1590+G1595+G1598)</f>
        <v>2352480</v>
      </c>
      <c r="H1600" s="81"/>
      <c r="I1600" s="85">
        <f>SUM(I1590+I1595+I1598)</f>
        <v>968448</v>
      </c>
    </row>
    <row r="1601" spans="2:9" ht="12.95" customHeight="1" x14ac:dyDescent="0.3">
      <c r="B1601" s="52" t="s">
        <v>231</v>
      </c>
      <c r="C1601" s="86"/>
      <c r="D1601" s="86"/>
      <c r="E1601" s="87"/>
      <c r="F1601" s="87"/>
      <c r="G1601" s="8">
        <f>TRUNC(G1600/G1587)</f>
        <v>5881</v>
      </c>
      <c r="H1601" s="87"/>
      <c r="I1601" s="8">
        <f>TRUNC(I1600/I1587)</f>
        <v>9684</v>
      </c>
    </row>
    <row r="1603" spans="2:9" ht="12.95" customHeight="1" x14ac:dyDescent="0.3">
      <c r="B1603" s="60" t="s">
        <v>209</v>
      </c>
      <c r="C1603" s="61"/>
      <c r="D1603" s="62"/>
      <c r="E1603" s="63"/>
      <c r="F1603" s="62"/>
      <c r="G1603" s="33" t="s">
        <v>210</v>
      </c>
    </row>
    <row r="1604" spans="2:9" ht="12.95" customHeight="1" x14ac:dyDescent="0.3">
      <c r="B1604" s="122" t="s">
        <v>30</v>
      </c>
      <c r="C1604" s="123" t="s">
        <v>34</v>
      </c>
      <c r="D1604" s="124" t="s">
        <v>35</v>
      </c>
      <c r="E1604" s="125" t="s">
        <v>31</v>
      </c>
      <c r="F1604" s="124" t="s">
        <v>211</v>
      </c>
      <c r="G1604" s="126" t="s">
        <v>212</v>
      </c>
    </row>
    <row r="1605" spans="2:9" ht="12.95" customHeight="1" x14ac:dyDescent="0.3">
      <c r="B1605" s="122"/>
      <c r="C1605" s="123"/>
      <c r="D1605" s="124"/>
      <c r="E1605" s="125"/>
      <c r="F1605" s="124"/>
      <c r="G1605" s="126"/>
    </row>
    <row r="1606" spans="2:9" ht="12.95" customHeight="1" x14ac:dyDescent="0.3">
      <c r="B1606" s="40" t="s">
        <v>213</v>
      </c>
      <c r="C1606" s="41"/>
      <c r="D1606" s="42" t="s">
        <v>216</v>
      </c>
      <c r="E1606" s="119">
        <v>0</v>
      </c>
      <c r="F1606" s="84">
        <v>1.1499999999999999</v>
      </c>
      <c r="G1606" s="3">
        <f t="shared" ref="G1606:G1608" si="379">TRUNC($E1606*F1606,1)</f>
        <v>0</v>
      </c>
    </row>
    <row r="1607" spans="2:9" ht="12.95" customHeight="1" x14ac:dyDescent="0.3">
      <c r="B1607" s="40" t="s">
        <v>214</v>
      </c>
      <c r="C1607" s="41"/>
      <c r="D1607" s="42" t="s">
        <v>217</v>
      </c>
      <c r="E1607" s="119">
        <v>0</v>
      </c>
      <c r="F1607" s="84">
        <v>0.3</v>
      </c>
      <c r="G1607" s="3">
        <f t="shared" si="379"/>
        <v>0</v>
      </c>
    </row>
    <row r="1608" spans="2:9" ht="12.95" customHeight="1" x14ac:dyDescent="0.3">
      <c r="B1608" s="40" t="s">
        <v>215</v>
      </c>
      <c r="C1608" s="41" t="s">
        <v>219</v>
      </c>
      <c r="D1608" s="42" t="s">
        <v>218</v>
      </c>
      <c r="E1608" s="119">
        <v>0</v>
      </c>
      <c r="F1608" s="84">
        <v>0.01</v>
      </c>
      <c r="G1608" s="3">
        <f t="shared" si="379"/>
        <v>0</v>
      </c>
    </row>
    <row r="1609" spans="2:9" ht="12.95" customHeight="1" x14ac:dyDescent="0.3">
      <c r="B1609" s="74" t="s">
        <v>38</v>
      </c>
      <c r="C1609" s="75"/>
      <c r="D1609" s="75"/>
      <c r="E1609" s="118"/>
      <c r="F1609" s="25"/>
      <c r="G1609" s="20">
        <f>TRUNC(SUM(G1606:G1608))</f>
        <v>0</v>
      </c>
    </row>
    <row r="1610" spans="2:9" ht="12.95" customHeight="1" x14ac:dyDescent="0.3">
      <c r="B1610" s="77"/>
      <c r="C1610" s="75"/>
      <c r="D1610" s="75"/>
      <c r="E1610" s="118"/>
      <c r="F1610" s="25"/>
      <c r="G1610" s="78"/>
    </row>
    <row r="1611" spans="2:9" ht="12.95" customHeight="1" x14ac:dyDescent="0.3">
      <c r="B1611" s="52" t="s">
        <v>42</v>
      </c>
      <c r="C1611" s="86"/>
      <c r="D1611" s="86"/>
      <c r="E1611" s="87"/>
      <c r="F1611" s="87"/>
      <c r="G1611" s="89">
        <f>SUM(G1609)</f>
        <v>0</v>
      </c>
    </row>
  </sheetData>
  <mergeCells count="485">
    <mergeCell ref="F4:G4"/>
    <mergeCell ref="H4:I4"/>
    <mergeCell ref="B16:B17"/>
    <mergeCell ref="C16:C17"/>
    <mergeCell ref="D16:D17"/>
    <mergeCell ref="E16:E17"/>
    <mergeCell ref="B39:B40"/>
    <mergeCell ref="C39:C40"/>
    <mergeCell ref="D39:D40"/>
    <mergeCell ref="E39:E40"/>
    <mergeCell ref="B4:B6"/>
    <mergeCell ref="C4:C6"/>
    <mergeCell ref="D4:D6"/>
    <mergeCell ref="E4:E6"/>
    <mergeCell ref="B131:B132"/>
    <mergeCell ref="C131:C132"/>
    <mergeCell ref="D131:D132"/>
    <mergeCell ref="E131:E132"/>
    <mergeCell ref="B62:B63"/>
    <mergeCell ref="C62:C63"/>
    <mergeCell ref="D62:D63"/>
    <mergeCell ref="E62:E63"/>
    <mergeCell ref="B85:B86"/>
    <mergeCell ref="C85:C86"/>
    <mergeCell ref="D85:D86"/>
    <mergeCell ref="E85:E86"/>
    <mergeCell ref="B108:B109"/>
    <mergeCell ref="C108:C109"/>
    <mergeCell ref="D108:D109"/>
    <mergeCell ref="E108:E109"/>
    <mergeCell ref="B200:B201"/>
    <mergeCell ref="C200:C201"/>
    <mergeCell ref="D200:D201"/>
    <mergeCell ref="E200:E201"/>
    <mergeCell ref="B223:B224"/>
    <mergeCell ref="C223:C224"/>
    <mergeCell ref="D223:D224"/>
    <mergeCell ref="E223:E224"/>
    <mergeCell ref="B154:B155"/>
    <mergeCell ref="C154:C155"/>
    <mergeCell ref="D154:D155"/>
    <mergeCell ref="E154:E155"/>
    <mergeCell ref="B177:B178"/>
    <mergeCell ref="C177:C178"/>
    <mergeCell ref="D177:D178"/>
    <mergeCell ref="E177:E178"/>
    <mergeCell ref="B267:B270"/>
    <mergeCell ref="C267:C270"/>
    <mergeCell ref="D267:D270"/>
    <mergeCell ref="E267:E270"/>
    <mergeCell ref="F267:I267"/>
    <mergeCell ref="F268:G268"/>
    <mergeCell ref="H268:I268"/>
    <mergeCell ref="F223:G223"/>
    <mergeCell ref="H223:I223"/>
    <mergeCell ref="B241:B242"/>
    <mergeCell ref="C241:C242"/>
    <mergeCell ref="D241:D242"/>
    <mergeCell ref="E241:E242"/>
    <mergeCell ref="B301:B304"/>
    <mergeCell ref="C301:C304"/>
    <mergeCell ref="D301:D304"/>
    <mergeCell ref="E301:E304"/>
    <mergeCell ref="F301:I301"/>
    <mergeCell ref="J301:M301"/>
    <mergeCell ref="F302:G302"/>
    <mergeCell ref="H302:I302"/>
    <mergeCell ref="J302:K302"/>
    <mergeCell ref="L302:M302"/>
    <mergeCell ref="B390:B392"/>
    <mergeCell ref="C390:C392"/>
    <mergeCell ref="D390:D392"/>
    <mergeCell ref="E390:E392"/>
    <mergeCell ref="F390:G390"/>
    <mergeCell ref="H390:I390"/>
    <mergeCell ref="B332:B333"/>
    <mergeCell ref="C332:C333"/>
    <mergeCell ref="D332:D333"/>
    <mergeCell ref="E332:E333"/>
    <mergeCell ref="B358:B359"/>
    <mergeCell ref="C358:C359"/>
    <mergeCell ref="D358:D359"/>
    <mergeCell ref="E358:E359"/>
    <mergeCell ref="B447:B449"/>
    <mergeCell ref="C447:C449"/>
    <mergeCell ref="D447:D449"/>
    <mergeCell ref="E447:E449"/>
    <mergeCell ref="F447:G447"/>
    <mergeCell ref="H447:I447"/>
    <mergeCell ref="B420:B422"/>
    <mergeCell ref="C420:C422"/>
    <mergeCell ref="D420:D422"/>
    <mergeCell ref="E420:E422"/>
    <mergeCell ref="F420:G420"/>
    <mergeCell ref="H420:I420"/>
    <mergeCell ref="B499:B502"/>
    <mergeCell ref="C499:C502"/>
    <mergeCell ref="D499:D502"/>
    <mergeCell ref="E499:E502"/>
    <mergeCell ref="F499:K499"/>
    <mergeCell ref="F500:G500"/>
    <mergeCell ref="H500:I500"/>
    <mergeCell ref="J500:K500"/>
    <mergeCell ref="B475:B477"/>
    <mergeCell ref="C475:C477"/>
    <mergeCell ref="D475:D477"/>
    <mergeCell ref="E475:E477"/>
    <mergeCell ref="F475:G475"/>
    <mergeCell ref="H475:I475"/>
    <mergeCell ref="B527:B530"/>
    <mergeCell ref="C527:C530"/>
    <mergeCell ref="D527:D530"/>
    <mergeCell ref="E527:E530"/>
    <mergeCell ref="F527:K527"/>
    <mergeCell ref="F528:G528"/>
    <mergeCell ref="H528:I528"/>
    <mergeCell ref="J528:K528"/>
    <mergeCell ref="B512:B515"/>
    <mergeCell ref="C512:C515"/>
    <mergeCell ref="D512:D515"/>
    <mergeCell ref="E512:E515"/>
    <mergeCell ref="F512:K512"/>
    <mergeCell ref="F513:G513"/>
    <mergeCell ref="H513:I513"/>
    <mergeCell ref="J513:K513"/>
    <mergeCell ref="F580:G580"/>
    <mergeCell ref="H580:I580"/>
    <mergeCell ref="J580:K580"/>
    <mergeCell ref="L580:M580"/>
    <mergeCell ref="B598:B599"/>
    <mergeCell ref="C598:C599"/>
    <mergeCell ref="D598:D599"/>
    <mergeCell ref="E598:E599"/>
    <mergeCell ref="F553:K553"/>
    <mergeCell ref="F554:G554"/>
    <mergeCell ref="H554:I554"/>
    <mergeCell ref="J554:K554"/>
    <mergeCell ref="B579:B581"/>
    <mergeCell ref="C579:C581"/>
    <mergeCell ref="D579:D581"/>
    <mergeCell ref="E579:E581"/>
    <mergeCell ref="F579:I579"/>
    <mergeCell ref="J579:M579"/>
    <mergeCell ref="F627:G627"/>
    <mergeCell ref="F628:G628"/>
    <mergeCell ref="B649:B652"/>
    <mergeCell ref="C649:C652"/>
    <mergeCell ref="D649:D652"/>
    <mergeCell ref="E649:E652"/>
    <mergeCell ref="F649:G649"/>
    <mergeCell ref="F650:G650"/>
    <mergeCell ref="B616:B617"/>
    <mergeCell ref="C616:C617"/>
    <mergeCell ref="D616:D617"/>
    <mergeCell ref="E616:E617"/>
    <mergeCell ref="B627:B630"/>
    <mergeCell ref="C627:C630"/>
    <mergeCell ref="D627:D630"/>
    <mergeCell ref="E627:E630"/>
    <mergeCell ref="B695:B698"/>
    <mergeCell ref="C695:C698"/>
    <mergeCell ref="D695:D698"/>
    <mergeCell ref="E695:E698"/>
    <mergeCell ref="F695:G695"/>
    <mergeCell ref="F696:G696"/>
    <mergeCell ref="B673:B676"/>
    <mergeCell ref="C673:C676"/>
    <mergeCell ref="D673:D676"/>
    <mergeCell ref="E673:E676"/>
    <mergeCell ref="F673:G673"/>
    <mergeCell ref="F674:G674"/>
    <mergeCell ref="B774:B775"/>
    <mergeCell ref="C774:C775"/>
    <mergeCell ref="D774:D775"/>
    <mergeCell ref="E774:E775"/>
    <mergeCell ref="B793:B795"/>
    <mergeCell ref="C793:C795"/>
    <mergeCell ref="D793:D795"/>
    <mergeCell ref="E793:E795"/>
    <mergeCell ref="B719:B720"/>
    <mergeCell ref="C719:C720"/>
    <mergeCell ref="D719:D720"/>
    <mergeCell ref="E719:E720"/>
    <mergeCell ref="B745:B746"/>
    <mergeCell ref="C745:C746"/>
    <mergeCell ref="D745:D746"/>
    <mergeCell ref="E745:E746"/>
    <mergeCell ref="J812:K812"/>
    <mergeCell ref="B835:B837"/>
    <mergeCell ref="C835:C837"/>
    <mergeCell ref="D835:D837"/>
    <mergeCell ref="E835:E837"/>
    <mergeCell ref="F835:G835"/>
    <mergeCell ref="H835:I835"/>
    <mergeCell ref="F793:G793"/>
    <mergeCell ref="H793:I793"/>
    <mergeCell ref="B812:B813"/>
    <mergeCell ref="C812:C813"/>
    <mergeCell ref="D812:D813"/>
    <mergeCell ref="E812:E813"/>
    <mergeCell ref="F812:G812"/>
    <mergeCell ref="H812:I812"/>
    <mergeCell ref="H863:I863"/>
    <mergeCell ref="J863:K863"/>
    <mergeCell ref="B876:B877"/>
    <mergeCell ref="C876:C877"/>
    <mergeCell ref="D876:D877"/>
    <mergeCell ref="E876:E877"/>
    <mergeCell ref="B849:B850"/>
    <mergeCell ref="C849:C850"/>
    <mergeCell ref="D849:D850"/>
    <mergeCell ref="E849:E850"/>
    <mergeCell ref="B862:B864"/>
    <mergeCell ref="C862:C864"/>
    <mergeCell ref="D862:D864"/>
    <mergeCell ref="E862:E864"/>
    <mergeCell ref="B889:B890"/>
    <mergeCell ref="C889:C890"/>
    <mergeCell ref="D889:D890"/>
    <mergeCell ref="E889:E890"/>
    <mergeCell ref="B902:B903"/>
    <mergeCell ref="C902:C903"/>
    <mergeCell ref="D902:D903"/>
    <mergeCell ref="E902:E903"/>
    <mergeCell ref="F863:G863"/>
    <mergeCell ref="B953:B955"/>
    <mergeCell ref="C953:C955"/>
    <mergeCell ref="D953:D955"/>
    <mergeCell ref="E953:E955"/>
    <mergeCell ref="F953:G953"/>
    <mergeCell ref="H953:I953"/>
    <mergeCell ref="J916:K916"/>
    <mergeCell ref="L916:M916"/>
    <mergeCell ref="B934:B936"/>
    <mergeCell ref="C934:C936"/>
    <mergeCell ref="D934:D936"/>
    <mergeCell ref="E934:E936"/>
    <mergeCell ref="F934:G934"/>
    <mergeCell ref="H934:I934"/>
    <mergeCell ref="J934:K934"/>
    <mergeCell ref="L934:M934"/>
    <mergeCell ref="B916:B918"/>
    <mergeCell ref="C916:C918"/>
    <mergeCell ref="D916:D918"/>
    <mergeCell ref="E916:E918"/>
    <mergeCell ref="F916:G916"/>
    <mergeCell ref="H916:I916"/>
    <mergeCell ref="J974:K974"/>
    <mergeCell ref="L974:M974"/>
    <mergeCell ref="B1006:B1008"/>
    <mergeCell ref="C1006:C1008"/>
    <mergeCell ref="D1006:D1008"/>
    <mergeCell ref="E1006:E1008"/>
    <mergeCell ref="F1006:G1006"/>
    <mergeCell ref="H1006:I1006"/>
    <mergeCell ref="J1006:K1006"/>
    <mergeCell ref="L1006:M1006"/>
    <mergeCell ref="B974:B976"/>
    <mergeCell ref="C974:C976"/>
    <mergeCell ref="D974:D976"/>
    <mergeCell ref="E974:E976"/>
    <mergeCell ref="F974:G974"/>
    <mergeCell ref="H974:I974"/>
    <mergeCell ref="F996:F997"/>
    <mergeCell ref="G996:G997"/>
    <mergeCell ref="E996:E997"/>
    <mergeCell ref="B996:B997"/>
    <mergeCell ref="C996:C997"/>
    <mergeCell ref="D996:D997"/>
    <mergeCell ref="J1048:M1048"/>
    <mergeCell ref="F1049:G1049"/>
    <mergeCell ref="H1049:I1049"/>
    <mergeCell ref="J1049:K1049"/>
    <mergeCell ref="L1049:M1049"/>
    <mergeCell ref="B1026:B1028"/>
    <mergeCell ref="C1026:C1028"/>
    <mergeCell ref="D1026:D1028"/>
    <mergeCell ref="E1026:E1028"/>
    <mergeCell ref="F1026:G1026"/>
    <mergeCell ref="H1026:I1026"/>
    <mergeCell ref="B1069:B1071"/>
    <mergeCell ref="C1069:C1071"/>
    <mergeCell ref="D1069:D1071"/>
    <mergeCell ref="E1069:E1071"/>
    <mergeCell ref="F1069:G1069"/>
    <mergeCell ref="H1069:I1069"/>
    <mergeCell ref="B1048:B1051"/>
    <mergeCell ref="C1048:C1051"/>
    <mergeCell ref="D1048:D1051"/>
    <mergeCell ref="E1048:E1051"/>
    <mergeCell ref="F1048:I1048"/>
    <mergeCell ref="B1096:B1099"/>
    <mergeCell ref="C1096:C1099"/>
    <mergeCell ref="D1096:D1099"/>
    <mergeCell ref="E1096:E1099"/>
    <mergeCell ref="F1096:I1096"/>
    <mergeCell ref="J1096:M1096"/>
    <mergeCell ref="F1097:G1097"/>
    <mergeCell ref="H1097:I1097"/>
    <mergeCell ref="J1097:K1097"/>
    <mergeCell ref="L1097:M1097"/>
    <mergeCell ref="B1138:B1140"/>
    <mergeCell ref="C1138:C1140"/>
    <mergeCell ref="D1138:D1140"/>
    <mergeCell ref="E1138:E1140"/>
    <mergeCell ref="F1138:G1138"/>
    <mergeCell ref="H1138:I1138"/>
    <mergeCell ref="B1116:B1118"/>
    <mergeCell ref="C1116:C1118"/>
    <mergeCell ref="D1116:D1118"/>
    <mergeCell ref="E1116:E1118"/>
    <mergeCell ref="F1116:G1116"/>
    <mergeCell ref="H1116:I1116"/>
    <mergeCell ref="F1178:G1178"/>
    <mergeCell ref="H1178:I1178"/>
    <mergeCell ref="B1157:B1161"/>
    <mergeCell ref="C1157:C1161"/>
    <mergeCell ref="D1157:D1161"/>
    <mergeCell ref="E1157:E1161"/>
    <mergeCell ref="F1157:G1157"/>
    <mergeCell ref="H1157:I1157"/>
    <mergeCell ref="F1158:G1158"/>
    <mergeCell ref="H1158:I1158"/>
    <mergeCell ref="F1159:G1159"/>
    <mergeCell ref="H1159:I1159"/>
    <mergeCell ref="B1201:B1202"/>
    <mergeCell ref="C1201:C1202"/>
    <mergeCell ref="D1201:D1202"/>
    <mergeCell ref="E1201:E1202"/>
    <mergeCell ref="B1214:B1217"/>
    <mergeCell ref="C1214:C1217"/>
    <mergeCell ref="D1214:D1217"/>
    <mergeCell ref="E1214:E1217"/>
    <mergeCell ref="B1178:B1180"/>
    <mergeCell ref="C1178:C1180"/>
    <mergeCell ref="D1178:D1180"/>
    <mergeCell ref="E1178:E1180"/>
    <mergeCell ref="F1214:K1214"/>
    <mergeCell ref="F1215:G1215"/>
    <mergeCell ref="H1215:I1215"/>
    <mergeCell ref="J1215:K1215"/>
    <mergeCell ref="B1232:B1235"/>
    <mergeCell ref="C1232:C1235"/>
    <mergeCell ref="D1232:D1235"/>
    <mergeCell ref="E1232:E1235"/>
    <mergeCell ref="F1232:K1232"/>
    <mergeCell ref="F1233:G1233"/>
    <mergeCell ref="H1233:I1233"/>
    <mergeCell ref="J1233:K1233"/>
    <mergeCell ref="B1250:B1253"/>
    <mergeCell ref="C1250:C1253"/>
    <mergeCell ref="D1250:D1253"/>
    <mergeCell ref="E1250:E1253"/>
    <mergeCell ref="F1250:G1250"/>
    <mergeCell ref="H1250:I1250"/>
    <mergeCell ref="F1251:G1251"/>
    <mergeCell ref="H1251:I1251"/>
    <mergeCell ref="B1270:B1273"/>
    <mergeCell ref="C1270:C1273"/>
    <mergeCell ref="D1270:D1273"/>
    <mergeCell ref="E1270:E1273"/>
    <mergeCell ref="F1270:M1270"/>
    <mergeCell ref="F1271:G1271"/>
    <mergeCell ref="H1271:I1271"/>
    <mergeCell ref="J1271:K1271"/>
    <mergeCell ref="L1271:M1271"/>
    <mergeCell ref="B1309:B1312"/>
    <mergeCell ref="C1309:C1312"/>
    <mergeCell ref="D1309:D1312"/>
    <mergeCell ref="E1309:E1312"/>
    <mergeCell ref="F1309:K1309"/>
    <mergeCell ref="F1310:G1310"/>
    <mergeCell ref="H1310:I1310"/>
    <mergeCell ref="J1310:K1310"/>
    <mergeCell ref="B1288:B1291"/>
    <mergeCell ref="C1288:C1291"/>
    <mergeCell ref="D1288:D1291"/>
    <mergeCell ref="E1288:E1291"/>
    <mergeCell ref="F1288:M1288"/>
    <mergeCell ref="F1289:G1289"/>
    <mergeCell ref="H1289:I1289"/>
    <mergeCell ref="J1289:K1289"/>
    <mergeCell ref="L1289:M1289"/>
    <mergeCell ref="B1351:B1354"/>
    <mergeCell ref="C1351:C1354"/>
    <mergeCell ref="D1351:D1354"/>
    <mergeCell ref="E1351:E1354"/>
    <mergeCell ref="F1351:I1351"/>
    <mergeCell ref="F1352:G1352"/>
    <mergeCell ref="H1352:I1352"/>
    <mergeCell ref="B1330:B1333"/>
    <mergeCell ref="C1330:C1333"/>
    <mergeCell ref="D1330:D1333"/>
    <mergeCell ref="E1330:E1333"/>
    <mergeCell ref="F1330:I1330"/>
    <mergeCell ref="F1331:G1331"/>
    <mergeCell ref="H1331:I1331"/>
    <mergeCell ref="B1392:B1395"/>
    <mergeCell ref="C1392:C1395"/>
    <mergeCell ref="D1392:D1395"/>
    <mergeCell ref="E1392:E1395"/>
    <mergeCell ref="F1392:I1392"/>
    <mergeCell ref="F1393:G1393"/>
    <mergeCell ref="H1393:I1393"/>
    <mergeCell ref="B1374:B1377"/>
    <mergeCell ref="C1374:C1377"/>
    <mergeCell ref="D1374:D1377"/>
    <mergeCell ref="E1374:E1377"/>
    <mergeCell ref="F1374:K1374"/>
    <mergeCell ref="F1375:G1375"/>
    <mergeCell ref="H1375:I1375"/>
    <mergeCell ref="J1375:K1375"/>
    <mergeCell ref="B1428:B1431"/>
    <mergeCell ref="C1428:C1431"/>
    <mergeCell ref="D1428:D1431"/>
    <mergeCell ref="E1428:E1431"/>
    <mergeCell ref="F1428:I1428"/>
    <mergeCell ref="F1429:G1429"/>
    <mergeCell ref="H1429:I1429"/>
    <mergeCell ref="B1410:B1413"/>
    <mergeCell ref="C1410:C1413"/>
    <mergeCell ref="D1410:D1413"/>
    <mergeCell ref="E1410:E1413"/>
    <mergeCell ref="F1410:K1410"/>
    <mergeCell ref="F1411:G1411"/>
    <mergeCell ref="H1411:I1411"/>
    <mergeCell ref="J1411:K1411"/>
    <mergeCell ref="B1464:B1467"/>
    <mergeCell ref="C1464:C1467"/>
    <mergeCell ref="D1464:D1467"/>
    <mergeCell ref="E1464:E1467"/>
    <mergeCell ref="F1464:I1464"/>
    <mergeCell ref="F1465:G1465"/>
    <mergeCell ref="H1465:I1465"/>
    <mergeCell ref="B1446:B1449"/>
    <mergeCell ref="C1446:C1449"/>
    <mergeCell ref="D1446:D1449"/>
    <mergeCell ref="E1446:E1449"/>
    <mergeCell ref="F1446:K1446"/>
    <mergeCell ref="F1447:G1447"/>
    <mergeCell ref="H1447:I1447"/>
    <mergeCell ref="J1447:K1447"/>
    <mergeCell ref="F1500:I1500"/>
    <mergeCell ref="F1501:G1501"/>
    <mergeCell ref="H1501:I1501"/>
    <mergeCell ref="B1482:B1485"/>
    <mergeCell ref="C1482:C1485"/>
    <mergeCell ref="D1482:D1485"/>
    <mergeCell ref="E1482:E1485"/>
    <mergeCell ref="F1482:K1482"/>
    <mergeCell ref="F1483:G1483"/>
    <mergeCell ref="H1483:I1483"/>
    <mergeCell ref="J1483:K1483"/>
    <mergeCell ref="B1521:B1522"/>
    <mergeCell ref="C1521:C1522"/>
    <mergeCell ref="D1521:D1522"/>
    <mergeCell ref="E1521:E1522"/>
    <mergeCell ref="B1540:B1541"/>
    <mergeCell ref="C1540:C1541"/>
    <mergeCell ref="D1540:D1541"/>
    <mergeCell ref="E1540:E1541"/>
    <mergeCell ref="B1500:B1503"/>
    <mergeCell ref="C1500:C1503"/>
    <mergeCell ref="D1500:D1503"/>
    <mergeCell ref="E1500:E1503"/>
    <mergeCell ref="H1586:I1586"/>
    <mergeCell ref="B1553:B1554"/>
    <mergeCell ref="C1553:C1554"/>
    <mergeCell ref="D1553:D1554"/>
    <mergeCell ref="E1553:E1554"/>
    <mergeCell ref="B1567:B1568"/>
    <mergeCell ref="C1567:C1568"/>
    <mergeCell ref="D1567:D1568"/>
    <mergeCell ref="E1567:E1568"/>
    <mergeCell ref="B1604:B1605"/>
    <mergeCell ref="C1604:C1605"/>
    <mergeCell ref="D1604:D1605"/>
    <mergeCell ref="E1604:E1605"/>
    <mergeCell ref="F1604:F1605"/>
    <mergeCell ref="G1604:G1605"/>
    <mergeCell ref="B1586:B1588"/>
    <mergeCell ref="C1586:C1588"/>
    <mergeCell ref="D1586:D1588"/>
    <mergeCell ref="E1586:E1588"/>
    <mergeCell ref="F1586:G1586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도로포장공사(상반기)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2026-01-01T07:59:32Z</dcterms:modified>
</cp:coreProperties>
</file>