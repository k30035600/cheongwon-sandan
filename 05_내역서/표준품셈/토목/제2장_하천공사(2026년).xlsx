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CE292461-C3E8-4168-8E5B-150D1FD64C1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하천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" i="6" l="1"/>
  <c r="G139" i="6" s="1"/>
  <c r="G135" i="6"/>
  <c r="G134" i="6"/>
  <c r="G133" i="6"/>
  <c r="G130" i="6"/>
  <c r="G131" i="6" s="1"/>
  <c r="G122" i="6"/>
  <c r="G121" i="6"/>
  <c r="I113" i="6"/>
  <c r="I114" i="6" s="1"/>
  <c r="G110" i="6"/>
  <c r="I109" i="6"/>
  <c r="I108" i="6"/>
  <c r="G108" i="6"/>
  <c r="I105" i="6"/>
  <c r="I106" i="6" s="1"/>
  <c r="G96" i="6"/>
  <c r="G97" i="6" s="1"/>
  <c r="G93" i="6"/>
  <c r="G92" i="6"/>
  <c r="G91" i="6"/>
  <c r="G90" i="6"/>
  <c r="G87" i="6"/>
  <c r="G88" i="6" s="1"/>
  <c r="G79" i="6"/>
  <c r="G80" i="6" s="1"/>
  <c r="G76" i="6"/>
  <c r="G75" i="6"/>
  <c r="G74" i="6"/>
  <c r="G73" i="6"/>
  <c r="G70" i="6"/>
  <c r="G71" i="6" s="1"/>
  <c r="G62" i="6"/>
  <c r="G63" i="6" s="1"/>
  <c r="I59" i="6"/>
  <c r="G58" i="6"/>
  <c r="I57" i="6"/>
  <c r="G57" i="6"/>
  <c r="G56" i="6"/>
  <c r="I53" i="6"/>
  <c r="I54" i="6" s="1"/>
  <c r="I47" i="6"/>
  <c r="I48" i="6" s="1"/>
  <c r="K44" i="6"/>
  <c r="K43" i="6"/>
  <c r="K42" i="6"/>
  <c r="K41" i="6"/>
  <c r="K38" i="6"/>
  <c r="K39" i="6" s="1"/>
  <c r="G29" i="6"/>
  <c r="G28" i="6"/>
  <c r="G25" i="6"/>
  <c r="G24" i="6"/>
  <c r="G21" i="6"/>
  <c r="G22" i="6" s="1"/>
  <c r="G13" i="6"/>
  <c r="G14" i="6" s="1"/>
  <c r="G10" i="6"/>
  <c r="G9" i="6"/>
  <c r="G6" i="6"/>
  <c r="G7" i="6" s="1"/>
  <c r="I58" i="6" l="1"/>
  <c r="G123" i="6"/>
  <c r="G125" i="6" s="1"/>
  <c r="I62" i="6"/>
  <c r="I63" i="6" s="1"/>
  <c r="G53" i="6"/>
  <c r="G54" i="6" s="1"/>
  <c r="K45" i="6"/>
  <c r="G11" i="6"/>
  <c r="G16" i="6" s="1"/>
  <c r="G30" i="6"/>
  <c r="G41" i="6"/>
  <c r="G42" i="6"/>
  <c r="G44" i="6"/>
  <c r="G26" i="6"/>
  <c r="G32" i="6" s="1"/>
  <c r="I38" i="6"/>
  <c r="I39" i="6" s="1"/>
  <c r="I42" i="6"/>
  <c r="I43" i="6"/>
  <c r="I44" i="6"/>
  <c r="K47" i="6"/>
  <c r="K48" i="6" s="1"/>
  <c r="G38" i="6"/>
  <c r="G39" i="6" s="1"/>
  <c r="G43" i="6"/>
  <c r="I41" i="6"/>
  <c r="G77" i="6"/>
  <c r="G82" i="6" s="1"/>
  <c r="G94" i="6"/>
  <c r="G99" i="6" s="1"/>
  <c r="G136" i="6"/>
  <c r="G141" i="6" s="1"/>
  <c r="G47" i="6"/>
  <c r="G48" i="6" s="1"/>
  <c r="I56" i="6"/>
  <c r="I60" i="6" s="1"/>
  <c r="I65" i="6" s="1"/>
  <c r="G59" i="6"/>
  <c r="G60" i="6" s="1"/>
  <c r="G105" i="6"/>
  <c r="G106" i="6" s="1"/>
  <c r="G109" i="6"/>
  <c r="G111" i="6" s="1"/>
  <c r="I110" i="6"/>
  <c r="I111" i="6" s="1"/>
  <c r="I116" i="6" s="1"/>
  <c r="G113" i="6"/>
  <c r="G114" i="6" s="1"/>
  <c r="K50" i="6" l="1"/>
  <c r="G65" i="6"/>
  <c r="I45" i="6"/>
  <c r="I50" i="6" s="1"/>
  <c r="G45" i="6"/>
  <c r="G50" i="6" s="1"/>
  <c r="G116" i="6"/>
</calcChain>
</file>

<file path=xl/sharedStrings.xml><?xml version="1.0" encoding="utf-8"?>
<sst xmlns="http://schemas.openxmlformats.org/spreadsheetml/2006/main" count="243" uniqueCount="48">
  <si>
    <t>특별인부</t>
    <phoneticPr fontId="5" type="noConversion"/>
  </si>
  <si>
    <t>1.0㎥</t>
  </si>
  <si>
    <t>보통인부</t>
  </si>
  <si>
    <t>석공</t>
    <phoneticPr fontId="5" type="noConversion"/>
  </si>
  <si>
    <t>구분</t>
  </si>
  <si>
    <t>단가</t>
  </si>
  <si>
    <t>수량</t>
  </si>
  <si>
    <t>금액</t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</si>
  <si>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</si>
  <si>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</si>
  <si>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</si>
  <si>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</si>
  <si>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</si>
  <si>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</si>
  <si>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규격</t>
    <phoneticPr fontId="5" type="noConversion"/>
  </si>
  <si>
    <t>hr</t>
  </si>
  <si>
    <t>hr</t>
    <phoneticPr fontId="5" type="noConversion"/>
  </si>
  <si>
    <t>인</t>
    <phoneticPr fontId="5" type="noConversion"/>
  </si>
  <si>
    <t>제 2 장 하천공사</t>
    <phoneticPr fontId="3" type="noConversion"/>
  </si>
  <si>
    <t>2-1 사석</t>
    <phoneticPr fontId="3" type="noConversion"/>
  </si>
  <si>
    <t>2-1-1 사석부설</t>
    <phoneticPr fontId="3" type="noConversion"/>
  </si>
  <si>
    <t>(㎥당)</t>
    <phoneticPr fontId="3" type="noConversion"/>
  </si>
  <si>
    <t>수량</t>
    <phoneticPr fontId="3" type="noConversion"/>
  </si>
  <si>
    <t>금액</t>
    <phoneticPr fontId="3" type="noConversion"/>
  </si>
  <si>
    <t>2-1-2 사석고르기</t>
    <phoneticPr fontId="3" type="noConversion"/>
  </si>
  <si>
    <t>부착용집게</t>
    <phoneticPr fontId="3" type="noConversion"/>
  </si>
  <si>
    <t>2-2 돌망태</t>
  </si>
  <si>
    <t>2-2-1 타원형 돌망태 설치</t>
    <phoneticPr fontId="3" type="noConversion"/>
  </si>
  <si>
    <t>(㎡당)</t>
    <phoneticPr fontId="3" type="noConversion"/>
  </si>
  <si>
    <t>돌망태 높이 40㎝</t>
    <phoneticPr fontId="3" type="noConversion"/>
  </si>
  <si>
    <t>돌망태 높이 45㎝</t>
    <phoneticPr fontId="3" type="noConversion"/>
  </si>
  <si>
    <t>돌망태 높이 50㎝</t>
    <phoneticPr fontId="3" type="noConversion"/>
  </si>
  <si>
    <t>돌망태 높이 60㎝</t>
    <phoneticPr fontId="3" type="noConversion"/>
  </si>
  <si>
    <t>돌망태 높이 70㎝</t>
    <phoneticPr fontId="3" type="noConversion"/>
  </si>
  <si>
    <t>2-2-2 매트리스형 돌망태 설치</t>
    <phoneticPr fontId="3" type="noConversion"/>
  </si>
  <si>
    <t>2-2-3 돌망태형옹벽 설치</t>
    <phoneticPr fontId="3" type="noConversion"/>
  </si>
  <si>
    <t>0.6㎥</t>
    <phoneticPr fontId="5" type="noConversion"/>
  </si>
  <si>
    <t xml:space="preserve"> </t>
  </si>
  <si>
    <t>높이 5m이하</t>
    <phoneticPr fontId="3" type="noConversion"/>
  </si>
  <si>
    <t>2-3 하천호안공</t>
  </si>
  <si>
    <t>2-3-1 식생매트 설치</t>
    <phoneticPr fontId="3" type="noConversion"/>
  </si>
  <si>
    <t>식생매트설치</t>
    <phoneticPr fontId="3" type="noConversion"/>
  </si>
  <si>
    <t>복토</t>
    <phoneticPr fontId="3" type="noConversion"/>
  </si>
  <si>
    <t>2-3-2 블록 붙이기(인력)</t>
    <phoneticPr fontId="3" type="noConversion"/>
  </si>
  <si>
    <t>2-3-3 블록 붙이기(기계)</t>
    <phoneticPr fontId="3" type="noConversion"/>
  </si>
  <si>
    <t>10ton</t>
    <phoneticPr fontId="5" type="noConversion"/>
  </si>
  <si>
    <t>크레인(무한궤도)</t>
    <phoneticPr fontId="5" type="noConversion"/>
  </si>
  <si>
    <t>굴착기(무한궤도)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</si>
</sst>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0_-;\-* #,##0.00_-;_-* &quot;-&quot;_-;_-@_-"/>
    <numFmt numFmtId="182" formatCode="_-* #,##0.000_-;\-* #,##0.000_-;_-* &quot;-&quot;_-;_-@_-"/>
    <numFmt numFmtId="184" formatCode="#,##0.00_);[Red]\(#,##0.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6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4" xfId="3" applyFont="1" applyBorder="1" applyAlignment="1">
      <alignment vertical="center" shrinkToFit="1"/>
    </xf>
    <xf numFmtId="0" fontId="13" fillId="0" borderId="0" xfId="6" applyFont="1" applyAlignment="1">
      <alignment vertical="center"/>
    </xf>
    <xf numFmtId="0" fontId="9" fillId="0" borderId="3" xfId="6" applyFont="1" applyBorder="1" applyAlignment="1">
      <alignment horizontal="left" vertical="center"/>
    </xf>
    <xf numFmtId="0" fontId="10" fillId="0" borderId="8" xfId="6" applyFont="1" applyBorder="1" applyAlignment="1">
      <alignment horizontal="left" vertical="center"/>
    </xf>
    <xf numFmtId="0" fontId="12" fillId="0" borderId="3" xfId="3" applyFont="1" applyBorder="1" applyAlignment="1">
      <alignment vertical="center"/>
    </xf>
    <xf numFmtId="0" fontId="9" fillId="0" borderId="0" xfId="6" applyFont="1" applyAlignment="1">
      <alignment vertical="center"/>
    </xf>
    <xf numFmtId="0" fontId="9" fillId="0" borderId="0" xfId="0" applyFont="1" applyAlignment="1">
      <alignment horizontal="left" vertical="center"/>
    </xf>
    <xf numFmtId="0" fontId="16" fillId="0" borderId="3" xfId="3" applyFont="1" applyBorder="1" applyAlignment="1">
      <alignment vertical="center"/>
    </xf>
    <xf numFmtId="0" fontId="16" fillId="0" borderId="3" xfId="6" applyFont="1" applyBorder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9" fillId="0" borderId="0" xfId="2" applyFont="1" applyAlignment="1">
      <alignment vertical="center"/>
    </xf>
    <xf numFmtId="0" fontId="15" fillId="0" borderId="0" xfId="2" applyFont="1" applyAlignment="1">
      <alignment horizontal="centerContinuous" vertical="center"/>
    </xf>
    <xf numFmtId="0" fontId="9" fillId="0" borderId="0" xfId="0" applyFont="1">
      <alignment vertical="center"/>
    </xf>
    <xf numFmtId="181" fontId="9" fillId="0" borderId="4" xfId="7" applyNumberFormat="1" applyFont="1" applyBorder="1" applyAlignment="1">
      <alignment vertical="center"/>
    </xf>
    <xf numFmtId="180" fontId="9" fillId="0" borderId="0" xfId="7" applyNumberFormat="1" applyFont="1" applyBorder="1" applyAlignment="1">
      <alignment horizontal="center" vertical="center"/>
    </xf>
    <xf numFmtId="180" fontId="9" fillId="0" borderId="0" xfId="7" applyNumberFormat="1" applyFont="1" applyBorder="1" applyAlignment="1">
      <alignment vertical="center"/>
    </xf>
    <xf numFmtId="0" fontId="9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181" fontId="9" fillId="0" borderId="0" xfId="7" applyNumberFormat="1" applyFont="1" applyBorder="1" applyAlignment="1">
      <alignment vertical="center"/>
    </xf>
    <xf numFmtId="41" fontId="10" fillId="0" borderId="0" xfId="7" applyFont="1" applyBorder="1" applyAlignment="1">
      <alignment vertical="center"/>
    </xf>
    <xf numFmtId="0" fontId="10" fillId="0" borderId="0" xfId="2" applyFont="1" applyAlignment="1">
      <alignment vertical="center"/>
    </xf>
    <xf numFmtId="182" fontId="10" fillId="0" borderId="4" xfId="7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41" fontId="10" fillId="0" borderId="7" xfId="7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7" fillId="0" borderId="3" xfId="2" applyFont="1" applyBorder="1" applyAlignment="1">
      <alignment horizontal="left" vertical="center"/>
    </xf>
    <xf numFmtId="0" fontId="17" fillId="0" borderId="8" xfId="2" applyFont="1" applyBorder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9" fillId="0" borderId="3" xfId="2" applyFont="1" applyBorder="1" applyAlignment="1">
      <alignment horizontal="center" vertical="center"/>
    </xf>
    <xf numFmtId="41" fontId="16" fillId="0" borderId="5" xfId="7" applyFont="1" applyBorder="1" applyAlignment="1">
      <alignment vertical="center"/>
    </xf>
    <xf numFmtId="41" fontId="16" fillId="0" borderId="5" xfId="7" applyFont="1" applyFill="1" applyBorder="1" applyAlignment="1">
      <alignment vertical="center"/>
    </xf>
    <xf numFmtId="41" fontId="10" fillId="0" borderId="4" xfId="1" applyFont="1" applyBorder="1" applyAlignment="1">
      <alignment vertical="center"/>
    </xf>
    <xf numFmtId="49" fontId="15" fillId="0" borderId="0" xfId="2" applyNumberFormat="1" applyFont="1" applyAlignment="1">
      <alignment horizontal="centerContinuous" vertical="center"/>
    </xf>
    <xf numFmtId="41" fontId="11" fillId="0" borderId="5" xfId="0" applyNumberFormat="1" applyFont="1" applyBorder="1">
      <alignment vertical="center"/>
    </xf>
    <xf numFmtId="41" fontId="11" fillId="0" borderId="4" xfId="0" applyNumberFormat="1" applyFont="1" applyBorder="1">
      <alignment vertical="center"/>
    </xf>
    <xf numFmtId="0" fontId="9" fillId="0" borderId="4" xfId="0" applyFont="1" applyBorder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182" fontId="9" fillId="0" borderId="4" xfId="7" applyNumberFormat="1" applyFont="1" applyBorder="1" applyAlignment="1">
      <alignment vertical="center"/>
    </xf>
    <xf numFmtId="182" fontId="10" fillId="0" borderId="4" xfId="7" applyNumberFormat="1" applyFont="1" applyBorder="1" applyAlignment="1">
      <alignment vertical="center"/>
    </xf>
    <xf numFmtId="184" fontId="18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shrinkToFit="1"/>
    </xf>
    <xf numFmtId="0" fontId="12" fillId="0" borderId="2" xfId="3" applyFont="1" applyBorder="1" applyAlignment="1">
      <alignment horizontal="center" vertical="center" shrinkToFit="1"/>
    </xf>
  </cellXfs>
  <cellStyles count="8">
    <cellStyle name="쉼표 [0]" xfId="1" builtinId="6"/>
    <cellStyle name="콤마 [0]_가설공사(1)" xfId="5" xr:uid="{00000000-0005-0000-0000-000002000000}"/>
    <cellStyle name="콤마 [0]_조경공사" xfId="7" xr:uid="{00000000-0005-0000-0000-000003000000}"/>
    <cellStyle name="표준" xfId="0" builtinId="0"/>
    <cellStyle name="표준_Sheet1" xfId="4" xr:uid="{00000000-0005-0000-0000-000005000000}"/>
    <cellStyle name="표준_가설공사(1)" xfId="3" xr:uid="{00000000-0005-0000-0000-000006000000}"/>
    <cellStyle name="표준_가설공사(2)" xfId="6" xr:uid="{00000000-0005-0000-0000-000007000000}"/>
    <cellStyle name="표준_조경공사" xfId="2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C53E-0C25-4B6F-8321-FE2EE77CCF7F}">
  <sheetPr>
    <pageSetUpPr fitToPage="1"/>
  </sheetPr>
  <dimension ref="A1:O308"/>
  <sheetViews>
    <sheetView tabSelected="1" zoomScaleNormal="100" workbookViewId="0">
      <selection activeCell="J18" sqref="J18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52"/>
      <c r="B1" s="7" t="s">
        <v>18</v>
      </c>
      <c r="C1" s="4"/>
      <c r="D1" s="1"/>
    </row>
    <row r="2" spans="1:15" ht="12.95" customHeight="1" x14ac:dyDescent="0.15">
      <c r="A2" s="53"/>
      <c r="B2" s="1" t="s">
        <v>19</v>
      </c>
    </row>
    <row r="3" spans="1:15" ht="12.95" customHeight="1" x14ac:dyDescent="0.3">
      <c r="B3" s="2" t="s">
        <v>20</v>
      </c>
      <c r="C3" s="36"/>
      <c r="D3" s="18"/>
      <c r="E3" s="37"/>
      <c r="F3" s="18"/>
      <c r="G3" s="17" t="s">
        <v>21</v>
      </c>
      <c r="H3" s="18"/>
      <c r="I3" s="18"/>
      <c r="J3" s="18"/>
      <c r="K3" s="18"/>
      <c r="L3" s="18"/>
      <c r="M3" s="18"/>
    </row>
    <row r="4" spans="1:15" ht="12.95" customHeight="1" x14ac:dyDescent="0.3">
      <c r="B4" s="56" t="s">
        <v>4</v>
      </c>
      <c r="C4" s="58" t="s">
        <v>14</v>
      </c>
      <c r="D4" s="60" t="s">
        <v>8</v>
      </c>
      <c r="E4" s="61" t="s">
        <v>5</v>
      </c>
      <c r="F4" s="60" t="s">
        <v>22</v>
      </c>
      <c r="G4" s="54" t="s">
        <v>23</v>
      </c>
      <c r="H4" s="42"/>
      <c r="I4" s="19"/>
      <c r="J4" s="20"/>
      <c r="K4" s="20"/>
      <c r="L4" s="20"/>
      <c r="M4" s="20"/>
    </row>
    <row r="5" spans="1:15" ht="12.95" customHeight="1" x14ac:dyDescent="0.3">
      <c r="B5" s="57"/>
      <c r="C5" s="59"/>
      <c r="D5" s="60"/>
      <c r="E5" s="62"/>
      <c r="F5" s="60"/>
      <c r="G5" s="55"/>
      <c r="H5" s="42"/>
      <c r="I5" s="19"/>
      <c r="J5" s="20"/>
      <c r="K5" s="20"/>
      <c r="L5" s="20"/>
      <c r="M5" s="20"/>
    </row>
    <row r="6" spans="1:15" ht="12.95" customHeight="1" x14ac:dyDescent="0.3">
      <c r="B6" s="24" t="s">
        <v>47</v>
      </c>
      <c r="C6" s="24" t="s">
        <v>1</v>
      </c>
      <c r="D6" s="38" t="s">
        <v>15</v>
      </c>
      <c r="E6" s="43">
        <v>35814</v>
      </c>
      <c r="F6" s="50">
        <v>2.7E-2</v>
      </c>
      <c r="G6" s="6">
        <f t="shared" ref="G6" si="0">TRUNC($E6*F6,1)</f>
        <v>966.9</v>
      </c>
      <c r="H6" s="23"/>
      <c r="I6" s="22"/>
      <c r="J6" s="20"/>
      <c r="K6" s="20"/>
      <c r="L6" s="20"/>
      <c r="M6" s="20"/>
    </row>
    <row r="7" spans="1:15" ht="12.95" customHeight="1" x14ac:dyDescent="0.3">
      <c r="B7" s="16" t="s">
        <v>10</v>
      </c>
      <c r="C7" s="34"/>
      <c r="D7" s="34"/>
      <c r="E7" s="41"/>
      <c r="F7" s="51"/>
      <c r="G7" s="39">
        <f>TRUNC(SUM(G6:G6))</f>
        <v>966</v>
      </c>
      <c r="H7" s="26"/>
      <c r="I7" s="22"/>
      <c r="J7" s="20"/>
      <c r="K7" s="20"/>
      <c r="L7" s="20"/>
      <c r="M7" s="20"/>
    </row>
    <row r="8" spans="1:15" ht="12.95" customHeight="1" x14ac:dyDescent="0.3">
      <c r="B8" s="33"/>
      <c r="C8" s="34"/>
      <c r="D8" s="34"/>
      <c r="E8" s="41"/>
      <c r="F8" s="51"/>
      <c r="G8" s="27"/>
      <c r="H8" s="26"/>
      <c r="I8" s="22"/>
      <c r="J8" s="20"/>
      <c r="K8" s="20"/>
      <c r="L8" s="20"/>
      <c r="M8" s="20"/>
    </row>
    <row r="9" spans="1:15" ht="12.95" customHeight="1" x14ac:dyDescent="0.3">
      <c r="B9" s="12" t="s">
        <v>2</v>
      </c>
      <c r="C9" s="8"/>
      <c r="D9" s="3" t="s">
        <v>9</v>
      </c>
      <c r="E9" s="43">
        <v>172068</v>
      </c>
      <c r="F9" s="50">
        <v>4.0000000000000001E-3</v>
      </c>
      <c r="G9" s="6">
        <f t="shared" ref="G9:G10" si="1">TRUNC($E9*F9,1)</f>
        <v>688.2</v>
      </c>
      <c r="H9" s="28"/>
      <c r="I9" s="27"/>
      <c r="J9" s="20"/>
      <c r="K9" s="20"/>
      <c r="L9" s="20"/>
      <c r="M9" s="20"/>
    </row>
    <row r="10" spans="1:15" ht="12.95" customHeight="1" x14ac:dyDescent="0.3">
      <c r="B10" s="24" t="s">
        <v>47</v>
      </c>
      <c r="C10" s="24" t="s">
        <v>1</v>
      </c>
      <c r="D10" s="38" t="s">
        <v>15</v>
      </c>
      <c r="E10" s="43">
        <v>58925</v>
      </c>
      <c r="F10" s="50">
        <v>2.7E-2</v>
      </c>
      <c r="G10" s="6">
        <f t="shared" si="1"/>
        <v>1590.9</v>
      </c>
      <c r="H10" s="28"/>
      <c r="I10" s="27"/>
      <c r="J10" s="20"/>
      <c r="K10" s="20"/>
      <c r="L10" s="20"/>
      <c r="M10" s="20"/>
    </row>
    <row r="11" spans="1:15" ht="12.95" customHeight="1" x14ac:dyDescent="0.3">
      <c r="B11" s="15" t="s">
        <v>11</v>
      </c>
      <c r="C11" s="34"/>
      <c r="D11" s="34"/>
      <c r="E11" s="41"/>
      <c r="F11" s="51"/>
      <c r="G11" s="39">
        <f>TRUNC(SUM(G9:G10))</f>
        <v>2279</v>
      </c>
      <c r="H11" s="20"/>
      <c r="I11" s="20"/>
      <c r="J11" s="20"/>
      <c r="K11" s="20"/>
      <c r="L11" s="20"/>
      <c r="M11" s="20"/>
    </row>
    <row r="12" spans="1:15" ht="12.95" customHeight="1" x14ac:dyDescent="0.3">
      <c r="B12" s="33"/>
      <c r="C12" s="34"/>
      <c r="D12" s="34"/>
      <c r="E12" s="41"/>
      <c r="F12" s="51"/>
      <c r="G12" s="27"/>
      <c r="H12" s="20"/>
      <c r="I12" s="20"/>
      <c r="J12" s="20"/>
      <c r="K12" s="20"/>
      <c r="L12" s="20"/>
      <c r="M12" s="20"/>
    </row>
    <row r="13" spans="1:15" ht="12.95" customHeight="1" x14ac:dyDescent="0.3">
      <c r="B13" s="24" t="s">
        <v>47</v>
      </c>
      <c r="C13" s="24" t="s">
        <v>1</v>
      </c>
      <c r="D13" s="38" t="s">
        <v>15</v>
      </c>
      <c r="E13" s="43">
        <v>29621</v>
      </c>
      <c r="F13" s="50">
        <v>2.7E-2</v>
      </c>
      <c r="G13" s="6">
        <f t="shared" ref="G13" si="2">TRUNC($E13*F13,1)</f>
        <v>799.7</v>
      </c>
      <c r="H13" s="20"/>
      <c r="I13" s="20"/>
      <c r="J13" s="20"/>
      <c r="K13" s="20"/>
      <c r="L13" s="20"/>
      <c r="M13" s="20"/>
      <c r="O13" s="20"/>
    </row>
    <row r="14" spans="1:15" ht="12.95" customHeight="1" x14ac:dyDescent="0.3">
      <c r="B14" s="16" t="s">
        <v>12</v>
      </c>
      <c r="C14" s="34"/>
      <c r="D14" s="34"/>
      <c r="E14" s="25"/>
      <c r="F14" s="29"/>
      <c r="G14" s="40">
        <f>TRUNC(SUM(G13:G13))</f>
        <v>799</v>
      </c>
      <c r="H14" s="20"/>
      <c r="I14" s="20"/>
      <c r="J14" s="20"/>
      <c r="K14" s="20"/>
      <c r="L14" s="20"/>
      <c r="M14" s="20"/>
      <c r="N14" s="20"/>
      <c r="O14" s="20"/>
    </row>
    <row r="15" spans="1:15" ht="12.95" customHeight="1" x14ac:dyDescent="0.3">
      <c r="B15" s="10"/>
      <c r="C15" s="24"/>
      <c r="D15" s="24"/>
      <c r="E15" s="30"/>
      <c r="F15" s="21"/>
      <c r="G15" s="22"/>
      <c r="H15" s="28"/>
      <c r="I15" s="27"/>
      <c r="J15" s="20"/>
      <c r="K15" s="20"/>
      <c r="L15" s="20"/>
      <c r="M15" s="20"/>
      <c r="N15" s="20"/>
      <c r="O15" s="20"/>
    </row>
    <row r="16" spans="1:15" ht="12.95" customHeight="1" x14ac:dyDescent="0.3">
      <c r="B16" s="11" t="s">
        <v>13</v>
      </c>
      <c r="C16" s="35"/>
      <c r="D16" s="35"/>
      <c r="E16" s="31"/>
      <c r="F16" s="31"/>
      <c r="G16" s="32">
        <f>SUM(G7+G11+G14)</f>
        <v>4044</v>
      </c>
      <c r="H16" s="20"/>
      <c r="I16" s="20"/>
      <c r="J16" s="20"/>
      <c r="K16" s="20"/>
      <c r="L16" s="20"/>
      <c r="M16" s="20"/>
      <c r="N16" s="20"/>
      <c r="O16" s="20"/>
    </row>
    <row r="17" spans="2:15" ht="12.95" customHeight="1" x14ac:dyDescent="0.3">
      <c r="B17" s="1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2:15" ht="12.95" customHeight="1" x14ac:dyDescent="0.3">
      <c r="B18" s="2" t="s">
        <v>24</v>
      </c>
      <c r="C18" s="36"/>
      <c r="D18" s="18"/>
      <c r="E18" s="37"/>
      <c r="F18" s="18"/>
      <c r="G18" s="17" t="s">
        <v>28</v>
      </c>
      <c r="H18" s="18"/>
      <c r="I18" s="18"/>
      <c r="J18" s="18"/>
      <c r="K18" s="18"/>
      <c r="L18" s="18"/>
      <c r="M18" s="18"/>
      <c r="N18" s="20"/>
      <c r="O18" s="20"/>
    </row>
    <row r="19" spans="2:15" ht="12.95" customHeight="1" x14ac:dyDescent="0.3">
      <c r="B19" s="56" t="s">
        <v>4</v>
      </c>
      <c r="C19" s="58" t="s">
        <v>14</v>
      </c>
      <c r="D19" s="60" t="s">
        <v>8</v>
      </c>
      <c r="E19" s="61" t="s">
        <v>5</v>
      </c>
      <c r="F19" s="60" t="s">
        <v>22</v>
      </c>
      <c r="G19" s="54" t="s">
        <v>23</v>
      </c>
      <c r="H19" s="42"/>
      <c r="I19" s="19"/>
      <c r="J19" s="20"/>
      <c r="K19" s="20"/>
      <c r="L19" s="20"/>
      <c r="M19" s="20"/>
      <c r="N19" s="20"/>
      <c r="O19" s="20"/>
    </row>
    <row r="20" spans="2:15" ht="12.95" customHeight="1" x14ac:dyDescent="0.3">
      <c r="B20" s="57"/>
      <c r="C20" s="59"/>
      <c r="D20" s="60"/>
      <c r="E20" s="62"/>
      <c r="F20" s="60"/>
      <c r="G20" s="55"/>
      <c r="H20" s="42"/>
      <c r="I20" s="19"/>
      <c r="J20" s="20"/>
      <c r="K20" s="20"/>
      <c r="L20" s="20"/>
      <c r="M20" s="20"/>
      <c r="N20" s="20"/>
      <c r="O20" s="20"/>
    </row>
    <row r="21" spans="2:15" ht="12.95" customHeight="1" x14ac:dyDescent="0.3">
      <c r="B21" s="24" t="s">
        <v>47</v>
      </c>
      <c r="C21" s="24" t="s">
        <v>1</v>
      </c>
      <c r="D21" s="38" t="s">
        <v>15</v>
      </c>
      <c r="E21" s="43">
        <v>35814</v>
      </c>
      <c r="F21" s="50">
        <v>7.0000000000000007E-2</v>
      </c>
      <c r="G21" s="6">
        <f t="shared" ref="G21" si="3">TRUNC($E21*F21,1)</f>
        <v>2506.9</v>
      </c>
      <c r="H21" s="23"/>
      <c r="I21" s="22"/>
      <c r="J21" s="20"/>
      <c r="K21" s="20"/>
      <c r="L21" s="20"/>
      <c r="M21" s="20"/>
      <c r="N21" s="20"/>
      <c r="O21" s="20"/>
    </row>
    <row r="22" spans="2:15" ht="12.95" customHeight="1" x14ac:dyDescent="0.3">
      <c r="B22" s="16" t="s">
        <v>10</v>
      </c>
      <c r="C22" s="34"/>
      <c r="D22" s="34"/>
      <c r="E22" s="41"/>
      <c r="F22" s="51"/>
      <c r="G22" s="39">
        <f>TRUNC(SUM(G21:G21))</f>
        <v>2506</v>
      </c>
      <c r="H22" s="26"/>
      <c r="I22" s="22"/>
      <c r="J22" s="20"/>
      <c r="K22" s="20"/>
      <c r="L22" s="20"/>
      <c r="M22" s="20"/>
      <c r="N22" s="20"/>
      <c r="O22" s="20"/>
    </row>
    <row r="23" spans="2:15" ht="12.95" customHeight="1" x14ac:dyDescent="0.3">
      <c r="B23" s="33"/>
      <c r="C23" s="34"/>
      <c r="D23" s="34"/>
      <c r="E23" s="41"/>
      <c r="F23" s="51"/>
      <c r="G23" s="27"/>
      <c r="H23" s="26"/>
      <c r="I23" s="22"/>
      <c r="J23" s="20"/>
      <c r="K23" s="20"/>
      <c r="L23" s="20"/>
      <c r="M23" s="20"/>
      <c r="N23" s="20"/>
      <c r="O23" s="20"/>
    </row>
    <row r="24" spans="2:15" ht="12.95" customHeight="1" x14ac:dyDescent="0.3">
      <c r="B24" s="12" t="s">
        <v>2</v>
      </c>
      <c r="C24" s="8"/>
      <c r="D24" s="3" t="s">
        <v>9</v>
      </c>
      <c r="E24" s="43">
        <v>172068</v>
      </c>
      <c r="F24" s="50">
        <v>5.0000000000000001E-3</v>
      </c>
      <c r="G24" s="6">
        <f t="shared" ref="G24:G25" si="4">TRUNC($E24*F24,1)</f>
        <v>860.3</v>
      </c>
      <c r="H24" s="28"/>
      <c r="I24" s="27"/>
      <c r="J24" s="20"/>
      <c r="K24" s="20"/>
      <c r="L24" s="20"/>
      <c r="M24" s="20"/>
      <c r="N24" s="20"/>
      <c r="O24" s="20"/>
    </row>
    <row r="25" spans="2:15" ht="12.95" customHeight="1" x14ac:dyDescent="0.3">
      <c r="B25" s="24" t="s">
        <v>47</v>
      </c>
      <c r="C25" s="24" t="s">
        <v>1</v>
      </c>
      <c r="D25" s="38" t="s">
        <v>15</v>
      </c>
      <c r="E25" s="43">
        <v>58925</v>
      </c>
      <c r="F25" s="50">
        <v>7.0000000000000007E-2</v>
      </c>
      <c r="G25" s="6">
        <f t="shared" si="4"/>
        <v>4124.7</v>
      </c>
      <c r="H25" s="28"/>
      <c r="I25" s="27"/>
      <c r="J25" s="20"/>
      <c r="K25" s="20"/>
      <c r="L25" s="20"/>
      <c r="M25" s="20"/>
      <c r="N25" s="20"/>
      <c r="O25" s="20"/>
    </row>
    <row r="26" spans="2:15" ht="12.95" customHeight="1" x14ac:dyDescent="0.3">
      <c r="B26" s="15" t="s">
        <v>11</v>
      </c>
      <c r="C26" s="34"/>
      <c r="D26" s="34"/>
      <c r="E26" s="41"/>
      <c r="F26" s="51"/>
      <c r="G26" s="39">
        <f>TRUNC(SUM(G24:G25))</f>
        <v>4985</v>
      </c>
      <c r="H26" s="20"/>
      <c r="I26" s="20"/>
      <c r="J26" s="20"/>
      <c r="K26" s="20"/>
      <c r="L26" s="20"/>
      <c r="M26" s="20"/>
      <c r="N26" s="20"/>
      <c r="O26" s="20"/>
    </row>
    <row r="27" spans="2:15" ht="12.95" customHeight="1" x14ac:dyDescent="0.3">
      <c r="B27" s="33"/>
      <c r="C27" s="34"/>
      <c r="D27" s="34"/>
      <c r="E27" s="41"/>
      <c r="F27" s="51"/>
      <c r="G27" s="27"/>
      <c r="H27" s="20"/>
      <c r="I27" s="20"/>
      <c r="J27" s="20"/>
      <c r="K27" s="20"/>
      <c r="L27" s="20"/>
      <c r="M27" s="20"/>
      <c r="N27" s="20"/>
      <c r="O27" s="20"/>
    </row>
    <row r="28" spans="2:15" ht="12.95" customHeight="1" x14ac:dyDescent="0.3">
      <c r="B28" s="24" t="s">
        <v>47</v>
      </c>
      <c r="C28" s="24" t="s">
        <v>1</v>
      </c>
      <c r="D28" s="38" t="s">
        <v>15</v>
      </c>
      <c r="E28" s="43">
        <v>29621</v>
      </c>
      <c r="F28" s="50">
        <v>7.0000000000000007E-2</v>
      </c>
      <c r="G28" s="6">
        <f t="shared" ref="G28:G29" si="5">TRUNC($E28*F28,1)</f>
        <v>2073.4</v>
      </c>
      <c r="H28" s="20"/>
      <c r="I28" s="20"/>
      <c r="J28" s="20"/>
      <c r="K28" s="20"/>
      <c r="L28" s="20"/>
      <c r="M28" s="20"/>
      <c r="N28" s="20"/>
      <c r="O28" s="20"/>
    </row>
    <row r="29" spans="2:15" ht="12.95" customHeight="1" x14ac:dyDescent="0.3">
      <c r="B29" s="24" t="s">
        <v>25</v>
      </c>
      <c r="C29" s="24" t="s">
        <v>1</v>
      </c>
      <c r="D29" s="38" t="s">
        <v>15</v>
      </c>
      <c r="E29" s="43">
        <v>5658</v>
      </c>
      <c r="F29" s="50">
        <v>7.0000000000000007E-2</v>
      </c>
      <c r="G29" s="6">
        <f t="shared" si="5"/>
        <v>396</v>
      </c>
      <c r="H29" s="20"/>
      <c r="I29" s="20"/>
      <c r="J29" s="20"/>
      <c r="K29" s="20"/>
      <c r="L29" s="20"/>
      <c r="M29" s="20"/>
      <c r="N29" s="20"/>
      <c r="O29" s="20"/>
    </row>
    <row r="30" spans="2:15" ht="12.95" customHeight="1" x14ac:dyDescent="0.3">
      <c r="B30" s="16" t="s">
        <v>12</v>
      </c>
      <c r="C30" s="34"/>
      <c r="D30" s="34"/>
      <c r="E30" s="25"/>
      <c r="F30" s="29"/>
      <c r="G30" s="40">
        <f>TRUNC(SUM(G28:G29))</f>
        <v>2469</v>
      </c>
      <c r="H30" s="20"/>
      <c r="I30" s="20"/>
      <c r="J30" s="20"/>
      <c r="K30" s="20"/>
      <c r="L30" s="20"/>
      <c r="M30" s="20"/>
      <c r="N30" s="20"/>
      <c r="O30" s="20"/>
    </row>
    <row r="31" spans="2:15" ht="12.95" customHeight="1" x14ac:dyDescent="0.3">
      <c r="B31" s="10"/>
      <c r="C31" s="24"/>
      <c r="D31" s="24"/>
      <c r="E31" s="30"/>
      <c r="F31" s="21"/>
      <c r="G31" s="22"/>
      <c r="H31" s="28"/>
      <c r="I31" s="27"/>
      <c r="J31" s="20"/>
      <c r="K31" s="20"/>
      <c r="L31" s="20"/>
      <c r="M31" s="20"/>
      <c r="N31" s="20"/>
      <c r="O31" s="20"/>
    </row>
    <row r="32" spans="2:15" ht="12.95" customHeight="1" x14ac:dyDescent="0.3">
      <c r="B32" s="11" t="s">
        <v>13</v>
      </c>
      <c r="C32" s="35"/>
      <c r="D32" s="35"/>
      <c r="E32" s="31"/>
      <c r="F32" s="31"/>
      <c r="G32" s="32">
        <f>SUM(G22+G26+G30)</f>
        <v>9960</v>
      </c>
      <c r="H32" s="20"/>
      <c r="I32" s="20"/>
      <c r="J32" s="20"/>
      <c r="K32" s="20"/>
      <c r="L32" s="20"/>
      <c r="M32" s="20"/>
      <c r="N32" s="20"/>
      <c r="O32" s="20"/>
    </row>
    <row r="33" spans="2:14" ht="12.95" customHeight="1" x14ac:dyDescent="0.3">
      <c r="B33" s="1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2:14" ht="12.95" customHeight="1" x14ac:dyDescent="0.3">
      <c r="B34" s="1" t="s">
        <v>26</v>
      </c>
    </row>
    <row r="35" spans="2:14" ht="12.95" customHeight="1" x14ac:dyDescent="0.3">
      <c r="B35" s="2" t="s">
        <v>27</v>
      </c>
      <c r="C35" s="36"/>
      <c r="D35" s="18"/>
      <c r="E35" s="37"/>
      <c r="F35" s="18"/>
      <c r="G35" s="17"/>
      <c r="H35" s="18"/>
      <c r="I35" s="18"/>
      <c r="J35" s="18"/>
      <c r="K35" s="17" t="s">
        <v>28</v>
      </c>
      <c r="L35" s="18"/>
      <c r="M35" s="18"/>
    </row>
    <row r="36" spans="2:14" ht="12.95" customHeight="1" x14ac:dyDescent="0.3">
      <c r="B36" s="56" t="s">
        <v>4</v>
      </c>
      <c r="C36" s="58" t="s">
        <v>14</v>
      </c>
      <c r="D36" s="60" t="s">
        <v>8</v>
      </c>
      <c r="E36" s="61" t="s">
        <v>5</v>
      </c>
      <c r="F36" s="63" t="s">
        <v>29</v>
      </c>
      <c r="G36" s="64"/>
      <c r="H36" s="63" t="s">
        <v>30</v>
      </c>
      <c r="I36" s="64"/>
      <c r="J36" s="63" t="s">
        <v>31</v>
      </c>
      <c r="K36" s="64"/>
      <c r="L36" s="20"/>
      <c r="M36" s="20"/>
    </row>
    <row r="37" spans="2:14" ht="12.95" customHeight="1" x14ac:dyDescent="0.3">
      <c r="B37" s="57"/>
      <c r="C37" s="59"/>
      <c r="D37" s="60"/>
      <c r="E37" s="62"/>
      <c r="F37" s="46" t="s">
        <v>6</v>
      </c>
      <c r="G37" s="47" t="s">
        <v>7</v>
      </c>
      <c r="H37" s="46" t="s">
        <v>6</v>
      </c>
      <c r="I37" s="47" t="s">
        <v>7</v>
      </c>
      <c r="J37" s="46" t="s">
        <v>6</v>
      </c>
      <c r="K37" s="47" t="s">
        <v>7</v>
      </c>
      <c r="L37" s="20"/>
      <c r="M37" s="20"/>
    </row>
    <row r="38" spans="2:14" ht="12.95" customHeight="1" x14ac:dyDescent="0.3">
      <c r="B38" s="24" t="s">
        <v>47</v>
      </c>
      <c r="C38" s="24" t="s">
        <v>1</v>
      </c>
      <c r="D38" s="38" t="s">
        <v>15</v>
      </c>
      <c r="E38" s="43">
        <v>35814</v>
      </c>
      <c r="F38" s="50">
        <v>2.5999999999999999E-2</v>
      </c>
      <c r="G38" s="6">
        <f t="shared" ref="G38" si="6">TRUNC($E38*F38,1)</f>
        <v>931.1</v>
      </c>
      <c r="H38" s="50">
        <v>0.03</v>
      </c>
      <c r="I38" s="6">
        <f t="shared" ref="I38" si="7">TRUNC($E38*H38,1)</f>
        <v>1074.4000000000001</v>
      </c>
      <c r="J38" s="50">
        <v>3.3000000000000002E-2</v>
      </c>
      <c r="K38" s="6">
        <f t="shared" ref="K38" si="8">TRUNC($E38*J38,1)</f>
        <v>1181.8</v>
      </c>
      <c r="L38" s="20"/>
      <c r="M38" s="20"/>
    </row>
    <row r="39" spans="2:14" ht="12.95" customHeight="1" x14ac:dyDescent="0.3">
      <c r="B39" s="16" t="s">
        <v>10</v>
      </c>
      <c r="C39" s="34"/>
      <c r="D39" s="34"/>
      <c r="E39" s="41"/>
      <c r="F39" s="51"/>
      <c r="G39" s="39">
        <f>TRUNC(SUM(G38:G38))</f>
        <v>931</v>
      </c>
      <c r="H39" s="51"/>
      <c r="I39" s="39">
        <f>TRUNC(SUM(I38:I38))</f>
        <v>1074</v>
      </c>
      <c r="J39" s="51"/>
      <c r="K39" s="39">
        <f>TRUNC(SUM(K38:K38))</f>
        <v>1181</v>
      </c>
      <c r="L39" s="20"/>
      <c r="M39" s="20"/>
    </row>
    <row r="40" spans="2:14" ht="12.95" customHeight="1" x14ac:dyDescent="0.3">
      <c r="B40" s="33"/>
      <c r="C40" s="34"/>
      <c r="D40" s="34"/>
      <c r="E40" s="41"/>
      <c r="F40" s="51"/>
      <c r="G40" s="27"/>
      <c r="H40" s="51"/>
      <c r="I40" s="27"/>
      <c r="J40" s="51"/>
      <c r="K40" s="27"/>
      <c r="L40" s="20"/>
      <c r="M40" s="20"/>
    </row>
    <row r="41" spans="2:14" ht="12.95" customHeight="1" x14ac:dyDescent="0.3">
      <c r="B41" s="49" t="s">
        <v>3</v>
      </c>
      <c r="C41" s="45"/>
      <c r="D41" s="48" t="s">
        <v>17</v>
      </c>
      <c r="E41" s="44">
        <v>268908</v>
      </c>
      <c r="F41" s="50">
        <v>3.9E-2</v>
      </c>
      <c r="G41" s="6">
        <f t="shared" ref="G41:G44" si="9">TRUNC($E41*F41,1)</f>
        <v>10487.4</v>
      </c>
      <c r="H41" s="50">
        <v>4.3999999999999997E-2</v>
      </c>
      <c r="I41" s="6">
        <f t="shared" ref="I41:I44" si="10">TRUNC($E41*H41,1)</f>
        <v>11831.9</v>
      </c>
      <c r="J41" s="50">
        <v>4.9000000000000002E-2</v>
      </c>
      <c r="K41" s="6">
        <f t="shared" ref="K41:K44" si="11">TRUNC($E41*J41,1)</f>
        <v>13176.4</v>
      </c>
      <c r="L41" s="20"/>
      <c r="M41" s="20"/>
    </row>
    <row r="42" spans="2:14" ht="12.95" customHeight="1" x14ac:dyDescent="0.3">
      <c r="B42" s="49" t="s">
        <v>0</v>
      </c>
      <c r="C42" s="45"/>
      <c r="D42" s="48" t="s">
        <v>17</v>
      </c>
      <c r="E42" s="44">
        <v>226122</v>
      </c>
      <c r="F42" s="50">
        <v>1.2999999999999999E-2</v>
      </c>
      <c r="G42" s="6">
        <f t="shared" si="9"/>
        <v>2939.5</v>
      </c>
      <c r="H42" s="50">
        <v>1.4E-2</v>
      </c>
      <c r="I42" s="6">
        <f t="shared" si="10"/>
        <v>3165.7</v>
      </c>
      <c r="J42" s="50">
        <v>1.6E-2</v>
      </c>
      <c r="K42" s="6">
        <f t="shared" si="11"/>
        <v>3617.9</v>
      </c>
      <c r="L42" s="20"/>
      <c r="M42" s="20"/>
    </row>
    <row r="43" spans="2:14" ht="12.95" customHeight="1" x14ac:dyDescent="0.3">
      <c r="B43" s="49" t="s">
        <v>2</v>
      </c>
      <c r="C43" s="45"/>
      <c r="D43" s="48" t="s">
        <v>17</v>
      </c>
      <c r="E43" s="44">
        <v>172068</v>
      </c>
      <c r="F43" s="50">
        <v>5.0000000000000001E-3</v>
      </c>
      <c r="G43" s="6">
        <f t="shared" si="9"/>
        <v>860.3</v>
      </c>
      <c r="H43" s="50">
        <v>6.0000000000000001E-3</v>
      </c>
      <c r="I43" s="6">
        <f t="shared" si="10"/>
        <v>1032.4000000000001</v>
      </c>
      <c r="J43" s="50">
        <v>7.0000000000000001E-3</v>
      </c>
      <c r="K43" s="6">
        <f t="shared" si="11"/>
        <v>1204.4000000000001</v>
      </c>
      <c r="L43" s="20"/>
      <c r="M43" s="20"/>
    </row>
    <row r="44" spans="2:14" ht="12.95" customHeight="1" x14ac:dyDescent="0.3">
      <c r="B44" s="24" t="s">
        <v>47</v>
      </c>
      <c r="C44" s="24" t="s">
        <v>1</v>
      </c>
      <c r="D44" s="38" t="s">
        <v>15</v>
      </c>
      <c r="E44" s="43">
        <v>58925</v>
      </c>
      <c r="F44" s="50">
        <v>2.5999999999999999E-2</v>
      </c>
      <c r="G44" s="6">
        <f t="shared" si="9"/>
        <v>1532</v>
      </c>
      <c r="H44" s="50">
        <v>0.03</v>
      </c>
      <c r="I44" s="6">
        <f t="shared" si="10"/>
        <v>1767.7</v>
      </c>
      <c r="J44" s="50">
        <v>3.3000000000000002E-2</v>
      </c>
      <c r="K44" s="6">
        <f t="shared" si="11"/>
        <v>1944.5</v>
      </c>
      <c r="L44" s="20"/>
      <c r="M44" s="20"/>
    </row>
    <row r="45" spans="2:14" ht="12.95" customHeight="1" x14ac:dyDescent="0.3">
      <c r="B45" s="15" t="s">
        <v>11</v>
      </c>
      <c r="C45" s="34"/>
      <c r="D45" s="34"/>
      <c r="E45" s="41"/>
      <c r="F45" s="51"/>
      <c r="G45" s="39">
        <f>TRUNC(SUM(G41:G44))</f>
        <v>15819</v>
      </c>
      <c r="H45" s="51"/>
      <c r="I45" s="39">
        <f>TRUNC(SUM(I41:I44))</f>
        <v>17797</v>
      </c>
      <c r="J45" s="51"/>
      <c r="K45" s="39">
        <f>TRUNC(SUM(K41:K44))</f>
        <v>19943</v>
      </c>
      <c r="L45" s="20"/>
      <c r="M45" s="20"/>
    </row>
    <row r="46" spans="2:14" ht="12.95" customHeight="1" x14ac:dyDescent="0.3">
      <c r="B46" s="33"/>
      <c r="C46" s="34"/>
      <c r="D46" s="34"/>
      <c r="E46" s="41"/>
      <c r="F46" s="51"/>
      <c r="G46" s="27"/>
      <c r="H46" s="51"/>
      <c r="I46" s="27"/>
      <c r="J46" s="51"/>
      <c r="K46" s="27"/>
      <c r="L46" s="20"/>
      <c r="M46" s="20"/>
    </row>
    <row r="47" spans="2:14" ht="12.95" customHeight="1" x14ac:dyDescent="0.3">
      <c r="B47" s="24" t="s">
        <v>47</v>
      </c>
      <c r="C47" s="24" t="s">
        <v>1</v>
      </c>
      <c r="D47" s="38" t="s">
        <v>15</v>
      </c>
      <c r="E47" s="43">
        <v>29621</v>
      </c>
      <c r="F47" s="50">
        <v>2.5999999999999999E-2</v>
      </c>
      <c r="G47" s="6">
        <f t="shared" ref="G47" si="12">TRUNC($E47*F47,1)</f>
        <v>770.1</v>
      </c>
      <c r="H47" s="50">
        <v>0.03</v>
      </c>
      <c r="I47" s="6">
        <f t="shared" ref="I47" si="13">TRUNC($E47*H47,1)</f>
        <v>888.6</v>
      </c>
      <c r="J47" s="50">
        <v>3.3000000000000002E-2</v>
      </c>
      <c r="K47" s="6">
        <f t="shared" ref="K47" si="14">TRUNC($E47*J47,1)</f>
        <v>977.4</v>
      </c>
      <c r="L47" s="20"/>
      <c r="M47" s="20"/>
    </row>
    <row r="48" spans="2:14" ht="12.95" customHeight="1" x14ac:dyDescent="0.3">
      <c r="B48" s="16" t="s">
        <v>12</v>
      </c>
      <c r="C48" s="34"/>
      <c r="D48" s="34"/>
      <c r="E48" s="25"/>
      <c r="F48" s="29"/>
      <c r="G48" s="40">
        <f>TRUNC(SUM(G47:G47))</f>
        <v>770</v>
      </c>
      <c r="H48" s="29"/>
      <c r="I48" s="40">
        <f>TRUNC(SUM(I47:I47))</f>
        <v>888</v>
      </c>
      <c r="J48" s="29"/>
      <c r="K48" s="40">
        <f>TRUNC(SUM(K47:K47))</f>
        <v>977</v>
      </c>
      <c r="L48" s="20"/>
      <c r="M48" s="20"/>
    </row>
    <row r="49" spans="2:13" ht="12.95" customHeight="1" x14ac:dyDescent="0.3">
      <c r="B49" s="10"/>
      <c r="C49" s="24"/>
      <c r="D49" s="24"/>
      <c r="E49" s="30"/>
      <c r="F49" s="21"/>
      <c r="G49" s="22"/>
      <c r="H49" s="21"/>
      <c r="I49" s="22"/>
      <c r="J49" s="21"/>
      <c r="K49" s="22"/>
      <c r="L49" s="20"/>
      <c r="M49" s="20"/>
    </row>
    <row r="50" spans="2:13" ht="12.95" customHeight="1" x14ac:dyDescent="0.3">
      <c r="B50" s="11" t="s">
        <v>13</v>
      </c>
      <c r="C50" s="35"/>
      <c r="D50" s="35"/>
      <c r="E50" s="31"/>
      <c r="F50" s="31"/>
      <c r="G50" s="32">
        <f>SUM(G39+G45+G48)</f>
        <v>17520</v>
      </c>
      <c r="H50" s="31"/>
      <c r="I50" s="32">
        <f>SUM(I39+I45+I48)</f>
        <v>19759</v>
      </c>
      <c r="J50" s="31"/>
      <c r="K50" s="32">
        <f>SUM(K39+K45+K48)</f>
        <v>22101</v>
      </c>
      <c r="L50" s="20"/>
      <c r="M50" s="20"/>
    </row>
    <row r="51" spans="2:13" ht="12.95" customHeight="1" x14ac:dyDescent="0.3">
      <c r="B51" s="56" t="s">
        <v>4</v>
      </c>
      <c r="C51" s="58" t="s">
        <v>14</v>
      </c>
      <c r="D51" s="60" t="s">
        <v>8</v>
      </c>
      <c r="E51" s="61" t="s">
        <v>5</v>
      </c>
      <c r="F51" s="63" t="s">
        <v>32</v>
      </c>
      <c r="G51" s="64"/>
      <c r="H51" s="63" t="s">
        <v>33</v>
      </c>
      <c r="I51" s="64"/>
      <c r="J51" s="20"/>
      <c r="K51" s="20"/>
    </row>
    <row r="52" spans="2:13" ht="12.95" customHeight="1" x14ac:dyDescent="0.3">
      <c r="B52" s="57"/>
      <c r="C52" s="59"/>
      <c r="D52" s="60"/>
      <c r="E52" s="62"/>
      <c r="F52" s="46" t="s">
        <v>6</v>
      </c>
      <c r="G52" s="47" t="s">
        <v>7</v>
      </c>
      <c r="H52" s="46" t="s">
        <v>6</v>
      </c>
      <c r="I52" s="47" t="s">
        <v>7</v>
      </c>
      <c r="J52" s="20"/>
      <c r="K52" s="20"/>
    </row>
    <row r="53" spans="2:13" ht="12.95" customHeight="1" x14ac:dyDescent="0.3">
      <c r="B53" s="24" t="s">
        <v>47</v>
      </c>
      <c r="C53" s="24" t="s">
        <v>1</v>
      </c>
      <c r="D53" s="38" t="s">
        <v>15</v>
      </c>
      <c r="E53" s="43">
        <v>35814</v>
      </c>
      <c r="F53" s="50">
        <v>0.04</v>
      </c>
      <c r="G53" s="6">
        <f t="shared" ref="G53" si="15">TRUNC($E53*F53,1)</f>
        <v>1432.5</v>
      </c>
      <c r="H53" s="50">
        <v>4.5999999999999999E-2</v>
      </c>
      <c r="I53" s="6">
        <f t="shared" ref="I53" si="16">TRUNC($E53*H53,1)</f>
        <v>1647.4</v>
      </c>
      <c r="J53" s="20"/>
      <c r="K53" s="20"/>
    </row>
    <row r="54" spans="2:13" ht="12.95" customHeight="1" x14ac:dyDescent="0.3">
      <c r="B54" s="16" t="s">
        <v>10</v>
      </c>
      <c r="C54" s="34"/>
      <c r="D54" s="34"/>
      <c r="E54" s="41"/>
      <c r="F54" s="51"/>
      <c r="G54" s="39">
        <f>TRUNC(SUM(G53:G53))</f>
        <v>1432</v>
      </c>
      <c r="H54" s="51"/>
      <c r="I54" s="39">
        <f>TRUNC(SUM(I53:I53))</f>
        <v>1647</v>
      </c>
      <c r="J54" s="20"/>
      <c r="K54" s="20"/>
    </row>
    <row r="55" spans="2:13" ht="12.95" customHeight="1" x14ac:dyDescent="0.3">
      <c r="B55" s="33"/>
      <c r="C55" s="34"/>
      <c r="D55" s="34"/>
      <c r="E55" s="41"/>
      <c r="F55" s="51"/>
      <c r="G55" s="27"/>
      <c r="H55" s="51"/>
      <c r="I55" s="27"/>
      <c r="J55" s="20"/>
      <c r="K55" s="20"/>
    </row>
    <row r="56" spans="2:13" ht="12.95" customHeight="1" x14ac:dyDescent="0.3">
      <c r="B56" s="49" t="s">
        <v>3</v>
      </c>
      <c r="C56" s="45"/>
      <c r="D56" s="48" t="s">
        <v>17</v>
      </c>
      <c r="E56" s="44">
        <v>268908</v>
      </c>
      <c r="F56" s="50">
        <v>6.3E-2</v>
      </c>
      <c r="G56" s="6">
        <f t="shared" ref="G56:G59" si="17">TRUNC($E56*F56,1)</f>
        <v>16941.2</v>
      </c>
      <c r="H56" s="50">
        <v>7.2999999999999995E-2</v>
      </c>
      <c r="I56" s="6">
        <f t="shared" ref="I56:I59" si="18">TRUNC($E56*H56,1)</f>
        <v>19630.2</v>
      </c>
      <c r="J56" s="20"/>
      <c r="K56" s="20"/>
    </row>
    <row r="57" spans="2:13" ht="12.95" customHeight="1" x14ac:dyDescent="0.3">
      <c r="B57" s="49" t="s">
        <v>0</v>
      </c>
      <c r="C57" s="45"/>
      <c r="D57" s="48" t="s">
        <v>17</v>
      </c>
      <c r="E57" s="44">
        <v>226122</v>
      </c>
      <c r="F57" s="50">
        <v>1.9E-2</v>
      </c>
      <c r="G57" s="6">
        <f t="shared" si="17"/>
        <v>4296.3</v>
      </c>
      <c r="H57" s="50">
        <v>2.4E-2</v>
      </c>
      <c r="I57" s="6">
        <f t="shared" si="18"/>
        <v>5426.9</v>
      </c>
      <c r="J57" s="20"/>
      <c r="K57" s="20"/>
    </row>
    <row r="58" spans="2:13" ht="12.95" customHeight="1" x14ac:dyDescent="0.3">
      <c r="B58" s="49" t="s">
        <v>2</v>
      </c>
      <c r="C58" s="45"/>
      <c r="D58" s="48" t="s">
        <v>17</v>
      </c>
      <c r="E58" s="44">
        <v>172068</v>
      </c>
      <c r="F58" s="50">
        <v>8.0000000000000002E-3</v>
      </c>
      <c r="G58" s="6">
        <f t="shared" si="17"/>
        <v>1376.5</v>
      </c>
      <c r="H58" s="50">
        <v>0.01</v>
      </c>
      <c r="I58" s="6">
        <f t="shared" si="18"/>
        <v>1720.6</v>
      </c>
      <c r="J58" s="20"/>
      <c r="K58" s="20"/>
    </row>
    <row r="59" spans="2:13" ht="12.95" customHeight="1" x14ac:dyDescent="0.3">
      <c r="B59" s="24" t="s">
        <v>47</v>
      </c>
      <c r="C59" s="24" t="s">
        <v>1</v>
      </c>
      <c r="D59" s="38" t="s">
        <v>15</v>
      </c>
      <c r="E59" s="43">
        <v>58925</v>
      </c>
      <c r="F59" s="50">
        <v>0.04</v>
      </c>
      <c r="G59" s="6">
        <f t="shared" si="17"/>
        <v>2357</v>
      </c>
      <c r="H59" s="50">
        <v>4.5999999999999999E-2</v>
      </c>
      <c r="I59" s="6">
        <f t="shared" si="18"/>
        <v>2710.5</v>
      </c>
      <c r="J59" s="20"/>
      <c r="K59" s="20"/>
    </row>
    <row r="60" spans="2:13" ht="12.95" customHeight="1" x14ac:dyDescent="0.3">
      <c r="B60" s="15" t="s">
        <v>11</v>
      </c>
      <c r="C60" s="34"/>
      <c r="D60" s="34"/>
      <c r="E60" s="41"/>
      <c r="F60" s="51"/>
      <c r="G60" s="39">
        <f>TRUNC(SUM(G56:G59))</f>
        <v>24971</v>
      </c>
      <c r="H60" s="51"/>
      <c r="I60" s="39">
        <f>TRUNC(SUM(I56:I59))</f>
        <v>29488</v>
      </c>
      <c r="J60" s="20"/>
      <c r="K60" s="20"/>
    </row>
    <row r="61" spans="2:13" ht="12.95" customHeight="1" x14ac:dyDescent="0.3">
      <c r="B61" s="33"/>
      <c r="C61" s="34"/>
      <c r="D61" s="34"/>
      <c r="E61" s="41"/>
      <c r="F61" s="51"/>
      <c r="G61" s="27"/>
      <c r="H61" s="51"/>
      <c r="I61" s="27"/>
      <c r="J61" s="20"/>
      <c r="K61" s="20"/>
    </row>
    <row r="62" spans="2:13" ht="12.95" customHeight="1" x14ac:dyDescent="0.3">
      <c r="B62" s="24" t="s">
        <v>47</v>
      </c>
      <c r="C62" s="24" t="s">
        <v>1</v>
      </c>
      <c r="D62" s="38" t="s">
        <v>15</v>
      </c>
      <c r="E62" s="43">
        <v>29621</v>
      </c>
      <c r="F62" s="50">
        <v>0.04</v>
      </c>
      <c r="G62" s="6">
        <f t="shared" ref="G62" si="19">TRUNC($E62*F62,1)</f>
        <v>1184.8</v>
      </c>
      <c r="H62" s="50">
        <v>4.5999999999999999E-2</v>
      </c>
      <c r="I62" s="6">
        <f t="shared" ref="I62" si="20">TRUNC($E62*H62,1)</f>
        <v>1362.5</v>
      </c>
      <c r="J62" s="20"/>
      <c r="K62" s="20"/>
    </row>
    <row r="63" spans="2:13" ht="12.95" customHeight="1" x14ac:dyDescent="0.3">
      <c r="B63" s="16" t="s">
        <v>12</v>
      </c>
      <c r="C63" s="34"/>
      <c r="D63" s="34"/>
      <c r="E63" s="25"/>
      <c r="F63" s="29"/>
      <c r="G63" s="40">
        <f>TRUNC(SUM(G62:G62))</f>
        <v>1184</v>
      </c>
      <c r="H63" s="29"/>
      <c r="I63" s="40">
        <f>TRUNC(SUM(I62:I62))</f>
        <v>1362</v>
      </c>
      <c r="J63" s="20"/>
      <c r="K63" s="20"/>
    </row>
    <row r="64" spans="2:13" ht="12.95" customHeight="1" x14ac:dyDescent="0.3">
      <c r="B64" s="10"/>
      <c r="C64" s="24"/>
      <c r="D64" s="24"/>
      <c r="E64" s="30"/>
      <c r="F64" s="21"/>
      <c r="G64" s="22"/>
      <c r="H64" s="21"/>
      <c r="I64" s="22"/>
      <c r="J64" s="20"/>
      <c r="K64" s="20"/>
    </row>
    <row r="65" spans="2:13" ht="12.95" customHeight="1" x14ac:dyDescent="0.3">
      <c r="B65" s="11" t="s">
        <v>13</v>
      </c>
      <c r="C65" s="35"/>
      <c r="D65" s="35"/>
      <c r="E65" s="31"/>
      <c r="F65" s="31"/>
      <c r="G65" s="32">
        <f>SUM(G54+G60+G63)</f>
        <v>27587</v>
      </c>
      <c r="H65" s="31"/>
      <c r="I65" s="32">
        <f>SUM(I54+I60+I63)</f>
        <v>32497</v>
      </c>
      <c r="J65" s="20"/>
      <c r="K65" s="20"/>
    </row>
    <row r="66" spans="2:13" ht="12.95" customHeight="1" x14ac:dyDescent="0.3">
      <c r="B66" s="1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2:13" ht="12.95" customHeight="1" x14ac:dyDescent="0.3">
      <c r="B67" s="2" t="s">
        <v>34</v>
      </c>
      <c r="C67" s="36"/>
      <c r="D67" s="18"/>
      <c r="E67" s="37"/>
      <c r="F67" s="18"/>
      <c r="G67" s="17" t="s">
        <v>28</v>
      </c>
      <c r="H67" s="18"/>
      <c r="I67" s="18"/>
    </row>
    <row r="68" spans="2:13" ht="12.95" customHeight="1" x14ac:dyDescent="0.3">
      <c r="B68" s="56" t="s">
        <v>4</v>
      </c>
      <c r="C68" s="58" t="s">
        <v>14</v>
      </c>
      <c r="D68" s="60" t="s">
        <v>8</v>
      </c>
      <c r="E68" s="61" t="s">
        <v>5</v>
      </c>
      <c r="F68" s="60" t="s">
        <v>22</v>
      </c>
      <c r="G68" s="54" t="s">
        <v>23</v>
      </c>
      <c r="H68" s="20"/>
      <c r="I68" s="20"/>
    </row>
    <row r="69" spans="2:13" ht="12.95" customHeight="1" x14ac:dyDescent="0.3">
      <c r="B69" s="57"/>
      <c r="C69" s="59"/>
      <c r="D69" s="60"/>
      <c r="E69" s="62"/>
      <c r="F69" s="60"/>
      <c r="G69" s="55"/>
      <c r="H69" s="20"/>
      <c r="I69" s="20"/>
    </row>
    <row r="70" spans="2:13" ht="12.95" customHeight="1" x14ac:dyDescent="0.3">
      <c r="B70" s="24" t="s">
        <v>47</v>
      </c>
      <c r="C70" s="24" t="s">
        <v>1</v>
      </c>
      <c r="D70" s="38" t="s">
        <v>15</v>
      </c>
      <c r="E70" s="43">
        <v>35814</v>
      </c>
      <c r="F70" s="50">
        <v>2.5000000000000001E-2</v>
      </c>
      <c r="G70" s="6">
        <f t="shared" ref="G70" si="21">TRUNC($E70*F70,1)</f>
        <v>895.3</v>
      </c>
      <c r="H70" s="20"/>
      <c r="I70" s="20"/>
    </row>
    <row r="71" spans="2:13" ht="12.95" customHeight="1" x14ac:dyDescent="0.3">
      <c r="B71" s="16" t="s">
        <v>10</v>
      </c>
      <c r="C71" s="34"/>
      <c r="D71" s="34"/>
      <c r="E71" s="41"/>
      <c r="F71" s="51"/>
      <c r="G71" s="39">
        <f>TRUNC(SUM(G70:G70))</f>
        <v>895</v>
      </c>
      <c r="H71" s="20"/>
      <c r="I71" s="20"/>
    </row>
    <row r="72" spans="2:13" ht="12.95" customHeight="1" x14ac:dyDescent="0.3">
      <c r="B72" s="33"/>
      <c r="C72" s="34"/>
      <c r="D72" s="34"/>
      <c r="E72" s="41"/>
      <c r="F72" s="51"/>
      <c r="G72" s="27"/>
      <c r="H72" s="20"/>
      <c r="I72" s="20"/>
    </row>
    <row r="73" spans="2:13" ht="12.95" customHeight="1" x14ac:dyDescent="0.3">
      <c r="B73" s="49" t="s">
        <v>3</v>
      </c>
      <c r="C73" s="45"/>
      <c r="D73" s="48" t="s">
        <v>17</v>
      </c>
      <c r="E73" s="44">
        <v>268908</v>
      </c>
      <c r="F73" s="50">
        <v>2.7E-2</v>
      </c>
      <c r="G73" s="6">
        <f t="shared" ref="G73:G76" si="22">TRUNC($E73*F73,1)</f>
        <v>7260.5</v>
      </c>
      <c r="H73" s="20"/>
      <c r="I73" s="20"/>
    </row>
    <row r="74" spans="2:13" ht="12.95" customHeight="1" x14ac:dyDescent="0.3">
      <c r="B74" s="49" t="s">
        <v>0</v>
      </c>
      <c r="C74" s="45"/>
      <c r="D74" s="48" t="s">
        <v>17</v>
      </c>
      <c r="E74" s="44">
        <v>226122</v>
      </c>
      <c r="F74" s="50">
        <v>0.01</v>
      </c>
      <c r="G74" s="6">
        <f t="shared" si="22"/>
        <v>2261.1999999999998</v>
      </c>
      <c r="H74" s="20"/>
      <c r="I74" s="20"/>
    </row>
    <row r="75" spans="2:13" ht="12.95" customHeight="1" x14ac:dyDescent="0.3">
      <c r="B75" s="49" t="s">
        <v>2</v>
      </c>
      <c r="C75" s="45"/>
      <c r="D75" s="48" t="s">
        <v>17</v>
      </c>
      <c r="E75" s="44">
        <v>172068</v>
      </c>
      <c r="F75" s="50">
        <v>0.01</v>
      </c>
      <c r="G75" s="6">
        <f t="shared" si="22"/>
        <v>1720.6</v>
      </c>
      <c r="H75" s="20"/>
      <c r="I75" s="20"/>
    </row>
    <row r="76" spans="2:13" ht="12.95" customHeight="1" x14ac:dyDescent="0.3">
      <c r="B76" s="24" t="s">
        <v>47</v>
      </c>
      <c r="C76" s="24" t="s">
        <v>1</v>
      </c>
      <c r="D76" s="38" t="s">
        <v>15</v>
      </c>
      <c r="E76" s="43">
        <v>58925</v>
      </c>
      <c r="F76" s="50">
        <v>2.5000000000000001E-2</v>
      </c>
      <c r="G76" s="6">
        <f t="shared" si="22"/>
        <v>1473.1</v>
      </c>
      <c r="H76" s="20"/>
      <c r="I76" s="20"/>
    </row>
    <row r="77" spans="2:13" ht="12.95" customHeight="1" x14ac:dyDescent="0.3">
      <c r="B77" s="15" t="s">
        <v>11</v>
      </c>
      <c r="C77" s="34"/>
      <c r="D77" s="34"/>
      <c r="E77" s="41"/>
      <c r="F77" s="51"/>
      <c r="G77" s="39">
        <f>TRUNC(SUM(G73:G76))</f>
        <v>12715</v>
      </c>
      <c r="H77" s="20"/>
      <c r="I77" s="20"/>
    </row>
    <row r="78" spans="2:13" ht="12.95" customHeight="1" x14ac:dyDescent="0.3">
      <c r="B78" s="33"/>
      <c r="C78" s="34"/>
      <c r="D78" s="34"/>
      <c r="E78" s="41"/>
      <c r="F78" s="51"/>
      <c r="G78" s="27"/>
      <c r="H78" s="20"/>
      <c r="I78" s="20"/>
    </row>
    <row r="79" spans="2:13" ht="12.95" customHeight="1" x14ac:dyDescent="0.3">
      <c r="B79" s="24" t="s">
        <v>47</v>
      </c>
      <c r="C79" s="24" t="s">
        <v>1</v>
      </c>
      <c r="D79" s="38" t="s">
        <v>15</v>
      </c>
      <c r="E79" s="43">
        <v>29621</v>
      </c>
      <c r="F79" s="50">
        <v>2.5000000000000001E-2</v>
      </c>
      <c r="G79" s="6">
        <f t="shared" ref="G79" si="23">TRUNC($E79*F79,1)</f>
        <v>740.5</v>
      </c>
      <c r="H79" s="20"/>
      <c r="I79" s="20"/>
    </row>
    <row r="80" spans="2:13" ht="12.95" customHeight="1" x14ac:dyDescent="0.3">
      <c r="B80" s="16" t="s">
        <v>12</v>
      </c>
      <c r="C80" s="34"/>
      <c r="D80" s="34"/>
      <c r="E80" s="25"/>
      <c r="F80" s="29"/>
      <c r="G80" s="40">
        <f>TRUNC(SUM(G79:G79))</f>
        <v>740</v>
      </c>
      <c r="H80" s="20"/>
      <c r="I80" s="20"/>
    </row>
    <row r="81" spans="2:9" ht="12.95" customHeight="1" x14ac:dyDescent="0.3">
      <c r="B81" s="10"/>
      <c r="C81" s="24"/>
      <c r="D81" s="24"/>
      <c r="E81" s="30"/>
      <c r="F81" s="21"/>
      <c r="G81" s="22"/>
      <c r="H81" s="20"/>
      <c r="I81" s="20"/>
    </row>
    <row r="82" spans="2:9" ht="12.95" customHeight="1" x14ac:dyDescent="0.3">
      <c r="B82" s="11" t="s">
        <v>13</v>
      </c>
      <c r="C82" s="35"/>
      <c r="D82" s="35"/>
      <c r="E82" s="31"/>
      <c r="F82" s="31"/>
      <c r="G82" s="32">
        <f>SUM(G71+G77+G80)</f>
        <v>14350</v>
      </c>
      <c r="H82" s="20"/>
      <c r="I82" s="20"/>
    </row>
    <row r="84" spans="2:9" ht="12.95" customHeight="1" x14ac:dyDescent="0.3">
      <c r="B84" s="2" t="s">
        <v>35</v>
      </c>
      <c r="C84" s="36"/>
      <c r="D84" s="18"/>
      <c r="E84" s="37"/>
      <c r="F84" s="18"/>
      <c r="G84" s="17" t="s">
        <v>21</v>
      </c>
      <c r="H84" s="18"/>
      <c r="I84" s="18"/>
    </row>
    <row r="85" spans="2:9" ht="12.95" customHeight="1" x14ac:dyDescent="0.3">
      <c r="B85" s="56" t="s">
        <v>4</v>
      </c>
      <c r="C85" s="58" t="s">
        <v>14</v>
      </c>
      <c r="D85" s="60" t="s">
        <v>8</v>
      </c>
      <c r="E85" s="61" t="s">
        <v>5</v>
      </c>
      <c r="F85" s="63" t="s">
        <v>38</v>
      </c>
      <c r="G85" s="64"/>
      <c r="H85" s="20"/>
      <c r="I85" s="20"/>
    </row>
    <row r="86" spans="2:9" ht="12.95" customHeight="1" x14ac:dyDescent="0.3">
      <c r="B86" s="57"/>
      <c r="C86" s="59"/>
      <c r="D86" s="60"/>
      <c r="E86" s="62"/>
      <c r="F86" s="46" t="s">
        <v>6</v>
      </c>
      <c r="G86" s="47" t="s">
        <v>7</v>
      </c>
      <c r="H86" s="20"/>
      <c r="I86" s="20"/>
    </row>
    <row r="87" spans="2:9" ht="12.95" customHeight="1" x14ac:dyDescent="0.3">
      <c r="B87" s="24" t="s">
        <v>47</v>
      </c>
      <c r="C87" s="45" t="s">
        <v>36</v>
      </c>
      <c r="D87" s="48" t="s">
        <v>16</v>
      </c>
      <c r="E87" s="44">
        <v>18733</v>
      </c>
      <c r="F87" s="50">
        <v>0.28100000000000003</v>
      </c>
      <c r="G87" s="6">
        <f t="shared" ref="G87" si="24">TRUNC($E87*F87,1)</f>
        <v>5263.9</v>
      </c>
      <c r="H87" s="20"/>
      <c r="I87" s="20"/>
    </row>
    <row r="88" spans="2:9" ht="12.95" customHeight="1" x14ac:dyDescent="0.3">
      <c r="B88" s="16" t="s">
        <v>10</v>
      </c>
      <c r="C88" s="34"/>
      <c r="D88" s="34"/>
      <c r="E88" s="41"/>
      <c r="F88" s="51" t="s">
        <v>37</v>
      </c>
      <c r="G88" s="39">
        <f>TRUNC(SUM(G87:G87))</f>
        <v>5263</v>
      </c>
      <c r="H88" s="20"/>
      <c r="I88" s="20"/>
    </row>
    <row r="89" spans="2:9" ht="12.95" customHeight="1" x14ac:dyDescent="0.3">
      <c r="B89" s="33"/>
      <c r="C89" s="34"/>
      <c r="D89" s="34"/>
      <c r="E89" s="41"/>
      <c r="F89" s="51"/>
      <c r="G89" s="27"/>
      <c r="H89" s="20"/>
      <c r="I89" s="20"/>
    </row>
    <row r="90" spans="2:9" ht="12.95" customHeight="1" x14ac:dyDescent="0.3">
      <c r="B90" s="49" t="s">
        <v>3</v>
      </c>
      <c r="C90" s="45"/>
      <c r="D90" s="48" t="s">
        <v>17</v>
      </c>
      <c r="E90" s="44">
        <v>268908</v>
      </c>
      <c r="F90" s="50">
        <v>0.19</v>
      </c>
      <c r="G90" s="6">
        <f t="shared" ref="G90:G93" si="25">TRUNC($E90*F90,1)</f>
        <v>51092.5</v>
      </c>
      <c r="H90" s="20"/>
      <c r="I90" s="20"/>
    </row>
    <row r="91" spans="2:9" ht="12.95" customHeight="1" x14ac:dyDescent="0.3">
      <c r="B91" s="49" t="s">
        <v>0</v>
      </c>
      <c r="C91" s="45"/>
      <c r="D91" s="48" t="s">
        <v>17</v>
      </c>
      <c r="E91" s="44">
        <v>226122</v>
      </c>
      <c r="F91" s="50">
        <v>0.13400000000000001</v>
      </c>
      <c r="G91" s="6">
        <f t="shared" si="25"/>
        <v>30300.3</v>
      </c>
      <c r="H91" s="20"/>
      <c r="I91" s="20"/>
    </row>
    <row r="92" spans="2:9" ht="12.95" customHeight="1" x14ac:dyDescent="0.3">
      <c r="B92" s="49" t="s">
        <v>2</v>
      </c>
      <c r="C92" s="45"/>
      <c r="D92" s="48" t="s">
        <v>17</v>
      </c>
      <c r="E92" s="44">
        <v>172068</v>
      </c>
      <c r="F92" s="50">
        <v>0.11700000000000001</v>
      </c>
      <c r="G92" s="6">
        <f t="shared" si="25"/>
        <v>20131.900000000001</v>
      </c>
      <c r="H92" s="20"/>
      <c r="I92" s="20"/>
    </row>
    <row r="93" spans="2:9" ht="12.95" customHeight="1" x14ac:dyDescent="0.3">
      <c r="B93" s="24" t="s">
        <v>47</v>
      </c>
      <c r="C93" s="45" t="s">
        <v>36</v>
      </c>
      <c r="D93" s="38" t="s">
        <v>15</v>
      </c>
      <c r="E93" s="44">
        <v>58925</v>
      </c>
      <c r="F93" s="50">
        <v>0.28100000000000003</v>
      </c>
      <c r="G93" s="6">
        <f t="shared" si="25"/>
        <v>16557.900000000001</v>
      </c>
      <c r="H93" s="20"/>
      <c r="I93" s="20"/>
    </row>
    <row r="94" spans="2:9" ht="12.95" customHeight="1" x14ac:dyDescent="0.3">
      <c r="B94" s="15" t="s">
        <v>11</v>
      </c>
      <c r="C94" s="34"/>
      <c r="D94" s="34"/>
      <c r="E94" s="41"/>
      <c r="F94" s="51"/>
      <c r="G94" s="39">
        <f>TRUNC(SUM(G90:G93))</f>
        <v>118082</v>
      </c>
      <c r="H94" s="20"/>
      <c r="I94" s="20"/>
    </row>
    <row r="95" spans="2:9" ht="12.95" customHeight="1" x14ac:dyDescent="0.3">
      <c r="B95" s="33"/>
      <c r="C95" s="34"/>
      <c r="D95" s="34"/>
      <c r="E95" s="41"/>
      <c r="F95" s="51"/>
      <c r="G95" s="27"/>
      <c r="H95" s="20"/>
      <c r="I95" s="20"/>
    </row>
    <row r="96" spans="2:9" ht="12.95" customHeight="1" x14ac:dyDescent="0.3">
      <c r="B96" s="24" t="s">
        <v>47</v>
      </c>
      <c r="C96" s="45" t="s">
        <v>36</v>
      </c>
      <c r="D96" s="38" t="s">
        <v>15</v>
      </c>
      <c r="E96" s="44">
        <v>23423</v>
      </c>
      <c r="F96" s="50">
        <v>0.28100000000000003</v>
      </c>
      <c r="G96" s="6">
        <f t="shared" ref="G96" si="26">TRUNC($E96*F96,1)</f>
        <v>6581.8</v>
      </c>
      <c r="H96" s="20"/>
      <c r="I96" s="20"/>
    </row>
    <row r="97" spans="2:9" ht="12.95" customHeight="1" x14ac:dyDescent="0.3">
      <c r="B97" s="16" t="s">
        <v>12</v>
      </c>
      <c r="C97" s="34"/>
      <c r="D97" s="34"/>
      <c r="E97" s="25"/>
      <c r="F97" s="29"/>
      <c r="G97" s="40">
        <f>TRUNC(SUM(G96:G96))</f>
        <v>6581</v>
      </c>
      <c r="H97" s="20"/>
      <c r="I97" s="20"/>
    </row>
    <row r="98" spans="2:9" ht="12.95" customHeight="1" x14ac:dyDescent="0.3">
      <c r="B98" s="10"/>
      <c r="C98" s="24"/>
      <c r="D98" s="24"/>
      <c r="E98" s="30"/>
      <c r="F98" s="21"/>
      <c r="G98" s="22"/>
      <c r="H98" s="20"/>
      <c r="I98" s="20"/>
    </row>
    <row r="99" spans="2:9" ht="12.95" customHeight="1" x14ac:dyDescent="0.3">
      <c r="B99" s="11" t="s">
        <v>13</v>
      </c>
      <c r="C99" s="35"/>
      <c r="D99" s="35"/>
      <c r="E99" s="31"/>
      <c r="F99" s="31"/>
      <c r="G99" s="32">
        <f>SUM(G88+G94+G97)</f>
        <v>129926</v>
      </c>
      <c r="H99" s="20"/>
      <c r="I99" s="20"/>
    </row>
    <row r="101" spans="2:9" ht="12.95" customHeight="1" x14ac:dyDescent="0.3">
      <c r="B101" s="1" t="s">
        <v>39</v>
      </c>
    </row>
    <row r="102" spans="2:9" ht="12.95" customHeight="1" x14ac:dyDescent="0.3">
      <c r="B102" s="2" t="s">
        <v>40</v>
      </c>
      <c r="C102" s="36"/>
      <c r="D102" s="18"/>
      <c r="E102" s="37"/>
      <c r="F102" s="18"/>
      <c r="G102" s="18"/>
      <c r="H102" s="18"/>
      <c r="I102" s="17" t="s">
        <v>28</v>
      </c>
    </row>
    <row r="103" spans="2:9" ht="12.95" customHeight="1" x14ac:dyDescent="0.3">
      <c r="B103" s="56" t="s">
        <v>4</v>
      </c>
      <c r="C103" s="58" t="s">
        <v>14</v>
      </c>
      <c r="D103" s="60" t="s">
        <v>8</v>
      </c>
      <c r="E103" s="61" t="s">
        <v>5</v>
      </c>
      <c r="F103" s="63" t="s">
        <v>41</v>
      </c>
      <c r="G103" s="64"/>
      <c r="H103" s="63" t="s">
        <v>42</v>
      </c>
      <c r="I103" s="64"/>
    </row>
    <row r="104" spans="2:9" ht="12.95" customHeight="1" x14ac:dyDescent="0.3">
      <c r="B104" s="57"/>
      <c r="C104" s="59"/>
      <c r="D104" s="60"/>
      <c r="E104" s="62"/>
      <c r="F104" s="46" t="s">
        <v>6</v>
      </c>
      <c r="G104" s="47" t="s">
        <v>7</v>
      </c>
      <c r="H104" s="46" t="s">
        <v>6</v>
      </c>
      <c r="I104" s="47" t="s">
        <v>7</v>
      </c>
    </row>
    <row r="105" spans="2:9" ht="12.95" customHeight="1" x14ac:dyDescent="0.3">
      <c r="B105" s="24" t="s">
        <v>47</v>
      </c>
      <c r="C105" s="45" t="s">
        <v>36</v>
      </c>
      <c r="D105" s="48" t="s">
        <v>16</v>
      </c>
      <c r="E105" s="44">
        <v>18733</v>
      </c>
      <c r="F105" s="50">
        <v>0</v>
      </c>
      <c r="G105" s="6">
        <f t="shared" ref="G105" si="27">TRUNC($E105*F105,1)</f>
        <v>0</v>
      </c>
      <c r="H105" s="50">
        <v>3.1E-2</v>
      </c>
      <c r="I105" s="6">
        <f t="shared" ref="I105" si="28">TRUNC($E105*H105,1)</f>
        <v>580.70000000000005</v>
      </c>
    </row>
    <row r="106" spans="2:9" ht="12.95" customHeight="1" x14ac:dyDescent="0.3">
      <c r="B106" s="16" t="s">
        <v>10</v>
      </c>
      <c r="C106" s="34"/>
      <c r="D106" s="34"/>
      <c r="E106" s="41"/>
      <c r="F106" s="51" t="s">
        <v>37</v>
      </c>
      <c r="G106" s="39">
        <f>TRUNC(SUM(G105:G105))</f>
        <v>0</v>
      </c>
      <c r="H106" s="51" t="s">
        <v>37</v>
      </c>
      <c r="I106" s="39">
        <f>TRUNC(SUM(I105:I105))</f>
        <v>580</v>
      </c>
    </row>
    <row r="107" spans="2:9" ht="12.95" customHeight="1" x14ac:dyDescent="0.3">
      <c r="B107" s="33"/>
      <c r="C107" s="34"/>
      <c r="D107" s="34"/>
      <c r="E107" s="41"/>
      <c r="F107" s="51"/>
      <c r="G107" s="27"/>
      <c r="H107" s="51"/>
      <c r="I107" s="27"/>
    </row>
    <row r="108" spans="2:9" ht="12.95" customHeight="1" x14ac:dyDescent="0.3">
      <c r="B108" s="49" t="s">
        <v>0</v>
      </c>
      <c r="C108" s="45"/>
      <c r="D108" s="48" t="s">
        <v>17</v>
      </c>
      <c r="E108" s="44">
        <v>226122</v>
      </c>
      <c r="F108" s="50">
        <v>1.4E-2</v>
      </c>
      <c r="G108" s="6">
        <f t="shared" ref="G108:G110" si="29">TRUNC($E108*F108,1)</f>
        <v>3165.7</v>
      </c>
      <c r="H108" s="50">
        <v>0</v>
      </c>
      <c r="I108" s="6">
        <f t="shared" ref="I108:I110" si="30">TRUNC($E108*H108,1)</f>
        <v>0</v>
      </c>
    </row>
    <row r="109" spans="2:9" ht="12.95" customHeight="1" x14ac:dyDescent="0.3">
      <c r="B109" s="49" t="s">
        <v>2</v>
      </c>
      <c r="C109" s="45"/>
      <c r="D109" s="48" t="s">
        <v>17</v>
      </c>
      <c r="E109" s="44">
        <v>172068</v>
      </c>
      <c r="F109" s="50">
        <v>3.0000000000000001E-3</v>
      </c>
      <c r="G109" s="6">
        <f t="shared" si="29"/>
        <v>516.20000000000005</v>
      </c>
      <c r="H109" s="50">
        <v>5.0000000000000001E-3</v>
      </c>
      <c r="I109" s="6">
        <f t="shared" si="30"/>
        <v>860.3</v>
      </c>
    </row>
    <row r="110" spans="2:9" ht="12.95" customHeight="1" x14ac:dyDescent="0.3">
      <c r="B110" s="24" t="s">
        <v>47</v>
      </c>
      <c r="C110" s="45" t="s">
        <v>36</v>
      </c>
      <c r="D110" s="38" t="s">
        <v>15</v>
      </c>
      <c r="E110" s="44">
        <v>58925</v>
      </c>
      <c r="F110" s="50">
        <v>0</v>
      </c>
      <c r="G110" s="6">
        <f t="shared" si="29"/>
        <v>0</v>
      </c>
      <c r="H110" s="50">
        <v>3.1E-2</v>
      </c>
      <c r="I110" s="6">
        <f t="shared" si="30"/>
        <v>1826.6</v>
      </c>
    </row>
    <row r="111" spans="2:9" ht="12.95" customHeight="1" x14ac:dyDescent="0.3">
      <c r="B111" s="15" t="s">
        <v>11</v>
      </c>
      <c r="C111" s="34"/>
      <c r="D111" s="34"/>
      <c r="E111" s="41"/>
      <c r="F111" s="51"/>
      <c r="G111" s="39">
        <f>TRUNC(SUM(G108:G110))</f>
        <v>3681</v>
      </c>
      <c r="H111" s="51"/>
      <c r="I111" s="39">
        <f>TRUNC(SUM(I108:I110))</f>
        <v>2686</v>
      </c>
    </row>
    <row r="112" spans="2:9" ht="12.95" customHeight="1" x14ac:dyDescent="0.3">
      <c r="B112" s="33"/>
      <c r="C112" s="34"/>
      <c r="D112" s="34"/>
      <c r="E112" s="41"/>
      <c r="F112" s="51"/>
      <c r="G112" s="27"/>
      <c r="H112" s="51"/>
      <c r="I112" s="27"/>
    </row>
    <row r="113" spans="2:9" ht="12.95" customHeight="1" x14ac:dyDescent="0.3">
      <c r="B113" s="24" t="s">
        <v>47</v>
      </c>
      <c r="C113" s="45" t="s">
        <v>36</v>
      </c>
      <c r="D113" s="38" t="s">
        <v>15</v>
      </c>
      <c r="E113" s="44">
        <v>23423</v>
      </c>
      <c r="F113" s="50">
        <v>0</v>
      </c>
      <c r="G113" s="6">
        <f t="shared" ref="G113" si="31">TRUNC($E113*F113,1)</f>
        <v>0</v>
      </c>
      <c r="H113" s="50">
        <v>3.1E-2</v>
      </c>
      <c r="I113" s="6">
        <f t="shared" ref="I113" si="32">TRUNC($E113*H113,1)</f>
        <v>726.1</v>
      </c>
    </row>
    <row r="114" spans="2:9" ht="12.95" customHeight="1" x14ac:dyDescent="0.3">
      <c r="B114" s="16" t="s">
        <v>12</v>
      </c>
      <c r="C114" s="34"/>
      <c r="D114" s="34"/>
      <c r="E114" s="25"/>
      <c r="F114" s="29"/>
      <c r="G114" s="40">
        <f>TRUNC(SUM(G113:G113))</f>
        <v>0</v>
      </c>
      <c r="H114" s="29"/>
      <c r="I114" s="40">
        <f>TRUNC(SUM(I113:I113))</f>
        <v>726</v>
      </c>
    </row>
    <row r="115" spans="2:9" ht="12.95" customHeight="1" x14ac:dyDescent="0.3">
      <c r="B115" s="10"/>
      <c r="C115" s="24"/>
      <c r="D115" s="24"/>
      <c r="E115" s="30"/>
      <c r="F115" s="21"/>
      <c r="G115" s="22"/>
      <c r="H115" s="21"/>
      <c r="I115" s="22"/>
    </row>
    <row r="116" spans="2:9" ht="12.95" customHeight="1" x14ac:dyDescent="0.3">
      <c r="B116" s="11" t="s">
        <v>13</v>
      </c>
      <c r="C116" s="35"/>
      <c r="D116" s="35"/>
      <c r="E116" s="31"/>
      <c r="F116" s="31"/>
      <c r="G116" s="32">
        <f>SUM(G106+G111+G114)</f>
        <v>3681</v>
      </c>
      <c r="H116" s="31"/>
      <c r="I116" s="32">
        <f>SUM(I106+I111+I114)</f>
        <v>3992</v>
      </c>
    </row>
    <row r="118" spans="2:9" ht="12.95" customHeight="1" x14ac:dyDescent="0.3">
      <c r="B118" s="2" t="s">
        <v>43</v>
      </c>
      <c r="C118" s="36"/>
      <c r="D118" s="18"/>
      <c r="E118" s="37"/>
      <c r="F118" s="18"/>
      <c r="G118" s="17" t="s">
        <v>28</v>
      </c>
    </row>
    <row r="119" spans="2:9" ht="12.95" customHeight="1" x14ac:dyDescent="0.3">
      <c r="B119" s="56" t="s">
        <v>4</v>
      </c>
      <c r="C119" s="58" t="s">
        <v>14</v>
      </c>
      <c r="D119" s="60" t="s">
        <v>8</v>
      </c>
      <c r="E119" s="61" t="s">
        <v>5</v>
      </c>
      <c r="F119" s="60" t="s">
        <v>22</v>
      </c>
      <c r="G119" s="54" t="s">
        <v>23</v>
      </c>
    </row>
    <row r="120" spans="2:9" ht="12.95" customHeight="1" x14ac:dyDescent="0.3">
      <c r="B120" s="57"/>
      <c r="C120" s="59"/>
      <c r="D120" s="60"/>
      <c r="E120" s="62"/>
      <c r="F120" s="60"/>
      <c r="G120" s="55"/>
    </row>
    <row r="121" spans="2:9" ht="12.95" customHeight="1" x14ac:dyDescent="0.3">
      <c r="B121" s="49" t="s">
        <v>0</v>
      </c>
      <c r="C121" s="45"/>
      <c r="D121" s="48" t="s">
        <v>17</v>
      </c>
      <c r="E121" s="44">
        <v>226122</v>
      </c>
      <c r="F121" s="50">
        <v>7.5999999999999998E-2</v>
      </c>
      <c r="G121" s="6">
        <f t="shared" ref="G121:G122" si="33">TRUNC($E121*F121,1)</f>
        <v>17185.2</v>
      </c>
    </row>
    <row r="122" spans="2:9" ht="12.95" customHeight="1" x14ac:dyDescent="0.3">
      <c r="B122" s="49" t="s">
        <v>2</v>
      </c>
      <c r="C122" s="45"/>
      <c r="D122" s="48" t="s">
        <v>17</v>
      </c>
      <c r="E122" s="44">
        <v>172068</v>
      </c>
      <c r="F122" s="50">
        <v>6.6000000000000003E-2</v>
      </c>
      <c r="G122" s="6">
        <f t="shared" si="33"/>
        <v>11356.4</v>
      </c>
    </row>
    <row r="123" spans="2:9" ht="12.95" customHeight="1" x14ac:dyDescent="0.3">
      <c r="B123" s="15" t="s">
        <v>11</v>
      </c>
      <c r="C123" s="34"/>
      <c r="D123" s="34"/>
      <c r="E123" s="41"/>
      <c r="F123" s="51"/>
      <c r="G123" s="39">
        <f>TRUNC(SUM(G121:G122))</f>
        <v>28541</v>
      </c>
    </row>
    <row r="124" spans="2:9" ht="12.95" customHeight="1" x14ac:dyDescent="0.3">
      <c r="B124" s="10"/>
      <c r="C124" s="24"/>
      <c r="D124" s="24"/>
      <c r="E124" s="30"/>
      <c r="F124" s="21"/>
      <c r="G124" s="22"/>
    </row>
    <row r="125" spans="2:9" ht="12.95" customHeight="1" x14ac:dyDescent="0.3">
      <c r="B125" s="11" t="s">
        <v>13</v>
      </c>
      <c r="C125" s="35"/>
      <c r="D125" s="35"/>
      <c r="E125" s="31"/>
      <c r="F125" s="31"/>
      <c r="G125" s="32">
        <f>SUM(G123)</f>
        <v>28541</v>
      </c>
    </row>
    <row r="127" spans="2:9" ht="12.95" customHeight="1" x14ac:dyDescent="0.3">
      <c r="B127" s="2" t="s">
        <v>44</v>
      </c>
      <c r="C127" s="36"/>
      <c r="D127" s="18"/>
      <c r="E127" s="37"/>
      <c r="F127" s="18"/>
      <c r="G127" s="17" t="s">
        <v>28</v>
      </c>
    </row>
    <row r="128" spans="2:9" ht="12.95" customHeight="1" x14ac:dyDescent="0.3">
      <c r="B128" s="56" t="s">
        <v>4</v>
      </c>
      <c r="C128" s="58" t="s">
        <v>14</v>
      </c>
      <c r="D128" s="60" t="s">
        <v>8</v>
      </c>
      <c r="E128" s="61" t="s">
        <v>5</v>
      </c>
      <c r="F128" s="60" t="s">
        <v>22</v>
      </c>
      <c r="G128" s="54" t="s">
        <v>23</v>
      </c>
    </row>
    <row r="129" spans="2:7" ht="12.95" customHeight="1" x14ac:dyDescent="0.3">
      <c r="B129" s="57"/>
      <c r="C129" s="59"/>
      <c r="D129" s="60"/>
      <c r="E129" s="62"/>
      <c r="F129" s="60"/>
      <c r="G129" s="55"/>
    </row>
    <row r="130" spans="2:7" ht="12.95" customHeight="1" x14ac:dyDescent="0.3">
      <c r="B130" s="20" t="s">
        <v>46</v>
      </c>
      <c r="C130" s="45" t="s">
        <v>45</v>
      </c>
      <c r="D130" s="48" t="s">
        <v>16</v>
      </c>
      <c r="E130" s="44">
        <v>10477</v>
      </c>
      <c r="F130" s="50">
        <v>4.8000000000000001E-2</v>
      </c>
      <c r="G130" s="6">
        <f t="shared" ref="G130" si="34">TRUNC($E130*F130,1)</f>
        <v>502.8</v>
      </c>
    </row>
    <row r="131" spans="2:7" ht="12.95" customHeight="1" x14ac:dyDescent="0.3">
      <c r="B131" s="16" t="s">
        <v>10</v>
      </c>
      <c r="C131" s="34"/>
      <c r="D131" s="34"/>
      <c r="E131" s="41"/>
      <c r="F131" s="51" t="s">
        <v>37</v>
      </c>
      <c r="G131" s="39">
        <f>TRUNC(SUM(G130:G130))</f>
        <v>502</v>
      </c>
    </row>
    <row r="132" spans="2:7" ht="12.95" customHeight="1" x14ac:dyDescent="0.3">
      <c r="B132" s="33"/>
      <c r="C132" s="34"/>
      <c r="D132" s="34"/>
      <c r="E132" s="41"/>
      <c r="F132" s="51"/>
      <c r="G132" s="27"/>
    </row>
    <row r="133" spans="2:7" ht="12.95" customHeight="1" x14ac:dyDescent="0.3">
      <c r="B133" s="49" t="s">
        <v>0</v>
      </c>
      <c r="C133" s="45"/>
      <c r="D133" s="48" t="s">
        <v>17</v>
      </c>
      <c r="E133" s="44">
        <v>226122</v>
      </c>
      <c r="F133" s="50">
        <v>1.7000000000000001E-2</v>
      </c>
      <c r="G133" s="6">
        <f t="shared" ref="G133:G135" si="35">TRUNC($E133*F133,1)</f>
        <v>3844</v>
      </c>
    </row>
    <row r="134" spans="2:7" ht="12.95" customHeight="1" x14ac:dyDescent="0.3">
      <c r="B134" s="49" t="s">
        <v>2</v>
      </c>
      <c r="C134" s="45"/>
      <c r="D134" s="48" t="s">
        <v>17</v>
      </c>
      <c r="E134" s="44">
        <v>172068</v>
      </c>
      <c r="F134" s="50">
        <v>7.0000000000000001E-3</v>
      </c>
      <c r="G134" s="6">
        <f t="shared" si="35"/>
        <v>1204.4000000000001</v>
      </c>
    </row>
    <row r="135" spans="2:7" ht="12.95" customHeight="1" x14ac:dyDescent="0.3">
      <c r="B135" s="20" t="s">
        <v>46</v>
      </c>
      <c r="C135" s="45" t="s">
        <v>45</v>
      </c>
      <c r="D135" s="38" t="s">
        <v>15</v>
      </c>
      <c r="E135" s="44">
        <v>58925</v>
      </c>
      <c r="F135" s="50">
        <v>4.8000000000000001E-2</v>
      </c>
      <c r="G135" s="6">
        <f t="shared" si="35"/>
        <v>2828.4</v>
      </c>
    </row>
    <row r="136" spans="2:7" ht="12.95" customHeight="1" x14ac:dyDescent="0.3">
      <c r="B136" s="15" t="s">
        <v>11</v>
      </c>
      <c r="C136" s="34"/>
      <c r="D136" s="34"/>
      <c r="E136" s="41"/>
      <c r="F136" s="51"/>
      <c r="G136" s="39">
        <f>TRUNC(SUM(G133:G135))</f>
        <v>7876</v>
      </c>
    </row>
    <row r="137" spans="2:7" ht="12.95" customHeight="1" x14ac:dyDescent="0.3">
      <c r="B137" s="33"/>
      <c r="C137" s="34"/>
      <c r="D137" s="34"/>
      <c r="E137" s="41"/>
      <c r="F137" s="51"/>
      <c r="G137" s="27"/>
    </row>
    <row r="138" spans="2:7" ht="12.95" customHeight="1" x14ac:dyDescent="0.3">
      <c r="B138" s="20" t="s">
        <v>46</v>
      </c>
      <c r="C138" s="45" t="s">
        <v>45</v>
      </c>
      <c r="D138" s="38" t="s">
        <v>15</v>
      </c>
      <c r="E138" s="44">
        <v>14120</v>
      </c>
      <c r="F138" s="50">
        <v>4.8000000000000001E-2</v>
      </c>
      <c r="G138" s="6">
        <f t="shared" ref="G138" si="36">TRUNC($E138*F138,1)</f>
        <v>677.7</v>
      </c>
    </row>
    <row r="139" spans="2:7" ht="12.95" customHeight="1" x14ac:dyDescent="0.3">
      <c r="B139" s="16" t="s">
        <v>12</v>
      </c>
      <c r="C139" s="34"/>
      <c r="D139" s="34"/>
      <c r="E139" s="25"/>
      <c r="F139" s="29"/>
      <c r="G139" s="40">
        <f>TRUNC(SUM(G138:G138))</f>
        <v>677</v>
      </c>
    </row>
    <row r="140" spans="2:7" ht="12.95" customHeight="1" x14ac:dyDescent="0.3">
      <c r="B140" s="10"/>
      <c r="C140" s="24"/>
      <c r="D140" s="24"/>
      <c r="E140" s="30"/>
      <c r="F140" s="21"/>
      <c r="G140" s="22"/>
    </row>
    <row r="141" spans="2:7" ht="12.95" customHeight="1" x14ac:dyDescent="0.3">
      <c r="B141" s="11" t="s">
        <v>13</v>
      </c>
      <c r="C141" s="35"/>
      <c r="D141" s="35"/>
      <c r="E141" s="31"/>
      <c r="F141" s="31"/>
      <c r="G141" s="32">
        <f>SUM(G131+G136+G139)</f>
        <v>9055</v>
      </c>
    </row>
    <row r="287" spans="14:15" ht="12.95" customHeight="1" x14ac:dyDescent="0.3">
      <c r="O287" s="13"/>
    </row>
    <row r="288" spans="14:15" ht="12.95" customHeight="1" x14ac:dyDescent="0.3">
      <c r="N288" s="13"/>
      <c r="O288" s="13"/>
    </row>
    <row r="289" spans="14:15" ht="12.95" customHeight="1" x14ac:dyDescent="0.3">
      <c r="N289" s="13"/>
    </row>
    <row r="291" spans="14:15" ht="12.95" customHeight="1" x14ac:dyDescent="0.3">
      <c r="O291" s="9"/>
    </row>
    <row r="292" spans="14:15" ht="12.95" customHeight="1" x14ac:dyDescent="0.3">
      <c r="N292" s="9"/>
      <c r="O292" s="9"/>
    </row>
    <row r="293" spans="14:15" ht="12.95" customHeight="1" x14ac:dyDescent="0.3">
      <c r="N293" s="9"/>
      <c r="O293" s="9"/>
    </row>
    <row r="294" spans="14:15" ht="12.95" customHeight="1" x14ac:dyDescent="0.3">
      <c r="N294" s="9"/>
      <c r="O294" s="9"/>
    </row>
    <row r="295" spans="14:15" ht="12.95" customHeight="1" x14ac:dyDescent="0.3">
      <c r="N295" s="9"/>
      <c r="O295" s="9"/>
    </row>
    <row r="296" spans="14:15" ht="12.95" customHeight="1" x14ac:dyDescent="0.3">
      <c r="N296" s="9"/>
      <c r="O296" s="9"/>
    </row>
    <row r="297" spans="14:15" ht="12.95" customHeight="1" x14ac:dyDescent="0.3">
      <c r="N297" s="9"/>
      <c r="O297" s="9"/>
    </row>
    <row r="298" spans="14:15" ht="12.95" customHeight="1" x14ac:dyDescent="0.3">
      <c r="N298" s="9"/>
      <c r="O298" s="9"/>
    </row>
    <row r="299" spans="14:15" ht="12.95" customHeight="1" x14ac:dyDescent="0.3">
      <c r="N299" s="9"/>
      <c r="O299" s="9"/>
    </row>
    <row r="300" spans="14:15" ht="12.95" customHeight="1" x14ac:dyDescent="0.3">
      <c r="N300" s="9"/>
      <c r="O300" s="9"/>
    </row>
    <row r="301" spans="14:15" ht="12.95" customHeight="1" x14ac:dyDescent="0.3">
      <c r="N301" s="9"/>
      <c r="O301" s="9"/>
    </row>
    <row r="302" spans="14:15" ht="12.95" customHeight="1" x14ac:dyDescent="0.3">
      <c r="N302" s="9"/>
      <c r="O302" s="9"/>
    </row>
    <row r="303" spans="14:15" ht="12.95" customHeight="1" x14ac:dyDescent="0.3">
      <c r="N303" s="9"/>
      <c r="O303" s="9"/>
    </row>
    <row r="304" spans="14:15" ht="12.95" customHeight="1" x14ac:dyDescent="0.3">
      <c r="N304" s="9"/>
      <c r="O304" s="9"/>
    </row>
    <row r="305" spans="14:15" ht="12.95" customHeight="1" x14ac:dyDescent="0.3">
      <c r="N305" s="9"/>
      <c r="O305" s="9"/>
    </row>
    <row r="306" spans="14:15" ht="12.95" customHeight="1" x14ac:dyDescent="0.3">
      <c r="N306" s="9"/>
      <c r="O306" s="9"/>
    </row>
    <row r="307" spans="14:15" ht="12.95" customHeight="1" x14ac:dyDescent="0.3">
      <c r="N307" s="9"/>
      <c r="O307" s="9"/>
    </row>
    <row r="308" spans="14:15" ht="12.95" customHeight="1" x14ac:dyDescent="0.3">
      <c r="N308" s="9"/>
    </row>
  </sheetData>
  <mergeCells count="54">
    <mergeCell ref="G128:G129"/>
    <mergeCell ref="H103:I103"/>
    <mergeCell ref="B119:B120"/>
    <mergeCell ref="C119:C120"/>
    <mergeCell ref="D119:D120"/>
    <mergeCell ref="E119:E120"/>
    <mergeCell ref="F119:F120"/>
    <mergeCell ref="G119:G120"/>
    <mergeCell ref="B103:B104"/>
    <mergeCell ref="C103:C104"/>
    <mergeCell ref="D103:D104"/>
    <mergeCell ref="E103:E104"/>
    <mergeCell ref="F103:G103"/>
    <mergeCell ref="B128:B129"/>
    <mergeCell ref="C128:C129"/>
    <mergeCell ref="D128:D129"/>
    <mergeCell ref="D68:D69"/>
    <mergeCell ref="E68:E69"/>
    <mergeCell ref="F68:F69"/>
    <mergeCell ref="E128:E129"/>
    <mergeCell ref="F128:F129"/>
    <mergeCell ref="B85:B86"/>
    <mergeCell ref="C85:C86"/>
    <mergeCell ref="D85:D86"/>
    <mergeCell ref="E85:E86"/>
    <mergeCell ref="F85:G85"/>
    <mergeCell ref="G68:G69"/>
    <mergeCell ref="J36:K36"/>
    <mergeCell ref="B51:B52"/>
    <mergeCell ref="C51:C52"/>
    <mergeCell ref="D51:D52"/>
    <mergeCell ref="E51:E52"/>
    <mergeCell ref="F51:G51"/>
    <mergeCell ref="H51:I51"/>
    <mergeCell ref="B36:B37"/>
    <mergeCell ref="C36:C37"/>
    <mergeCell ref="D36:D37"/>
    <mergeCell ref="E36:E37"/>
    <mergeCell ref="F36:G36"/>
    <mergeCell ref="H36:I36"/>
    <mergeCell ref="B68:B69"/>
    <mergeCell ref="C68:C69"/>
    <mergeCell ref="G19:G20"/>
    <mergeCell ref="B4:B5"/>
    <mergeCell ref="C4:C5"/>
    <mergeCell ref="D4:D5"/>
    <mergeCell ref="E4:E5"/>
    <mergeCell ref="F4:F5"/>
    <mergeCell ref="G4:G5"/>
    <mergeCell ref="B19:B20"/>
    <mergeCell ref="C19:C20"/>
    <mergeCell ref="D19:D20"/>
    <mergeCell ref="E19:E20"/>
    <mergeCell ref="F19:F20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하천공사(상반기)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2026-01-01T07:59:01Z</dcterms:modified>
</cp:coreProperties>
</file>