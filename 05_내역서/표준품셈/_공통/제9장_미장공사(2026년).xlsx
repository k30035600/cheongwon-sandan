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A56D5641-63EA-4FCF-8FD7-3F3BF654BF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미장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6" l="1"/>
  <c r="I212" i="6" s="1"/>
  <c r="G208" i="6"/>
  <c r="I207" i="6"/>
  <c r="G198" i="6"/>
  <c r="M197" i="6"/>
  <c r="M194" i="6"/>
  <c r="M195" i="6" s="1"/>
  <c r="K194" i="6"/>
  <c r="K195" i="6" s="1"/>
  <c r="I194" i="6"/>
  <c r="I195" i="6" s="1"/>
  <c r="G194" i="6"/>
  <c r="G195" i="6" s="1"/>
  <c r="G186" i="6"/>
  <c r="G185" i="6"/>
  <c r="G187" i="6" s="1"/>
  <c r="G189" i="6" s="1"/>
  <c r="G177" i="6"/>
  <c r="G178" i="6" s="1"/>
  <c r="G180" i="6" s="1"/>
  <c r="G176" i="6"/>
  <c r="G168" i="6"/>
  <c r="G167" i="6"/>
  <c r="G155" i="6"/>
  <c r="G154" i="6"/>
  <c r="G156" i="6" s="1"/>
  <c r="G158" i="6" s="1"/>
  <c r="G145" i="6"/>
  <c r="I144" i="6"/>
  <c r="G134" i="6"/>
  <c r="G133" i="6"/>
  <c r="I133" i="6"/>
  <c r="I124" i="6"/>
  <c r="G112" i="6"/>
  <c r="G113" i="6" s="1"/>
  <c r="G115" i="6" s="1"/>
  <c r="I104" i="6"/>
  <c r="G92" i="6"/>
  <c r="I91" i="6"/>
  <c r="I90" i="6"/>
  <c r="I89" i="6"/>
  <c r="I86" i="6"/>
  <c r="I85" i="6"/>
  <c r="G84" i="6"/>
  <c r="I81" i="6"/>
  <c r="I82" i="6" s="1"/>
  <c r="K71" i="6"/>
  <c r="K70" i="6"/>
  <c r="I58" i="6"/>
  <c r="I57" i="6"/>
  <c r="I44" i="6"/>
  <c r="I45" i="6" s="1"/>
  <c r="I41" i="6"/>
  <c r="G41" i="6"/>
  <c r="I40" i="6"/>
  <c r="I42" i="6" s="1"/>
  <c r="G40" i="6"/>
  <c r="G42" i="6" s="1"/>
  <c r="K33" i="6"/>
  <c r="K34" i="6" s="1"/>
  <c r="K30" i="6"/>
  <c r="I30" i="6"/>
  <c r="G30" i="6"/>
  <c r="K29" i="6"/>
  <c r="I29" i="6"/>
  <c r="I31" i="6" s="1"/>
  <c r="G29" i="6"/>
  <c r="I22" i="6"/>
  <c r="I23" i="6" s="1"/>
  <c r="I19" i="6"/>
  <c r="G19" i="6"/>
  <c r="I18" i="6"/>
  <c r="I20" i="6" s="1"/>
  <c r="G18" i="6"/>
  <c r="G20" i="6" s="1"/>
  <c r="K11" i="6"/>
  <c r="K12" i="6" s="1"/>
  <c r="K8" i="6"/>
  <c r="I8" i="6"/>
  <c r="G8" i="6"/>
  <c r="K7" i="6"/>
  <c r="I7" i="6"/>
  <c r="I9" i="6" s="1"/>
  <c r="G7" i="6"/>
  <c r="G9" i="6" l="1"/>
  <c r="K9" i="6"/>
  <c r="K31" i="6"/>
  <c r="G31" i="6"/>
  <c r="I134" i="6"/>
  <c r="I135" i="6" s="1"/>
  <c r="I137" i="6" s="1"/>
  <c r="I138" i="6" s="1"/>
  <c r="G144" i="6"/>
  <c r="G146" i="6" s="1"/>
  <c r="G148" i="6" s="1"/>
  <c r="G149" i="6" s="1"/>
  <c r="G57" i="6"/>
  <c r="K57" i="6"/>
  <c r="I145" i="6"/>
  <c r="I146" i="6" s="1"/>
  <c r="I148" i="6" s="1"/>
  <c r="I149" i="6" s="1"/>
  <c r="G89" i="6"/>
  <c r="G81" i="6"/>
  <c r="G82" i="6" s="1"/>
  <c r="G58" i="6"/>
  <c r="G54" i="6" s="1"/>
  <c r="G55" i="6" s="1"/>
  <c r="I84" i="6"/>
  <c r="I87" i="6" s="1"/>
  <c r="G91" i="6"/>
  <c r="G104" i="6"/>
  <c r="G105" i="6" s="1"/>
  <c r="G107" i="6" s="1"/>
  <c r="G197" i="6"/>
  <c r="G199" i="6" s="1"/>
  <c r="G201" i="6" s="1"/>
  <c r="I198" i="6"/>
  <c r="I208" i="6"/>
  <c r="K58" i="6"/>
  <c r="I197" i="6"/>
  <c r="I209" i="6"/>
  <c r="I214" i="6" s="1"/>
  <c r="I215" i="6" s="1"/>
  <c r="K59" i="6"/>
  <c r="G85" i="6"/>
  <c r="I92" i="6"/>
  <c r="I93" i="6" s="1"/>
  <c r="K197" i="6"/>
  <c r="G207" i="6"/>
  <c r="G211" i="6"/>
  <c r="G212" i="6" s="1"/>
  <c r="K36" i="6"/>
  <c r="I101" i="6"/>
  <c r="I102" i="6" s="1"/>
  <c r="I105" i="6"/>
  <c r="I25" i="6"/>
  <c r="I47" i="6"/>
  <c r="K14" i="6"/>
  <c r="K67" i="6"/>
  <c r="K68" i="6" s="1"/>
  <c r="K72" i="6"/>
  <c r="I125" i="6"/>
  <c r="I121" i="6"/>
  <c r="I122" i="6" s="1"/>
  <c r="I59" i="6"/>
  <c r="I54" i="6"/>
  <c r="I55" i="6" s="1"/>
  <c r="G135" i="6"/>
  <c r="G137" i="6" s="1"/>
  <c r="G138" i="6" s="1"/>
  <c r="G164" i="6"/>
  <c r="G165" i="6" s="1"/>
  <c r="G169" i="6"/>
  <c r="G209" i="6"/>
  <c r="G214" i="6" s="1"/>
  <c r="G215" i="6" s="1"/>
  <c r="G11" i="6"/>
  <c r="G12" i="6" s="1"/>
  <c r="G14" i="6" s="1"/>
  <c r="G22" i="6"/>
  <c r="G23" i="6" s="1"/>
  <c r="G25" i="6" s="1"/>
  <c r="G33" i="6"/>
  <c r="G34" i="6" s="1"/>
  <c r="G36" i="6" s="1"/>
  <c r="G44" i="6"/>
  <c r="G45" i="6" s="1"/>
  <c r="G47" i="6" s="1"/>
  <c r="G70" i="6"/>
  <c r="G71" i="6"/>
  <c r="G86" i="6"/>
  <c r="G90" i="6"/>
  <c r="G124" i="6"/>
  <c r="K198" i="6"/>
  <c r="I33" i="6"/>
  <c r="I34" i="6" s="1"/>
  <c r="I36" i="6" s="1"/>
  <c r="I70" i="6"/>
  <c r="I71" i="6"/>
  <c r="M198" i="6"/>
  <c r="M199" i="6" s="1"/>
  <c r="M201" i="6" s="1"/>
  <c r="I11" i="6"/>
  <c r="I12" i="6" s="1"/>
  <c r="I14" i="6" s="1"/>
  <c r="K54" i="6" l="1"/>
  <c r="K55" i="6" s="1"/>
  <c r="K61" i="6" s="1"/>
  <c r="K62" i="6" s="1"/>
  <c r="G93" i="6"/>
  <c r="G59" i="6"/>
  <c r="G61" i="6" s="1"/>
  <c r="G62" i="6" s="1"/>
  <c r="K199" i="6"/>
  <c r="K201" i="6" s="1"/>
  <c r="G87" i="6"/>
  <c r="I127" i="6"/>
  <c r="I199" i="6"/>
  <c r="I201" i="6" s="1"/>
  <c r="I95" i="6"/>
  <c r="I96" i="6" s="1"/>
  <c r="I61" i="6"/>
  <c r="I62" i="6" s="1"/>
  <c r="G95" i="6"/>
  <c r="G96" i="6" s="1"/>
  <c r="G125" i="6"/>
  <c r="G121" i="6"/>
  <c r="G122" i="6" s="1"/>
  <c r="G127" i="6" s="1"/>
  <c r="K74" i="6"/>
  <c r="K75" i="6" s="1"/>
  <c r="I67" i="6"/>
  <c r="I68" i="6" s="1"/>
  <c r="I72" i="6"/>
  <c r="I107" i="6"/>
  <c r="G67" i="6"/>
  <c r="G68" i="6" s="1"/>
  <c r="G72" i="6"/>
  <c r="G171" i="6"/>
  <c r="I74" i="6" l="1"/>
  <c r="I75" i="6" s="1"/>
  <c r="G74" i="6"/>
  <c r="G75" i="6" s="1"/>
</calcChain>
</file>

<file path=xl/sharedStrings.xml><?xml version="1.0" encoding="utf-8"?>
<sst xmlns="http://schemas.openxmlformats.org/spreadsheetml/2006/main" count="394" uniqueCount="96">
  <si>
    <t>내장공</t>
  </si>
  <si>
    <t>0.3㎥</t>
  </si>
  <si>
    <t>미장공</t>
  </si>
  <si>
    <t>배관파이프</t>
  </si>
  <si>
    <t>보통인부</t>
  </si>
  <si>
    <t>견출공</t>
  </si>
  <si>
    <t>1.49㎾</t>
  </si>
  <si>
    <t>37㎾</t>
  </si>
  <si>
    <t>우레탄폼분사용기구</t>
  </si>
  <si>
    <t>양수기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</si>
  <si>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</si>
  <si>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</si>
  <si>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</si>
  <si>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</si>
  <si>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</si>
  <si>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</si>
  <si>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</si>
  <si>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</si>
  <si>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</si>
  <si>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</si>
  <si>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</si>
  <si>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</si>
  <si>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</si>
  <si>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</si>
  <si>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특별인부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</si>
  <si>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</si>
  <si>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</si>
  <si>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</si>
  <si>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</si>
  <si>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</si>
  <si>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㎏</t>
    <phoneticPr fontId="3" type="noConversion"/>
  </si>
  <si>
    <t>제 9 장 미장공사</t>
    <phoneticPr fontId="3" type="noConversion"/>
  </si>
  <si>
    <t>9-1 모르타르 바름 및 타설</t>
  </si>
  <si>
    <t>모래체가름 포함</t>
    <phoneticPr fontId="3" type="noConversion"/>
  </si>
  <si>
    <t>(㎥당)</t>
  </si>
  <si>
    <t>시멘트</t>
  </si>
  <si>
    <t>모래</t>
  </si>
  <si>
    <t>㎥</t>
  </si>
  <si>
    <t>배합용적비 1 : 1</t>
    <phoneticPr fontId="3" type="noConversion"/>
  </si>
  <si>
    <t>배합용적비 1 : 2</t>
    <phoneticPr fontId="3" type="noConversion"/>
  </si>
  <si>
    <t>배합용적비 1 : 3</t>
    <phoneticPr fontId="3" type="noConversion"/>
  </si>
  <si>
    <t>배합용적비 1 : 4</t>
    <phoneticPr fontId="3" type="noConversion"/>
  </si>
  <si>
    <t>배합용적비 1 : 5</t>
    <phoneticPr fontId="3" type="noConversion"/>
  </si>
  <si>
    <t>9-1-1 모르타르 배합</t>
    <phoneticPr fontId="3" type="noConversion"/>
  </si>
  <si>
    <t>모래체가름 제외</t>
    <phoneticPr fontId="3" type="noConversion"/>
  </si>
  <si>
    <t>9-1-2 모르타르 바름</t>
    <phoneticPr fontId="3" type="noConversion"/>
  </si>
  <si>
    <t>9-1-3 모르타르 타설</t>
    <phoneticPr fontId="3" type="noConversion"/>
  </si>
  <si>
    <t>모르타르펌프</t>
  </si>
  <si>
    <t>믹서</t>
  </si>
  <si>
    <t>Ø50-2.6m</t>
  </si>
  <si>
    <t>9-1-4 표면 마무리</t>
    <phoneticPr fontId="3" type="noConversion"/>
  </si>
  <si>
    <t>(100㎡당)</t>
    <phoneticPr fontId="3" type="noConversion"/>
  </si>
  <si>
    <t>인력마감</t>
    <phoneticPr fontId="3" type="noConversion"/>
  </si>
  <si>
    <t>기계마감</t>
    <phoneticPr fontId="3" type="noConversion"/>
  </si>
  <si>
    <t>인력품의 9%</t>
    <phoneticPr fontId="3" type="noConversion"/>
  </si>
  <si>
    <t>9-1-5 라스 붙임</t>
    <phoneticPr fontId="3" type="noConversion"/>
  </si>
  <si>
    <t>(10㎡당)</t>
    <phoneticPr fontId="3" type="noConversion"/>
  </si>
  <si>
    <t>9-2 콘크리트면 마무리</t>
  </si>
  <si>
    <t>9-2-1 콘크리트면 정리</t>
    <phoneticPr fontId="3" type="noConversion"/>
  </si>
  <si>
    <t>높이 3.6m 이하</t>
    <phoneticPr fontId="3" type="noConversion"/>
  </si>
  <si>
    <t>9-2-2 부분 마감</t>
    <phoneticPr fontId="3" type="noConversion"/>
  </si>
  <si>
    <t>9-2-3 전면 마감</t>
    <phoneticPr fontId="3" type="noConversion"/>
  </si>
  <si>
    <t>※ 전면 마감 재료량</t>
    <phoneticPr fontId="3" type="noConversion"/>
  </si>
  <si>
    <t>혼화제</t>
  </si>
  <si>
    <t>㎏</t>
  </si>
  <si>
    <t>g</t>
  </si>
  <si>
    <t>9-3 충전</t>
  </si>
  <si>
    <t>(10m당)</t>
    <phoneticPr fontId="3" type="noConversion"/>
  </si>
  <si>
    <t>9-3-1 창호주위 모르타르 충전</t>
    <phoneticPr fontId="3" type="noConversion"/>
  </si>
  <si>
    <t>모래</t>
    <phoneticPr fontId="3" type="noConversion"/>
  </si>
  <si>
    <t>※ 재료량</t>
    <phoneticPr fontId="3" type="noConversion"/>
  </si>
  <si>
    <t>9-3-2 창호주위 발포우레탄 충전</t>
    <phoneticPr fontId="3" type="noConversion"/>
  </si>
  <si>
    <t>(개소당)</t>
    <phoneticPr fontId="3" type="noConversion"/>
  </si>
  <si>
    <t>400×400(㎜)</t>
    <phoneticPr fontId="3" type="noConversion"/>
  </si>
  <si>
    <t>500×500(㎜)</t>
    <phoneticPr fontId="3" type="noConversion"/>
  </si>
  <si>
    <t>600×600(㎜)</t>
    <phoneticPr fontId="3" type="noConversion"/>
  </si>
  <si>
    <t>700×700(㎜)</t>
    <phoneticPr fontId="3" type="noConversion"/>
  </si>
  <si>
    <t>무수축몰탈</t>
    <phoneticPr fontId="3" type="noConversion"/>
  </si>
  <si>
    <t>9-3-3 주각부 무수축 모르타르 충전</t>
    <phoneticPr fontId="3" type="noConversion"/>
  </si>
  <si>
    <t>9-3-4 우레탄폼 분사 충전</t>
    <phoneticPr fontId="3" type="noConversion"/>
  </si>
  <si>
    <t>8.1㎏/min</t>
    <phoneticPr fontId="3" type="noConversion"/>
  </si>
  <si>
    <t>시공량(㎡)</t>
    <phoneticPr fontId="3" type="noConversion"/>
  </si>
  <si>
    <t>㎡당 단가</t>
    <phoneticPr fontId="3" type="noConversion"/>
  </si>
  <si>
    <t>시공높이 3.6m이하</t>
    <phoneticPr fontId="3" type="noConversion"/>
  </si>
  <si>
    <t>(일당)</t>
    <phoneticPr fontId="3" type="noConversion"/>
  </si>
  <si>
    <t>1회</t>
    <phoneticPr fontId="3" type="noConversion"/>
  </si>
  <si>
    <t>2회</t>
    <phoneticPr fontId="3" type="noConversion"/>
  </si>
  <si>
    <t>3회</t>
    <phoneticPr fontId="3" type="noConversion"/>
  </si>
  <si>
    <t>시공높이 3.6m초과 ~ 7.2m이하</t>
    <phoneticPr fontId="3" type="noConversion"/>
  </si>
  <si>
    <t>10㎡당 단가</t>
    <phoneticPr fontId="3" type="noConversion"/>
  </si>
  <si>
    <t>모르타르</t>
    <phoneticPr fontId="3" type="noConversion"/>
  </si>
  <si>
    <t>경량기포콘크리트</t>
    <phoneticPr fontId="3" type="noConversion"/>
  </si>
  <si>
    <t>기계설비공</t>
    <phoneticPr fontId="3" type="noConversion"/>
  </si>
  <si>
    <t>높이 3.6m초과~7.2m이하</t>
    <phoneticPr fontId="3" type="noConversion"/>
  </si>
  <si>
    <t>㎥당 단가</t>
    <phoneticPr fontId="3" type="noConversion"/>
  </si>
  <si>
    <t>시공량(㎥)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</si>
</sst>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0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12" fillId="0" borderId="0" xfId="6" applyFont="1" applyAlignment="1">
      <alignment vertical="center"/>
    </xf>
    <xf numFmtId="181" fontId="9" fillId="0" borderId="5" xfId="7" applyNumberFormat="1" applyFont="1" applyFill="1" applyBorder="1" applyAlignment="1">
      <alignment vertical="center"/>
    </xf>
    <xf numFmtId="41" fontId="14" fillId="0" borderId="5" xfId="7" applyFont="1" applyFill="1" applyBorder="1" applyAlignment="1">
      <alignment vertical="center"/>
    </xf>
    <xf numFmtId="0" fontId="9" fillId="0" borderId="0" xfId="0" applyFont="1">
      <alignment vertical="center"/>
    </xf>
    <xf numFmtId="183" fontId="10" fillId="0" borderId="4" xfId="8" applyNumberFormat="1" applyFont="1" applyFill="1" applyBorder="1" applyAlignment="1">
      <alignment vertical="center"/>
    </xf>
    <xf numFmtId="41" fontId="14" fillId="0" borderId="5" xfId="8" applyFont="1" applyFill="1" applyBorder="1" applyAlignment="1">
      <alignment vertical="center"/>
    </xf>
    <xf numFmtId="182" fontId="9" fillId="0" borderId="4" xfId="1" applyNumberFormat="1" applyFont="1" applyFill="1" applyBorder="1" applyAlignment="1">
      <alignment vertical="center"/>
    </xf>
    <xf numFmtId="41" fontId="15" fillId="0" borderId="5" xfId="1" applyFont="1" applyFill="1" applyBorder="1" applyAlignment="1">
      <alignment horizontal="right" vertical="center"/>
    </xf>
    <xf numFmtId="185" fontId="18" fillId="0" borderId="0" xfId="4" applyNumberFormat="1" applyFont="1" applyAlignment="1">
      <alignment vertical="center"/>
    </xf>
    <xf numFmtId="0" fontId="6" fillId="0" borderId="0" xfId="0" applyFont="1" applyAlignment="1"/>
    <xf numFmtId="41" fontId="9" fillId="0" borderId="4" xfId="8" applyFont="1" applyFill="1" applyBorder="1" applyAlignment="1">
      <alignment vertical="center"/>
    </xf>
    <xf numFmtId="182" fontId="9" fillId="0" borderId="4" xfId="8" applyNumberFormat="1" applyFont="1" applyFill="1" applyBorder="1" applyAlignment="1">
      <alignment vertical="center"/>
    </xf>
    <xf numFmtId="41" fontId="10" fillId="0" borderId="4" xfId="1" applyFont="1" applyFill="1" applyBorder="1" applyAlignment="1">
      <alignment vertical="center"/>
    </xf>
    <xf numFmtId="41" fontId="10" fillId="0" borderId="0" xfId="8" applyFont="1" applyFill="1" applyBorder="1" applyAlignment="1">
      <alignment vertical="center"/>
    </xf>
    <xf numFmtId="41" fontId="10" fillId="0" borderId="5" xfId="8" applyFont="1" applyFill="1" applyBorder="1" applyAlignment="1">
      <alignment vertical="center"/>
    </xf>
    <xf numFmtId="41" fontId="10" fillId="0" borderId="7" xfId="7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9" fillId="0" borderId="6" xfId="6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9" fillId="0" borderId="3" xfId="6" applyFont="1" applyBorder="1" applyAlignment="1">
      <alignment vertical="center"/>
    </xf>
    <xf numFmtId="0" fontId="9" fillId="0" borderId="3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9" fillId="0" borderId="4" xfId="1" applyFont="1" applyFill="1" applyBorder="1" applyAlignment="1">
      <alignment horizontal="right" vertical="center"/>
    </xf>
    <xf numFmtId="0" fontId="14" fillId="0" borderId="3" xfId="6" applyFont="1" applyBorder="1" applyAlignment="1">
      <alignment horizontal="left" vertical="center"/>
    </xf>
    <xf numFmtId="0" fontId="15" fillId="0" borderId="3" xfId="6" applyFont="1" applyBorder="1" applyAlignment="1">
      <alignment horizontal="left" vertical="center"/>
    </xf>
    <xf numFmtId="0" fontId="15" fillId="0" borderId="4" xfId="3" applyFont="1" applyBorder="1" applyAlignment="1">
      <alignment horizontal="center" vertical="center"/>
    </xf>
    <xf numFmtId="0" fontId="14" fillId="0" borderId="4" xfId="6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0" fontId="11" fillId="0" borderId="3" xfId="3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3" xfId="3" applyFont="1" applyBorder="1" applyAlignment="1">
      <alignment horizontal="center" vertical="center"/>
    </xf>
    <xf numFmtId="41" fontId="15" fillId="0" borderId="4" xfId="0" applyNumberFormat="1" applyFont="1" applyBorder="1">
      <alignment vertical="center"/>
    </xf>
    <xf numFmtId="0" fontId="14" fillId="0" borderId="3" xfId="3" applyFont="1" applyBorder="1" applyAlignment="1">
      <alignment vertical="center"/>
    </xf>
    <xf numFmtId="0" fontId="10" fillId="0" borderId="8" xfId="6" applyFont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Fill="1" applyBorder="1" applyAlignment="1">
      <alignment vertical="center"/>
    </xf>
    <xf numFmtId="0" fontId="9" fillId="0" borderId="2" xfId="6" applyFont="1" applyBorder="1" applyAlignment="1">
      <alignment horizontal="center" vertical="center" shrinkToFit="1"/>
    </xf>
    <xf numFmtId="1" fontId="9" fillId="0" borderId="11" xfId="6" applyNumberFormat="1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/>
    </xf>
    <xf numFmtId="0" fontId="9" fillId="0" borderId="4" xfId="6" applyFont="1" applyBorder="1" applyAlignment="1">
      <alignment horizontal="right" vertical="center"/>
    </xf>
    <xf numFmtId="41" fontId="19" fillId="0" borderId="4" xfId="0" applyNumberFormat="1" applyFont="1" applyBorder="1">
      <alignment vertical="center"/>
    </xf>
    <xf numFmtId="0" fontId="10" fillId="0" borderId="3" xfId="6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9" fillId="0" borderId="8" xfId="6" applyFont="1" applyBorder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17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0" fontId="11" fillId="0" borderId="0" xfId="3" applyFont="1" applyAlignment="1">
      <alignment vertical="center"/>
    </xf>
    <xf numFmtId="0" fontId="9" fillId="0" borderId="3" xfId="2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182" fontId="10" fillId="0" borderId="4" xfId="8" applyNumberFormat="1" applyFont="1" applyFill="1" applyBorder="1" applyAlignment="1">
      <alignment vertical="center"/>
    </xf>
    <xf numFmtId="41" fontId="15" fillId="0" borderId="4" xfId="0" applyNumberFormat="1" applyFont="1" applyBorder="1" applyAlignment="1">
      <alignment horizontal="right" vertical="center"/>
    </xf>
    <xf numFmtId="0" fontId="9" fillId="0" borderId="3" xfId="6" applyFont="1" applyBorder="1" applyAlignment="1">
      <alignment horizontal="left" vertical="center"/>
    </xf>
    <xf numFmtId="41" fontId="9" fillId="0" borderId="4" xfId="2" applyNumberFormat="1" applyFont="1" applyBorder="1" applyAlignment="1">
      <alignment vertical="center"/>
    </xf>
    <xf numFmtId="180" fontId="9" fillId="0" borderId="0" xfId="8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right" vertical="center"/>
    </xf>
    <xf numFmtId="41" fontId="19" fillId="0" borderId="5" xfId="0" applyNumberFormat="1" applyFont="1" applyBorder="1">
      <alignment vertical="center"/>
    </xf>
    <xf numFmtId="41" fontId="9" fillId="0" borderId="4" xfId="0" applyNumberFormat="1" applyFont="1" applyBorder="1">
      <alignment vertical="center"/>
    </xf>
    <xf numFmtId="180" fontId="9" fillId="0" borderId="4" xfId="8" applyNumberFormat="1" applyFont="1" applyFill="1" applyBorder="1" applyAlignment="1">
      <alignment vertical="center"/>
    </xf>
    <xf numFmtId="180" fontId="9" fillId="0" borderId="4" xfId="0" applyNumberFormat="1" applyFont="1" applyBorder="1">
      <alignment vertical="center"/>
    </xf>
    <xf numFmtId="0" fontId="17" fillId="0" borderId="0" xfId="0" applyFont="1">
      <alignment vertical="center"/>
    </xf>
    <xf numFmtId="0" fontId="9" fillId="0" borderId="1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shrinkToFit="1"/>
    </xf>
    <xf numFmtId="0" fontId="11" fillId="0" borderId="11" xfId="3" applyFont="1" applyBorder="1" applyAlignment="1">
      <alignment horizontal="center" vertical="center" shrinkToFit="1"/>
    </xf>
    <xf numFmtId="0" fontId="11" fillId="0" borderId="2" xfId="3" applyFont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EE74-3E61-4F52-B542-EBDDCE65649B}">
  <sheetPr>
    <pageSetUpPr fitToPage="1"/>
  </sheetPr>
  <dimension ref="A1:O308"/>
  <sheetViews>
    <sheetView tabSelected="1" zoomScaleNormal="100" workbookViewId="0">
      <selection activeCell="K20" sqref="K20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22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11"/>
      <c r="B1" s="19" t="s">
        <v>31</v>
      </c>
      <c r="C1" s="20"/>
      <c r="D1" s="21"/>
    </row>
    <row r="2" spans="1:15" ht="12.95" customHeight="1" x14ac:dyDescent="0.15">
      <c r="A2" s="12"/>
      <c r="B2" s="21" t="s">
        <v>32</v>
      </c>
    </row>
    <row r="3" spans="1:15" ht="12.95" customHeight="1" x14ac:dyDescent="0.3">
      <c r="B3" s="23" t="s">
        <v>43</v>
      </c>
      <c r="C3" s="24"/>
      <c r="D3" s="25"/>
      <c r="E3" s="26"/>
      <c r="F3" s="25"/>
      <c r="K3" s="26" t="s">
        <v>34</v>
      </c>
    </row>
    <row r="4" spans="1:15" ht="12.95" customHeight="1" x14ac:dyDescent="0.3">
      <c r="B4" s="74" t="s">
        <v>10</v>
      </c>
      <c r="C4" s="74" t="s">
        <v>14</v>
      </c>
      <c r="D4" s="77" t="s">
        <v>15</v>
      </c>
      <c r="E4" s="77" t="s">
        <v>11</v>
      </c>
      <c r="F4" s="80" t="s">
        <v>33</v>
      </c>
      <c r="G4" s="81"/>
      <c r="H4" s="81"/>
      <c r="I4" s="81"/>
      <c r="J4" s="81"/>
      <c r="K4" s="81"/>
    </row>
    <row r="5" spans="1:15" ht="12.95" customHeight="1" x14ac:dyDescent="0.3">
      <c r="B5" s="75"/>
      <c r="C5" s="75"/>
      <c r="D5" s="78"/>
      <c r="E5" s="78"/>
      <c r="F5" s="80" t="s">
        <v>38</v>
      </c>
      <c r="G5" s="81"/>
      <c r="H5" s="80" t="s">
        <v>39</v>
      </c>
      <c r="I5" s="81"/>
      <c r="J5" s="80" t="s">
        <v>40</v>
      </c>
      <c r="K5" s="81"/>
    </row>
    <row r="6" spans="1:15" ht="12.95" customHeight="1" x14ac:dyDescent="0.3">
      <c r="B6" s="76"/>
      <c r="C6" s="76"/>
      <c r="D6" s="79"/>
      <c r="E6" s="79"/>
      <c r="F6" s="28" t="s">
        <v>12</v>
      </c>
      <c r="G6" s="29" t="s">
        <v>13</v>
      </c>
      <c r="H6" s="28" t="s">
        <v>12</v>
      </c>
      <c r="I6" s="29" t="s">
        <v>13</v>
      </c>
      <c r="J6" s="28" t="s">
        <v>12</v>
      </c>
      <c r="K6" s="29" t="s">
        <v>13</v>
      </c>
    </row>
    <row r="7" spans="1:15" ht="12.95" customHeight="1" x14ac:dyDescent="0.3">
      <c r="B7" s="30" t="s">
        <v>35</v>
      </c>
      <c r="C7" s="31"/>
      <c r="D7" s="32" t="s">
        <v>30</v>
      </c>
      <c r="E7" s="33">
        <v>0</v>
      </c>
      <c r="F7" s="13">
        <v>1093</v>
      </c>
      <c r="G7" s="2">
        <f t="shared" ref="G7:G8" si="0">TRUNC($E7*F7,1)</f>
        <v>0</v>
      </c>
      <c r="H7" s="13">
        <v>680</v>
      </c>
      <c r="I7" s="2">
        <f t="shared" ref="I7:I8" si="1">TRUNC($E7*H7,1)</f>
        <v>0</v>
      </c>
      <c r="J7" s="13">
        <v>510</v>
      </c>
      <c r="K7" s="2">
        <f t="shared" ref="K7:K8" si="2">TRUNC($E7*J7,1)</f>
        <v>0</v>
      </c>
    </row>
    <row r="8" spans="1:15" ht="12.95" customHeight="1" x14ac:dyDescent="0.3">
      <c r="B8" s="30" t="s">
        <v>36</v>
      </c>
      <c r="C8" s="31"/>
      <c r="D8" s="32" t="s">
        <v>37</v>
      </c>
      <c r="E8" s="33">
        <v>0</v>
      </c>
      <c r="F8" s="14">
        <v>0.78</v>
      </c>
      <c r="G8" s="2">
        <f t="shared" si="0"/>
        <v>0</v>
      </c>
      <c r="H8" s="14">
        <v>0.98</v>
      </c>
      <c r="I8" s="2">
        <f t="shared" si="1"/>
        <v>0</v>
      </c>
      <c r="J8" s="14">
        <v>1.1000000000000001</v>
      </c>
      <c r="K8" s="2">
        <f t="shared" si="2"/>
        <v>0</v>
      </c>
    </row>
    <row r="9" spans="1:15" ht="12.95" customHeight="1" x14ac:dyDescent="0.3">
      <c r="B9" s="34" t="s">
        <v>17</v>
      </c>
      <c r="C9" s="35"/>
      <c r="D9" s="36"/>
      <c r="E9" s="37"/>
      <c r="F9" s="14"/>
      <c r="G9" s="5">
        <f>TRUNC(SUM(G7:G8))</f>
        <v>0</v>
      </c>
      <c r="H9" s="14"/>
      <c r="I9" s="5">
        <f>TRUNC(SUM(I7:I8))</f>
        <v>0</v>
      </c>
      <c r="J9" s="14"/>
      <c r="K9" s="5">
        <f>TRUNC(SUM(K7:K8))</f>
        <v>0</v>
      </c>
    </row>
    <row r="10" spans="1:15" ht="12.95" customHeight="1" x14ac:dyDescent="0.3">
      <c r="B10" s="38"/>
      <c r="C10" s="39"/>
      <c r="D10" s="39"/>
      <c r="E10" s="15"/>
      <c r="F10" s="7"/>
      <c r="G10" s="16"/>
      <c r="H10" s="7"/>
      <c r="I10" s="16"/>
      <c r="J10" s="7"/>
      <c r="K10" s="16"/>
    </row>
    <row r="11" spans="1:15" ht="12.95" customHeight="1" x14ac:dyDescent="0.3">
      <c r="B11" s="40" t="s">
        <v>4</v>
      </c>
      <c r="C11" s="41"/>
      <c r="D11" s="42" t="s">
        <v>16</v>
      </c>
      <c r="E11" s="43">
        <v>172068</v>
      </c>
      <c r="F11" s="14">
        <v>0.66</v>
      </c>
      <c r="G11" s="2">
        <f t="shared" ref="G11" si="3">TRUNC($E11*F11,1)</f>
        <v>113564.8</v>
      </c>
      <c r="H11" s="14">
        <v>0.66</v>
      </c>
      <c r="I11" s="2">
        <f t="shared" ref="I11" si="4">TRUNC($E11*H11,1)</f>
        <v>113564.8</v>
      </c>
      <c r="J11" s="14">
        <v>0.66</v>
      </c>
      <c r="K11" s="2">
        <f t="shared" ref="K11" si="5">TRUNC($E11*J11,1)</f>
        <v>113564.8</v>
      </c>
    </row>
    <row r="12" spans="1:15" ht="12.95" customHeight="1" x14ac:dyDescent="0.3">
      <c r="B12" s="44" t="s">
        <v>18</v>
      </c>
      <c r="C12" s="39"/>
      <c r="D12" s="39"/>
      <c r="E12" s="15"/>
      <c r="F12" s="7"/>
      <c r="G12" s="8">
        <f>TRUNC(SUM(G11:G11))</f>
        <v>113564</v>
      </c>
      <c r="H12" s="7"/>
      <c r="I12" s="8">
        <f>TRUNC(SUM(I11:I11))</f>
        <v>113564</v>
      </c>
      <c r="J12" s="7"/>
      <c r="K12" s="8">
        <f>TRUNC(SUM(K11:K11))</f>
        <v>113564</v>
      </c>
    </row>
    <row r="13" spans="1:15" ht="12.95" customHeight="1" x14ac:dyDescent="0.3">
      <c r="B13" s="38"/>
      <c r="C13" s="39"/>
      <c r="D13" s="39"/>
      <c r="E13" s="15"/>
      <c r="F13" s="7"/>
      <c r="G13" s="16"/>
      <c r="H13" s="7"/>
      <c r="I13" s="16"/>
      <c r="J13" s="7"/>
      <c r="K13" s="16"/>
      <c r="O13" s="6"/>
    </row>
    <row r="14" spans="1:15" ht="12.95" customHeight="1" x14ac:dyDescent="0.3">
      <c r="B14" s="45" t="s">
        <v>20</v>
      </c>
      <c r="C14" s="46"/>
      <c r="D14" s="46"/>
      <c r="E14" s="47"/>
      <c r="F14" s="47"/>
      <c r="G14" s="48">
        <f>SUM(G9+G12)</f>
        <v>113564</v>
      </c>
      <c r="H14" s="47"/>
      <c r="I14" s="48">
        <f>SUM(I9+I12)</f>
        <v>113564</v>
      </c>
      <c r="J14" s="47"/>
      <c r="K14" s="48">
        <f>SUM(K9+K12)</f>
        <v>113564</v>
      </c>
      <c r="N14" s="6"/>
      <c r="O14" s="6"/>
    </row>
    <row r="15" spans="1:15" ht="12.95" customHeight="1" x14ac:dyDescent="0.3">
      <c r="B15" s="74" t="s">
        <v>10</v>
      </c>
      <c r="C15" s="74" t="s">
        <v>14</v>
      </c>
      <c r="D15" s="77" t="s">
        <v>15</v>
      </c>
      <c r="E15" s="77" t="s">
        <v>11</v>
      </c>
      <c r="F15" s="80" t="s">
        <v>33</v>
      </c>
      <c r="G15" s="81"/>
      <c r="H15" s="81"/>
      <c r="I15" s="81"/>
      <c r="L15" s="6"/>
      <c r="M15" s="6"/>
    </row>
    <row r="16" spans="1:15" ht="12.95" customHeight="1" x14ac:dyDescent="0.3">
      <c r="B16" s="75"/>
      <c r="C16" s="75"/>
      <c r="D16" s="78"/>
      <c r="E16" s="78"/>
      <c r="F16" s="80" t="s">
        <v>41</v>
      </c>
      <c r="G16" s="81"/>
      <c r="H16" s="80" t="s">
        <v>42</v>
      </c>
      <c r="I16" s="81"/>
      <c r="L16" s="6"/>
      <c r="M16" s="6"/>
    </row>
    <row r="17" spans="2:13" ht="12.95" customHeight="1" x14ac:dyDescent="0.3">
      <c r="B17" s="76"/>
      <c r="C17" s="76"/>
      <c r="D17" s="79"/>
      <c r="E17" s="79"/>
      <c r="F17" s="28" t="s">
        <v>12</v>
      </c>
      <c r="G17" s="29" t="s">
        <v>13</v>
      </c>
      <c r="H17" s="28" t="s">
        <v>12</v>
      </c>
      <c r="I17" s="29" t="s">
        <v>13</v>
      </c>
      <c r="L17" s="6"/>
      <c r="M17" s="6"/>
    </row>
    <row r="18" spans="2:13" ht="12.95" customHeight="1" x14ac:dyDescent="0.3">
      <c r="B18" s="30" t="s">
        <v>35</v>
      </c>
      <c r="C18" s="31"/>
      <c r="D18" s="32" t="s">
        <v>30</v>
      </c>
      <c r="E18" s="33">
        <v>0</v>
      </c>
      <c r="F18" s="13">
        <v>385</v>
      </c>
      <c r="G18" s="2">
        <f t="shared" ref="G18:G19" si="6">TRUNC($E18*F18,1)</f>
        <v>0</v>
      </c>
      <c r="H18" s="13">
        <v>320</v>
      </c>
      <c r="I18" s="2">
        <f t="shared" ref="I18:I19" si="7">TRUNC($E18*H18,1)</f>
        <v>0</v>
      </c>
      <c r="L18" s="6"/>
      <c r="M18" s="6"/>
    </row>
    <row r="19" spans="2:13" ht="12.95" customHeight="1" x14ac:dyDescent="0.3">
      <c r="B19" s="30" t="s">
        <v>36</v>
      </c>
      <c r="C19" s="31"/>
      <c r="D19" s="32" t="s">
        <v>37</v>
      </c>
      <c r="E19" s="33">
        <v>0</v>
      </c>
      <c r="F19" s="14">
        <v>1.1000000000000001</v>
      </c>
      <c r="G19" s="2">
        <f t="shared" si="6"/>
        <v>0</v>
      </c>
      <c r="H19" s="14">
        <v>1.1499999999999999</v>
      </c>
      <c r="I19" s="2">
        <f t="shared" si="7"/>
        <v>0</v>
      </c>
      <c r="L19" s="6"/>
      <c r="M19" s="6"/>
    </row>
    <row r="20" spans="2:13" ht="12.95" customHeight="1" x14ac:dyDescent="0.3">
      <c r="B20" s="34" t="s">
        <v>17</v>
      </c>
      <c r="C20" s="35"/>
      <c r="D20" s="36"/>
      <c r="E20" s="37"/>
      <c r="F20" s="14"/>
      <c r="G20" s="5">
        <f>TRUNC(SUM(G18:G19))</f>
        <v>0</v>
      </c>
      <c r="H20" s="14"/>
      <c r="I20" s="5">
        <f>TRUNC(SUM(I18:I19))</f>
        <v>0</v>
      </c>
    </row>
    <row r="21" spans="2:13" ht="12.95" customHeight="1" x14ac:dyDescent="0.3">
      <c r="B21" s="38"/>
      <c r="C21" s="39"/>
      <c r="D21" s="39"/>
      <c r="E21" s="15"/>
      <c r="F21" s="7"/>
      <c r="G21" s="16"/>
      <c r="H21" s="7"/>
      <c r="I21" s="16"/>
    </row>
    <row r="22" spans="2:13" ht="12.95" customHeight="1" x14ac:dyDescent="0.3">
      <c r="B22" s="40" t="s">
        <v>4</v>
      </c>
      <c r="C22" s="41"/>
      <c r="D22" s="42" t="s">
        <v>16</v>
      </c>
      <c r="E22" s="43">
        <v>172068</v>
      </c>
      <c r="F22" s="14">
        <v>0.66</v>
      </c>
      <c r="G22" s="2">
        <f t="shared" ref="G22" si="8">TRUNC($E22*F22,1)</f>
        <v>113564.8</v>
      </c>
      <c r="H22" s="14">
        <v>0.66</v>
      </c>
      <c r="I22" s="2">
        <f t="shared" ref="I22" si="9">TRUNC($E22*H22,1)</f>
        <v>113564.8</v>
      </c>
    </row>
    <row r="23" spans="2:13" ht="12.95" customHeight="1" x14ac:dyDescent="0.3">
      <c r="B23" s="44" t="s">
        <v>18</v>
      </c>
      <c r="C23" s="39"/>
      <c r="D23" s="39"/>
      <c r="E23" s="15"/>
      <c r="F23" s="7"/>
      <c r="G23" s="8">
        <f>TRUNC(SUM(G22:G22))</f>
        <v>113564</v>
      </c>
      <c r="H23" s="7"/>
      <c r="I23" s="8">
        <f>TRUNC(SUM(I22:I22))</f>
        <v>113564</v>
      </c>
    </row>
    <row r="24" spans="2:13" ht="12.95" customHeight="1" x14ac:dyDescent="0.3">
      <c r="B24" s="38"/>
      <c r="C24" s="39"/>
      <c r="D24" s="39"/>
      <c r="E24" s="15"/>
      <c r="F24" s="7"/>
      <c r="G24" s="16"/>
      <c r="H24" s="7"/>
      <c r="I24" s="16"/>
    </row>
    <row r="25" spans="2:13" ht="12.95" customHeight="1" x14ac:dyDescent="0.3">
      <c r="B25" s="45" t="s">
        <v>20</v>
      </c>
      <c r="C25" s="46"/>
      <c r="D25" s="46"/>
      <c r="E25" s="47"/>
      <c r="F25" s="47"/>
      <c r="G25" s="48">
        <f>SUM(G20+G23)</f>
        <v>113564</v>
      </c>
      <c r="H25" s="47"/>
      <c r="I25" s="48">
        <f>SUM(I20+I23)</f>
        <v>113564</v>
      </c>
    </row>
    <row r="26" spans="2:13" ht="12.95" customHeight="1" x14ac:dyDescent="0.3">
      <c r="B26" s="74" t="s">
        <v>10</v>
      </c>
      <c r="C26" s="74" t="s">
        <v>14</v>
      </c>
      <c r="D26" s="77" t="s">
        <v>15</v>
      </c>
      <c r="E26" s="77" t="s">
        <v>11</v>
      </c>
      <c r="F26" s="80" t="s">
        <v>44</v>
      </c>
      <c r="G26" s="81"/>
      <c r="H26" s="81"/>
      <c r="I26" s="81"/>
      <c r="J26" s="81"/>
      <c r="K26" s="81"/>
    </row>
    <row r="27" spans="2:13" ht="12.95" customHeight="1" x14ac:dyDescent="0.3">
      <c r="B27" s="75"/>
      <c r="C27" s="75"/>
      <c r="D27" s="78"/>
      <c r="E27" s="78"/>
      <c r="F27" s="80" t="s">
        <v>38</v>
      </c>
      <c r="G27" s="81"/>
      <c r="H27" s="80" t="s">
        <v>39</v>
      </c>
      <c r="I27" s="81"/>
      <c r="J27" s="80" t="s">
        <v>40</v>
      </c>
      <c r="K27" s="81"/>
    </row>
    <row r="28" spans="2:13" ht="12.95" customHeight="1" x14ac:dyDescent="0.3">
      <c r="B28" s="76"/>
      <c r="C28" s="76"/>
      <c r="D28" s="79"/>
      <c r="E28" s="79"/>
      <c r="F28" s="28" t="s">
        <v>12</v>
      </c>
      <c r="G28" s="29" t="s">
        <v>13</v>
      </c>
      <c r="H28" s="28" t="s">
        <v>12</v>
      </c>
      <c r="I28" s="29" t="s">
        <v>13</v>
      </c>
      <c r="J28" s="28" t="s">
        <v>12</v>
      </c>
      <c r="K28" s="29" t="s">
        <v>13</v>
      </c>
    </row>
    <row r="29" spans="2:13" ht="12.95" customHeight="1" x14ac:dyDescent="0.3">
      <c r="B29" s="30" t="s">
        <v>35</v>
      </c>
      <c r="C29" s="31"/>
      <c r="D29" s="32" t="s">
        <v>30</v>
      </c>
      <c r="E29" s="33">
        <v>0</v>
      </c>
      <c r="F29" s="13">
        <v>1093</v>
      </c>
      <c r="G29" s="2">
        <f t="shared" ref="G29:G30" si="10">TRUNC($E29*F29,1)</f>
        <v>0</v>
      </c>
      <c r="H29" s="13">
        <v>680</v>
      </c>
      <c r="I29" s="2">
        <f t="shared" ref="I29:I30" si="11">TRUNC($E29*H29,1)</f>
        <v>0</v>
      </c>
      <c r="J29" s="13">
        <v>510</v>
      </c>
      <c r="K29" s="2">
        <f t="shared" ref="K29:K30" si="12">TRUNC($E29*J29,1)</f>
        <v>0</v>
      </c>
    </row>
    <row r="30" spans="2:13" ht="12.95" customHeight="1" x14ac:dyDescent="0.3">
      <c r="B30" s="30" t="s">
        <v>36</v>
      </c>
      <c r="C30" s="31"/>
      <c r="D30" s="32" t="s">
        <v>37</v>
      </c>
      <c r="E30" s="33">
        <v>0</v>
      </c>
      <c r="F30" s="14">
        <v>0.78</v>
      </c>
      <c r="G30" s="2">
        <f t="shared" si="10"/>
        <v>0</v>
      </c>
      <c r="H30" s="14">
        <v>0.98</v>
      </c>
      <c r="I30" s="2">
        <f t="shared" si="11"/>
        <v>0</v>
      </c>
      <c r="J30" s="14">
        <v>1.1000000000000001</v>
      </c>
      <c r="K30" s="2">
        <f t="shared" si="12"/>
        <v>0</v>
      </c>
    </row>
    <row r="31" spans="2:13" ht="12.95" customHeight="1" x14ac:dyDescent="0.3">
      <c r="B31" s="34" t="s">
        <v>17</v>
      </c>
      <c r="C31" s="35"/>
      <c r="D31" s="36"/>
      <c r="E31" s="37"/>
      <c r="F31" s="14"/>
      <c r="G31" s="5">
        <f>TRUNC(SUM(G29:G30))</f>
        <v>0</v>
      </c>
      <c r="H31" s="14"/>
      <c r="I31" s="5">
        <f>TRUNC(SUM(I29:I30))</f>
        <v>0</v>
      </c>
      <c r="J31" s="14"/>
      <c r="K31" s="5">
        <f>TRUNC(SUM(K29:K30))</f>
        <v>0</v>
      </c>
    </row>
    <row r="32" spans="2:13" ht="12.95" customHeight="1" x14ac:dyDescent="0.3">
      <c r="B32" s="38"/>
      <c r="C32" s="39"/>
      <c r="D32" s="39"/>
      <c r="E32" s="15"/>
      <c r="F32" s="7"/>
      <c r="G32" s="16"/>
      <c r="H32" s="7"/>
      <c r="I32" s="16"/>
      <c r="J32" s="7"/>
      <c r="K32" s="16"/>
    </row>
    <row r="33" spans="2:13" ht="12.95" customHeight="1" x14ac:dyDescent="0.3">
      <c r="B33" s="40" t="s">
        <v>4</v>
      </c>
      <c r="C33" s="41"/>
      <c r="D33" s="42" t="s">
        <v>16</v>
      </c>
      <c r="E33" s="43">
        <v>172068</v>
      </c>
      <c r="F33" s="14">
        <v>0.43</v>
      </c>
      <c r="G33" s="2">
        <f t="shared" ref="G33" si="13">TRUNC($E33*F33,1)</f>
        <v>73989.2</v>
      </c>
      <c r="H33" s="14">
        <v>0.43</v>
      </c>
      <c r="I33" s="2">
        <f t="shared" ref="I33" si="14">TRUNC($E33*H33,1)</f>
        <v>73989.2</v>
      </c>
      <c r="J33" s="14">
        <v>0.43</v>
      </c>
      <c r="K33" s="2">
        <f t="shared" ref="K33" si="15">TRUNC($E33*J33,1)</f>
        <v>73989.2</v>
      </c>
    </row>
    <row r="34" spans="2:13" ht="12.95" customHeight="1" x14ac:dyDescent="0.3">
      <c r="B34" s="44" t="s">
        <v>18</v>
      </c>
      <c r="C34" s="39"/>
      <c r="D34" s="39"/>
      <c r="E34" s="15"/>
      <c r="F34" s="7"/>
      <c r="G34" s="8">
        <f>TRUNC(SUM(G33:G33))</f>
        <v>73989</v>
      </c>
      <c r="H34" s="7"/>
      <c r="I34" s="8">
        <f>TRUNC(SUM(I33:I33))</f>
        <v>73989</v>
      </c>
      <c r="J34" s="7"/>
      <c r="K34" s="8">
        <f>TRUNC(SUM(K33:K33))</f>
        <v>73989</v>
      </c>
    </row>
    <row r="35" spans="2:13" ht="12.95" customHeight="1" x14ac:dyDescent="0.3">
      <c r="B35" s="38"/>
      <c r="C35" s="39"/>
      <c r="D35" s="39"/>
      <c r="E35" s="15"/>
      <c r="F35" s="7"/>
      <c r="G35" s="16"/>
      <c r="H35" s="7"/>
      <c r="I35" s="16"/>
      <c r="J35" s="7"/>
      <c r="K35" s="16"/>
    </row>
    <row r="36" spans="2:13" ht="12.95" customHeight="1" x14ac:dyDescent="0.3">
      <c r="B36" s="45" t="s">
        <v>20</v>
      </c>
      <c r="C36" s="46"/>
      <c r="D36" s="46"/>
      <c r="E36" s="47"/>
      <c r="F36" s="47"/>
      <c r="G36" s="48">
        <f>SUM(G31+G34)</f>
        <v>73989</v>
      </c>
      <c r="H36" s="47"/>
      <c r="I36" s="48">
        <f>SUM(I31+I34)</f>
        <v>73989</v>
      </c>
      <c r="J36" s="47"/>
      <c r="K36" s="48">
        <f>SUM(K31+K34)</f>
        <v>73989</v>
      </c>
    </row>
    <row r="37" spans="2:13" ht="12.95" customHeight="1" x14ac:dyDescent="0.3">
      <c r="B37" s="74" t="s">
        <v>10</v>
      </c>
      <c r="C37" s="74" t="s">
        <v>14</v>
      </c>
      <c r="D37" s="77" t="s">
        <v>15</v>
      </c>
      <c r="E37" s="77" t="s">
        <v>11</v>
      </c>
      <c r="F37" s="80" t="s">
        <v>44</v>
      </c>
      <c r="G37" s="81"/>
      <c r="H37" s="81"/>
      <c r="I37" s="81"/>
      <c r="L37" s="6"/>
      <c r="M37" s="6"/>
    </row>
    <row r="38" spans="2:13" ht="12.95" customHeight="1" x14ac:dyDescent="0.3">
      <c r="B38" s="75"/>
      <c r="C38" s="75"/>
      <c r="D38" s="78"/>
      <c r="E38" s="78"/>
      <c r="F38" s="80" t="s">
        <v>41</v>
      </c>
      <c r="G38" s="81"/>
      <c r="H38" s="80" t="s">
        <v>42</v>
      </c>
      <c r="I38" s="81"/>
      <c r="L38" s="6"/>
      <c r="M38" s="6"/>
    </row>
    <row r="39" spans="2:13" ht="12.95" customHeight="1" x14ac:dyDescent="0.3">
      <c r="B39" s="76"/>
      <c r="C39" s="76"/>
      <c r="D39" s="79"/>
      <c r="E39" s="79"/>
      <c r="F39" s="28" t="s">
        <v>12</v>
      </c>
      <c r="G39" s="29" t="s">
        <v>13</v>
      </c>
      <c r="H39" s="28" t="s">
        <v>12</v>
      </c>
      <c r="I39" s="29" t="s">
        <v>13</v>
      </c>
      <c r="L39" s="6"/>
      <c r="M39" s="6"/>
    </row>
    <row r="40" spans="2:13" ht="12.95" customHeight="1" x14ac:dyDescent="0.3">
      <c r="B40" s="30" t="s">
        <v>35</v>
      </c>
      <c r="C40" s="31"/>
      <c r="D40" s="32" t="s">
        <v>30</v>
      </c>
      <c r="E40" s="33">
        <v>0</v>
      </c>
      <c r="F40" s="13">
        <v>385</v>
      </c>
      <c r="G40" s="2">
        <f t="shared" ref="G40:G41" si="16">TRUNC($E40*F40,1)</f>
        <v>0</v>
      </c>
      <c r="H40" s="13">
        <v>320</v>
      </c>
      <c r="I40" s="2">
        <f t="shared" ref="I40:I41" si="17">TRUNC($E40*H40,1)</f>
        <v>0</v>
      </c>
      <c r="L40" s="6"/>
      <c r="M40" s="6"/>
    </row>
    <row r="41" spans="2:13" ht="12.95" customHeight="1" x14ac:dyDescent="0.3">
      <c r="B41" s="30" t="s">
        <v>36</v>
      </c>
      <c r="C41" s="31"/>
      <c r="D41" s="32" t="s">
        <v>37</v>
      </c>
      <c r="E41" s="33">
        <v>0</v>
      </c>
      <c r="F41" s="14">
        <v>1.1000000000000001</v>
      </c>
      <c r="G41" s="2">
        <f t="shared" si="16"/>
        <v>0</v>
      </c>
      <c r="H41" s="14">
        <v>1.1499999999999999</v>
      </c>
      <c r="I41" s="2">
        <f t="shared" si="17"/>
        <v>0</v>
      </c>
      <c r="L41" s="6"/>
      <c r="M41" s="6"/>
    </row>
    <row r="42" spans="2:13" ht="12.95" customHeight="1" x14ac:dyDescent="0.3">
      <c r="B42" s="34" t="s">
        <v>17</v>
      </c>
      <c r="C42" s="35"/>
      <c r="D42" s="36"/>
      <c r="E42" s="37"/>
      <c r="F42" s="14"/>
      <c r="G42" s="5">
        <f>TRUNC(SUM(G40:G41))</f>
        <v>0</v>
      </c>
      <c r="H42" s="14"/>
      <c r="I42" s="5">
        <f>TRUNC(SUM(I40:I41))</f>
        <v>0</v>
      </c>
    </row>
    <row r="43" spans="2:13" ht="12.95" customHeight="1" x14ac:dyDescent="0.3">
      <c r="B43" s="38"/>
      <c r="C43" s="39"/>
      <c r="D43" s="39"/>
      <c r="E43" s="15"/>
      <c r="F43" s="7"/>
      <c r="G43" s="16"/>
      <c r="H43" s="7"/>
      <c r="I43" s="16"/>
    </row>
    <row r="44" spans="2:13" ht="12.95" customHeight="1" x14ac:dyDescent="0.3">
      <c r="B44" s="40" t="s">
        <v>4</v>
      </c>
      <c r="C44" s="41"/>
      <c r="D44" s="42" t="s">
        <v>16</v>
      </c>
      <c r="E44" s="43">
        <v>172068</v>
      </c>
      <c r="F44" s="14">
        <v>0.43</v>
      </c>
      <c r="G44" s="2">
        <f t="shared" ref="G44" si="18">TRUNC($E44*F44,1)</f>
        <v>73989.2</v>
      </c>
      <c r="H44" s="14">
        <v>0.43</v>
      </c>
      <c r="I44" s="2">
        <f t="shared" ref="I44" si="19">TRUNC($E44*H44,1)</f>
        <v>73989.2</v>
      </c>
    </row>
    <row r="45" spans="2:13" ht="12.95" customHeight="1" x14ac:dyDescent="0.3">
      <c r="B45" s="44" t="s">
        <v>18</v>
      </c>
      <c r="C45" s="39"/>
      <c r="D45" s="39"/>
      <c r="E45" s="15"/>
      <c r="F45" s="7"/>
      <c r="G45" s="8">
        <f>TRUNC(SUM(G44:G44))</f>
        <v>73989</v>
      </c>
      <c r="H45" s="7"/>
      <c r="I45" s="8">
        <f>TRUNC(SUM(I44:I44))</f>
        <v>73989</v>
      </c>
    </row>
    <row r="46" spans="2:13" ht="12.95" customHeight="1" x14ac:dyDescent="0.3">
      <c r="B46" s="38"/>
      <c r="C46" s="39"/>
      <c r="D46" s="39"/>
      <c r="E46" s="15"/>
      <c r="F46" s="7"/>
      <c r="G46" s="16"/>
      <c r="H46" s="7"/>
      <c r="I46" s="16"/>
    </row>
    <row r="47" spans="2:13" ht="12.95" customHeight="1" x14ac:dyDescent="0.3">
      <c r="B47" s="45" t="s">
        <v>20</v>
      </c>
      <c r="C47" s="46"/>
      <c r="D47" s="46"/>
      <c r="E47" s="47"/>
      <c r="F47" s="47"/>
      <c r="G47" s="48">
        <f>SUM(G42+G45)</f>
        <v>73989</v>
      </c>
      <c r="H47" s="47"/>
      <c r="I47" s="48">
        <f>SUM(I42+I45)</f>
        <v>73989</v>
      </c>
    </row>
    <row r="49" spans="2:13" ht="12.95" customHeight="1" x14ac:dyDescent="0.3">
      <c r="B49" s="23" t="s">
        <v>45</v>
      </c>
      <c r="C49" s="24"/>
      <c r="D49" s="25"/>
      <c r="E49" s="26"/>
      <c r="F49" s="25"/>
      <c r="G49" s="25"/>
      <c r="K49" s="26" t="s">
        <v>84</v>
      </c>
    </row>
    <row r="50" spans="2:13" ht="12.95" customHeight="1" x14ac:dyDescent="0.3">
      <c r="B50" s="74" t="s">
        <v>10</v>
      </c>
      <c r="C50" s="77" t="s">
        <v>14</v>
      </c>
      <c r="D50" s="77" t="s">
        <v>15</v>
      </c>
      <c r="E50" s="77" t="s">
        <v>11</v>
      </c>
      <c r="F50" s="80" t="s">
        <v>83</v>
      </c>
      <c r="G50" s="81"/>
      <c r="H50" s="81"/>
      <c r="I50" s="81"/>
      <c r="J50" s="81"/>
      <c r="K50" s="81"/>
    </row>
    <row r="51" spans="2:13" ht="12.95" customHeight="1" x14ac:dyDescent="0.3">
      <c r="B51" s="75"/>
      <c r="C51" s="78"/>
      <c r="D51" s="78"/>
      <c r="E51" s="78"/>
      <c r="F51" s="80" t="s">
        <v>85</v>
      </c>
      <c r="G51" s="81"/>
      <c r="H51" s="80" t="s">
        <v>86</v>
      </c>
      <c r="I51" s="81"/>
      <c r="J51" s="80" t="s">
        <v>87</v>
      </c>
      <c r="K51" s="81"/>
    </row>
    <row r="52" spans="2:13" ht="12.95" customHeight="1" x14ac:dyDescent="0.3">
      <c r="B52" s="75"/>
      <c r="C52" s="78"/>
      <c r="D52" s="78"/>
      <c r="E52" s="78"/>
      <c r="F52" s="49" t="s">
        <v>81</v>
      </c>
      <c r="G52" s="50">
        <v>40</v>
      </c>
      <c r="H52" s="49" t="s">
        <v>81</v>
      </c>
      <c r="I52" s="50">
        <v>29</v>
      </c>
      <c r="J52" s="49" t="s">
        <v>81</v>
      </c>
      <c r="K52" s="50">
        <v>20</v>
      </c>
    </row>
    <row r="53" spans="2:13" ht="12.95" customHeight="1" x14ac:dyDescent="0.3">
      <c r="B53" s="76"/>
      <c r="C53" s="79"/>
      <c r="D53" s="79"/>
      <c r="E53" s="79"/>
      <c r="F53" s="27" t="s">
        <v>25</v>
      </c>
      <c r="G53" s="51" t="s">
        <v>26</v>
      </c>
      <c r="H53" s="27" t="s">
        <v>25</v>
      </c>
      <c r="I53" s="51" t="s">
        <v>26</v>
      </c>
      <c r="J53" s="27" t="s">
        <v>25</v>
      </c>
      <c r="K53" s="51" t="s">
        <v>26</v>
      </c>
    </row>
    <row r="54" spans="2:13" ht="12.95" customHeight="1" x14ac:dyDescent="0.3">
      <c r="B54" s="30" t="s">
        <v>27</v>
      </c>
      <c r="C54" s="31" t="s">
        <v>28</v>
      </c>
      <c r="D54" s="32" t="s">
        <v>21</v>
      </c>
      <c r="E54" s="52"/>
      <c r="F54" s="13">
        <v>1</v>
      </c>
      <c r="G54" s="4">
        <f>TRUNC(SUM(G57:G58)*0.02,1)</f>
        <v>14532.4</v>
      </c>
      <c r="H54" s="13">
        <v>1</v>
      </c>
      <c r="I54" s="4">
        <f>TRUNC(SUM(I57:I58)*0.02,1)</f>
        <v>14532.4</v>
      </c>
      <c r="J54" s="13">
        <v>1</v>
      </c>
      <c r="K54" s="4">
        <f>TRUNC(SUM(K57:K58)*0.02,1)</f>
        <v>14532.4</v>
      </c>
    </row>
    <row r="55" spans="2:13" ht="12.95" customHeight="1" x14ac:dyDescent="0.3">
      <c r="B55" s="34" t="s">
        <v>17</v>
      </c>
      <c r="C55" s="35"/>
      <c r="D55" s="36"/>
      <c r="E55" s="37"/>
      <c r="F55" s="14"/>
      <c r="G55" s="5">
        <f>TRUNC(SUM(G54:G54))</f>
        <v>14532</v>
      </c>
      <c r="H55" s="14"/>
      <c r="I55" s="5">
        <f>TRUNC(SUM(I54:I54))</f>
        <v>14532</v>
      </c>
      <c r="J55" s="14"/>
      <c r="K55" s="5">
        <f>TRUNC(SUM(K54:K54))</f>
        <v>14532</v>
      </c>
    </row>
    <row r="56" spans="2:13" ht="12.95" customHeight="1" x14ac:dyDescent="0.3">
      <c r="B56" s="38"/>
      <c r="C56" s="39"/>
      <c r="D56" s="39"/>
      <c r="E56" s="15"/>
      <c r="F56" s="7"/>
      <c r="G56" s="16"/>
      <c r="H56" s="7"/>
      <c r="I56" s="16"/>
      <c r="J56" s="7"/>
      <c r="K56" s="16"/>
    </row>
    <row r="57" spans="2:13" ht="12.95" customHeight="1" x14ac:dyDescent="0.3">
      <c r="B57" s="40" t="s">
        <v>2</v>
      </c>
      <c r="C57" s="41"/>
      <c r="D57" s="42" t="s">
        <v>16</v>
      </c>
      <c r="E57" s="43">
        <v>277276</v>
      </c>
      <c r="F57" s="13">
        <v>2</v>
      </c>
      <c r="G57" s="2">
        <f t="shared" ref="G57:G58" si="20">TRUNC($E57*F57,1)</f>
        <v>554552</v>
      </c>
      <c r="H57" s="13">
        <v>2</v>
      </c>
      <c r="I57" s="2">
        <f t="shared" ref="I57:I58" si="21">TRUNC($E57*H57,1)</f>
        <v>554552</v>
      </c>
      <c r="J57" s="13">
        <v>2</v>
      </c>
      <c r="K57" s="2">
        <f t="shared" ref="K57:K58" si="22">TRUNC($E57*J57,1)</f>
        <v>554552</v>
      </c>
    </row>
    <row r="58" spans="2:13" ht="12.95" customHeight="1" x14ac:dyDescent="0.3">
      <c r="B58" s="40" t="s">
        <v>4</v>
      </c>
      <c r="C58" s="41"/>
      <c r="D58" s="42" t="s">
        <v>16</v>
      </c>
      <c r="E58" s="53">
        <v>172068</v>
      </c>
      <c r="F58" s="13">
        <v>1</v>
      </c>
      <c r="G58" s="2">
        <f t="shared" si="20"/>
        <v>172068</v>
      </c>
      <c r="H58" s="13">
        <v>1</v>
      </c>
      <c r="I58" s="2">
        <f t="shared" si="21"/>
        <v>172068</v>
      </c>
      <c r="J58" s="13">
        <v>1</v>
      </c>
      <c r="K58" s="2">
        <f t="shared" si="22"/>
        <v>172068</v>
      </c>
    </row>
    <row r="59" spans="2:13" ht="12.95" customHeight="1" x14ac:dyDescent="0.3">
      <c r="B59" s="44" t="s">
        <v>18</v>
      </c>
      <c r="C59" s="39"/>
      <c r="D59" s="39"/>
      <c r="E59" s="15"/>
      <c r="F59" s="7"/>
      <c r="G59" s="8">
        <f>TRUNC(SUM(G57:G58))</f>
        <v>726620</v>
      </c>
      <c r="H59" s="7"/>
      <c r="I59" s="8">
        <f>TRUNC(SUM(I57:I58))</f>
        <v>726620</v>
      </c>
      <c r="J59" s="7"/>
      <c r="K59" s="8">
        <f>TRUNC(SUM(K57:K58))</f>
        <v>726620</v>
      </c>
    </row>
    <row r="60" spans="2:13" ht="12.95" customHeight="1" x14ac:dyDescent="0.3">
      <c r="B60" s="38"/>
      <c r="C60" s="39"/>
      <c r="D60" s="39"/>
      <c r="E60" s="15"/>
      <c r="F60" s="7"/>
      <c r="G60" s="16"/>
      <c r="H60" s="7"/>
      <c r="I60" s="16"/>
      <c r="J60" s="7"/>
      <c r="K60" s="16"/>
    </row>
    <row r="61" spans="2:13" ht="12.95" customHeight="1" x14ac:dyDescent="0.3">
      <c r="B61" s="54" t="s">
        <v>20</v>
      </c>
      <c r="C61" s="39"/>
      <c r="D61" s="39"/>
      <c r="E61" s="55"/>
      <c r="F61" s="55"/>
      <c r="G61" s="17">
        <f>SUM(G55+G59)</f>
        <v>741152</v>
      </c>
      <c r="H61" s="55"/>
      <c r="I61" s="17">
        <f>SUM(I55+I59)</f>
        <v>741152</v>
      </c>
      <c r="J61" s="55"/>
      <c r="K61" s="17">
        <f>SUM(K55+K59)</f>
        <v>741152</v>
      </c>
    </row>
    <row r="62" spans="2:13" ht="12.95" customHeight="1" x14ac:dyDescent="0.3">
      <c r="B62" s="45" t="s">
        <v>82</v>
      </c>
      <c r="C62" s="56"/>
      <c r="D62" s="57"/>
      <c r="E62" s="58"/>
      <c r="F62" s="59"/>
      <c r="G62" s="18">
        <f>TRUNC(G61/G52)</f>
        <v>18528</v>
      </c>
      <c r="H62" s="59"/>
      <c r="I62" s="18">
        <f>TRUNC(I61/I52)</f>
        <v>25556</v>
      </c>
      <c r="J62" s="59"/>
      <c r="K62" s="18">
        <f>TRUNC(K61/K52)</f>
        <v>37057</v>
      </c>
      <c r="L62" s="6"/>
      <c r="M62" s="6"/>
    </row>
    <row r="63" spans="2:13" ht="12.95" customHeight="1" x14ac:dyDescent="0.3">
      <c r="B63" s="74" t="s">
        <v>10</v>
      </c>
      <c r="C63" s="77" t="s">
        <v>14</v>
      </c>
      <c r="D63" s="77" t="s">
        <v>15</v>
      </c>
      <c r="E63" s="77" t="s">
        <v>11</v>
      </c>
      <c r="F63" s="82" t="s">
        <v>88</v>
      </c>
      <c r="G63" s="81"/>
      <c r="H63" s="81"/>
      <c r="I63" s="81"/>
      <c r="J63" s="81"/>
      <c r="K63" s="81"/>
    </row>
    <row r="64" spans="2:13" ht="12.95" customHeight="1" x14ac:dyDescent="0.3">
      <c r="B64" s="75"/>
      <c r="C64" s="78"/>
      <c r="D64" s="78"/>
      <c r="E64" s="78"/>
      <c r="F64" s="80" t="s">
        <v>85</v>
      </c>
      <c r="G64" s="81"/>
      <c r="H64" s="80" t="s">
        <v>86</v>
      </c>
      <c r="I64" s="81"/>
      <c r="J64" s="80" t="s">
        <v>87</v>
      </c>
      <c r="K64" s="81"/>
    </row>
    <row r="65" spans="2:13" ht="12.95" customHeight="1" x14ac:dyDescent="0.3">
      <c r="B65" s="75"/>
      <c r="C65" s="78"/>
      <c r="D65" s="78"/>
      <c r="E65" s="78"/>
      <c r="F65" s="49" t="s">
        <v>81</v>
      </c>
      <c r="G65" s="50">
        <v>37</v>
      </c>
      <c r="H65" s="49" t="s">
        <v>81</v>
      </c>
      <c r="I65" s="50">
        <v>27</v>
      </c>
      <c r="J65" s="49" t="s">
        <v>81</v>
      </c>
      <c r="K65" s="50">
        <v>19</v>
      </c>
    </row>
    <row r="66" spans="2:13" ht="12.95" customHeight="1" x14ac:dyDescent="0.3">
      <c r="B66" s="76"/>
      <c r="C66" s="79"/>
      <c r="D66" s="79"/>
      <c r="E66" s="79"/>
      <c r="F66" s="27" t="s">
        <v>25</v>
      </c>
      <c r="G66" s="51" t="s">
        <v>26</v>
      </c>
      <c r="H66" s="27" t="s">
        <v>25</v>
      </c>
      <c r="I66" s="51" t="s">
        <v>26</v>
      </c>
      <c r="J66" s="27" t="s">
        <v>25</v>
      </c>
      <c r="K66" s="51" t="s">
        <v>26</v>
      </c>
    </row>
    <row r="67" spans="2:13" ht="12.95" customHeight="1" x14ac:dyDescent="0.3">
      <c r="B67" s="30" t="s">
        <v>27</v>
      </c>
      <c r="C67" s="31" t="s">
        <v>28</v>
      </c>
      <c r="D67" s="32" t="s">
        <v>21</v>
      </c>
      <c r="E67" s="52"/>
      <c r="F67" s="13">
        <v>1</v>
      </c>
      <c r="G67" s="4">
        <f>TRUNC(SUM(G70:G71)*0.02,1)</f>
        <v>17973.7</v>
      </c>
      <c r="H67" s="13">
        <v>1</v>
      </c>
      <c r="I67" s="4">
        <f>TRUNC(SUM(I70:I71)*0.02,1)</f>
        <v>17973.7</v>
      </c>
      <c r="J67" s="13">
        <v>1</v>
      </c>
      <c r="K67" s="4">
        <f>TRUNC(SUM(K70:K71)*0.02,1)</f>
        <v>17973.7</v>
      </c>
    </row>
    <row r="68" spans="2:13" ht="12.95" customHeight="1" x14ac:dyDescent="0.3">
      <c r="B68" s="34" t="s">
        <v>17</v>
      </c>
      <c r="C68" s="35"/>
      <c r="D68" s="36"/>
      <c r="E68" s="37"/>
      <c r="F68" s="14"/>
      <c r="G68" s="5">
        <f>TRUNC(SUM(G67:G67))</f>
        <v>17973</v>
      </c>
      <c r="H68" s="14"/>
      <c r="I68" s="5">
        <f>TRUNC(SUM(I67:I67))</f>
        <v>17973</v>
      </c>
      <c r="J68" s="14"/>
      <c r="K68" s="5">
        <f>TRUNC(SUM(K67:K67))</f>
        <v>17973</v>
      </c>
    </row>
    <row r="69" spans="2:13" ht="12.95" customHeight="1" x14ac:dyDescent="0.3">
      <c r="B69" s="38"/>
      <c r="C69" s="39"/>
      <c r="D69" s="39"/>
      <c r="E69" s="15"/>
      <c r="F69" s="7"/>
      <c r="G69" s="16"/>
      <c r="H69" s="7"/>
      <c r="I69" s="16"/>
      <c r="J69" s="7"/>
      <c r="K69" s="16"/>
    </row>
    <row r="70" spans="2:13" ht="12.95" customHeight="1" x14ac:dyDescent="0.3">
      <c r="B70" s="40" t="s">
        <v>2</v>
      </c>
      <c r="C70" s="41"/>
      <c r="D70" s="42" t="s">
        <v>16</v>
      </c>
      <c r="E70" s="43">
        <v>277276</v>
      </c>
      <c r="F70" s="13">
        <v>2</v>
      </c>
      <c r="G70" s="2">
        <f t="shared" ref="G70:G71" si="23">TRUNC($E70*F70,1)</f>
        <v>554552</v>
      </c>
      <c r="H70" s="13">
        <v>2</v>
      </c>
      <c r="I70" s="2">
        <f t="shared" ref="I70:I71" si="24">TRUNC($E70*H70,1)</f>
        <v>554552</v>
      </c>
      <c r="J70" s="13">
        <v>2</v>
      </c>
      <c r="K70" s="2">
        <f t="shared" ref="K70:K71" si="25">TRUNC($E70*J70,1)</f>
        <v>554552</v>
      </c>
    </row>
    <row r="71" spans="2:13" ht="12.95" customHeight="1" x14ac:dyDescent="0.3">
      <c r="B71" s="40" t="s">
        <v>4</v>
      </c>
      <c r="C71" s="41"/>
      <c r="D71" s="42" t="s">
        <v>16</v>
      </c>
      <c r="E71" s="53">
        <v>172068</v>
      </c>
      <c r="F71" s="13">
        <v>2</v>
      </c>
      <c r="G71" s="2">
        <f t="shared" si="23"/>
        <v>344136</v>
      </c>
      <c r="H71" s="13">
        <v>2</v>
      </c>
      <c r="I71" s="2">
        <f t="shared" si="24"/>
        <v>344136</v>
      </c>
      <c r="J71" s="13">
        <v>2</v>
      </c>
      <c r="K71" s="2">
        <f t="shared" si="25"/>
        <v>344136</v>
      </c>
    </row>
    <row r="72" spans="2:13" ht="12.95" customHeight="1" x14ac:dyDescent="0.3">
      <c r="B72" s="44" t="s">
        <v>18</v>
      </c>
      <c r="C72" s="39"/>
      <c r="D72" s="39"/>
      <c r="E72" s="15"/>
      <c r="F72" s="7"/>
      <c r="G72" s="8">
        <f>TRUNC(SUM(G70:G71))</f>
        <v>898688</v>
      </c>
      <c r="H72" s="7"/>
      <c r="I72" s="8">
        <f>TRUNC(SUM(I70:I71))</f>
        <v>898688</v>
      </c>
      <c r="J72" s="7"/>
      <c r="K72" s="8">
        <f>TRUNC(SUM(K70:K71))</f>
        <v>898688</v>
      </c>
    </row>
    <row r="73" spans="2:13" ht="12.95" customHeight="1" x14ac:dyDescent="0.3">
      <c r="B73" s="38"/>
      <c r="C73" s="39"/>
      <c r="D73" s="39"/>
      <c r="E73" s="15"/>
      <c r="F73" s="7"/>
      <c r="G73" s="16"/>
      <c r="H73" s="7"/>
      <c r="I73" s="16"/>
      <c r="J73" s="7"/>
      <c r="K73" s="16"/>
    </row>
    <row r="74" spans="2:13" ht="12.95" customHeight="1" x14ac:dyDescent="0.3">
      <c r="B74" s="54" t="s">
        <v>20</v>
      </c>
      <c r="C74" s="39"/>
      <c r="D74" s="39"/>
      <c r="E74" s="55"/>
      <c r="F74" s="55"/>
      <c r="G74" s="17">
        <f>SUM(G68+G72)</f>
        <v>916661</v>
      </c>
      <c r="H74" s="55"/>
      <c r="I74" s="17">
        <f>SUM(I68+I72)</f>
        <v>916661</v>
      </c>
      <c r="J74" s="55"/>
      <c r="K74" s="17">
        <f>SUM(K68+K72)</f>
        <v>916661</v>
      </c>
    </row>
    <row r="75" spans="2:13" ht="12.95" customHeight="1" x14ac:dyDescent="0.3">
      <c r="B75" s="45" t="s">
        <v>82</v>
      </c>
      <c r="C75" s="56"/>
      <c r="D75" s="57"/>
      <c r="E75" s="58"/>
      <c r="F75" s="59"/>
      <c r="G75" s="18">
        <f>TRUNC(G74/G65)</f>
        <v>24774</v>
      </c>
      <c r="H75" s="59"/>
      <c r="I75" s="18">
        <f>TRUNC(I74/I65)</f>
        <v>33950</v>
      </c>
      <c r="J75" s="59"/>
      <c r="K75" s="18">
        <f>TRUNC(K74/K65)</f>
        <v>48245</v>
      </c>
      <c r="L75" s="6"/>
      <c r="M75" s="6"/>
    </row>
    <row r="76" spans="2:13" ht="12.95" customHeight="1" x14ac:dyDescent="0.3">
      <c r="L76" s="6"/>
      <c r="M76" s="6"/>
    </row>
    <row r="77" spans="2:13" ht="12.95" customHeight="1" x14ac:dyDescent="0.3">
      <c r="B77" s="1" t="s">
        <v>46</v>
      </c>
      <c r="C77" s="60"/>
      <c r="D77" s="60"/>
      <c r="E77" s="60"/>
      <c r="F77" s="60"/>
      <c r="G77" s="60"/>
      <c r="I77" s="26" t="s">
        <v>84</v>
      </c>
    </row>
    <row r="78" spans="2:13" ht="12.95" customHeight="1" x14ac:dyDescent="0.3">
      <c r="B78" s="74" t="s">
        <v>10</v>
      </c>
      <c r="C78" s="77" t="s">
        <v>14</v>
      </c>
      <c r="D78" s="77" t="s">
        <v>15</v>
      </c>
      <c r="E78" s="77" t="s">
        <v>11</v>
      </c>
      <c r="F78" s="80" t="s">
        <v>90</v>
      </c>
      <c r="G78" s="81"/>
      <c r="H78" s="80" t="s">
        <v>91</v>
      </c>
      <c r="I78" s="81"/>
    </row>
    <row r="79" spans="2:13" ht="12.95" customHeight="1" x14ac:dyDescent="0.3">
      <c r="B79" s="75"/>
      <c r="C79" s="78"/>
      <c r="D79" s="78"/>
      <c r="E79" s="78"/>
      <c r="F79" s="49" t="s">
        <v>81</v>
      </c>
      <c r="G79" s="50">
        <v>50</v>
      </c>
      <c r="H79" s="49" t="s">
        <v>81</v>
      </c>
      <c r="I79" s="50">
        <v>65</v>
      </c>
    </row>
    <row r="80" spans="2:13" ht="12.95" customHeight="1" x14ac:dyDescent="0.3">
      <c r="B80" s="76"/>
      <c r="C80" s="79"/>
      <c r="D80" s="79"/>
      <c r="E80" s="79"/>
      <c r="F80" s="27" t="s">
        <v>25</v>
      </c>
      <c r="G80" s="51" t="s">
        <v>26</v>
      </c>
      <c r="H80" s="27" t="s">
        <v>25</v>
      </c>
      <c r="I80" s="51" t="s">
        <v>26</v>
      </c>
    </row>
    <row r="81" spans="2:11" ht="12.95" customHeight="1" x14ac:dyDescent="0.3">
      <c r="B81" s="61" t="s">
        <v>48</v>
      </c>
      <c r="C81" s="61" t="s">
        <v>1</v>
      </c>
      <c r="D81" s="62" t="s">
        <v>23</v>
      </c>
      <c r="E81" s="10">
        <v>2101</v>
      </c>
      <c r="F81" s="13">
        <v>8</v>
      </c>
      <c r="G81" s="2">
        <f t="shared" ref="G81" si="26">TRUNC($E81*F81,1)</f>
        <v>16808</v>
      </c>
      <c r="H81" s="13">
        <v>8</v>
      </c>
      <c r="I81" s="2">
        <f t="shared" ref="I81" si="27">TRUNC($E81*H81,1)</f>
        <v>16808</v>
      </c>
    </row>
    <row r="82" spans="2:11" ht="12.95" customHeight="1" x14ac:dyDescent="0.3">
      <c r="B82" s="34" t="s">
        <v>17</v>
      </c>
      <c r="C82" s="39"/>
      <c r="D82" s="39"/>
      <c r="E82" s="15"/>
      <c r="F82" s="63"/>
      <c r="G82" s="8">
        <f>TRUNC(SUM(G81:G81))</f>
        <v>16808</v>
      </c>
      <c r="H82" s="63"/>
      <c r="I82" s="8">
        <f>TRUNC(SUM(I81:I81))</f>
        <v>16808</v>
      </c>
    </row>
    <row r="83" spans="2:11" ht="12.95" customHeight="1" x14ac:dyDescent="0.3">
      <c r="B83" s="38"/>
      <c r="C83" s="39"/>
      <c r="D83" s="39"/>
      <c r="E83" s="15"/>
      <c r="F83" s="63"/>
      <c r="G83" s="16"/>
      <c r="H83" s="63"/>
      <c r="I83" s="16"/>
    </row>
    <row r="84" spans="2:11" ht="12.95" customHeight="1" x14ac:dyDescent="0.3">
      <c r="B84" s="40" t="s">
        <v>2</v>
      </c>
      <c r="C84" s="41"/>
      <c r="D84" s="42" t="s">
        <v>16</v>
      </c>
      <c r="E84" s="43">
        <v>277276</v>
      </c>
      <c r="F84" s="13">
        <v>2</v>
      </c>
      <c r="G84" s="2">
        <f t="shared" ref="G84:G86" si="28">TRUNC($E84*F84,1)</f>
        <v>554552</v>
      </c>
      <c r="H84" s="13">
        <v>2</v>
      </c>
      <c r="I84" s="2">
        <f t="shared" ref="I84:I86" si="29">TRUNC($E84*H84,1)</f>
        <v>554552</v>
      </c>
    </row>
    <row r="85" spans="2:11" ht="12.95" customHeight="1" x14ac:dyDescent="0.3">
      <c r="B85" s="40" t="s">
        <v>92</v>
      </c>
      <c r="C85" s="41"/>
      <c r="D85" s="42" t="s">
        <v>16</v>
      </c>
      <c r="E85" s="43">
        <v>241698</v>
      </c>
      <c r="F85" s="13">
        <v>1</v>
      </c>
      <c r="G85" s="2">
        <f t="shared" si="28"/>
        <v>241698</v>
      </c>
      <c r="H85" s="13">
        <v>1</v>
      </c>
      <c r="I85" s="2">
        <f t="shared" si="29"/>
        <v>241698</v>
      </c>
    </row>
    <row r="86" spans="2:11" ht="12.95" customHeight="1" x14ac:dyDescent="0.3">
      <c r="B86" s="40" t="s">
        <v>4</v>
      </c>
      <c r="C86" s="41"/>
      <c r="D86" s="42" t="s">
        <v>16</v>
      </c>
      <c r="E86" s="43">
        <v>172068</v>
      </c>
      <c r="F86" s="13">
        <v>2</v>
      </c>
      <c r="G86" s="2">
        <f t="shared" si="28"/>
        <v>344136</v>
      </c>
      <c r="H86" s="13">
        <v>2</v>
      </c>
      <c r="I86" s="2">
        <f t="shared" si="29"/>
        <v>344136</v>
      </c>
    </row>
    <row r="87" spans="2:11" ht="12.95" customHeight="1" x14ac:dyDescent="0.3">
      <c r="B87" s="44" t="s">
        <v>18</v>
      </c>
      <c r="C87" s="39"/>
      <c r="D87" s="39"/>
      <c r="E87" s="15"/>
      <c r="F87" s="63"/>
      <c r="G87" s="8">
        <f>TRUNC(SUM(G84:G86))</f>
        <v>1140386</v>
      </c>
      <c r="H87" s="63"/>
      <c r="I87" s="8">
        <f>TRUNC(SUM(I84:I86))</f>
        <v>1140386</v>
      </c>
    </row>
    <row r="88" spans="2:11" ht="12.95" customHeight="1" x14ac:dyDescent="0.3">
      <c r="B88" s="38"/>
      <c r="C88" s="39"/>
      <c r="D88" s="39"/>
      <c r="E88" s="15"/>
      <c r="F88" s="63"/>
      <c r="G88" s="16"/>
      <c r="H88" s="63"/>
      <c r="I88" s="16"/>
    </row>
    <row r="89" spans="2:11" ht="12.95" customHeight="1" x14ac:dyDescent="0.3">
      <c r="B89" s="61" t="s">
        <v>47</v>
      </c>
      <c r="C89" s="61" t="s">
        <v>7</v>
      </c>
      <c r="D89" s="62" t="s">
        <v>23</v>
      </c>
      <c r="E89" s="10">
        <v>19067</v>
      </c>
      <c r="F89" s="13">
        <v>8</v>
      </c>
      <c r="G89" s="2">
        <f t="shared" ref="G89:G92" si="30">TRUNC($E89*F89,1)</f>
        <v>152536</v>
      </c>
      <c r="H89" s="13">
        <v>8</v>
      </c>
      <c r="I89" s="2">
        <f t="shared" ref="I89:I92" si="31">TRUNC($E89*H89,1)</f>
        <v>152536</v>
      </c>
    </row>
    <row r="90" spans="2:11" ht="12.95" customHeight="1" x14ac:dyDescent="0.3">
      <c r="B90" s="61" t="s">
        <v>48</v>
      </c>
      <c r="C90" s="61" t="s">
        <v>1</v>
      </c>
      <c r="D90" s="62" t="s">
        <v>23</v>
      </c>
      <c r="E90" s="10">
        <v>2112</v>
      </c>
      <c r="F90" s="13">
        <v>8</v>
      </c>
      <c r="G90" s="2">
        <f t="shared" si="30"/>
        <v>16896</v>
      </c>
      <c r="H90" s="13">
        <v>8</v>
      </c>
      <c r="I90" s="2">
        <f t="shared" si="31"/>
        <v>16896</v>
      </c>
    </row>
    <row r="91" spans="2:11" ht="12.95" customHeight="1" x14ac:dyDescent="0.3">
      <c r="B91" s="61" t="s">
        <v>9</v>
      </c>
      <c r="C91" s="61" t="s">
        <v>6</v>
      </c>
      <c r="D91" s="62" t="s">
        <v>23</v>
      </c>
      <c r="E91" s="64">
        <v>12</v>
      </c>
      <c r="F91" s="13">
        <v>8</v>
      </c>
      <c r="G91" s="2">
        <f t="shared" si="30"/>
        <v>96</v>
      </c>
      <c r="H91" s="13">
        <v>8</v>
      </c>
      <c r="I91" s="2">
        <f t="shared" si="31"/>
        <v>96</v>
      </c>
    </row>
    <row r="92" spans="2:11" ht="12.95" customHeight="1" x14ac:dyDescent="0.3">
      <c r="B92" s="61" t="s">
        <v>3</v>
      </c>
      <c r="C92" s="61" t="s">
        <v>49</v>
      </c>
      <c r="D92" s="62" t="s">
        <v>23</v>
      </c>
      <c r="E92" s="10">
        <v>8</v>
      </c>
      <c r="F92" s="13">
        <v>8</v>
      </c>
      <c r="G92" s="2">
        <f t="shared" si="30"/>
        <v>64</v>
      </c>
      <c r="H92" s="13">
        <v>8</v>
      </c>
      <c r="I92" s="2">
        <f t="shared" si="31"/>
        <v>64</v>
      </c>
    </row>
    <row r="93" spans="2:11" ht="12.95" customHeight="1" x14ac:dyDescent="0.3">
      <c r="B93" s="34" t="s">
        <v>19</v>
      </c>
      <c r="C93" s="39"/>
      <c r="D93" s="39"/>
      <c r="E93" s="55"/>
      <c r="F93" s="7"/>
      <c r="G93" s="8">
        <f>TRUNC(SUM(G89:G92))</f>
        <v>169592</v>
      </c>
      <c r="H93" s="7"/>
      <c r="I93" s="8">
        <f>TRUNC(SUM(I89:I92))</f>
        <v>169592</v>
      </c>
    </row>
    <row r="94" spans="2:11" ht="12.95" customHeight="1" x14ac:dyDescent="0.3">
      <c r="B94" s="65"/>
      <c r="C94" s="61"/>
      <c r="D94" s="61"/>
      <c r="E94" s="66"/>
      <c r="F94" s="14"/>
      <c r="G94" s="67"/>
      <c r="H94" s="14"/>
      <c r="I94" s="67"/>
    </row>
    <row r="95" spans="2:11" ht="12.95" customHeight="1" x14ac:dyDescent="0.3">
      <c r="B95" s="54" t="s">
        <v>20</v>
      </c>
      <c r="C95" s="39"/>
      <c r="D95" s="39"/>
      <c r="E95" s="55"/>
      <c r="F95" s="55"/>
      <c r="G95" s="17">
        <f>SUM(G82+G87+G93)</f>
        <v>1326786</v>
      </c>
      <c r="H95" s="55"/>
      <c r="I95" s="17">
        <f>SUM(I82+I87+I93)</f>
        <v>1326786</v>
      </c>
    </row>
    <row r="96" spans="2:11" ht="12.95" customHeight="1" x14ac:dyDescent="0.3">
      <c r="B96" s="45" t="s">
        <v>89</v>
      </c>
      <c r="C96" s="56"/>
      <c r="D96" s="57"/>
      <c r="E96" s="58"/>
      <c r="F96" s="59"/>
      <c r="G96" s="18">
        <f>TRUNC((G95/G79)*10)</f>
        <v>265357</v>
      </c>
      <c r="H96" s="59"/>
      <c r="I96" s="18">
        <f>TRUNC((I95/I79)*10)</f>
        <v>204120</v>
      </c>
      <c r="J96" s="6"/>
      <c r="K96" s="6"/>
    </row>
    <row r="98" spans="2:9" ht="12.95" customHeight="1" x14ac:dyDescent="0.3">
      <c r="B98" s="23" t="s">
        <v>50</v>
      </c>
      <c r="C98" s="24"/>
      <c r="D98" s="25"/>
      <c r="E98" s="26"/>
      <c r="F98" s="25"/>
      <c r="G98" s="25"/>
      <c r="I98" s="68" t="s">
        <v>51</v>
      </c>
    </row>
    <row r="99" spans="2:9" ht="12.95" customHeight="1" x14ac:dyDescent="0.3">
      <c r="B99" s="83" t="s">
        <v>10</v>
      </c>
      <c r="C99" s="85" t="s">
        <v>22</v>
      </c>
      <c r="D99" s="87" t="s">
        <v>15</v>
      </c>
      <c r="E99" s="77" t="s">
        <v>11</v>
      </c>
      <c r="F99" s="80" t="s">
        <v>52</v>
      </c>
      <c r="G99" s="81"/>
      <c r="H99" s="80" t="s">
        <v>53</v>
      </c>
      <c r="I99" s="81"/>
    </row>
    <row r="100" spans="2:9" ht="12.95" customHeight="1" x14ac:dyDescent="0.3">
      <c r="B100" s="84"/>
      <c r="C100" s="86"/>
      <c r="D100" s="87"/>
      <c r="E100" s="79"/>
      <c r="F100" s="28" t="s">
        <v>12</v>
      </c>
      <c r="G100" s="29" t="s">
        <v>13</v>
      </c>
      <c r="H100" s="28" t="s">
        <v>12</v>
      </c>
      <c r="I100" s="29" t="s">
        <v>13</v>
      </c>
    </row>
    <row r="101" spans="2:9" ht="12.95" customHeight="1" x14ac:dyDescent="0.3">
      <c r="B101" s="30" t="s">
        <v>27</v>
      </c>
      <c r="C101" s="31" t="s">
        <v>54</v>
      </c>
      <c r="D101" s="32" t="s">
        <v>21</v>
      </c>
      <c r="E101" s="52"/>
      <c r="F101" s="13"/>
      <c r="G101" s="4"/>
      <c r="H101" s="13">
        <v>1</v>
      </c>
      <c r="I101" s="4">
        <f>TRUNC(SUM(I104:I104)*0.09,1)</f>
        <v>5490</v>
      </c>
    </row>
    <row r="102" spans="2:9" ht="12.95" customHeight="1" x14ac:dyDescent="0.3">
      <c r="B102" s="34" t="s">
        <v>17</v>
      </c>
      <c r="C102" s="35"/>
      <c r="D102" s="36"/>
      <c r="E102" s="37"/>
      <c r="F102" s="14"/>
      <c r="G102" s="5"/>
      <c r="H102" s="14"/>
      <c r="I102" s="5">
        <f>TRUNC(SUM(I101))</f>
        <v>5490</v>
      </c>
    </row>
    <row r="103" spans="2:9" ht="12.95" customHeight="1" x14ac:dyDescent="0.3">
      <c r="B103" s="38"/>
      <c r="C103" s="39"/>
      <c r="D103" s="39"/>
      <c r="E103" s="15"/>
      <c r="F103" s="7"/>
      <c r="G103" s="16"/>
      <c r="H103" s="7"/>
      <c r="I103" s="16"/>
    </row>
    <row r="104" spans="2:9" ht="12.95" customHeight="1" x14ac:dyDescent="0.3">
      <c r="B104" s="40" t="s">
        <v>2</v>
      </c>
      <c r="C104" s="41"/>
      <c r="D104" s="42" t="s">
        <v>16</v>
      </c>
      <c r="E104" s="43">
        <v>277276</v>
      </c>
      <c r="F104" s="14">
        <v>0.3</v>
      </c>
      <c r="G104" s="2">
        <f t="shared" ref="G104" si="32">TRUNC($E104*F104,1)</f>
        <v>83182.8</v>
      </c>
      <c r="H104" s="14">
        <v>0.22</v>
      </c>
      <c r="I104" s="2">
        <f t="shared" ref="I104" si="33">TRUNC($E104*H104,1)</f>
        <v>61000.7</v>
      </c>
    </row>
    <row r="105" spans="2:9" ht="12.95" customHeight="1" x14ac:dyDescent="0.3">
      <c r="B105" s="44" t="s">
        <v>18</v>
      </c>
      <c r="C105" s="39"/>
      <c r="D105" s="39"/>
      <c r="E105" s="15"/>
      <c r="F105" s="7"/>
      <c r="G105" s="8">
        <f>TRUNC(SUM(G104:G104))</f>
        <v>83182</v>
      </c>
      <c r="H105" s="7"/>
      <c r="I105" s="8">
        <f>TRUNC(SUM(I104:I104))</f>
        <v>61000</v>
      </c>
    </row>
    <row r="106" spans="2:9" ht="12.95" customHeight="1" x14ac:dyDescent="0.3">
      <c r="B106" s="38"/>
      <c r="C106" s="39"/>
      <c r="D106" s="39"/>
      <c r="E106" s="15"/>
      <c r="F106" s="7"/>
      <c r="G106" s="16"/>
      <c r="H106" s="7"/>
      <c r="I106" s="16"/>
    </row>
    <row r="107" spans="2:9" ht="12.95" customHeight="1" x14ac:dyDescent="0.3">
      <c r="B107" s="45" t="s">
        <v>20</v>
      </c>
      <c r="C107" s="46"/>
      <c r="D107" s="46"/>
      <c r="E107" s="47"/>
      <c r="F107" s="47"/>
      <c r="G107" s="48">
        <f>SUM(G102+G105)</f>
        <v>83182</v>
      </c>
      <c r="H107" s="47"/>
      <c r="I107" s="48">
        <f>SUM(I102+I105)</f>
        <v>66490</v>
      </c>
    </row>
    <row r="109" spans="2:9" ht="12.95" customHeight="1" x14ac:dyDescent="0.3">
      <c r="B109" s="23" t="s">
        <v>55</v>
      </c>
      <c r="C109" s="24"/>
      <c r="D109" s="25"/>
      <c r="E109" s="26"/>
      <c r="F109" s="25"/>
      <c r="G109" s="68" t="s">
        <v>56</v>
      </c>
    </row>
    <row r="110" spans="2:9" ht="12.95" customHeight="1" x14ac:dyDescent="0.3">
      <c r="B110" s="83" t="s">
        <v>10</v>
      </c>
      <c r="C110" s="85" t="s">
        <v>22</v>
      </c>
      <c r="D110" s="87" t="s">
        <v>15</v>
      </c>
      <c r="E110" s="77" t="s">
        <v>11</v>
      </c>
      <c r="F110" s="87" t="s">
        <v>15</v>
      </c>
      <c r="G110" s="88" t="s">
        <v>11</v>
      </c>
    </row>
    <row r="111" spans="2:9" ht="12.95" customHeight="1" x14ac:dyDescent="0.3">
      <c r="B111" s="84"/>
      <c r="C111" s="86"/>
      <c r="D111" s="87"/>
      <c r="E111" s="79"/>
      <c r="F111" s="87"/>
      <c r="G111" s="89"/>
    </row>
    <row r="112" spans="2:9" ht="12.95" customHeight="1" x14ac:dyDescent="0.3">
      <c r="B112" s="40" t="s">
        <v>2</v>
      </c>
      <c r="C112" s="41"/>
      <c r="D112" s="42" t="s">
        <v>16</v>
      </c>
      <c r="E112" s="43">
        <v>277276</v>
      </c>
      <c r="F112" s="14">
        <v>0.14000000000000001</v>
      </c>
      <c r="G112" s="2">
        <f t="shared" ref="G112" si="34">TRUNC($E112*F112,1)</f>
        <v>38818.6</v>
      </c>
    </row>
    <row r="113" spans="2:9" ht="12.95" customHeight="1" x14ac:dyDescent="0.3">
      <c r="B113" s="44" t="s">
        <v>18</v>
      </c>
      <c r="C113" s="39"/>
      <c r="D113" s="39"/>
      <c r="E113" s="15"/>
      <c r="F113" s="7"/>
      <c r="G113" s="8">
        <f>TRUNC(SUM(G112:G112))</f>
        <v>38818</v>
      </c>
    </row>
    <row r="114" spans="2:9" ht="12.95" customHeight="1" x14ac:dyDescent="0.3">
      <c r="B114" s="38"/>
      <c r="C114" s="39"/>
      <c r="D114" s="39"/>
      <c r="E114" s="15"/>
      <c r="F114" s="7"/>
      <c r="G114" s="16"/>
    </row>
    <row r="115" spans="2:9" ht="12.95" customHeight="1" x14ac:dyDescent="0.3">
      <c r="B115" s="45" t="s">
        <v>20</v>
      </c>
      <c r="C115" s="46"/>
      <c r="D115" s="46"/>
      <c r="E115" s="47"/>
      <c r="F115" s="47"/>
      <c r="G115" s="48">
        <f>SUM(G113)</f>
        <v>38818</v>
      </c>
    </row>
    <row r="117" spans="2:9" ht="12.95" customHeight="1" x14ac:dyDescent="0.3">
      <c r="B117" s="21" t="s">
        <v>57</v>
      </c>
    </row>
    <row r="118" spans="2:9" ht="12.95" customHeight="1" x14ac:dyDescent="0.3">
      <c r="B118" s="23" t="s">
        <v>58</v>
      </c>
      <c r="C118" s="24"/>
      <c r="D118" s="25"/>
      <c r="E118" s="26"/>
      <c r="F118" s="25"/>
      <c r="G118" s="25"/>
      <c r="I118" s="68" t="s">
        <v>56</v>
      </c>
    </row>
    <row r="119" spans="2:9" ht="12.95" customHeight="1" x14ac:dyDescent="0.3">
      <c r="B119" s="83" t="s">
        <v>10</v>
      </c>
      <c r="C119" s="85" t="s">
        <v>22</v>
      </c>
      <c r="D119" s="87" t="s">
        <v>15</v>
      </c>
      <c r="E119" s="77" t="s">
        <v>11</v>
      </c>
      <c r="F119" s="80" t="s">
        <v>59</v>
      </c>
      <c r="G119" s="81"/>
      <c r="H119" s="80" t="s">
        <v>93</v>
      </c>
      <c r="I119" s="81"/>
    </row>
    <row r="120" spans="2:9" ht="12.95" customHeight="1" x14ac:dyDescent="0.3">
      <c r="B120" s="84"/>
      <c r="C120" s="86"/>
      <c r="D120" s="87"/>
      <c r="E120" s="79"/>
      <c r="F120" s="28" t="s">
        <v>12</v>
      </c>
      <c r="G120" s="29" t="s">
        <v>13</v>
      </c>
      <c r="H120" s="28" t="s">
        <v>12</v>
      </c>
      <c r="I120" s="29" t="s">
        <v>13</v>
      </c>
    </row>
    <row r="121" spans="2:9" ht="12.95" customHeight="1" x14ac:dyDescent="0.3">
      <c r="B121" s="30" t="s">
        <v>27</v>
      </c>
      <c r="C121" s="31" t="s">
        <v>29</v>
      </c>
      <c r="D121" s="32" t="s">
        <v>21</v>
      </c>
      <c r="E121" s="52"/>
      <c r="F121" s="13">
        <v>1</v>
      </c>
      <c r="G121" s="4">
        <f>TRUNC(SUM(G124:G124)*0.03,1)</f>
        <v>827.9</v>
      </c>
      <c r="H121" s="13">
        <v>1</v>
      </c>
      <c r="I121" s="4">
        <f>TRUNC(SUM(I124:I124)*0.03,1)</f>
        <v>1053.7</v>
      </c>
    </row>
    <row r="122" spans="2:9" ht="12.95" customHeight="1" x14ac:dyDescent="0.3">
      <c r="B122" s="34" t="s">
        <v>17</v>
      </c>
      <c r="C122" s="35"/>
      <c r="D122" s="36"/>
      <c r="E122" s="37"/>
      <c r="F122" s="14"/>
      <c r="G122" s="5">
        <f>TRUNC(SUM(G121))</f>
        <v>827</v>
      </c>
      <c r="H122" s="14"/>
      <c r="I122" s="5">
        <f>TRUNC(SUM(I121))</f>
        <v>1053</v>
      </c>
    </row>
    <row r="123" spans="2:9" ht="12.95" customHeight="1" x14ac:dyDescent="0.3">
      <c r="B123" s="38"/>
      <c r="C123" s="39"/>
      <c r="D123" s="39"/>
      <c r="E123" s="15"/>
      <c r="F123" s="7"/>
      <c r="G123" s="16"/>
      <c r="H123" s="7"/>
      <c r="I123" s="16"/>
    </row>
    <row r="124" spans="2:9" ht="12.95" customHeight="1" x14ac:dyDescent="0.3">
      <c r="B124" s="40" t="s">
        <v>5</v>
      </c>
      <c r="C124" s="41"/>
      <c r="D124" s="42" t="s">
        <v>16</v>
      </c>
      <c r="E124" s="43">
        <v>250903</v>
      </c>
      <c r="F124" s="14">
        <v>0.11</v>
      </c>
      <c r="G124" s="2">
        <f t="shared" ref="G124" si="35">TRUNC($E124*F124,1)</f>
        <v>27599.3</v>
      </c>
      <c r="H124" s="14">
        <v>0.14000000000000001</v>
      </c>
      <c r="I124" s="2">
        <f t="shared" ref="I124" si="36">TRUNC($E124*H124,1)</f>
        <v>35126.400000000001</v>
      </c>
    </row>
    <row r="125" spans="2:9" ht="12.95" customHeight="1" x14ac:dyDescent="0.3">
      <c r="B125" s="44" t="s">
        <v>18</v>
      </c>
      <c r="C125" s="39"/>
      <c r="D125" s="39"/>
      <c r="E125" s="15"/>
      <c r="F125" s="7"/>
      <c r="G125" s="8">
        <f>TRUNC(SUM(G124:G124))</f>
        <v>27599</v>
      </c>
      <c r="H125" s="7"/>
      <c r="I125" s="8">
        <f>TRUNC(SUM(I124:I124))</f>
        <v>35126</v>
      </c>
    </row>
    <row r="126" spans="2:9" ht="12.95" customHeight="1" x14ac:dyDescent="0.3">
      <c r="B126" s="38"/>
      <c r="C126" s="39"/>
      <c r="D126" s="39"/>
      <c r="E126" s="15"/>
      <c r="F126" s="7"/>
      <c r="G126" s="16"/>
      <c r="H126" s="7"/>
      <c r="I126" s="16"/>
    </row>
    <row r="127" spans="2:9" ht="12.95" customHeight="1" x14ac:dyDescent="0.3">
      <c r="B127" s="45" t="s">
        <v>20</v>
      </c>
      <c r="C127" s="46"/>
      <c r="D127" s="46"/>
      <c r="E127" s="47"/>
      <c r="F127" s="47"/>
      <c r="G127" s="48">
        <f>SUM(G122+G125)</f>
        <v>28426</v>
      </c>
      <c r="H127" s="47"/>
      <c r="I127" s="48">
        <f>SUM(I122+I125)</f>
        <v>36179</v>
      </c>
    </row>
    <row r="129" spans="2:13" ht="12.95" customHeight="1" x14ac:dyDescent="0.3">
      <c r="B129" s="23" t="s">
        <v>60</v>
      </c>
      <c r="C129" s="24"/>
      <c r="D129" s="25"/>
      <c r="E129" s="26"/>
      <c r="F129" s="25"/>
      <c r="G129" s="25"/>
      <c r="I129" s="26" t="s">
        <v>84</v>
      </c>
    </row>
    <row r="130" spans="2:13" ht="12.95" customHeight="1" x14ac:dyDescent="0.3">
      <c r="B130" s="74" t="s">
        <v>10</v>
      </c>
      <c r="C130" s="77" t="s">
        <v>14</v>
      </c>
      <c r="D130" s="77" t="s">
        <v>15</v>
      </c>
      <c r="E130" s="77" t="s">
        <v>11</v>
      </c>
      <c r="F130" s="80" t="s">
        <v>59</v>
      </c>
      <c r="G130" s="81"/>
      <c r="H130" s="80" t="s">
        <v>93</v>
      </c>
      <c r="I130" s="81"/>
    </row>
    <row r="131" spans="2:13" ht="12.95" customHeight="1" x14ac:dyDescent="0.3">
      <c r="B131" s="75"/>
      <c r="C131" s="78"/>
      <c r="D131" s="78"/>
      <c r="E131" s="78"/>
      <c r="F131" s="49" t="s">
        <v>81</v>
      </c>
      <c r="G131" s="50">
        <v>170</v>
      </c>
      <c r="H131" s="49" t="s">
        <v>81</v>
      </c>
      <c r="I131" s="50">
        <v>155</v>
      </c>
    </row>
    <row r="132" spans="2:13" ht="12.95" customHeight="1" x14ac:dyDescent="0.3">
      <c r="B132" s="76"/>
      <c r="C132" s="79"/>
      <c r="D132" s="79"/>
      <c r="E132" s="79"/>
      <c r="F132" s="27" t="s">
        <v>25</v>
      </c>
      <c r="G132" s="51" t="s">
        <v>26</v>
      </c>
      <c r="H132" s="27" t="s">
        <v>25</v>
      </c>
      <c r="I132" s="51" t="s">
        <v>26</v>
      </c>
    </row>
    <row r="133" spans="2:13" ht="12.95" customHeight="1" x14ac:dyDescent="0.3">
      <c r="B133" s="40" t="s">
        <v>2</v>
      </c>
      <c r="C133" s="41"/>
      <c r="D133" s="42" t="s">
        <v>16</v>
      </c>
      <c r="E133" s="69">
        <v>277276</v>
      </c>
      <c r="F133" s="13">
        <v>2</v>
      </c>
      <c r="G133" s="2">
        <f t="shared" ref="G133:G134" si="37">TRUNC($E133*F133,1)</f>
        <v>554552</v>
      </c>
      <c r="H133" s="13">
        <v>2</v>
      </c>
      <c r="I133" s="2">
        <f t="shared" ref="I133:I134" si="38">TRUNC($E133*H133,1)</f>
        <v>554552</v>
      </c>
    </row>
    <row r="134" spans="2:13" ht="12.95" customHeight="1" x14ac:dyDescent="0.3">
      <c r="B134" s="40" t="s">
        <v>4</v>
      </c>
      <c r="C134" s="41"/>
      <c r="D134" s="42" t="s">
        <v>16</v>
      </c>
      <c r="E134" s="53">
        <v>172068</v>
      </c>
      <c r="F134" s="13">
        <v>1</v>
      </c>
      <c r="G134" s="2">
        <f t="shared" si="37"/>
        <v>172068</v>
      </c>
      <c r="H134" s="13">
        <v>2</v>
      </c>
      <c r="I134" s="2">
        <f t="shared" si="38"/>
        <v>344136</v>
      </c>
    </row>
    <row r="135" spans="2:13" ht="12.95" customHeight="1" x14ac:dyDescent="0.3">
      <c r="B135" s="44" t="s">
        <v>18</v>
      </c>
      <c r="C135" s="39"/>
      <c r="D135" s="39"/>
      <c r="E135" s="15"/>
      <c r="F135" s="7"/>
      <c r="G135" s="8">
        <f>TRUNC(SUM(G133:G134))</f>
        <v>726620</v>
      </c>
      <c r="H135" s="7"/>
      <c r="I135" s="8">
        <f>TRUNC(SUM(I133:I134))</f>
        <v>898688</v>
      </c>
    </row>
    <row r="136" spans="2:13" ht="12.95" customHeight="1" x14ac:dyDescent="0.3">
      <c r="B136" s="38"/>
      <c r="C136" s="39"/>
      <c r="D136" s="39"/>
      <c r="E136" s="15"/>
      <c r="F136" s="7"/>
      <c r="G136" s="16"/>
      <c r="H136" s="7"/>
      <c r="I136" s="16"/>
    </row>
    <row r="137" spans="2:13" ht="12.95" customHeight="1" x14ac:dyDescent="0.3">
      <c r="B137" s="54" t="s">
        <v>20</v>
      </c>
      <c r="C137" s="39"/>
      <c r="D137" s="39"/>
      <c r="E137" s="55"/>
      <c r="F137" s="55"/>
      <c r="G137" s="17">
        <f>SUM(G135)</f>
        <v>726620</v>
      </c>
      <c r="H137" s="55"/>
      <c r="I137" s="17">
        <f>SUM(I135)</f>
        <v>898688</v>
      </c>
    </row>
    <row r="138" spans="2:13" ht="12.95" customHeight="1" x14ac:dyDescent="0.3">
      <c r="B138" s="45" t="s">
        <v>89</v>
      </c>
      <c r="C138" s="56"/>
      <c r="D138" s="57"/>
      <c r="E138" s="58"/>
      <c r="F138" s="59"/>
      <c r="G138" s="18">
        <f>TRUNC((G137/G131)*10)</f>
        <v>42742</v>
      </c>
      <c r="H138" s="59"/>
      <c r="I138" s="18">
        <f>TRUNC((I137/I131)*10)</f>
        <v>57979</v>
      </c>
      <c r="L138" s="6"/>
      <c r="M138" s="6"/>
    </row>
    <row r="139" spans="2:13" ht="12.95" customHeight="1" x14ac:dyDescent="0.3">
      <c r="L139" s="6"/>
      <c r="M139" s="6"/>
    </row>
    <row r="140" spans="2:13" ht="12.95" customHeight="1" x14ac:dyDescent="0.3">
      <c r="B140" s="23" t="s">
        <v>61</v>
      </c>
      <c r="C140" s="24"/>
      <c r="D140" s="25"/>
      <c r="E140" s="26"/>
      <c r="F140" s="25"/>
      <c r="G140" s="25"/>
      <c r="I140" s="26" t="s">
        <v>84</v>
      </c>
    </row>
    <row r="141" spans="2:13" ht="12.95" customHeight="1" x14ac:dyDescent="0.3">
      <c r="B141" s="74" t="s">
        <v>10</v>
      </c>
      <c r="C141" s="77" t="s">
        <v>14</v>
      </c>
      <c r="D141" s="77" t="s">
        <v>15</v>
      </c>
      <c r="E141" s="77" t="s">
        <v>11</v>
      </c>
      <c r="F141" s="80" t="s">
        <v>59</v>
      </c>
      <c r="G141" s="81"/>
      <c r="H141" s="80" t="s">
        <v>93</v>
      </c>
      <c r="I141" s="81"/>
    </row>
    <row r="142" spans="2:13" ht="12.95" customHeight="1" x14ac:dyDescent="0.3">
      <c r="B142" s="75"/>
      <c r="C142" s="78"/>
      <c r="D142" s="78"/>
      <c r="E142" s="78"/>
      <c r="F142" s="49" t="s">
        <v>81</v>
      </c>
      <c r="G142" s="50">
        <v>120</v>
      </c>
      <c r="H142" s="49" t="s">
        <v>81</v>
      </c>
      <c r="I142" s="50">
        <v>115</v>
      </c>
    </row>
    <row r="143" spans="2:13" ht="12.95" customHeight="1" x14ac:dyDescent="0.3">
      <c r="B143" s="76"/>
      <c r="C143" s="79"/>
      <c r="D143" s="79"/>
      <c r="E143" s="79"/>
      <c r="F143" s="27" t="s">
        <v>25</v>
      </c>
      <c r="G143" s="51" t="s">
        <v>26</v>
      </c>
      <c r="H143" s="27" t="s">
        <v>25</v>
      </c>
      <c r="I143" s="51" t="s">
        <v>26</v>
      </c>
    </row>
    <row r="144" spans="2:13" ht="12.95" customHeight="1" x14ac:dyDescent="0.3">
      <c r="B144" s="40" t="s">
        <v>2</v>
      </c>
      <c r="C144" s="41"/>
      <c r="D144" s="42" t="s">
        <v>16</v>
      </c>
      <c r="E144" s="69">
        <v>277276</v>
      </c>
      <c r="F144" s="13">
        <v>2</v>
      </c>
      <c r="G144" s="2">
        <f t="shared" ref="G144:G145" si="39">TRUNC($E144*F144,1)</f>
        <v>554552</v>
      </c>
      <c r="H144" s="13">
        <v>2</v>
      </c>
      <c r="I144" s="2">
        <f t="shared" ref="I144:I145" si="40">TRUNC($E144*H144,1)</f>
        <v>554552</v>
      </c>
    </row>
    <row r="145" spans="2:13" ht="12.95" customHeight="1" x14ac:dyDescent="0.3">
      <c r="B145" s="40" t="s">
        <v>4</v>
      </c>
      <c r="C145" s="41"/>
      <c r="D145" s="42" t="s">
        <v>16</v>
      </c>
      <c r="E145" s="53">
        <v>172068</v>
      </c>
      <c r="F145" s="13">
        <v>1</v>
      </c>
      <c r="G145" s="2">
        <f t="shared" si="39"/>
        <v>172068</v>
      </c>
      <c r="H145" s="13">
        <v>2</v>
      </c>
      <c r="I145" s="2">
        <f t="shared" si="40"/>
        <v>344136</v>
      </c>
    </row>
    <row r="146" spans="2:13" ht="12.95" customHeight="1" x14ac:dyDescent="0.3">
      <c r="B146" s="44" t="s">
        <v>18</v>
      </c>
      <c r="C146" s="39"/>
      <c r="D146" s="39"/>
      <c r="E146" s="15"/>
      <c r="F146" s="7"/>
      <c r="G146" s="8">
        <f>TRUNC(SUM(G144:G145))</f>
        <v>726620</v>
      </c>
      <c r="H146" s="7"/>
      <c r="I146" s="8">
        <f>TRUNC(SUM(I144:I145))</f>
        <v>898688</v>
      </c>
    </row>
    <row r="147" spans="2:13" ht="12.95" customHeight="1" x14ac:dyDescent="0.3">
      <c r="B147" s="38"/>
      <c r="C147" s="39"/>
      <c r="D147" s="39"/>
      <c r="E147" s="15"/>
      <c r="F147" s="7"/>
      <c r="G147" s="16"/>
      <c r="H147" s="7"/>
      <c r="I147" s="16"/>
    </row>
    <row r="148" spans="2:13" ht="12.95" customHeight="1" x14ac:dyDescent="0.3">
      <c r="B148" s="54" t="s">
        <v>20</v>
      </c>
      <c r="C148" s="39"/>
      <c r="D148" s="39"/>
      <c r="E148" s="55"/>
      <c r="F148" s="55"/>
      <c r="G148" s="17">
        <f>SUM(G146)</f>
        <v>726620</v>
      </c>
      <c r="H148" s="55"/>
      <c r="I148" s="17">
        <f>SUM(I146)</f>
        <v>898688</v>
      </c>
    </row>
    <row r="149" spans="2:13" ht="12.95" customHeight="1" x14ac:dyDescent="0.3">
      <c r="B149" s="45" t="s">
        <v>89</v>
      </c>
      <c r="C149" s="56"/>
      <c r="D149" s="57"/>
      <c r="E149" s="58"/>
      <c r="F149" s="59"/>
      <c r="G149" s="18">
        <f>TRUNC((G148/G142)*10)</f>
        <v>60551</v>
      </c>
      <c r="H149" s="59"/>
      <c r="I149" s="18">
        <f>TRUNC((I148/I142)*10)</f>
        <v>78146</v>
      </c>
      <c r="L149" s="6"/>
      <c r="M149" s="6"/>
    </row>
    <row r="151" spans="2:13" ht="12.95" customHeight="1" x14ac:dyDescent="0.3">
      <c r="B151" s="23" t="s">
        <v>62</v>
      </c>
      <c r="C151" s="24"/>
      <c r="D151" s="25"/>
      <c r="E151" s="26"/>
      <c r="F151" s="25"/>
      <c r="G151" s="25"/>
    </row>
    <row r="152" spans="2:13" ht="12.95" customHeight="1" x14ac:dyDescent="0.3">
      <c r="B152" s="83" t="s">
        <v>10</v>
      </c>
      <c r="C152" s="85" t="s">
        <v>22</v>
      </c>
      <c r="D152" s="87" t="s">
        <v>15</v>
      </c>
      <c r="E152" s="77" t="s">
        <v>11</v>
      </c>
      <c r="F152" s="87" t="s">
        <v>15</v>
      </c>
      <c r="G152" s="88" t="s">
        <v>11</v>
      </c>
    </row>
    <row r="153" spans="2:13" ht="12.95" customHeight="1" x14ac:dyDescent="0.3">
      <c r="B153" s="84"/>
      <c r="C153" s="86"/>
      <c r="D153" s="87"/>
      <c r="E153" s="79"/>
      <c r="F153" s="87"/>
      <c r="G153" s="89"/>
    </row>
    <row r="154" spans="2:13" ht="12.95" customHeight="1" x14ac:dyDescent="0.3">
      <c r="B154" s="40" t="s">
        <v>35</v>
      </c>
      <c r="C154" s="41"/>
      <c r="D154" s="42" t="s">
        <v>64</v>
      </c>
      <c r="E154" s="70">
        <v>0</v>
      </c>
      <c r="F154" s="71">
        <v>14.3</v>
      </c>
      <c r="G154" s="2">
        <f t="shared" ref="G154:G155" si="41">TRUNC($E154*F154,1)</f>
        <v>0</v>
      </c>
    </row>
    <row r="155" spans="2:13" ht="12.95" customHeight="1" x14ac:dyDescent="0.3">
      <c r="B155" s="40" t="s">
        <v>63</v>
      </c>
      <c r="C155" s="41"/>
      <c r="D155" s="42" t="s">
        <v>65</v>
      </c>
      <c r="E155" s="72">
        <v>0</v>
      </c>
      <c r="F155" s="71">
        <v>22.7</v>
      </c>
      <c r="G155" s="2">
        <f t="shared" si="41"/>
        <v>0</v>
      </c>
    </row>
    <row r="156" spans="2:13" ht="12.95" customHeight="1" x14ac:dyDescent="0.3">
      <c r="B156" s="44" t="s">
        <v>17</v>
      </c>
      <c r="C156" s="39"/>
      <c r="D156" s="39"/>
      <c r="E156" s="15"/>
      <c r="F156" s="7"/>
      <c r="G156" s="8">
        <f>TRUNC(SUM(G154:G155))</f>
        <v>0</v>
      </c>
    </row>
    <row r="157" spans="2:13" ht="12.95" customHeight="1" x14ac:dyDescent="0.3">
      <c r="B157" s="38"/>
      <c r="C157" s="39"/>
      <c r="D157" s="39"/>
      <c r="E157" s="15"/>
      <c r="F157" s="7"/>
      <c r="G157" s="16"/>
    </row>
    <row r="158" spans="2:13" ht="12.95" customHeight="1" x14ac:dyDescent="0.3">
      <c r="B158" s="45" t="s">
        <v>20</v>
      </c>
      <c r="C158" s="46"/>
      <c r="D158" s="46"/>
      <c r="E158" s="47"/>
      <c r="F158" s="47"/>
      <c r="G158" s="48">
        <f>SUM(G156)</f>
        <v>0</v>
      </c>
    </row>
    <row r="160" spans="2:13" ht="12.95" customHeight="1" x14ac:dyDescent="0.3">
      <c r="B160" s="73" t="s">
        <v>66</v>
      </c>
    </row>
    <row r="161" spans="2:7" ht="12.95" customHeight="1" x14ac:dyDescent="0.3">
      <c r="B161" s="23" t="s">
        <v>68</v>
      </c>
      <c r="C161" s="24"/>
      <c r="D161" s="25"/>
      <c r="E161" s="26"/>
      <c r="F161" s="25"/>
      <c r="G161" s="68" t="s">
        <v>67</v>
      </c>
    </row>
    <row r="162" spans="2:7" ht="12.95" customHeight="1" x14ac:dyDescent="0.3">
      <c r="B162" s="83" t="s">
        <v>10</v>
      </c>
      <c r="C162" s="85" t="s">
        <v>22</v>
      </c>
      <c r="D162" s="87" t="s">
        <v>15</v>
      </c>
      <c r="E162" s="77" t="s">
        <v>11</v>
      </c>
      <c r="F162" s="87" t="s">
        <v>15</v>
      </c>
      <c r="G162" s="88" t="s">
        <v>11</v>
      </c>
    </row>
    <row r="163" spans="2:7" ht="12.95" customHeight="1" x14ac:dyDescent="0.3">
      <c r="B163" s="84"/>
      <c r="C163" s="86"/>
      <c r="D163" s="87"/>
      <c r="E163" s="79"/>
      <c r="F163" s="87"/>
      <c r="G163" s="89"/>
    </row>
    <row r="164" spans="2:7" ht="12.95" customHeight="1" x14ac:dyDescent="0.3">
      <c r="B164" s="30" t="s">
        <v>27</v>
      </c>
      <c r="C164" s="31" t="s">
        <v>28</v>
      </c>
      <c r="D164" s="32" t="s">
        <v>21</v>
      </c>
      <c r="E164" s="52"/>
      <c r="F164" s="13">
        <v>1</v>
      </c>
      <c r="G164" s="4">
        <f>TRUNC(SUM(G167:G168)*0.02,1)</f>
        <v>914</v>
      </c>
    </row>
    <row r="165" spans="2:7" ht="12.95" customHeight="1" x14ac:dyDescent="0.3">
      <c r="B165" s="34" t="s">
        <v>17</v>
      </c>
      <c r="C165" s="35"/>
      <c r="D165" s="36"/>
      <c r="E165" s="37"/>
      <c r="F165" s="14"/>
      <c r="G165" s="5">
        <f>TRUNC(SUM(G164))</f>
        <v>914</v>
      </c>
    </row>
    <row r="166" spans="2:7" ht="12.95" customHeight="1" x14ac:dyDescent="0.3">
      <c r="B166" s="38"/>
      <c r="C166" s="39"/>
      <c r="D166" s="39"/>
      <c r="E166" s="15"/>
      <c r="F166" s="7"/>
      <c r="G166" s="16"/>
    </row>
    <row r="167" spans="2:7" ht="12.95" customHeight="1" x14ac:dyDescent="0.3">
      <c r="B167" s="40" t="s">
        <v>2</v>
      </c>
      <c r="C167" s="41"/>
      <c r="D167" s="42" t="s">
        <v>16</v>
      </c>
      <c r="E167" s="43">
        <v>277276</v>
      </c>
      <c r="F167" s="14">
        <v>0.14000000000000001</v>
      </c>
      <c r="G167" s="2">
        <f t="shared" ref="G167:G168" si="42">TRUNC($E167*F167,1)</f>
        <v>38818.6</v>
      </c>
    </row>
    <row r="168" spans="2:7" ht="12.95" customHeight="1" x14ac:dyDescent="0.3">
      <c r="B168" s="40" t="s">
        <v>4</v>
      </c>
      <c r="C168" s="41"/>
      <c r="D168" s="42" t="s">
        <v>16</v>
      </c>
      <c r="E168" s="43">
        <v>172068</v>
      </c>
      <c r="F168" s="14">
        <v>0.04</v>
      </c>
      <c r="G168" s="2">
        <f t="shared" si="42"/>
        <v>6882.7</v>
      </c>
    </row>
    <row r="169" spans="2:7" ht="12.95" customHeight="1" x14ac:dyDescent="0.3">
      <c r="B169" s="44" t="s">
        <v>18</v>
      </c>
      <c r="C169" s="39"/>
      <c r="D169" s="39"/>
      <c r="E169" s="15"/>
      <c r="F169" s="7"/>
      <c r="G169" s="8">
        <f>TRUNC(SUM(G167:G168))</f>
        <v>45701</v>
      </c>
    </row>
    <row r="170" spans="2:7" ht="12.95" customHeight="1" x14ac:dyDescent="0.3">
      <c r="B170" s="38"/>
      <c r="C170" s="39"/>
      <c r="D170" s="39"/>
      <c r="E170" s="15"/>
      <c r="F170" s="7"/>
      <c r="G170" s="16"/>
    </row>
    <row r="171" spans="2:7" ht="12.95" customHeight="1" x14ac:dyDescent="0.3">
      <c r="B171" s="45" t="s">
        <v>20</v>
      </c>
      <c r="C171" s="46"/>
      <c r="D171" s="46"/>
      <c r="E171" s="47"/>
      <c r="F171" s="47"/>
      <c r="G171" s="48">
        <f>SUM(G165+G169)</f>
        <v>46615</v>
      </c>
    </row>
    <row r="173" spans="2:7" ht="12.95" customHeight="1" x14ac:dyDescent="0.3">
      <c r="B173" s="23" t="s">
        <v>70</v>
      </c>
      <c r="C173" s="24"/>
      <c r="D173" s="25"/>
      <c r="E173" s="26"/>
      <c r="F173" s="25"/>
      <c r="G173" s="25"/>
    </row>
    <row r="174" spans="2:7" ht="12.95" customHeight="1" x14ac:dyDescent="0.3">
      <c r="B174" s="83" t="s">
        <v>10</v>
      </c>
      <c r="C174" s="85" t="s">
        <v>22</v>
      </c>
      <c r="D174" s="87" t="s">
        <v>15</v>
      </c>
      <c r="E174" s="77" t="s">
        <v>11</v>
      </c>
      <c r="F174" s="87" t="s">
        <v>15</v>
      </c>
      <c r="G174" s="88" t="s">
        <v>11</v>
      </c>
    </row>
    <row r="175" spans="2:7" ht="12.95" customHeight="1" x14ac:dyDescent="0.3">
      <c r="B175" s="84"/>
      <c r="C175" s="86"/>
      <c r="D175" s="87"/>
      <c r="E175" s="79"/>
      <c r="F175" s="87"/>
      <c r="G175" s="89"/>
    </row>
    <row r="176" spans="2:7" ht="12.95" customHeight="1" x14ac:dyDescent="0.3">
      <c r="B176" s="40" t="s">
        <v>35</v>
      </c>
      <c r="C176" s="41"/>
      <c r="D176" s="42" t="s">
        <v>64</v>
      </c>
      <c r="E176" s="70">
        <v>0</v>
      </c>
      <c r="F176" s="71">
        <v>27.3</v>
      </c>
      <c r="G176" s="2">
        <f t="shared" ref="G176:G177" si="43">TRUNC($E176*F176,1)</f>
        <v>0</v>
      </c>
    </row>
    <row r="177" spans="2:13" ht="12.95" customHeight="1" x14ac:dyDescent="0.3">
      <c r="B177" s="40" t="s">
        <v>69</v>
      </c>
      <c r="C177" s="41"/>
      <c r="D177" s="42" t="s">
        <v>37</v>
      </c>
      <c r="E177" s="72">
        <v>0</v>
      </c>
      <c r="F177" s="14">
        <v>0.06</v>
      </c>
      <c r="G177" s="2">
        <f t="shared" si="43"/>
        <v>0</v>
      </c>
    </row>
    <row r="178" spans="2:13" ht="12.95" customHeight="1" x14ac:dyDescent="0.3">
      <c r="B178" s="44" t="s">
        <v>17</v>
      </c>
      <c r="C178" s="39"/>
      <c r="D178" s="39"/>
      <c r="E178" s="15"/>
      <c r="F178" s="7"/>
      <c r="G178" s="8">
        <f>TRUNC(SUM(G176:G177))</f>
        <v>0</v>
      </c>
    </row>
    <row r="179" spans="2:13" ht="12.95" customHeight="1" x14ac:dyDescent="0.3">
      <c r="B179" s="38"/>
      <c r="C179" s="39"/>
      <c r="D179" s="39"/>
      <c r="E179" s="15"/>
      <c r="F179" s="7"/>
      <c r="G179" s="16"/>
    </row>
    <row r="180" spans="2:13" ht="12.95" customHeight="1" x14ac:dyDescent="0.3">
      <c r="B180" s="45" t="s">
        <v>20</v>
      </c>
      <c r="C180" s="46"/>
      <c r="D180" s="46"/>
      <c r="E180" s="47"/>
      <c r="F180" s="47"/>
      <c r="G180" s="48">
        <f>SUM(G178)</f>
        <v>0</v>
      </c>
    </row>
    <row r="182" spans="2:13" ht="12.95" customHeight="1" x14ac:dyDescent="0.3">
      <c r="B182" s="23" t="s">
        <v>71</v>
      </c>
      <c r="C182" s="24"/>
      <c r="D182" s="25"/>
      <c r="E182" s="26"/>
      <c r="F182" s="25"/>
      <c r="G182" s="68" t="s">
        <v>67</v>
      </c>
    </row>
    <row r="183" spans="2:13" ht="12.95" customHeight="1" x14ac:dyDescent="0.3">
      <c r="B183" s="83" t="s">
        <v>10</v>
      </c>
      <c r="C183" s="85" t="s">
        <v>22</v>
      </c>
      <c r="D183" s="87" t="s">
        <v>15</v>
      </c>
      <c r="E183" s="77" t="s">
        <v>11</v>
      </c>
      <c r="F183" s="87" t="s">
        <v>15</v>
      </c>
      <c r="G183" s="88" t="s">
        <v>11</v>
      </c>
    </row>
    <row r="184" spans="2:13" ht="12.95" customHeight="1" x14ac:dyDescent="0.3">
      <c r="B184" s="84"/>
      <c r="C184" s="86"/>
      <c r="D184" s="87"/>
      <c r="E184" s="79"/>
      <c r="F184" s="87"/>
      <c r="G184" s="89"/>
    </row>
    <row r="185" spans="2:13" ht="12.95" customHeight="1" x14ac:dyDescent="0.3">
      <c r="B185" s="40" t="s">
        <v>2</v>
      </c>
      <c r="C185" s="41"/>
      <c r="D185" s="42" t="s">
        <v>16</v>
      </c>
      <c r="E185" s="43">
        <v>277276</v>
      </c>
      <c r="F185" s="14">
        <v>0.08</v>
      </c>
      <c r="G185" s="2">
        <f t="shared" ref="G185:G186" si="44">TRUNC($E185*F185,1)</f>
        <v>22182</v>
      </c>
    </row>
    <row r="186" spans="2:13" ht="12.95" customHeight="1" x14ac:dyDescent="0.3">
      <c r="B186" s="40" t="s">
        <v>4</v>
      </c>
      <c r="C186" s="41"/>
      <c r="D186" s="42" t="s">
        <v>16</v>
      </c>
      <c r="E186" s="43">
        <v>172068</v>
      </c>
      <c r="F186" s="14">
        <v>0.03</v>
      </c>
      <c r="G186" s="2">
        <f t="shared" si="44"/>
        <v>5162</v>
      </c>
    </row>
    <row r="187" spans="2:13" ht="12.95" customHeight="1" x14ac:dyDescent="0.3">
      <c r="B187" s="44" t="s">
        <v>18</v>
      </c>
      <c r="C187" s="39"/>
      <c r="D187" s="39"/>
      <c r="E187" s="15"/>
      <c r="F187" s="7"/>
      <c r="G187" s="8">
        <f>TRUNC(SUM(G185:G186))</f>
        <v>27344</v>
      </c>
    </row>
    <row r="188" spans="2:13" ht="12.95" customHeight="1" x14ac:dyDescent="0.3">
      <c r="B188" s="38"/>
      <c r="C188" s="39"/>
      <c r="D188" s="39"/>
      <c r="E188" s="15"/>
      <c r="F188" s="7"/>
      <c r="G188" s="16"/>
    </row>
    <row r="189" spans="2:13" ht="12.95" customHeight="1" x14ac:dyDescent="0.3">
      <c r="B189" s="45" t="s">
        <v>20</v>
      </c>
      <c r="C189" s="46"/>
      <c r="D189" s="46"/>
      <c r="E189" s="47"/>
      <c r="F189" s="47"/>
      <c r="G189" s="48">
        <f>SUM(G187)</f>
        <v>27344</v>
      </c>
    </row>
    <row r="191" spans="2:13" ht="12.95" customHeight="1" x14ac:dyDescent="0.3">
      <c r="B191" s="23" t="s">
        <v>78</v>
      </c>
      <c r="C191" s="24"/>
      <c r="D191" s="25"/>
      <c r="E191" s="26"/>
      <c r="F191" s="25"/>
      <c r="M191" s="68" t="s">
        <v>72</v>
      </c>
    </row>
    <row r="192" spans="2:13" ht="12.95" customHeight="1" x14ac:dyDescent="0.3">
      <c r="B192" s="83" t="s">
        <v>10</v>
      </c>
      <c r="C192" s="85" t="s">
        <v>22</v>
      </c>
      <c r="D192" s="87" t="s">
        <v>15</v>
      </c>
      <c r="E192" s="77" t="s">
        <v>11</v>
      </c>
      <c r="F192" s="80" t="s">
        <v>73</v>
      </c>
      <c r="G192" s="81"/>
      <c r="H192" s="80" t="s">
        <v>74</v>
      </c>
      <c r="I192" s="81"/>
      <c r="J192" s="80" t="s">
        <v>75</v>
      </c>
      <c r="K192" s="81"/>
      <c r="L192" s="80" t="s">
        <v>76</v>
      </c>
      <c r="M192" s="81"/>
    </row>
    <row r="193" spans="2:13" ht="12.95" customHeight="1" x14ac:dyDescent="0.3">
      <c r="B193" s="84"/>
      <c r="C193" s="86"/>
      <c r="D193" s="87"/>
      <c r="E193" s="79"/>
      <c r="F193" s="28" t="s">
        <v>12</v>
      </c>
      <c r="G193" s="29" t="s">
        <v>13</v>
      </c>
      <c r="H193" s="28" t="s">
        <v>12</v>
      </c>
      <c r="I193" s="29" t="s">
        <v>13</v>
      </c>
      <c r="J193" s="28" t="s">
        <v>12</v>
      </c>
      <c r="K193" s="29" t="s">
        <v>13</v>
      </c>
      <c r="L193" s="28" t="s">
        <v>12</v>
      </c>
      <c r="M193" s="29" t="s">
        <v>13</v>
      </c>
    </row>
    <row r="194" spans="2:13" ht="12.95" customHeight="1" x14ac:dyDescent="0.3">
      <c r="B194" s="30" t="s">
        <v>77</v>
      </c>
      <c r="C194" s="31"/>
      <c r="D194" s="32" t="s">
        <v>30</v>
      </c>
      <c r="E194" s="33">
        <v>0</v>
      </c>
      <c r="F194" s="71">
        <v>15.6</v>
      </c>
      <c r="G194" s="2">
        <f t="shared" ref="G194" si="45">TRUNC($E194*F194,1)</f>
        <v>0</v>
      </c>
      <c r="H194" s="71">
        <v>24.4</v>
      </c>
      <c r="I194" s="2">
        <f t="shared" ref="I194" si="46">TRUNC($E194*H194,1)</f>
        <v>0</v>
      </c>
      <c r="J194" s="71">
        <v>35.1</v>
      </c>
      <c r="K194" s="2">
        <f t="shared" ref="K194" si="47">TRUNC($E194*J194,1)</f>
        <v>0</v>
      </c>
      <c r="L194" s="71">
        <v>47.8</v>
      </c>
      <c r="M194" s="2">
        <f t="shared" ref="M194" si="48">TRUNC($E194*L194,1)</f>
        <v>0</v>
      </c>
    </row>
    <row r="195" spans="2:13" ht="12.95" customHeight="1" x14ac:dyDescent="0.3">
      <c r="B195" s="34" t="s">
        <v>17</v>
      </c>
      <c r="C195" s="35"/>
      <c r="D195" s="36"/>
      <c r="E195" s="37"/>
      <c r="F195" s="14"/>
      <c r="G195" s="5">
        <f>TRUNC(SUM(G194:G194))</f>
        <v>0</v>
      </c>
      <c r="H195" s="14"/>
      <c r="I195" s="5">
        <f>TRUNC(SUM(I194:I194))</f>
        <v>0</v>
      </c>
      <c r="J195" s="14"/>
      <c r="K195" s="5">
        <f>TRUNC(SUM(K194:K194))</f>
        <v>0</v>
      </c>
      <c r="L195" s="14"/>
      <c r="M195" s="5">
        <f>TRUNC(SUM(M194:M194))</f>
        <v>0</v>
      </c>
    </row>
    <row r="196" spans="2:13" ht="12.95" customHeight="1" x14ac:dyDescent="0.3">
      <c r="B196" s="38"/>
      <c r="C196" s="39"/>
      <c r="D196" s="39"/>
      <c r="E196" s="15"/>
      <c r="F196" s="7"/>
      <c r="G196" s="16"/>
      <c r="H196" s="7"/>
      <c r="I196" s="16"/>
      <c r="J196" s="7"/>
      <c r="K196" s="16"/>
      <c r="L196" s="7"/>
      <c r="M196" s="16"/>
    </row>
    <row r="197" spans="2:13" ht="12.95" customHeight="1" x14ac:dyDescent="0.3">
      <c r="B197" s="40" t="s">
        <v>2</v>
      </c>
      <c r="C197" s="41"/>
      <c r="D197" s="42" t="s">
        <v>16</v>
      </c>
      <c r="E197" s="43">
        <v>277276</v>
      </c>
      <c r="F197" s="14">
        <v>0.16</v>
      </c>
      <c r="G197" s="2">
        <f t="shared" ref="G197:G198" si="49">TRUNC($E197*F197,1)</f>
        <v>44364.1</v>
      </c>
      <c r="H197" s="9">
        <v>0.2</v>
      </c>
      <c r="I197" s="2">
        <f t="shared" ref="I197:I198" si="50">TRUNC($E197*H197,1)</f>
        <v>55455.199999999997</v>
      </c>
      <c r="J197" s="9">
        <v>0.23</v>
      </c>
      <c r="K197" s="2">
        <f t="shared" ref="K197:K198" si="51">TRUNC($E197*J197,1)</f>
        <v>63773.4</v>
      </c>
      <c r="L197" s="9">
        <v>0.27</v>
      </c>
      <c r="M197" s="2">
        <f t="shared" ref="M197:M198" si="52">TRUNC($E197*L197,1)</f>
        <v>74864.5</v>
      </c>
    </row>
    <row r="198" spans="2:13" ht="12.95" customHeight="1" x14ac:dyDescent="0.3">
      <c r="B198" s="40" t="s">
        <v>4</v>
      </c>
      <c r="C198" s="41"/>
      <c r="D198" s="42" t="s">
        <v>16</v>
      </c>
      <c r="E198" s="43">
        <v>172068</v>
      </c>
      <c r="F198" s="14">
        <v>0.05</v>
      </c>
      <c r="G198" s="2">
        <f t="shared" si="49"/>
        <v>8603.4</v>
      </c>
      <c r="H198" s="9">
        <v>0.06</v>
      </c>
      <c r="I198" s="2">
        <f t="shared" si="50"/>
        <v>10324</v>
      </c>
      <c r="J198" s="9">
        <v>7.0000000000000007E-2</v>
      </c>
      <c r="K198" s="2">
        <f t="shared" si="51"/>
        <v>12044.7</v>
      </c>
      <c r="L198" s="9">
        <v>0.09</v>
      </c>
      <c r="M198" s="2">
        <f t="shared" si="52"/>
        <v>15486.1</v>
      </c>
    </row>
    <row r="199" spans="2:13" ht="12.95" customHeight="1" x14ac:dyDescent="0.3">
      <c r="B199" s="44" t="s">
        <v>18</v>
      </c>
      <c r="C199" s="39"/>
      <c r="D199" s="39"/>
      <c r="E199" s="15"/>
      <c r="F199" s="7"/>
      <c r="G199" s="8">
        <f>TRUNC(SUM(G197:G198))</f>
        <v>52967</v>
      </c>
      <c r="H199" s="7"/>
      <c r="I199" s="8">
        <f>TRUNC(SUM(I197:I198))</f>
        <v>65779</v>
      </c>
      <c r="J199" s="7"/>
      <c r="K199" s="8">
        <f>TRUNC(SUM(K197:K198))</f>
        <v>75818</v>
      </c>
      <c r="L199" s="7"/>
      <c r="M199" s="8">
        <f>TRUNC(SUM(M197:M198))</f>
        <v>90350</v>
      </c>
    </row>
    <row r="200" spans="2:13" ht="12.95" customHeight="1" x14ac:dyDescent="0.3">
      <c r="B200" s="38"/>
      <c r="C200" s="39"/>
      <c r="D200" s="39"/>
      <c r="E200" s="15"/>
      <c r="F200" s="7"/>
      <c r="G200" s="16"/>
      <c r="H200" s="7"/>
      <c r="I200" s="16"/>
      <c r="J200" s="7"/>
      <c r="K200" s="16"/>
      <c r="L200" s="7"/>
      <c r="M200" s="16"/>
    </row>
    <row r="201" spans="2:13" ht="12.95" customHeight="1" x14ac:dyDescent="0.3">
      <c r="B201" s="45" t="s">
        <v>20</v>
      </c>
      <c r="C201" s="46"/>
      <c r="D201" s="46"/>
      <c r="E201" s="47"/>
      <c r="F201" s="47"/>
      <c r="G201" s="48">
        <f>SUM(G195+G199)</f>
        <v>52967</v>
      </c>
      <c r="H201" s="47"/>
      <c r="I201" s="48">
        <f>SUM(I195+I199)</f>
        <v>65779</v>
      </c>
      <c r="J201" s="47"/>
      <c r="K201" s="48">
        <f>SUM(K195+K199)</f>
        <v>75818</v>
      </c>
      <c r="L201" s="47"/>
      <c r="M201" s="48">
        <f>SUM(M195+M199)</f>
        <v>90350</v>
      </c>
    </row>
    <row r="203" spans="2:13" ht="12.95" customHeight="1" x14ac:dyDescent="0.3">
      <c r="B203" s="1" t="s">
        <v>79</v>
      </c>
      <c r="C203" s="60"/>
      <c r="D203" s="60"/>
      <c r="E203" s="60"/>
      <c r="F203" s="60"/>
      <c r="G203" s="60"/>
      <c r="H203" s="60"/>
      <c r="I203" s="68" t="s">
        <v>84</v>
      </c>
    </row>
    <row r="204" spans="2:13" ht="12.95" customHeight="1" x14ac:dyDescent="0.3">
      <c r="B204" s="74" t="s">
        <v>10</v>
      </c>
      <c r="C204" s="77" t="s">
        <v>14</v>
      </c>
      <c r="D204" s="77" t="s">
        <v>15</v>
      </c>
      <c r="E204" s="77" t="s">
        <v>11</v>
      </c>
      <c r="F204" s="80" t="s">
        <v>59</v>
      </c>
      <c r="G204" s="81"/>
      <c r="H204" s="80" t="s">
        <v>93</v>
      </c>
      <c r="I204" s="81"/>
    </row>
    <row r="205" spans="2:13" ht="12.95" customHeight="1" x14ac:dyDescent="0.3">
      <c r="B205" s="75"/>
      <c r="C205" s="78"/>
      <c r="D205" s="78"/>
      <c r="E205" s="78"/>
      <c r="F205" s="49" t="s">
        <v>95</v>
      </c>
      <c r="G205" s="50">
        <v>22</v>
      </c>
      <c r="H205" s="49" t="s">
        <v>95</v>
      </c>
      <c r="I205" s="50">
        <v>19</v>
      </c>
    </row>
    <row r="206" spans="2:13" ht="12.95" customHeight="1" x14ac:dyDescent="0.3">
      <c r="B206" s="76"/>
      <c r="C206" s="79"/>
      <c r="D206" s="79"/>
      <c r="E206" s="79"/>
      <c r="F206" s="27" t="s">
        <v>25</v>
      </c>
      <c r="G206" s="51" t="s">
        <v>26</v>
      </c>
      <c r="H206" s="27" t="s">
        <v>25</v>
      </c>
      <c r="I206" s="51" t="s">
        <v>26</v>
      </c>
    </row>
    <row r="207" spans="2:13" ht="12.95" customHeight="1" x14ac:dyDescent="0.3">
      <c r="B207" s="40" t="s">
        <v>0</v>
      </c>
      <c r="C207" s="41"/>
      <c r="D207" s="42" t="s">
        <v>16</v>
      </c>
      <c r="E207" s="43">
        <v>256883</v>
      </c>
      <c r="F207" s="13">
        <v>2</v>
      </c>
      <c r="G207" s="2">
        <f t="shared" ref="G207:G208" si="53">TRUNC($E207*F207,1)</f>
        <v>513766</v>
      </c>
      <c r="H207" s="13">
        <v>2</v>
      </c>
      <c r="I207" s="2">
        <f t="shared" ref="I207:I208" si="54">TRUNC($E207*H207,1)</f>
        <v>513766</v>
      </c>
    </row>
    <row r="208" spans="2:13" ht="12.95" customHeight="1" x14ac:dyDescent="0.3">
      <c r="B208" s="40" t="s">
        <v>24</v>
      </c>
      <c r="C208" s="41"/>
      <c r="D208" s="42" t="s">
        <v>16</v>
      </c>
      <c r="E208" s="43">
        <v>226122</v>
      </c>
      <c r="F208" s="13">
        <v>2</v>
      </c>
      <c r="G208" s="2">
        <f t="shared" si="53"/>
        <v>452244</v>
      </c>
      <c r="H208" s="13">
        <v>2</v>
      </c>
      <c r="I208" s="2">
        <f t="shared" si="54"/>
        <v>452244</v>
      </c>
    </row>
    <row r="209" spans="2:13" ht="12.95" customHeight="1" x14ac:dyDescent="0.3">
      <c r="B209" s="44" t="s">
        <v>18</v>
      </c>
      <c r="C209" s="39"/>
      <c r="D209" s="39"/>
      <c r="E209" s="15"/>
      <c r="F209" s="63"/>
      <c r="G209" s="8">
        <f>TRUNC(SUM(G207:G208))</f>
        <v>966010</v>
      </c>
      <c r="H209" s="63"/>
      <c r="I209" s="8">
        <f>TRUNC(SUM(I207:I208))</f>
        <v>966010</v>
      </c>
    </row>
    <row r="210" spans="2:13" ht="12.95" customHeight="1" x14ac:dyDescent="0.3">
      <c r="B210" s="38"/>
      <c r="C210" s="39"/>
      <c r="D210" s="39"/>
      <c r="E210" s="15"/>
      <c r="F210" s="63"/>
      <c r="G210" s="16"/>
      <c r="H210" s="63"/>
      <c r="I210" s="16"/>
    </row>
    <row r="211" spans="2:13" ht="12.95" customHeight="1" x14ac:dyDescent="0.3">
      <c r="B211" s="61" t="s">
        <v>8</v>
      </c>
      <c r="C211" s="61" t="s">
        <v>80</v>
      </c>
      <c r="D211" s="62" t="s">
        <v>23</v>
      </c>
      <c r="E211" s="10">
        <v>8604</v>
      </c>
      <c r="F211" s="13">
        <v>8</v>
      </c>
      <c r="G211" s="2">
        <f t="shared" ref="G211" si="55">TRUNC($E211*F211,1)</f>
        <v>68832</v>
      </c>
      <c r="H211" s="13">
        <v>8</v>
      </c>
      <c r="I211" s="2">
        <f t="shared" ref="I211" si="56">TRUNC($E211*H211,1)</f>
        <v>68832</v>
      </c>
    </row>
    <row r="212" spans="2:13" ht="12.95" customHeight="1" x14ac:dyDescent="0.3">
      <c r="B212" s="34" t="s">
        <v>19</v>
      </c>
      <c r="C212" s="39"/>
      <c r="D212" s="39"/>
      <c r="E212" s="55"/>
      <c r="F212" s="7"/>
      <c r="G212" s="8">
        <f>TRUNC(SUM(G211:G211))</f>
        <v>68832</v>
      </c>
      <c r="H212" s="7"/>
      <c r="I212" s="8">
        <f>TRUNC(SUM(I211:I211))</f>
        <v>68832</v>
      </c>
    </row>
    <row r="213" spans="2:13" ht="12.95" customHeight="1" x14ac:dyDescent="0.3">
      <c r="B213" s="65"/>
      <c r="C213" s="61"/>
      <c r="D213" s="61"/>
      <c r="E213" s="66"/>
      <c r="F213" s="14"/>
      <c r="G213" s="67"/>
      <c r="H213" s="14"/>
      <c r="I213" s="67"/>
    </row>
    <row r="214" spans="2:13" ht="12.95" customHeight="1" x14ac:dyDescent="0.3">
      <c r="B214" s="54" t="s">
        <v>20</v>
      </c>
      <c r="C214" s="39"/>
      <c r="D214" s="39"/>
      <c r="E214" s="55"/>
      <c r="F214" s="55"/>
      <c r="G214" s="17">
        <f>SUM(G209+G212)</f>
        <v>1034842</v>
      </c>
      <c r="H214" s="55"/>
      <c r="I214" s="17">
        <f>SUM(I209+I212)</f>
        <v>1034842</v>
      </c>
    </row>
    <row r="215" spans="2:13" ht="12.95" customHeight="1" x14ac:dyDescent="0.3">
      <c r="B215" s="45" t="s">
        <v>94</v>
      </c>
      <c r="C215" s="56"/>
      <c r="D215" s="57"/>
      <c r="E215" s="58"/>
      <c r="F215" s="59"/>
      <c r="G215" s="18">
        <f>TRUNC(G214/G205)</f>
        <v>47038</v>
      </c>
      <c r="H215" s="59"/>
      <c r="I215" s="18">
        <f>TRUNC(I214/I205)</f>
        <v>54465</v>
      </c>
      <c r="L215" s="6"/>
      <c r="M215" s="6"/>
    </row>
    <row r="291" spans="14:15" ht="12.95" customHeight="1" x14ac:dyDescent="0.3">
      <c r="O291" s="3"/>
    </row>
    <row r="292" spans="14:15" ht="12.95" customHeight="1" x14ac:dyDescent="0.3">
      <c r="N292" s="3"/>
      <c r="O292" s="3"/>
    </row>
    <row r="293" spans="14:15" ht="12.95" customHeight="1" x14ac:dyDescent="0.3">
      <c r="N293" s="3"/>
      <c r="O293" s="3"/>
    </row>
    <row r="294" spans="14:15" ht="12.95" customHeight="1" x14ac:dyDescent="0.3">
      <c r="N294" s="3"/>
      <c r="O294" s="3"/>
    </row>
    <row r="295" spans="14:15" ht="12.95" customHeight="1" x14ac:dyDescent="0.3">
      <c r="N295" s="3"/>
      <c r="O295" s="3"/>
    </row>
    <row r="296" spans="14:15" ht="12.95" customHeight="1" x14ac:dyDescent="0.3">
      <c r="N296" s="3"/>
      <c r="O296" s="3"/>
    </row>
    <row r="297" spans="14:15" ht="12.95" customHeight="1" x14ac:dyDescent="0.3">
      <c r="N297" s="3"/>
      <c r="O297" s="3"/>
    </row>
    <row r="298" spans="14:15" ht="12.95" customHeight="1" x14ac:dyDescent="0.3">
      <c r="N298" s="3"/>
      <c r="O298" s="3"/>
    </row>
    <row r="299" spans="14:15" ht="12.95" customHeight="1" x14ac:dyDescent="0.3">
      <c r="N299" s="3"/>
      <c r="O299" s="3"/>
    </row>
    <row r="300" spans="14:15" ht="12.95" customHeight="1" x14ac:dyDescent="0.3">
      <c r="N300" s="3"/>
      <c r="O300" s="3"/>
    </row>
    <row r="301" spans="14:15" ht="12.95" customHeight="1" x14ac:dyDescent="0.3">
      <c r="N301" s="3"/>
      <c r="O301" s="3"/>
    </row>
    <row r="302" spans="14:15" ht="12.95" customHeight="1" x14ac:dyDescent="0.3">
      <c r="N302" s="3"/>
      <c r="O302" s="3"/>
    </row>
    <row r="303" spans="14:15" ht="12.95" customHeight="1" x14ac:dyDescent="0.3">
      <c r="N303" s="3"/>
      <c r="O303" s="3"/>
    </row>
    <row r="304" spans="14:15" ht="12.95" customHeight="1" x14ac:dyDescent="0.3">
      <c r="N304" s="3"/>
      <c r="O304" s="3"/>
    </row>
    <row r="305" spans="14:15" ht="12.95" customHeight="1" x14ac:dyDescent="0.3">
      <c r="N305" s="3"/>
      <c r="O305" s="3"/>
    </row>
    <row r="306" spans="14:15" ht="12.95" customHeight="1" x14ac:dyDescent="0.3">
      <c r="N306" s="3"/>
      <c r="O306" s="3"/>
    </row>
    <row r="307" spans="14:15" ht="12.95" customHeight="1" x14ac:dyDescent="0.3">
      <c r="N307" s="3"/>
      <c r="O307" s="3"/>
    </row>
    <row r="308" spans="14:15" ht="12.95" customHeight="1" x14ac:dyDescent="0.3">
      <c r="N308" s="3"/>
    </row>
  </sheetData>
  <mergeCells count="120">
    <mergeCell ref="J192:K192"/>
    <mergeCell ref="L192:M192"/>
    <mergeCell ref="B204:B206"/>
    <mergeCell ref="C204:C206"/>
    <mergeCell ref="D204:D206"/>
    <mergeCell ref="E204:E206"/>
    <mergeCell ref="F204:G204"/>
    <mergeCell ref="H204:I204"/>
    <mergeCell ref="B192:B193"/>
    <mergeCell ref="C192:C193"/>
    <mergeCell ref="D192:D193"/>
    <mergeCell ref="E192:E193"/>
    <mergeCell ref="F192:G192"/>
    <mergeCell ref="H192:I192"/>
    <mergeCell ref="B183:B184"/>
    <mergeCell ref="C183:C184"/>
    <mergeCell ref="D183:D184"/>
    <mergeCell ref="E183:E184"/>
    <mergeCell ref="F183:F184"/>
    <mergeCell ref="G183:G184"/>
    <mergeCell ref="B174:B175"/>
    <mergeCell ref="C174:C175"/>
    <mergeCell ref="D174:D175"/>
    <mergeCell ref="E174:E175"/>
    <mergeCell ref="F174:F175"/>
    <mergeCell ref="G174:G175"/>
    <mergeCell ref="B162:B163"/>
    <mergeCell ref="C162:C163"/>
    <mergeCell ref="D162:D163"/>
    <mergeCell ref="E162:E163"/>
    <mergeCell ref="F162:F163"/>
    <mergeCell ref="G162:G163"/>
    <mergeCell ref="B152:B153"/>
    <mergeCell ref="C152:C153"/>
    <mergeCell ref="D152:D153"/>
    <mergeCell ref="E152:E153"/>
    <mergeCell ref="F152:F153"/>
    <mergeCell ref="G152:G153"/>
    <mergeCell ref="B141:B143"/>
    <mergeCell ref="C141:C143"/>
    <mergeCell ref="D141:D143"/>
    <mergeCell ref="E141:E143"/>
    <mergeCell ref="F141:G141"/>
    <mergeCell ref="H141:I141"/>
    <mergeCell ref="B130:B132"/>
    <mergeCell ref="C130:C132"/>
    <mergeCell ref="D130:D132"/>
    <mergeCell ref="E130:E132"/>
    <mergeCell ref="F130:G130"/>
    <mergeCell ref="H130:I130"/>
    <mergeCell ref="B119:B120"/>
    <mergeCell ref="C119:C120"/>
    <mergeCell ref="D119:D120"/>
    <mergeCell ref="E119:E120"/>
    <mergeCell ref="F119:G119"/>
    <mergeCell ref="H119:I119"/>
    <mergeCell ref="B110:B111"/>
    <mergeCell ref="C110:C111"/>
    <mergeCell ref="D110:D111"/>
    <mergeCell ref="E110:E111"/>
    <mergeCell ref="F110:F111"/>
    <mergeCell ref="G110:G111"/>
    <mergeCell ref="B99:B100"/>
    <mergeCell ref="C99:C100"/>
    <mergeCell ref="D99:D100"/>
    <mergeCell ref="E99:E100"/>
    <mergeCell ref="F99:G99"/>
    <mergeCell ref="H99:I99"/>
    <mergeCell ref="B78:B80"/>
    <mergeCell ref="C78:C80"/>
    <mergeCell ref="D78:D80"/>
    <mergeCell ref="E78:E80"/>
    <mergeCell ref="F78:G78"/>
    <mergeCell ref="H78:I78"/>
    <mergeCell ref="B63:B66"/>
    <mergeCell ref="C63:C66"/>
    <mergeCell ref="D63:D66"/>
    <mergeCell ref="E63:E66"/>
    <mergeCell ref="F63:K63"/>
    <mergeCell ref="F64:G64"/>
    <mergeCell ref="H64:I64"/>
    <mergeCell ref="J64:K64"/>
    <mergeCell ref="B50:B53"/>
    <mergeCell ref="C50:C53"/>
    <mergeCell ref="D50:D53"/>
    <mergeCell ref="E50:E53"/>
    <mergeCell ref="F50:K50"/>
    <mergeCell ref="F51:G51"/>
    <mergeCell ref="H51:I51"/>
    <mergeCell ref="J51:K51"/>
    <mergeCell ref="B37:B39"/>
    <mergeCell ref="C37:C39"/>
    <mergeCell ref="D37:D39"/>
    <mergeCell ref="E37:E39"/>
    <mergeCell ref="F37:I37"/>
    <mergeCell ref="F38:G38"/>
    <mergeCell ref="H38:I38"/>
    <mergeCell ref="B26:B28"/>
    <mergeCell ref="C26:C28"/>
    <mergeCell ref="D26:D28"/>
    <mergeCell ref="E26:E28"/>
    <mergeCell ref="F26:K26"/>
    <mergeCell ref="F27:G27"/>
    <mergeCell ref="H27:I27"/>
    <mergeCell ref="J27:K27"/>
    <mergeCell ref="B15:B17"/>
    <mergeCell ref="C15:C17"/>
    <mergeCell ref="D15:D17"/>
    <mergeCell ref="E15:E17"/>
    <mergeCell ref="F15:I15"/>
    <mergeCell ref="F16:G16"/>
    <mergeCell ref="H16:I16"/>
    <mergeCell ref="B4:B6"/>
    <mergeCell ref="C4:C6"/>
    <mergeCell ref="D4:D6"/>
    <mergeCell ref="E4:E6"/>
    <mergeCell ref="F4:K4"/>
    <mergeCell ref="F5:G5"/>
    <mergeCell ref="H5:I5"/>
    <mergeCell ref="J5:K5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미장공사(상반기)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2026-01-01T08:03:01Z</dcterms:modified>
</cp:coreProperties>
</file>