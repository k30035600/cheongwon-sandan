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D2B35DCD-A5CE-4E25-812A-A4DDD7886B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조적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8" i="6" l="1"/>
  <c r="K279" i="6" s="1"/>
  <c r="K281" i="6" s="1"/>
  <c r="M278" i="6"/>
  <c r="M279" i="6" s="1"/>
  <c r="M281" i="6" s="1"/>
  <c r="I278" i="6"/>
  <c r="I279" i="6" s="1"/>
  <c r="I281" i="6" s="1"/>
  <c r="G278" i="6"/>
  <c r="G279" i="6" s="1"/>
  <c r="G281" i="6" s="1"/>
  <c r="K239" i="6"/>
  <c r="K240" i="6" s="1"/>
  <c r="K242" i="6" s="1"/>
  <c r="I239" i="6"/>
  <c r="I240" i="6" s="1"/>
  <c r="I242" i="6" s="1"/>
  <c r="G239" i="6"/>
  <c r="G240" i="6" s="1"/>
  <c r="G242" i="6" s="1"/>
  <c r="K175" i="6"/>
  <c r="K176" i="6" s="1"/>
  <c r="K178" i="6" s="1"/>
  <c r="I175" i="6"/>
  <c r="I176" i="6" s="1"/>
  <c r="I178" i="6" s="1"/>
  <c r="G175" i="6"/>
  <c r="G176" i="6" s="1"/>
  <c r="G178" i="6" s="1"/>
  <c r="K77" i="6"/>
  <c r="I77" i="6"/>
  <c r="G77" i="6"/>
  <c r="K78" i="6"/>
  <c r="I78" i="6"/>
  <c r="G78" i="6"/>
  <c r="K76" i="6"/>
  <c r="I76" i="6"/>
  <c r="G76" i="6"/>
  <c r="K36" i="6"/>
  <c r="I36" i="6"/>
  <c r="G36" i="6"/>
  <c r="K35" i="6"/>
  <c r="I35" i="6"/>
  <c r="G35" i="6"/>
  <c r="I79" i="6" l="1"/>
  <c r="I81" i="6" s="1"/>
  <c r="G79" i="6"/>
  <c r="G81" i="6" s="1"/>
  <c r="K79" i="6"/>
  <c r="K81" i="6" s="1"/>
  <c r="K37" i="6"/>
  <c r="K39" i="6" s="1"/>
  <c r="K304" i="6"/>
  <c r="K303" i="6"/>
  <c r="M268" i="6"/>
  <c r="G267" i="6"/>
  <c r="M255" i="6"/>
  <c r="G254" i="6"/>
  <c r="G228" i="6"/>
  <c r="M216" i="6"/>
  <c r="M215" i="6"/>
  <c r="I202" i="6"/>
  <c r="M189" i="6"/>
  <c r="I164" i="6"/>
  <c r="M152" i="6"/>
  <c r="M151" i="6"/>
  <c r="I138" i="6"/>
  <c r="M126" i="6"/>
  <c r="M125" i="6"/>
  <c r="M111" i="6"/>
  <c r="M112" i="6" s="1"/>
  <c r="M114" i="6" s="1"/>
  <c r="I103" i="6"/>
  <c r="I104" i="6" s="1"/>
  <c r="I100" i="6"/>
  <c r="G100" i="6"/>
  <c r="I99" i="6"/>
  <c r="G99" i="6"/>
  <c r="I90" i="6"/>
  <c r="K65" i="6"/>
  <c r="K52" i="6"/>
  <c r="G51" i="6"/>
  <c r="G50" i="6"/>
  <c r="I25" i="6"/>
  <c r="I24" i="6"/>
  <c r="K12" i="6"/>
  <c r="K11" i="6"/>
  <c r="G101" i="6" l="1"/>
  <c r="I101" i="6"/>
  <c r="I106" i="6" s="1"/>
  <c r="I228" i="6"/>
  <c r="M212" i="6"/>
  <c r="M213" i="6" s="1"/>
  <c r="K8" i="6"/>
  <c r="M153" i="6"/>
  <c r="G164" i="6"/>
  <c r="M217" i="6"/>
  <c r="K24" i="6"/>
  <c r="I26" i="6"/>
  <c r="G11" i="6"/>
  <c r="I11" i="6"/>
  <c r="K51" i="6"/>
  <c r="K151" i="6"/>
  <c r="I303" i="6"/>
  <c r="K254" i="6"/>
  <c r="G37" i="6"/>
  <c r="G39" i="6" s="1"/>
  <c r="G138" i="6"/>
  <c r="I51" i="6"/>
  <c r="K215" i="6"/>
  <c r="I37" i="6"/>
  <c r="I39" i="6" s="1"/>
  <c r="I12" i="6"/>
  <c r="K305" i="6"/>
  <c r="G24" i="6"/>
  <c r="I50" i="6"/>
  <c r="G90" i="6"/>
  <c r="G103" i="6"/>
  <c r="G104" i="6" s="1"/>
  <c r="G106" i="6" s="1"/>
  <c r="K111" i="6"/>
  <c r="K112" i="6" s="1"/>
  <c r="K114" i="6" s="1"/>
  <c r="G125" i="6"/>
  <c r="G126" i="6"/>
  <c r="G202" i="6"/>
  <c r="K50" i="6"/>
  <c r="I125" i="6"/>
  <c r="I126" i="6"/>
  <c r="G151" i="6"/>
  <c r="G152" i="6"/>
  <c r="G215" i="6"/>
  <c r="G216" i="6"/>
  <c r="G255" i="6"/>
  <c r="G256" i="6" s="1"/>
  <c r="K268" i="6"/>
  <c r="G304" i="6"/>
  <c r="K13" i="6"/>
  <c r="G12" i="6"/>
  <c r="K125" i="6"/>
  <c r="M148" i="6"/>
  <c r="M149" i="6" s="1"/>
  <c r="M155" i="6" s="1"/>
  <c r="M156" i="6" s="1"/>
  <c r="I151" i="6"/>
  <c r="I152" i="6"/>
  <c r="I215" i="6"/>
  <c r="I216" i="6"/>
  <c r="I254" i="6"/>
  <c r="I255" i="6"/>
  <c r="G303" i="6"/>
  <c r="I304" i="6"/>
  <c r="I64" i="6"/>
  <c r="G64" i="6"/>
  <c r="I66" i="6"/>
  <c r="G66" i="6"/>
  <c r="M127" i="6"/>
  <c r="M122" i="6"/>
  <c r="M123" i="6" s="1"/>
  <c r="K66" i="6"/>
  <c r="I190" i="6"/>
  <c r="G190" i="6"/>
  <c r="M190" i="6"/>
  <c r="M191" i="6" s="1"/>
  <c r="K190" i="6"/>
  <c r="I21" i="6"/>
  <c r="I22" i="6" s="1"/>
  <c r="G25" i="6"/>
  <c r="I91" i="6"/>
  <c r="I87" i="6" s="1"/>
  <c r="I88" i="6" s="1"/>
  <c r="G91" i="6"/>
  <c r="K292" i="6"/>
  <c r="I292" i="6"/>
  <c r="K267" i="6"/>
  <c r="I267" i="6"/>
  <c r="M267" i="6"/>
  <c r="G52" i="6"/>
  <c r="G53" i="6" s="1"/>
  <c r="I52" i="6"/>
  <c r="K64" i="6"/>
  <c r="K9" i="6"/>
  <c r="K25" i="6"/>
  <c r="I139" i="6"/>
  <c r="I140" i="6" s="1"/>
  <c r="G139" i="6"/>
  <c r="G140" i="6" s="1"/>
  <c r="G292" i="6"/>
  <c r="K189" i="6"/>
  <c r="I189" i="6"/>
  <c r="K291" i="6"/>
  <c r="I291" i="6"/>
  <c r="K300" i="6"/>
  <c r="K301" i="6" s="1"/>
  <c r="I65" i="6"/>
  <c r="G65" i="6"/>
  <c r="I111" i="6"/>
  <c r="I112" i="6" s="1"/>
  <c r="I114" i="6" s="1"/>
  <c r="G111" i="6"/>
  <c r="G112" i="6" s="1"/>
  <c r="G114" i="6" s="1"/>
  <c r="I165" i="6"/>
  <c r="I166" i="6" s="1"/>
  <c r="G165" i="6"/>
  <c r="G166" i="6" s="1"/>
  <c r="G189" i="6"/>
  <c r="I203" i="6"/>
  <c r="I204" i="6" s="1"/>
  <c r="G203" i="6"/>
  <c r="I229" i="6"/>
  <c r="G229" i="6"/>
  <c r="G230" i="6" s="1"/>
  <c r="I268" i="6"/>
  <c r="G268" i="6"/>
  <c r="G269" i="6" s="1"/>
  <c r="G291" i="6"/>
  <c r="K126" i="6"/>
  <c r="K152" i="6"/>
  <c r="K216" i="6"/>
  <c r="M254" i="6"/>
  <c r="K255" i="6"/>
  <c r="G217" i="6" l="1"/>
  <c r="K212" i="6"/>
  <c r="K213" i="6" s="1"/>
  <c r="M219" i="6"/>
  <c r="M220" i="6" s="1"/>
  <c r="K251" i="6"/>
  <c r="K252" i="6" s="1"/>
  <c r="I230" i="6"/>
  <c r="I153" i="6"/>
  <c r="K21" i="6"/>
  <c r="K22" i="6" s="1"/>
  <c r="I8" i="6"/>
  <c r="I9" i="6" s="1"/>
  <c r="I13" i="6"/>
  <c r="G300" i="6"/>
  <c r="G301" i="6" s="1"/>
  <c r="I251" i="6"/>
  <c r="I252" i="6" s="1"/>
  <c r="G87" i="6"/>
  <c r="G88" i="6" s="1"/>
  <c r="K148" i="6"/>
  <c r="K149" i="6" s="1"/>
  <c r="G13" i="6"/>
  <c r="G199" i="6"/>
  <c r="G200" i="6" s="1"/>
  <c r="I28" i="6"/>
  <c r="I29" i="6" s="1"/>
  <c r="I300" i="6"/>
  <c r="I301" i="6" s="1"/>
  <c r="K47" i="6"/>
  <c r="K48" i="6" s="1"/>
  <c r="G26" i="6"/>
  <c r="K307" i="6"/>
  <c r="K308" i="6" s="1"/>
  <c r="G135" i="6"/>
  <c r="G136" i="6" s="1"/>
  <c r="G142" i="6" s="1"/>
  <c r="G143" i="6" s="1"/>
  <c r="K15" i="6"/>
  <c r="K16" i="6" s="1"/>
  <c r="G161" i="6"/>
  <c r="G162" i="6" s="1"/>
  <c r="G168" i="6" s="1"/>
  <c r="G169" i="6" s="1"/>
  <c r="G92" i="6"/>
  <c r="K53" i="6"/>
  <c r="G305" i="6"/>
  <c r="I305" i="6"/>
  <c r="I53" i="6"/>
  <c r="I256" i="6"/>
  <c r="G251" i="6"/>
  <c r="G252" i="6" s="1"/>
  <c r="G258" i="6" s="1"/>
  <c r="G259" i="6" s="1"/>
  <c r="G204" i="6"/>
  <c r="I148" i="6"/>
  <c r="I149" i="6" s="1"/>
  <c r="K122" i="6"/>
  <c r="K123" i="6" s="1"/>
  <c r="I47" i="6"/>
  <c r="I48" i="6" s="1"/>
  <c r="I92" i="6"/>
  <c r="I94" i="6" s="1"/>
  <c r="G148" i="6"/>
  <c r="G149" i="6" s="1"/>
  <c r="G153" i="6"/>
  <c r="I135" i="6"/>
  <c r="I136" i="6" s="1"/>
  <c r="I142" i="6" s="1"/>
  <c r="I143" i="6" s="1"/>
  <c r="G212" i="6"/>
  <c r="G213" i="6" s="1"/>
  <c r="G219" i="6" s="1"/>
  <c r="G220" i="6" s="1"/>
  <c r="I122" i="6"/>
  <c r="I123" i="6" s="1"/>
  <c r="I127" i="6"/>
  <c r="G8" i="6"/>
  <c r="G9" i="6" s="1"/>
  <c r="K127" i="6"/>
  <c r="K217" i="6"/>
  <c r="K219" i="6" s="1"/>
  <c r="K220" i="6" s="1"/>
  <c r="I199" i="6"/>
  <c r="I200" i="6" s="1"/>
  <c r="I206" i="6" s="1"/>
  <c r="I207" i="6" s="1"/>
  <c r="G21" i="6"/>
  <c r="G22" i="6" s="1"/>
  <c r="M129" i="6"/>
  <c r="M130" i="6" s="1"/>
  <c r="I212" i="6"/>
  <c r="I213" i="6" s="1"/>
  <c r="I217" i="6"/>
  <c r="G122" i="6"/>
  <c r="G123" i="6" s="1"/>
  <c r="G127" i="6"/>
  <c r="G186" i="6"/>
  <c r="G187" i="6" s="1"/>
  <c r="G191" i="6"/>
  <c r="K153" i="6"/>
  <c r="G67" i="6"/>
  <c r="G61" i="6"/>
  <c r="G62" i="6" s="1"/>
  <c r="K26" i="6"/>
  <c r="I67" i="6"/>
  <c r="I61" i="6"/>
  <c r="I62" i="6" s="1"/>
  <c r="I69" i="6" s="1"/>
  <c r="I70" i="6" s="1"/>
  <c r="M256" i="6"/>
  <c r="M251" i="6"/>
  <c r="M252" i="6" s="1"/>
  <c r="I191" i="6"/>
  <c r="I186" i="6"/>
  <c r="I187" i="6" s="1"/>
  <c r="G225" i="6"/>
  <c r="G226" i="6" s="1"/>
  <c r="G232" i="6" s="1"/>
  <c r="G233" i="6" s="1"/>
  <c r="G47" i="6"/>
  <c r="G48" i="6" s="1"/>
  <c r="G55" i="6" s="1"/>
  <c r="G56" i="6" s="1"/>
  <c r="K67" i="6"/>
  <c r="K61" i="6"/>
  <c r="K62" i="6" s="1"/>
  <c r="M264" i="6"/>
  <c r="M265" i="6" s="1"/>
  <c r="M269" i="6"/>
  <c r="M186" i="6"/>
  <c r="M187" i="6" s="1"/>
  <c r="M193" i="6" s="1"/>
  <c r="M194" i="6" s="1"/>
  <c r="I161" i="6"/>
  <c r="I162" i="6" s="1"/>
  <c r="I168" i="6" s="1"/>
  <c r="I169" i="6" s="1"/>
  <c r="G264" i="6"/>
  <c r="G265" i="6" s="1"/>
  <c r="G271" i="6" s="1"/>
  <c r="G272" i="6" s="1"/>
  <c r="I288" i="6"/>
  <c r="I289" i="6" s="1"/>
  <c r="I293" i="6"/>
  <c r="I225" i="6"/>
  <c r="I226" i="6" s="1"/>
  <c r="K264" i="6"/>
  <c r="K265" i="6" s="1"/>
  <c r="K269" i="6"/>
  <c r="K293" i="6"/>
  <c r="K288" i="6"/>
  <c r="K289" i="6" s="1"/>
  <c r="G288" i="6"/>
  <c r="G289" i="6" s="1"/>
  <c r="G293" i="6"/>
  <c r="K256" i="6"/>
  <c r="K258" i="6" s="1"/>
  <c r="K259" i="6" s="1"/>
  <c r="K186" i="6"/>
  <c r="K187" i="6" s="1"/>
  <c r="K191" i="6"/>
  <c r="I269" i="6"/>
  <c r="I264" i="6"/>
  <c r="I265" i="6" s="1"/>
  <c r="M258" i="6" l="1"/>
  <c r="M259" i="6" s="1"/>
  <c r="G307" i="6"/>
  <c r="G308" i="6" s="1"/>
  <c r="I232" i="6"/>
  <c r="I233" i="6" s="1"/>
  <c r="I15" i="6"/>
  <c r="I16" i="6" s="1"/>
  <c r="K28" i="6"/>
  <c r="K29" i="6" s="1"/>
  <c r="I155" i="6"/>
  <c r="I156" i="6" s="1"/>
  <c r="G94" i="6"/>
  <c r="I258" i="6"/>
  <c r="I259" i="6" s="1"/>
  <c r="I55" i="6"/>
  <c r="I56" i="6" s="1"/>
  <c r="K55" i="6"/>
  <c r="K56" i="6" s="1"/>
  <c r="G206" i="6"/>
  <c r="G207" i="6" s="1"/>
  <c r="K155" i="6"/>
  <c r="K156" i="6" s="1"/>
  <c r="G15" i="6"/>
  <c r="G16" i="6" s="1"/>
  <c r="K129" i="6"/>
  <c r="K130" i="6" s="1"/>
  <c r="I307" i="6"/>
  <c r="I308" i="6" s="1"/>
  <c r="G28" i="6"/>
  <c r="G29" i="6" s="1"/>
  <c r="G155" i="6"/>
  <c r="G156" i="6" s="1"/>
  <c r="I271" i="6"/>
  <c r="I272" i="6" s="1"/>
  <c r="I219" i="6"/>
  <c r="I220" i="6" s="1"/>
  <c r="G129" i="6"/>
  <c r="G130" i="6" s="1"/>
  <c r="G69" i="6"/>
  <c r="G70" i="6" s="1"/>
  <c r="I129" i="6"/>
  <c r="I130" i="6" s="1"/>
  <c r="G193" i="6"/>
  <c r="G194" i="6" s="1"/>
  <c r="G295" i="6"/>
  <c r="G296" i="6" s="1"/>
  <c r="K271" i="6"/>
  <c r="K272" i="6" s="1"/>
  <c r="M271" i="6"/>
  <c r="M272" i="6" s="1"/>
  <c r="I295" i="6"/>
  <c r="I296" i="6" s="1"/>
  <c r="K193" i="6"/>
  <c r="K194" i="6" s="1"/>
  <c r="K295" i="6"/>
  <c r="K296" i="6" s="1"/>
  <c r="K69" i="6"/>
  <c r="K70" i="6" s="1"/>
  <c r="I193" i="6"/>
  <c r="I194" i="6" s="1"/>
</calcChain>
</file>

<file path=xl/sharedStrings.xml><?xml version="1.0" encoding="utf-8"?>
<sst xmlns="http://schemas.openxmlformats.org/spreadsheetml/2006/main" count="664" uniqueCount="94">
  <si>
    <t>보통인부</t>
  </si>
  <si>
    <t>조적공</t>
  </si>
  <si>
    <t>줄눈공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</si>
  <si>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</si>
  <si>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</si>
  <si>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</si>
  <si>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</si>
  <si>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</si>
  <si>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</si>
  <si>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</si>
  <si>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</si>
  <si>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</si>
  <si>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합   계</t>
    <phoneticPr fontId="3" type="noConversion"/>
  </si>
  <si>
    <t>식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</si>
  <si>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</si>
  <si>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</si>
  <si>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</si>
  <si>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㎏</t>
    <phoneticPr fontId="3" type="noConversion"/>
  </si>
  <si>
    <t>제 2 장 조적공사</t>
  </si>
  <si>
    <t>2-1 벽돌</t>
  </si>
  <si>
    <t>벽두께 1.0B</t>
    <phoneticPr fontId="3" type="noConversion"/>
  </si>
  <si>
    <t>벽두께 1.5B</t>
    <phoneticPr fontId="3" type="noConversion"/>
  </si>
  <si>
    <t>시멘트벽돌</t>
  </si>
  <si>
    <t>매</t>
  </si>
  <si>
    <t>모르타르</t>
  </si>
  <si>
    <t>㎥</t>
  </si>
  <si>
    <t>배합비 1:3</t>
    <phoneticPr fontId="3" type="noConversion"/>
  </si>
  <si>
    <t>19×9×5.7㎝</t>
    <phoneticPr fontId="3" type="noConversion"/>
  </si>
  <si>
    <t>2-1-1 벽돌 쌓기</t>
    <phoneticPr fontId="3" type="noConversion"/>
  </si>
  <si>
    <t>2-1-2 치장쌓기 및 줄눈설치</t>
    <phoneticPr fontId="3" type="noConversion"/>
  </si>
  <si>
    <t>쌓기(배합비 1:3)</t>
    <phoneticPr fontId="3" type="noConversion"/>
  </si>
  <si>
    <t>치장줄눈(배합비 1:1)</t>
    <phoneticPr fontId="3" type="noConversion"/>
  </si>
  <si>
    <t>2-1-3 아치쌓기</t>
    <phoneticPr fontId="3" type="noConversion"/>
  </si>
  <si>
    <t>(1,000매당)</t>
    <phoneticPr fontId="3" type="noConversion"/>
  </si>
  <si>
    <t>2-1-4 아치쌓기 치장줄눈 설치</t>
    <phoneticPr fontId="3" type="noConversion"/>
  </si>
  <si>
    <t>쌓기(배합비 1:2)</t>
    <phoneticPr fontId="3" type="noConversion"/>
  </si>
  <si>
    <t>2-2 블록</t>
  </si>
  <si>
    <t>2-2-1 블록쌓기</t>
    <phoneticPr fontId="3" type="noConversion"/>
  </si>
  <si>
    <t>한면마감</t>
    <phoneticPr fontId="3" type="noConversion"/>
  </si>
  <si>
    <t>양면마감</t>
    <phoneticPr fontId="3" type="noConversion"/>
  </si>
  <si>
    <t>2-2-2 블록 보강쌓기</t>
    <phoneticPr fontId="3" type="noConversion"/>
  </si>
  <si>
    <t>2-3 ALC</t>
  </si>
  <si>
    <t>2-3-1 ALC블록 쌓기</t>
    <phoneticPr fontId="3" type="noConversion"/>
  </si>
  <si>
    <t>600×400×100㎜</t>
    <phoneticPr fontId="3" type="noConversion"/>
  </si>
  <si>
    <t>600×400×125㎜</t>
    <phoneticPr fontId="3" type="noConversion"/>
  </si>
  <si>
    <t>600×300×150㎜</t>
    <phoneticPr fontId="3" type="noConversion"/>
  </si>
  <si>
    <t>600×300×200㎜</t>
    <phoneticPr fontId="3" type="noConversion"/>
  </si>
  <si>
    <t>2-3-2 ALC패널 설치</t>
    <phoneticPr fontId="3" type="noConversion"/>
  </si>
  <si>
    <t>패널두께 75㎜</t>
    <phoneticPr fontId="3" type="noConversion"/>
  </si>
  <si>
    <t>패널두께 100㎜</t>
    <phoneticPr fontId="3" type="noConversion"/>
  </si>
  <si>
    <t>패널두께 125㎜</t>
    <phoneticPr fontId="3" type="noConversion"/>
  </si>
  <si>
    <t>수량</t>
    <phoneticPr fontId="3" type="noConversion"/>
  </si>
  <si>
    <t>금액</t>
    <phoneticPr fontId="3" type="noConversion"/>
  </si>
  <si>
    <t>㎡당 단가</t>
    <phoneticPr fontId="3" type="noConversion"/>
  </si>
  <si>
    <t>(일당)</t>
    <phoneticPr fontId="3" type="noConversion"/>
  </si>
  <si>
    <t>0.5B</t>
    <phoneticPr fontId="3" type="noConversion"/>
  </si>
  <si>
    <t>1.0B</t>
    <phoneticPr fontId="3" type="noConversion"/>
  </si>
  <si>
    <t>1.5B</t>
    <phoneticPr fontId="3" type="noConversion"/>
  </si>
  <si>
    <t>시공량(㎡)</t>
    <phoneticPr fontId="3" type="noConversion"/>
  </si>
  <si>
    <t>시공높이 3.6m 이하</t>
    <phoneticPr fontId="3" type="noConversion"/>
  </si>
  <si>
    <t>시공높이 3.6m 초과 ~ 7.2m 이하</t>
    <phoneticPr fontId="3" type="noConversion"/>
  </si>
  <si>
    <t>2-1-5 인방보 설치</t>
  </si>
  <si>
    <t>(m당)</t>
    <phoneticPr fontId="3" type="noConversion"/>
  </si>
  <si>
    <t>벽돌</t>
    <phoneticPr fontId="3" type="noConversion"/>
  </si>
  <si>
    <t>치장벽돌</t>
    <phoneticPr fontId="3" type="noConversion"/>
  </si>
  <si>
    <t>블록</t>
    <phoneticPr fontId="3" type="noConversion"/>
  </si>
  <si>
    <t>ALC블록</t>
    <phoneticPr fontId="3" type="noConversion"/>
  </si>
  <si>
    <t>시공높이 3.6m 이하, 390×190×190㎜</t>
    <phoneticPr fontId="3" type="noConversion"/>
  </si>
  <si>
    <t>시공높이 3.6m 이하, 390×190×150㎜</t>
    <phoneticPr fontId="3" type="noConversion"/>
  </si>
  <si>
    <t>시공높이 3.6m 이하, 390×190×100㎜</t>
    <phoneticPr fontId="3" type="noConversion"/>
  </si>
  <si>
    <t>시공높이 3.6m 초과 ~ 7.2m 이하, 390×190×190㎜</t>
    <phoneticPr fontId="3" type="noConversion"/>
  </si>
  <si>
    <t>시공높이 3.6m 초과 ~ 7.2m 이하, 390×190×150㎜</t>
    <phoneticPr fontId="3" type="noConversion"/>
  </si>
  <si>
    <t>시공높이 3.6m 초과 ~ 7.2m 이하, 390×190×100㎜</t>
    <phoneticPr fontId="3" type="noConversion"/>
  </si>
  <si>
    <t>패널두께 150㎜</t>
    <phoneticPr fontId="3" type="noConversion"/>
  </si>
  <si>
    <t>패널두께 175㎜</t>
    <phoneticPr fontId="3" type="noConversion"/>
  </si>
  <si>
    <t>패널두께 200㎜</t>
    <phoneticPr fontId="3" type="noConversion"/>
  </si>
  <si>
    <t>[참고자료] 벽돌쌓기 재료량</t>
    <phoneticPr fontId="3" type="noConversion"/>
  </si>
  <si>
    <t>(㎡당)</t>
    <phoneticPr fontId="3" type="noConversion"/>
  </si>
  <si>
    <t>수량 (벽두께)</t>
    <phoneticPr fontId="3" type="noConversion"/>
  </si>
  <si>
    <t>※ 모르타르의 재료량은 할증이 포함된 것이며, 배합비는 1:3 이다.</t>
    <phoneticPr fontId="3" type="noConversion"/>
  </si>
  <si>
    <t>[참고자료] 치장쌓기 및 줄눈 재료량</t>
  </si>
  <si>
    <t>※ 모르타르의 재료량은 할증이 포함된 것이며, 배합비는 쌓기 1:3 / 치장줄눈 1:1 이다.</t>
  </si>
  <si>
    <t>390×190×100㎜</t>
    <phoneticPr fontId="3" type="noConversion"/>
  </si>
  <si>
    <t>390×190×150㎜</t>
    <phoneticPr fontId="3" type="noConversion"/>
  </si>
  <si>
    <t>390×190×190㎜</t>
    <phoneticPr fontId="3" type="noConversion"/>
  </si>
  <si>
    <t>모르타르</t>
    <phoneticPr fontId="3" type="noConversion"/>
  </si>
  <si>
    <t>㎥</t>
    <phoneticPr fontId="3" type="noConversion"/>
  </si>
  <si>
    <t>수량 (블록규격)</t>
    <phoneticPr fontId="3" type="noConversion"/>
  </si>
  <si>
    <t>[참고자료] 블록쌓기 재료량</t>
    <phoneticPr fontId="3" type="noConversion"/>
  </si>
  <si>
    <t>※ 재료량은 할증이 포함된 것이며, 배합비는 1:3 이다.</t>
  </si>
  <si>
    <t>[참고자료] 블록 보강쌓기 재료량</t>
  </si>
  <si>
    <t>[참고자료] 경량기포 콘크리트(ALC) 재료량</t>
  </si>
  <si>
    <t>수량 (블록규격 ㎜)</t>
    <phoneticPr fontId="3" type="noConversion"/>
  </si>
  <si>
    <t>※ 재료량은 할증이 포함된 것이다.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</si>
</sst>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72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6" xfId="1" applyNumberFormat="1" applyFont="1" applyFill="1" applyBorder="1" applyAlignment="1">
      <alignment horizontal="center" vertical="center"/>
    </xf>
    <xf numFmtId="0" fontId="13" fillId="0" borderId="0" xfId="6" applyFont="1" applyAlignment="1">
      <alignment vertical="center"/>
    </xf>
    <xf numFmtId="181" fontId="9" fillId="0" borderId="6" xfId="7" applyNumberFormat="1" applyFont="1" applyFill="1" applyBorder="1" applyAlignment="1">
      <alignment vertical="center"/>
    </xf>
    <xf numFmtId="41" fontId="15" fillId="0" borderId="6" xfId="7" applyFont="1" applyFill="1" applyBorder="1" applyAlignment="1">
      <alignment vertical="center"/>
    </xf>
    <xf numFmtId="0" fontId="9" fillId="0" borderId="0" xfId="0" applyFont="1">
      <alignment vertical="center"/>
    </xf>
    <xf numFmtId="185" fontId="18" fillId="0" borderId="0" xfId="4" applyNumberFormat="1" applyFont="1" applyAlignment="1">
      <alignment vertical="center"/>
    </xf>
    <xf numFmtId="0" fontId="6" fillId="0" borderId="0" xfId="0" applyFont="1" applyAlignment="1"/>
    <xf numFmtId="41" fontId="10" fillId="0" borderId="8" xfId="7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9" fillId="0" borderId="3" xfId="6" applyFont="1" applyBorder="1" applyAlignment="1">
      <alignment horizontal="center" vertical="center" shrinkToFit="1"/>
    </xf>
    <xf numFmtId="1" fontId="9" fillId="0" borderId="11" xfId="6" applyNumberFormat="1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4" xfId="6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5" xfId="3" applyFont="1" applyBorder="1" applyAlignment="1">
      <alignment horizontal="center" vertical="center"/>
    </xf>
    <xf numFmtId="41" fontId="9" fillId="0" borderId="5" xfId="1" applyFont="1" applyFill="1" applyBorder="1" applyAlignment="1">
      <alignment horizontal="right" vertical="center"/>
    </xf>
    <xf numFmtId="41" fontId="9" fillId="0" borderId="5" xfId="8" applyFont="1" applyFill="1" applyBorder="1" applyAlignment="1">
      <alignment vertical="center"/>
    </xf>
    <xf numFmtId="183" fontId="9" fillId="0" borderId="5" xfId="8" applyNumberFormat="1" applyFont="1" applyFill="1" applyBorder="1" applyAlignment="1">
      <alignment vertical="center"/>
    </xf>
    <xf numFmtId="0" fontId="9" fillId="0" borderId="5" xfId="6" applyFont="1" applyBorder="1" applyAlignment="1">
      <alignment horizontal="right" vertical="center"/>
    </xf>
    <xf numFmtId="0" fontId="15" fillId="0" borderId="4" xfId="6" applyFont="1" applyBorder="1" applyAlignment="1">
      <alignment horizontal="left" vertical="center"/>
    </xf>
    <xf numFmtId="0" fontId="16" fillId="0" borderId="4" xfId="6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/>
    </xf>
    <xf numFmtId="0" fontId="15" fillId="0" borderId="5" xfId="6" applyFont="1" applyBorder="1" applyAlignment="1">
      <alignment vertical="center"/>
    </xf>
    <xf numFmtId="182" fontId="9" fillId="0" borderId="5" xfId="8" applyNumberFormat="1" applyFont="1" applyFill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17" fillId="0" borderId="4" xfId="2" applyFont="1" applyBorder="1" applyAlignment="1">
      <alignment horizontal="left" vertical="center"/>
    </xf>
    <xf numFmtId="41" fontId="10" fillId="0" borderId="5" xfId="1" applyFont="1" applyFill="1" applyBorder="1" applyAlignment="1">
      <alignment vertical="center"/>
    </xf>
    <xf numFmtId="183" fontId="10" fillId="0" borderId="5" xfId="8" applyNumberFormat="1" applyFont="1" applyFill="1" applyBorder="1" applyAlignment="1">
      <alignment vertical="center"/>
    </xf>
    <xf numFmtId="41" fontId="10" fillId="0" borderId="0" xfId="8" applyFont="1" applyFill="1" applyBorder="1" applyAlignment="1">
      <alignment vertical="center"/>
    </xf>
    <xf numFmtId="0" fontId="12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41" fontId="11" fillId="0" borderId="5" xfId="0" applyNumberFormat="1" applyFont="1" applyBorder="1">
      <alignment vertical="center"/>
    </xf>
    <xf numFmtId="0" fontId="15" fillId="0" borderId="4" xfId="3" applyFont="1" applyBorder="1" applyAlignment="1">
      <alignment vertical="center"/>
    </xf>
    <xf numFmtId="41" fontId="15" fillId="0" borderId="6" xfId="8" applyFont="1" applyFill="1" applyBorder="1" applyAlignment="1">
      <alignment vertical="center"/>
    </xf>
    <xf numFmtId="0" fontId="10" fillId="0" borderId="4" xfId="6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41" fontId="10" fillId="0" borderId="6" xfId="8" applyFont="1" applyFill="1" applyBorder="1" applyAlignment="1">
      <alignment vertical="center"/>
    </xf>
    <xf numFmtId="0" fontId="10" fillId="0" borderId="9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horizontal="center" vertical="center"/>
    </xf>
    <xf numFmtId="0" fontId="19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0" fontId="12" fillId="0" borderId="3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180" fontId="9" fillId="0" borderId="5" xfId="8" applyNumberFormat="1" applyFont="1" applyFill="1" applyBorder="1" applyAlignment="1">
      <alignment vertical="center"/>
    </xf>
    <xf numFmtId="0" fontId="17" fillId="0" borderId="9" xfId="2" applyFont="1" applyBorder="1" applyAlignment="1">
      <alignment horizontal="left" vertical="center"/>
    </xf>
    <xf numFmtId="0" fontId="10" fillId="0" borderId="7" xfId="2" applyFont="1" applyBorder="1" applyAlignment="1">
      <alignment vertical="center"/>
    </xf>
    <xf numFmtId="41" fontId="10" fillId="0" borderId="8" xfId="8" applyFont="1" applyFill="1" applyBorder="1" applyAlignment="1">
      <alignment vertical="center"/>
    </xf>
    <xf numFmtId="0" fontId="12" fillId="0" borderId="3" xfId="3" applyFont="1" applyBorder="1" applyAlignment="1">
      <alignment horizontal="center" vertical="center" shrinkToFit="1"/>
    </xf>
    <xf numFmtId="0" fontId="12" fillId="0" borderId="11" xfId="3" applyFont="1" applyBorder="1" applyAlignment="1">
      <alignment horizontal="center" vertical="center" shrinkToFit="1"/>
    </xf>
    <xf numFmtId="0" fontId="9" fillId="0" borderId="12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shrinkToFit="1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0EE7-B4C5-4528-B608-CF068AADAB9B}">
  <sheetPr>
    <pageSetUpPr fitToPage="1"/>
  </sheetPr>
  <dimension ref="A1:O308"/>
  <sheetViews>
    <sheetView tabSelected="1" zoomScaleNormal="100" workbookViewId="0">
      <selection activeCell="L24" sqref="L24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13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5" ht="12.95" customHeight="1" x14ac:dyDescent="0.3">
      <c r="A1" s="7"/>
      <c r="B1" s="10" t="s">
        <v>18</v>
      </c>
      <c r="C1" s="11"/>
      <c r="D1" s="12"/>
    </row>
    <row r="2" spans="1:15" ht="12.95" customHeight="1" x14ac:dyDescent="0.15">
      <c r="A2" s="8"/>
      <c r="B2" s="12" t="s">
        <v>19</v>
      </c>
    </row>
    <row r="3" spans="1:15" ht="12.95" customHeight="1" x14ac:dyDescent="0.3">
      <c r="B3" s="14" t="s">
        <v>28</v>
      </c>
      <c r="C3" s="15"/>
      <c r="D3" s="16"/>
      <c r="E3" s="17"/>
      <c r="F3" s="16"/>
      <c r="G3" s="17"/>
      <c r="K3" s="17" t="s">
        <v>54</v>
      </c>
    </row>
    <row r="4" spans="1:15" ht="12.95" customHeight="1" x14ac:dyDescent="0.3">
      <c r="B4" s="61" t="s">
        <v>3</v>
      </c>
      <c r="C4" s="64" t="s">
        <v>7</v>
      </c>
      <c r="D4" s="64" t="s">
        <v>8</v>
      </c>
      <c r="E4" s="64" t="s">
        <v>4</v>
      </c>
      <c r="F4" s="59" t="s">
        <v>59</v>
      </c>
      <c r="G4" s="60"/>
      <c r="H4" s="60"/>
      <c r="I4" s="60"/>
      <c r="J4" s="60"/>
      <c r="K4" s="60"/>
    </row>
    <row r="5" spans="1:15" ht="12.95" customHeight="1" x14ac:dyDescent="0.3">
      <c r="B5" s="62"/>
      <c r="C5" s="65"/>
      <c r="D5" s="65"/>
      <c r="E5" s="65"/>
      <c r="F5" s="59" t="s">
        <v>55</v>
      </c>
      <c r="G5" s="71"/>
      <c r="H5" s="59" t="s">
        <v>56</v>
      </c>
      <c r="I5" s="60"/>
      <c r="J5" s="59" t="s">
        <v>57</v>
      </c>
      <c r="K5" s="60"/>
    </row>
    <row r="6" spans="1:15" ht="12.95" customHeight="1" x14ac:dyDescent="0.3">
      <c r="B6" s="62"/>
      <c r="C6" s="65"/>
      <c r="D6" s="65"/>
      <c r="E6" s="65"/>
      <c r="F6" s="18" t="s">
        <v>58</v>
      </c>
      <c r="G6" s="19">
        <v>25</v>
      </c>
      <c r="H6" s="18" t="s">
        <v>58</v>
      </c>
      <c r="I6" s="19">
        <v>15</v>
      </c>
      <c r="J6" s="18" t="s">
        <v>58</v>
      </c>
      <c r="K6" s="19">
        <v>11</v>
      </c>
    </row>
    <row r="7" spans="1:15" ht="12.95" customHeight="1" x14ac:dyDescent="0.3">
      <c r="B7" s="63"/>
      <c r="C7" s="66"/>
      <c r="D7" s="66"/>
      <c r="E7" s="66"/>
      <c r="F7" s="20" t="s">
        <v>51</v>
      </c>
      <c r="G7" s="21" t="s">
        <v>52</v>
      </c>
      <c r="H7" s="20" t="s">
        <v>51</v>
      </c>
      <c r="I7" s="21" t="s">
        <v>52</v>
      </c>
      <c r="J7" s="20" t="s">
        <v>51</v>
      </c>
      <c r="K7" s="21" t="s">
        <v>52</v>
      </c>
    </row>
    <row r="8" spans="1:15" ht="12.95" customHeight="1" x14ac:dyDescent="0.3">
      <c r="B8" s="22" t="s">
        <v>14</v>
      </c>
      <c r="C8" s="23" t="s">
        <v>15</v>
      </c>
      <c r="D8" s="24" t="s">
        <v>13</v>
      </c>
      <c r="E8" s="28"/>
      <c r="F8" s="26">
        <v>1</v>
      </c>
      <c r="G8" s="4">
        <f>TRUNC(SUM(G11:G12)*0.02,1)</f>
        <v>19689.7</v>
      </c>
      <c r="H8" s="26">
        <v>1</v>
      </c>
      <c r="I8" s="4">
        <f>TRUNC(SUM(I11:I12)*0.02,1)</f>
        <v>19689.7</v>
      </c>
      <c r="J8" s="26">
        <v>1</v>
      </c>
      <c r="K8" s="4">
        <f>TRUNC(SUM(K11:K12)*0.02,1)</f>
        <v>19689.7</v>
      </c>
    </row>
    <row r="9" spans="1:15" ht="12.95" customHeight="1" x14ac:dyDescent="0.3">
      <c r="B9" s="29" t="s">
        <v>10</v>
      </c>
      <c r="C9" s="30"/>
      <c r="D9" s="31"/>
      <c r="E9" s="32"/>
      <c r="F9" s="33"/>
      <c r="G9" s="5">
        <f>TRUNC(SUM(G8:G8))</f>
        <v>19689</v>
      </c>
      <c r="H9" s="33"/>
      <c r="I9" s="5">
        <f>TRUNC(SUM(I8:I8))</f>
        <v>19689</v>
      </c>
      <c r="J9" s="33"/>
      <c r="K9" s="5">
        <f>TRUNC(SUM(K8:K8))</f>
        <v>19689</v>
      </c>
    </row>
    <row r="10" spans="1:15" ht="12.95" customHeight="1" x14ac:dyDescent="0.3">
      <c r="B10" s="34"/>
      <c r="C10" s="35"/>
      <c r="D10" s="35"/>
      <c r="E10" s="36"/>
      <c r="F10" s="37"/>
      <c r="G10" s="38"/>
      <c r="H10" s="37"/>
      <c r="I10" s="38"/>
      <c r="J10" s="37"/>
      <c r="K10" s="38"/>
    </row>
    <row r="11" spans="1:15" ht="12.95" customHeight="1" x14ac:dyDescent="0.3">
      <c r="B11" s="39" t="s">
        <v>1</v>
      </c>
      <c r="C11" s="40"/>
      <c r="D11" s="41" t="s">
        <v>9</v>
      </c>
      <c r="E11" s="42">
        <v>270807</v>
      </c>
      <c r="F11" s="26">
        <v>3</v>
      </c>
      <c r="G11" s="2">
        <f t="shared" ref="G11:G12" si="0">TRUNC($E11*F11,1)</f>
        <v>812421</v>
      </c>
      <c r="H11" s="26">
        <v>3</v>
      </c>
      <c r="I11" s="2">
        <f t="shared" ref="I11:I12" si="1">TRUNC($E11*H11,1)</f>
        <v>812421</v>
      </c>
      <c r="J11" s="26">
        <v>3</v>
      </c>
      <c r="K11" s="2">
        <f t="shared" ref="K11:K12" si="2">TRUNC($E11*J11,1)</f>
        <v>812421</v>
      </c>
    </row>
    <row r="12" spans="1:15" ht="12.95" customHeight="1" x14ac:dyDescent="0.3">
      <c r="B12" s="39" t="s">
        <v>0</v>
      </c>
      <c r="C12" s="40"/>
      <c r="D12" s="41" t="s">
        <v>9</v>
      </c>
      <c r="E12" s="42">
        <v>172068</v>
      </c>
      <c r="F12" s="26">
        <v>1</v>
      </c>
      <c r="G12" s="2">
        <f t="shared" si="0"/>
        <v>172068</v>
      </c>
      <c r="H12" s="26">
        <v>1</v>
      </c>
      <c r="I12" s="2">
        <f t="shared" si="1"/>
        <v>172068</v>
      </c>
      <c r="J12" s="26">
        <v>1</v>
      </c>
      <c r="K12" s="2">
        <f t="shared" si="2"/>
        <v>172068</v>
      </c>
    </row>
    <row r="13" spans="1:15" ht="12.95" customHeight="1" x14ac:dyDescent="0.3">
      <c r="B13" s="43" t="s">
        <v>11</v>
      </c>
      <c r="C13" s="35"/>
      <c r="D13" s="35"/>
      <c r="E13" s="36"/>
      <c r="F13" s="37"/>
      <c r="G13" s="44">
        <f>TRUNC(SUM(G11:G12))</f>
        <v>984489</v>
      </c>
      <c r="H13" s="37"/>
      <c r="I13" s="44">
        <f>TRUNC(SUM(I11:I12))</f>
        <v>984489</v>
      </c>
      <c r="J13" s="37"/>
      <c r="K13" s="44">
        <f>TRUNC(SUM(K11:K12))</f>
        <v>984489</v>
      </c>
      <c r="O13" s="6"/>
    </row>
    <row r="14" spans="1:15" ht="12.95" customHeight="1" x14ac:dyDescent="0.3">
      <c r="B14" s="34"/>
      <c r="C14" s="35"/>
      <c r="D14" s="35"/>
      <c r="E14" s="36"/>
      <c r="F14" s="37"/>
      <c r="G14" s="38"/>
      <c r="H14" s="37"/>
      <c r="I14" s="38"/>
      <c r="J14" s="37"/>
      <c r="K14" s="38"/>
      <c r="N14" s="6"/>
      <c r="O14" s="6"/>
    </row>
    <row r="15" spans="1:15" ht="12.95" customHeight="1" x14ac:dyDescent="0.3">
      <c r="B15" s="45" t="s">
        <v>12</v>
      </c>
      <c r="C15" s="35"/>
      <c r="D15" s="35"/>
      <c r="E15" s="46"/>
      <c r="F15" s="46"/>
      <c r="G15" s="47">
        <f>SUM(G9+G13)</f>
        <v>1004178</v>
      </c>
      <c r="H15" s="46"/>
      <c r="I15" s="47">
        <f>SUM(I9+I13)</f>
        <v>1004178</v>
      </c>
      <c r="J15" s="46"/>
      <c r="K15" s="47">
        <f>SUM(K9+K13)</f>
        <v>1004178</v>
      </c>
      <c r="N15" s="6"/>
      <c r="O15" s="6"/>
    </row>
    <row r="16" spans="1:15" ht="12.95" customHeight="1" x14ac:dyDescent="0.3">
      <c r="B16" s="48" t="s">
        <v>53</v>
      </c>
      <c r="C16" s="49"/>
      <c r="D16" s="50"/>
      <c r="E16" s="51"/>
      <c r="F16" s="52"/>
      <c r="G16" s="9">
        <f>TRUNC(G15/G6)</f>
        <v>40167</v>
      </c>
      <c r="H16" s="52"/>
      <c r="I16" s="9">
        <f>TRUNC(I15/I6)</f>
        <v>66945</v>
      </c>
      <c r="J16" s="52"/>
      <c r="K16" s="9">
        <f>TRUNC(K15/K6)</f>
        <v>91288</v>
      </c>
      <c r="N16" s="6"/>
      <c r="O16" s="6"/>
    </row>
    <row r="17" spans="2:15" ht="12.95" customHeight="1" x14ac:dyDescent="0.3">
      <c r="B17" s="61" t="s">
        <v>3</v>
      </c>
      <c r="C17" s="64" t="s">
        <v>7</v>
      </c>
      <c r="D17" s="64" t="s">
        <v>8</v>
      </c>
      <c r="E17" s="64" t="s">
        <v>4</v>
      </c>
      <c r="F17" s="59" t="s">
        <v>60</v>
      </c>
      <c r="G17" s="60"/>
      <c r="H17" s="60"/>
      <c r="I17" s="60"/>
      <c r="J17" s="60"/>
      <c r="K17" s="60"/>
      <c r="N17" s="6"/>
      <c r="O17" s="6"/>
    </row>
    <row r="18" spans="2:15" ht="12.95" customHeight="1" x14ac:dyDescent="0.3">
      <c r="B18" s="62"/>
      <c r="C18" s="65"/>
      <c r="D18" s="65"/>
      <c r="E18" s="65"/>
      <c r="F18" s="59" t="s">
        <v>55</v>
      </c>
      <c r="G18" s="71"/>
      <c r="H18" s="59" t="s">
        <v>56</v>
      </c>
      <c r="I18" s="60"/>
      <c r="J18" s="59" t="s">
        <v>57</v>
      </c>
      <c r="K18" s="60"/>
      <c r="N18" s="6"/>
      <c r="O18" s="6"/>
    </row>
    <row r="19" spans="2:15" ht="12.95" customHeight="1" x14ac:dyDescent="0.3">
      <c r="B19" s="62"/>
      <c r="C19" s="65"/>
      <c r="D19" s="65"/>
      <c r="E19" s="65"/>
      <c r="F19" s="18" t="s">
        <v>58</v>
      </c>
      <c r="G19" s="19">
        <v>23</v>
      </c>
      <c r="H19" s="18" t="s">
        <v>58</v>
      </c>
      <c r="I19" s="19">
        <v>13</v>
      </c>
      <c r="J19" s="18" t="s">
        <v>58</v>
      </c>
      <c r="K19" s="19">
        <v>10</v>
      </c>
      <c r="N19" s="6"/>
      <c r="O19" s="6"/>
    </row>
    <row r="20" spans="2:15" ht="12.95" customHeight="1" x14ac:dyDescent="0.3">
      <c r="B20" s="63"/>
      <c r="C20" s="66"/>
      <c r="D20" s="66"/>
      <c r="E20" s="66"/>
      <c r="F20" s="20" t="s">
        <v>51</v>
      </c>
      <c r="G20" s="21" t="s">
        <v>52</v>
      </c>
      <c r="H20" s="20" t="s">
        <v>51</v>
      </c>
      <c r="I20" s="21" t="s">
        <v>52</v>
      </c>
      <c r="J20" s="20" t="s">
        <v>51</v>
      </c>
      <c r="K20" s="21" t="s">
        <v>52</v>
      </c>
    </row>
    <row r="21" spans="2:15" ht="12.95" customHeight="1" x14ac:dyDescent="0.3">
      <c r="B21" s="22" t="s">
        <v>14</v>
      </c>
      <c r="C21" s="23" t="s">
        <v>15</v>
      </c>
      <c r="D21" s="24" t="s">
        <v>13</v>
      </c>
      <c r="E21" s="28"/>
      <c r="F21" s="26">
        <v>1</v>
      </c>
      <c r="G21" s="4">
        <f>TRUNC(SUM(G24:G25)*0.02,1)</f>
        <v>23131.1</v>
      </c>
      <c r="H21" s="26">
        <v>1</v>
      </c>
      <c r="I21" s="4">
        <f>TRUNC(SUM(I24:I25)*0.02,1)</f>
        <v>23131.1</v>
      </c>
      <c r="J21" s="26">
        <v>1</v>
      </c>
      <c r="K21" s="4">
        <f>TRUNC(SUM(K24:K25)*0.02,1)</f>
        <v>23131.1</v>
      </c>
    </row>
    <row r="22" spans="2:15" ht="12.95" customHeight="1" x14ac:dyDescent="0.3">
      <c r="B22" s="29" t="s">
        <v>10</v>
      </c>
      <c r="C22" s="30"/>
      <c r="D22" s="31"/>
      <c r="E22" s="32"/>
      <c r="F22" s="33"/>
      <c r="G22" s="5">
        <f>TRUNC(SUM(G21:G21))</f>
        <v>23131</v>
      </c>
      <c r="H22" s="33"/>
      <c r="I22" s="5">
        <f>TRUNC(SUM(I21:I21))</f>
        <v>23131</v>
      </c>
      <c r="J22" s="33"/>
      <c r="K22" s="5">
        <f>TRUNC(SUM(K21:K21))</f>
        <v>23131</v>
      </c>
    </row>
    <row r="23" spans="2:15" ht="12.95" customHeight="1" x14ac:dyDescent="0.3">
      <c r="B23" s="34"/>
      <c r="C23" s="35"/>
      <c r="D23" s="35"/>
      <c r="E23" s="36"/>
      <c r="F23" s="37"/>
      <c r="G23" s="38"/>
      <c r="H23" s="37"/>
      <c r="I23" s="38"/>
      <c r="J23" s="37"/>
      <c r="K23" s="38"/>
    </row>
    <row r="24" spans="2:15" ht="12.95" customHeight="1" x14ac:dyDescent="0.3">
      <c r="B24" s="39" t="s">
        <v>1</v>
      </c>
      <c r="C24" s="40"/>
      <c r="D24" s="41" t="s">
        <v>9</v>
      </c>
      <c r="E24" s="42">
        <v>270807</v>
      </c>
      <c r="F24" s="26">
        <v>3</v>
      </c>
      <c r="G24" s="2">
        <f t="shared" ref="G24:G25" si="3">TRUNC($E24*F24,1)</f>
        <v>812421</v>
      </c>
      <c r="H24" s="26">
        <v>3</v>
      </c>
      <c r="I24" s="2">
        <f t="shared" ref="I24:I25" si="4">TRUNC($E24*H24,1)</f>
        <v>812421</v>
      </c>
      <c r="J24" s="26">
        <v>3</v>
      </c>
      <c r="K24" s="2">
        <f t="shared" ref="K24:K25" si="5">TRUNC($E24*J24,1)</f>
        <v>812421</v>
      </c>
    </row>
    <row r="25" spans="2:15" ht="12.95" customHeight="1" x14ac:dyDescent="0.3">
      <c r="B25" s="39" t="s">
        <v>0</v>
      </c>
      <c r="C25" s="40"/>
      <c r="D25" s="41" t="s">
        <v>9</v>
      </c>
      <c r="E25" s="42">
        <v>172068</v>
      </c>
      <c r="F25" s="26">
        <v>2</v>
      </c>
      <c r="G25" s="2">
        <f t="shared" si="3"/>
        <v>344136</v>
      </c>
      <c r="H25" s="26">
        <v>2</v>
      </c>
      <c r="I25" s="2">
        <f t="shared" si="4"/>
        <v>344136</v>
      </c>
      <c r="J25" s="26">
        <v>2</v>
      </c>
      <c r="K25" s="2">
        <f t="shared" si="5"/>
        <v>344136</v>
      </c>
    </row>
    <row r="26" spans="2:15" ht="12.95" customHeight="1" x14ac:dyDescent="0.3">
      <c r="B26" s="43" t="s">
        <v>11</v>
      </c>
      <c r="C26" s="35"/>
      <c r="D26" s="35"/>
      <c r="E26" s="36"/>
      <c r="F26" s="37"/>
      <c r="G26" s="44">
        <f>TRUNC(SUM(G24:G25))</f>
        <v>1156557</v>
      </c>
      <c r="H26" s="37"/>
      <c r="I26" s="44">
        <f>TRUNC(SUM(I24:I25))</f>
        <v>1156557</v>
      </c>
      <c r="J26" s="37"/>
      <c r="K26" s="44">
        <f>TRUNC(SUM(K24:K25))</f>
        <v>1156557</v>
      </c>
    </row>
    <row r="27" spans="2:15" ht="12.95" customHeight="1" x14ac:dyDescent="0.3">
      <c r="B27" s="34"/>
      <c r="C27" s="35"/>
      <c r="D27" s="35"/>
      <c r="E27" s="36"/>
      <c r="F27" s="37"/>
      <c r="G27" s="38"/>
      <c r="H27" s="37"/>
      <c r="I27" s="38"/>
      <c r="J27" s="37"/>
      <c r="K27" s="38"/>
    </row>
    <row r="28" spans="2:15" ht="12.95" customHeight="1" x14ac:dyDescent="0.3">
      <c r="B28" s="45" t="s">
        <v>12</v>
      </c>
      <c r="C28" s="35"/>
      <c r="D28" s="35"/>
      <c r="E28" s="46"/>
      <c r="F28" s="46"/>
      <c r="G28" s="47">
        <f>SUM(G22+G26)</f>
        <v>1179688</v>
      </c>
      <c r="H28" s="46"/>
      <c r="I28" s="47">
        <f>SUM(I22+I26)</f>
        <v>1179688</v>
      </c>
      <c r="J28" s="46"/>
      <c r="K28" s="47">
        <f>SUM(K22+K26)</f>
        <v>1179688</v>
      </c>
    </row>
    <row r="29" spans="2:15" ht="12.95" customHeight="1" x14ac:dyDescent="0.3">
      <c r="B29" s="48" t="s">
        <v>53</v>
      </c>
      <c r="C29" s="49"/>
      <c r="D29" s="50"/>
      <c r="E29" s="51"/>
      <c r="F29" s="52"/>
      <c r="G29" s="9">
        <f>TRUNC(G28/G19)</f>
        <v>51290</v>
      </c>
      <c r="H29" s="52"/>
      <c r="I29" s="9">
        <f>TRUNC(I28/I19)</f>
        <v>90745</v>
      </c>
      <c r="J29" s="52"/>
      <c r="K29" s="9">
        <f>TRUNC(K28/K19)</f>
        <v>117968</v>
      </c>
    </row>
    <row r="31" spans="2:15" ht="12.95" customHeight="1" x14ac:dyDescent="0.3">
      <c r="B31" s="14" t="s">
        <v>76</v>
      </c>
      <c r="C31" s="15"/>
      <c r="D31" s="16"/>
      <c r="E31" s="17"/>
      <c r="F31" s="16"/>
      <c r="G31" s="17"/>
      <c r="K31" s="17" t="s">
        <v>77</v>
      </c>
    </row>
    <row r="32" spans="2:15" ht="12.95" customHeight="1" x14ac:dyDescent="0.3">
      <c r="B32" s="61" t="s">
        <v>3</v>
      </c>
      <c r="C32" s="64" t="s">
        <v>7</v>
      </c>
      <c r="D32" s="64" t="s">
        <v>8</v>
      </c>
      <c r="E32" s="64" t="s">
        <v>4</v>
      </c>
      <c r="F32" s="59" t="s">
        <v>78</v>
      </c>
      <c r="G32" s="60"/>
      <c r="H32" s="60"/>
      <c r="I32" s="60"/>
      <c r="J32" s="60"/>
      <c r="K32" s="60"/>
    </row>
    <row r="33" spans="2:11" ht="12.95" customHeight="1" x14ac:dyDescent="0.3">
      <c r="B33" s="62"/>
      <c r="C33" s="65"/>
      <c r="D33" s="65"/>
      <c r="E33" s="65"/>
      <c r="F33" s="59" t="s">
        <v>55</v>
      </c>
      <c r="G33" s="71"/>
      <c r="H33" s="59" t="s">
        <v>56</v>
      </c>
      <c r="I33" s="60"/>
      <c r="J33" s="59" t="s">
        <v>57</v>
      </c>
      <c r="K33" s="60"/>
    </row>
    <row r="34" spans="2:11" ht="12.95" customHeight="1" x14ac:dyDescent="0.3">
      <c r="B34" s="63"/>
      <c r="C34" s="66"/>
      <c r="D34" s="66"/>
      <c r="E34" s="66"/>
      <c r="F34" s="20" t="s">
        <v>51</v>
      </c>
      <c r="G34" s="21" t="s">
        <v>52</v>
      </c>
      <c r="H34" s="20" t="s">
        <v>51</v>
      </c>
      <c r="I34" s="21" t="s">
        <v>52</v>
      </c>
      <c r="J34" s="20" t="s">
        <v>51</v>
      </c>
      <c r="K34" s="21" t="s">
        <v>52</v>
      </c>
    </row>
    <row r="35" spans="2:11" ht="12.95" customHeight="1" x14ac:dyDescent="0.3">
      <c r="B35" s="22" t="s">
        <v>22</v>
      </c>
      <c r="C35" s="23" t="s">
        <v>27</v>
      </c>
      <c r="D35" s="24" t="s">
        <v>23</v>
      </c>
      <c r="E35" s="25">
        <v>0</v>
      </c>
      <c r="F35" s="26">
        <v>75</v>
      </c>
      <c r="G35" s="2">
        <f t="shared" ref="G35:G36" si="6">TRUNC($E35*F35,1)</f>
        <v>0</v>
      </c>
      <c r="H35" s="26">
        <v>149</v>
      </c>
      <c r="I35" s="2">
        <f t="shared" ref="I35:I36" si="7">TRUNC($E35*H35,1)</f>
        <v>0</v>
      </c>
      <c r="J35" s="26">
        <v>224</v>
      </c>
      <c r="K35" s="2">
        <f t="shared" ref="K35:K36" si="8">TRUNC($E35*J35,1)</f>
        <v>0</v>
      </c>
    </row>
    <row r="36" spans="2:11" ht="12.95" customHeight="1" x14ac:dyDescent="0.3">
      <c r="B36" s="22" t="s">
        <v>24</v>
      </c>
      <c r="C36" s="23" t="s">
        <v>26</v>
      </c>
      <c r="D36" s="24" t="s">
        <v>25</v>
      </c>
      <c r="E36" s="25">
        <v>0</v>
      </c>
      <c r="F36" s="27">
        <v>1.9E-2</v>
      </c>
      <c r="G36" s="2">
        <f t="shared" si="6"/>
        <v>0</v>
      </c>
      <c r="H36" s="27">
        <v>4.9000000000000002E-2</v>
      </c>
      <c r="I36" s="2">
        <f t="shared" si="7"/>
        <v>0</v>
      </c>
      <c r="J36" s="27">
        <v>7.8E-2</v>
      </c>
      <c r="K36" s="2">
        <f t="shared" si="8"/>
        <v>0</v>
      </c>
    </row>
    <row r="37" spans="2:11" ht="12.95" customHeight="1" x14ac:dyDescent="0.3">
      <c r="B37" s="29" t="s">
        <v>10</v>
      </c>
      <c r="C37" s="30"/>
      <c r="D37" s="31"/>
      <c r="E37" s="32"/>
      <c r="F37" s="33"/>
      <c r="G37" s="5">
        <f>TRUNC(SUM(G35:G36))</f>
        <v>0</v>
      </c>
      <c r="H37" s="33"/>
      <c r="I37" s="5">
        <f>TRUNC(SUM(I35:I36))</f>
        <v>0</v>
      </c>
      <c r="J37" s="33"/>
      <c r="K37" s="5">
        <f>TRUNC(SUM(K35:K36))</f>
        <v>0</v>
      </c>
    </row>
    <row r="38" spans="2:11" ht="12.95" customHeight="1" x14ac:dyDescent="0.3">
      <c r="B38" s="34"/>
      <c r="C38" s="35"/>
      <c r="D38" s="35"/>
      <c r="E38" s="36"/>
      <c r="F38" s="37"/>
      <c r="G38" s="38"/>
      <c r="H38" s="37"/>
      <c r="I38" s="38"/>
      <c r="J38" s="37"/>
      <c r="K38" s="38"/>
    </row>
    <row r="39" spans="2:11" ht="12.95" customHeight="1" x14ac:dyDescent="0.3">
      <c r="B39" s="48" t="s">
        <v>12</v>
      </c>
      <c r="C39" s="56"/>
      <c r="D39" s="56"/>
      <c r="E39" s="57"/>
      <c r="F39" s="57"/>
      <c r="G39" s="58">
        <f>SUM(G37)</f>
        <v>0</v>
      </c>
      <c r="H39" s="57"/>
      <c r="I39" s="58">
        <f>SUM(I37)</f>
        <v>0</v>
      </c>
      <c r="J39" s="57"/>
      <c r="K39" s="58">
        <f>SUM(K37)</f>
        <v>0</v>
      </c>
    </row>
    <row r="40" spans="2:11" ht="12.95" customHeight="1" x14ac:dyDescent="0.3">
      <c r="B40" s="1" t="s">
        <v>79</v>
      </c>
    </row>
    <row r="42" spans="2:11" ht="12.95" customHeight="1" x14ac:dyDescent="0.3">
      <c r="B42" s="14" t="s">
        <v>29</v>
      </c>
      <c r="C42" s="15"/>
      <c r="D42" s="16"/>
      <c r="E42" s="17"/>
      <c r="F42" s="16"/>
      <c r="G42" s="17"/>
      <c r="K42" s="17" t="s">
        <v>54</v>
      </c>
    </row>
    <row r="43" spans="2:11" ht="12.95" customHeight="1" x14ac:dyDescent="0.3">
      <c r="B43" s="61" t="s">
        <v>3</v>
      </c>
      <c r="C43" s="64" t="s">
        <v>7</v>
      </c>
      <c r="D43" s="64" t="s">
        <v>8</v>
      </c>
      <c r="E43" s="64" t="s">
        <v>4</v>
      </c>
      <c r="F43" s="59" t="s">
        <v>59</v>
      </c>
      <c r="G43" s="60"/>
      <c r="H43" s="60"/>
      <c r="I43" s="60"/>
      <c r="J43" s="60"/>
      <c r="K43" s="60"/>
    </row>
    <row r="44" spans="2:11" ht="12.95" customHeight="1" x14ac:dyDescent="0.3">
      <c r="B44" s="62"/>
      <c r="C44" s="65"/>
      <c r="D44" s="65"/>
      <c r="E44" s="65"/>
      <c r="F44" s="59" t="s">
        <v>55</v>
      </c>
      <c r="G44" s="71"/>
      <c r="H44" s="59" t="s">
        <v>56</v>
      </c>
      <c r="I44" s="60"/>
      <c r="J44" s="59" t="s">
        <v>57</v>
      </c>
      <c r="K44" s="60"/>
    </row>
    <row r="45" spans="2:11" ht="12.95" customHeight="1" x14ac:dyDescent="0.3">
      <c r="B45" s="62"/>
      <c r="C45" s="65"/>
      <c r="D45" s="65"/>
      <c r="E45" s="65"/>
      <c r="F45" s="18" t="s">
        <v>58</v>
      </c>
      <c r="G45" s="19">
        <v>20</v>
      </c>
      <c r="H45" s="18" t="s">
        <v>58</v>
      </c>
      <c r="I45" s="19">
        <v>13</v>
      </c>
      <c r="J45" s="18" t="s">
        <v>58</v>
      </c>
      <c r="K45" s="19">
        <v>9</v>
      </c>
    </row>
    <row r="46" spans="2:11" ht="12.95" customHeight="1" x14ac:dyDescent="0.3">
      <c r="B46" s="63"/>
      <c r="C46" s="66"/>
      <c r="D46" s="66"/>
      <c r="E46" s="66"/>
      <c r="F46" s="20" t="s">
        <v>51</v>
      </c>
      <c r="G46" s="21" t="s">
        <v>52</v>
      </c>
      <c r="H46" s="20" t="s">
        <v>51</v>
      </c>
      <c r="I46" s="21" t="s">
        <v>52</v>
      </c>
      <c r="J46" s="20" t="s">
        <v>51</v>
      </c>
      <c r="K46" s="21" t="s">
        <v>52</v>
      </c>
    </row>
    <row r="47" spans="2:11" ht="12.95" customHeight="1" x14ac:dyDescent="0.3">
      <c r="B47" s="22" t="s">
        <v>14</v>
      </c>
      <c r="C47" s="23" t="s">
        <v>15</v>
      </c>
      <c r="D47" s="24" t="s">
        <v>13</v>
      </c>
      <c r="E47" s="28"/>
      <c r="F47" s="26">
        <v>1</v>
      </c>
      <c r="G47" s="4">
        <f>TRUNC(SUM(G50:G52)*0.02,1)</f>
        <v>27364.2</v>
      </c>
      <c r="H47" s="26">
        <v>1</v>
      </c>
      <c r="I47" s="4">
        <f>TRUNC(SUM(I50:I52)*0.02,1)</f>
        <v>27364.2</v>
      </c>
      <c r="J47" s="26">
        <v>1</v>
      </c>
      <c r="K47" s="4">
        <f>TRUNC(SUM(K50:K52)*0.02,1)</f>
        <v>27364.2</v>
      </c>
    </row>
    <row r="48" spans="2:11" ht="12.95" customHeight="1" x14ac:dyDescent="0.3">
      <c r="B48" s="29" t="s">
        <v>10</v>
      </c>
      <c r="C48" s="30"/>
      <c r="D48" s="31"/>
      <c r="E48" s="32"/>
      <c r="F48" s="33"/>
      <c r="G48" s="5">
        <f>TRUNC(SUM(G47:G47))</f>
        <v>27364</v>
      </c>
      <c r="H48" s="33"/>
      <c r="I48" s="5">
        <f>TRUNC(SUM(I47:I47))</f>
        <v>27364</v>
      </c>
      <c r="J48" s="33"/>
      <c r="K48" s="5">
        <f>TRUNC(SUM(K47:K47))</f>
        <v>27364</v>
      </c>
    </row>
    <row r="49" spans="2:11" ht="12.95" customHeight="1" x14ac:dyDescent="0.3">
      <c r="B49" s="34"/>
      <c r="C49" s="35"/>
      <c r="D49" s="35"/>
      <c r="E49" s="36"/>
      <c r="F49" s="37"/>
      <c r="G49" s="38"/>
      <c r="H49" s="37"/>
      <c r="I49" s="38"/>
      <c r="J49" s="37"/>
      <c r="K49" s="38"/>
    </row>
    <row r="50" spans="2:11" ht="12.95" customHeight="1" x14ac:dyDescent="0.3">
      <c r="B50" s="39" t="s">
        <v>1</v>
      </c>
      <c r="C50" s="40"/>
      <c r="D50" s="41" t="s">
        <v>9</v>
      </c>
      <c r="E50" s="42">
        <v>270807</v>
      </c>
      <c r="F50" s="26">
        <v>3</v>
      </c>
      <c r="G50" s="2">
        <f t="shared" ref="G50:G52" si="9">TRUNC($E50*F50,1)</f>
        <v>812421</v>
      </c>
      <c r="H50" s="26">
        <v>3</v>
      </c>
      <c r="I50" s="2">
        <f t="shared" ref="I50:I52" si="10">TRUNC($E50*H50,1)</f>
        <v>812421</v>
      </c>
      <c r="J50" s="26">
        <v>3</v>
      </c>
      <c r="K50" s="2">
        <f t="shared" ref="K50:K52" si="11">TRUNC($E50*J50,1)</f>
        <v>812421</v>
      </c>
    </row>
    <row r="51" spans="2:11" ht="12.95" customHeight="1" x14ac:dyDescent="0.3">
      <c r="B51" s="39" t="s">
        <v>0</v>
      </c>
      <c r="C51" s="40"/>
      <c r="D51" s="41" t="s">
        <v>9</v>
      </c>
      <c r="E51" s="42">
        <v>172068</v>
      </c>
      <c r="F51" s="26">
        <v>2</v>
      </c>
      <c r="G51" s="2">
        <f t="shared" si="9"/>
        <v>344136</v>
      </c>
      <c r="H51" s="26">
        <v>2</v>
      </c>
      <c r="I51" s="2">
        <f t="shared" si="10"/>
        <v>344136</v>
      </c>
      <c r="J51" s="26">
        <v>2</v>
      </c>
      <c r="K51" s="2">
        <f t="shared" si="11"/>
        <v>344136</v>
      </c>
    </row>
    <row r="52" spans="2:11" ht="12.95" customHeight="1" x14ac:dyDescent="0.3">
      <c r="B52" s="39" t="s">
        <v>2</v>
      </c>
      <c r="C52" s="40"/>
      <c r="D52" s="41" t="s">
        <v>9</v>
      </c>
      <c r="E52" s="42">
        <v>211653</v>
      </c>
      <c r="F52" s="26">
        <v>1</v>
      </c>
      <c r="G52" s="2">
        <f t="shared" si="9"/>
        <v>211653</v>
      </c>
      <c r="H52" s="26">
        <v>1</v>
      </c>
      <c r="I52" s="2">
        <f t="shared" si="10"/>
        <v>211653</v>
      </c>
      <c r="J52" s="26">
        <v>1</v>
      </c>
      <c r="K52" s="2">
        <f t="shared" si="11"/>
        <v>211653</v>
      </c>
    </row>
    <row r="53" spans="2:11" ht="12.95" customHeight="1" x14ac:dyDescent="0.3">
      <c r="B53" s="43" t="s">
        <v>11</v>
      </c>
      <c r="C53" s="35"/>
      <c r="D53" s="35"/>
      <c r="E53" s="36"/>
      <c r="F53" s="37"/>
      <c r="G53" s="44">
        <f>TRUNC(SUM(G50:G52))</f>
        <v>1368210</v>
      </c>
      <c r="H53" s="37"/>
      <c r="I53" s="44">
        <f>TRUNC(SUM(I50:I52))</f>
        <v>1368210</v>
      </c>
      <c r="J53" s="37"/>
      <c r="K53" s="44">
        <f>TRUNC(SUM(K50:K52))</f>
        <v>1368210</v>
      </c>
    </row>
    <row r="54" spans="2:11" ht="12.95" customHeight="1" x14ac:dyDescent="0.3">
      <c r="B54" s="34"/>
      <c r="C54" s="35"/>
      <c r="D54" s="35"/>
      <c r="E54" s="36"/>
      <c r="F54" s="37"/>
      <c r="G54" s="38"/>
      <c r="H54" s="37"/>
      <c r="I54" s="38"/>
      <c r="J54" s="37"/>
      <c r="K54" s="38"/>
    </row>
    <row r="55" spans="2:11" ht="12.95" customHeight="1" x14ac:dyDescent="0.3">
      <c r="B55" s="45" t="s">
        <v>12</v>
      </c>
      <c r="C55" s="35"/>
      <c r="D55" s="35"/>
      <c r="E55" s="46"/>
      <c r="F55" s="46"/>
      <c r="G55" s="47">
        <f>SUM(G48+G53)</f>
        <v>1395574</v>
      </c>
      <c r="H55" s="46"/>
      <c r="I55" s="47">
        <f>SUM(I48+I53)</f>
        <v>1395574</v>
      </c>
      <c r="J55" s="46"/>
      <c r="K55" s="47">
        <f>SUM(K48+K53)</f>
        <v>1395574</v>
      </c>
    </row>
    <row r="56" spans="2:11" ht="12.95" customHeight="1" x14ac:dyDescent="0.3">
      <c r="B56" s="48" t="s">
        <v>53</v>
      </c>
      <c r="C56" s="49"/>
      <c r="D56" s="50"/>
      <c r="E56" s="51"/>
      <c r="F56" s="52"/>
      <c r="G56" s="9">
        <f>TRUNC(G55/G45)</f>
        <v>69778</v>
      </c>
      <c r="H56" s="52"/>
      <c r="I56" s="9">
        <f>TRUNC(I55/I45)</f>
        <v>107351</v>
      </c>
      <c r="J56" s="52"/>
      <c r="K56" s="9">
        <f>TRUNC(K55/K45)</f>
        <v>155063</v>
      </c>
    </row>
    <row r="57" spans="2:11" ht="12.95" customHeight="1" x14ac:dyDescent="0.3">
      <c r="B57" s="61" t="s">
        <v>3</v>
      </c>
      <c r="C57" s="64" t="s">
        <v>7</v>
      </c>
      <c r="D57" s="64" t="s">
        <v>8</v>
      </c>
      <c r="E57" s="64" t="s">
        <v>4</v>
      </c>
      <c r="F57" s="59" t="s">
        <v>60</v>
      </c>
      <c r="G57" s="60"/>
      <c r="H57" s="60"/>
      <c r="I57" s="60"/>
      <c r="J57" s="60"/>
      <c r="K57" s="60"/>
    </row>
    <row r="58" spans="2:11" ht="12.95" customHeight="1" x14ac:dyDescent="0.3">
      <c r="B58" s="62"/>
      <c r="C58" s="65"/>
      <c r="D58" s="65"/>
      <c r="E58" s="65"/>
      <c r="F58" s="59" t="s">
        <v>55</v>
      </c>
      <c r="G58" s="71"/>
      <c r="H58" s="59" t="s">
        <v>56</v>
      </c>
      <c r="I58" s="60"/>
      <c r="J58" s="59" t="s">
        <v>57</v>
      </c>
      <c r="K58" s="60"/>
    </row>
    <row r="59" spans="2:11" ht="12.95" customHeight="1" x14ac:dyDescent="0.3">
      <c r="B59" s="62"/>
      <c r="C59" s="65"/>
      <c r="D59" s="65"/>
      <c r="E59" s="65"/>
      <c r="F59" s="18" t="s">
        <v>58</v>
      </c>
      <c r="G59" s="19">
        <v>18</v>
      </c>
      <c r="H59" s="18" t="s">
        <v>58</v>
      </c>
      <c r="I59" s="19">
        <v>11</v>
      </c>
      <c r="J59" s="18" t="s">
        <v>58</v>
      </c>
      <c r="K59" s="19">
        <v>8</v>
      </c>
    </row>
    <row r="60" spans="2:11" ht="12.95" customHeight="1" x14ac:dyDescent="0.3">
      <c r="B60" s="63"/>
      <c r="C60" s="66"/>
      <c r="D60" s="66"/>
      <c r="E60" s="66"/>
      <c r="F60" s="20" t="s">
        <v>51</v>
      </c>
      <c r="G60" s="21" t="s">
        <v>52</v>
      </c>
      <c r="H60" s="20" t="s">
        <v>51</v>
      </c>
      <c r="I60" s="21" t="s">
        <v>52</v>
      </c>
      <c r="J60" s="20" t="s">
        <v>51</v>
      </c>
      <c r="K60" s="21" t="s">
        <v>52</v>
      </c>
    </row>
    <row r="61" spans="2:11" ht="12.95" customHeight="1" x14ac:dyDescent="0.3">
      <c r="B61" s="22" t="s">
        <v>14</v>
      </c>
      <c r="C61" s="23" t="s">
        <v>15</v>
      </c>
      <c r="D61" s="24" t="s">
        <v>13</v>
      </c>
      <c r="E61" s="28"/>
      <c r="F61" s="26">
        <v>1</v>
      </c>
      <c r="G61" s="4">
        <f>TRUNC(SUM(G64:G66)*0.02,1)</f>
        <v>31597.200000000001</v>
      </c>
      <c r="H61" s="26">
        <v>1</v>
      </c>
      <c r="I61" s="4">
        <f>TRUNC(SUM(I64:I66)*0.02,1)</f>
        <v>31597.200000000001</v>
      </c>
      <c r="J61" s="26">
        <v>1</v>
      </c>
      <c r="K61" s="4">
        <f>TRUNC(SUM(K64:K66)*0.02,1)</f>
        <v>31597.200000000001</v>
      </c>
    </row>
    <row r="62" spans="2:11" ht="12.95" customHeight="1" x14ac:dyDescent="0.3">
      <c r="B62" s="29" t="s">
        <v>10</v>
      </c>
      <c r="C62" s="30"/>
      <c r="D62" s="31"/>
      <c r="E62" s="32"/>
      <c r="F62" s="33"/>
      <c r="G62" s="5">
        <f>TRUNC(SUM(G61:G61))</f>
        <v>31597</v>
      </c>
      <c r="H62" s="33"/>
      <c r="I62" s="5">
        <f>TRUNC(SUM(I61:I61))</f>
        <v>31597</v>
      </c>
      <c r="J62" s="33"/>
      <c r="K62" s="5">
        <f>TRUNC(SUM(K61:K61))</f>
        <v>31597</v>
      </c>
    </row>
    <row r="63" spans="2:11" ht="12.95" customHeight="1" x14ac:dyDescent="0.3">
      <c r="B63" s="34"/>
      <c r="C63" s="35"/>
      <c r="D63" s="35"/>
      <c r="E63" s="36"/>
      <c r="F63" s="37"/>
      <c r="G63" s="38"/>
      <c r="H63" s="37"/>
      <c r="I63" s="38"/>
      <c r="J63" s="37"/>
      <c r="K63" s="38"/>
    </row>
    <row r="64" spans="2:11" ht="12.95" customHeight="1" x14ac:dyDescent="0.3">
      <c r="B64" s="39" t="s">
        <v>1</v>
      </c>
      <c r="C64" s="40"/>
      <c r="D64" s="41" t="s">
        <v>9</v>
      </c>
      <c r="E64" s="42">
        <v>270807</v>
      </c>
      <c r="F64" s="26">
        <v>3</v>
      </c>
      <c r="G64" s="2">
        <f t="shared" ref="G64:G66" si="12">TRUNC($E64*F64,1)</f>
        <v>812421</v>
      </c>
      <c r="H64" s="26">
        <v>3</v>
      </c>
      <c r="I64" s="2">
        <f t="shared" ref="I64:I66" si="13">TRUNC($E64*H64,1)</f>
        <v>812421</v>
      </c>
      <c r="J64" s="26">
        <v>3</v>
      </c>
      <c r="K64" s="2">
        <f t="shared" ref="K64:K66" si="14">TRUNC($E64*J64,1)</f>
        <v>812421</v>
      </c>
    </row>
    <row r="65" spans="2:11" ht="12.95" customHeight="1" x14ac:dyDescent="0.3">
      <c r="B65" s="39" t="s">
        <v>0</v>
      </c>
      <c r="C65" s="40"/>
      <c r="D65" s="41" t="s">
        <v>9</v>
      </c>
      <c r="E65" s="42">
        <v>172068</v>
      </c>
      <c r="F65" s="26">
        <v>2</v>
      </c>
      <c r="G65" s="2">
        <f t="shared" si="12"/>
        <v>344136</v>
      </c>
      <c r="H65" s="26">
        <v>2</v>
      </c>
      <c r="I65" s="2">
        <f t="shared" si="13"/>
        <v>344136</v>
      </c>
      <c r="J65" s="26">
        <v>2</v>
      </c>
      <c r="K65" s="2">
        <f t="shared" si="14"/>
        <v>344136</v>
      </c>
    </row>
    <row r="66" spans="2:11" ht="12.95" customHeight="1" x14ac:dyDescent="0.3">
      <c r="B66" s="39" t="s">
        <v>2</v>
      </c>
      <c r="C66" s="40"/>
      <c r="D66" s="41" t="s">
        <v>9</v>
      </c>
      <c r="E66" s="42">
        <v>211653</v>
      </c>
      <c r="F66" s="26">
        <v>2</v>
      </c>
      <c r="G66" s="2">
        <f t="shared" si="12"/>
        <v>423306</v>
      </c>
      <c r="H66" s="26">
        <v>2</v>
      </c>
      <c r="I66" s="2">
        <f t="shared" si="13"/>
        <v>423306</v>
      </c>
      <c r="J66" s="26">
        <v>2</v>
      </c>
      <c r="K66" s="2">
        <f t="shared" si="14"/>
        <v>423306</v>
      </c>
    </row>
    <row r="67" spans="2:11" ht="12.95" customHeight="1" x14ac:dyDescent="0.3">
      <c r="B67" s="43" t="s">
        <v>11</v>
      </c>
      <c r="C67" s="35"/>
      <c r="D67" s="35"/>
      <c r="E67" s="36"/>
      <c r="F67" s="37"/>
      <c r="G67" s="44">
        <f>TRUNC(SUM(G64:G66))</f>
        <v>1579863</v>
      </c>
      <c r="H67" s="37"/>
      <c r="I67" s="44">
        <f>TRUNC(SUM(I64:I66))</f>
        <v>1579863</v>
      </c>
      <c r="J67" s="37"/>
      <c r="K67" s="44">
        <f>TRUNC(SUM(K64:K66))</f>
        <v>1579863</v>
      </c>
    </row>
    <row r="68" spans="2:11" ht="12.95" customHeight="1" x14ac:dyDescent="0.3">
      <c r="B68" s="34"/>
      <c r="C68" s="35"/>
      <c r="D68" s="35"/>
      <c r="E68" s="36"/>
      <c r="F68" s="37"/>
      <c r="G68" s="38"/>
      <c r="H68" s="37"/>
      <c r="I68" s="38"/>
      <c r="J68" s="37"/>
      <c r="K68" s="38"/>
    </row>
    <row r="69" spans="2:11" ht="12.95" customHeight="1" x14ac:dyDescent="0.3">
      <c r="B69" s="45" t="s">
        <v>12</v>
      </c>
      <c r="C69" s="35"/>
      <c r="D69" s="35"/>
      <c r="E69" s="46"/>
      <c r="F69" s="46"/>
      <c r="G69" s="47">
        <f>SUM(G62+G67)</f>
        <v>1611460</v>
      </c>
      <c r="H69" s="46"/>
      <c r="I69" s="47">
        <f>SUM(I62+I67)</f>
        <v>1611460</v>
      </c>
      <c r="J69" s="46"/>
      <c r="K69" s="47">
        <f>SUM(K62+K67)</f>
        <v>1611460</v>
      </c>
    </row>
    <row r="70" spans="2:11" ht="12.95" customHeight="1" x14ac:dyDescent="0.3">
      <c r="B70" s="48" t="s">
        <v>53</v>
      </c>
      <c r="C70" s="49"/>
      <c r="D70" s="50"/>
      <c r="E70" s="51"/>
      <c r="F70" s="52"/>
      <c r="G70" s="9">
        <f>TRUNC(G69/G59)</f>
        <v>89525</v>
      </c>
      <c r="H70" s="52"/>
      <c r="I70" s="9">
        <f>TRUNC(I69/I59)</f>
        <v>146496</v>
      </c>
      <c r="J70" s="52"/>
      <c r="K70" s="9">
        <f>TRUNC(K69/K59)</f>
        <v>201432</v>
      </c>
    </row>
    <row r="72" spans="2:11" ht="12.95" customHeight="1" x14ac:dyDescent="0.3">
      <c r="B72" s="14" t="s">
        <v>80</v>
      </c>
      <c r="C72" s="15"/>
      <c r="D72" s="16"/>
      <c r="E72" s="17"/>
      <c r="F72" s="16"/>
      <c r="G72" s="17"/>
      <c r="K72" s="17" t="s">
        <v>77</v>
      </c>
    </row>
    <row r="73" spans="2:11" ht="12.95" customHeight="1" x14ac:dyDescent="0.3">
      <c r="B73" s="61" t="s">
        <v>3</v>
      </c>
      <c r="C73" s="64" t="s">
        <v>7</v>
      </c>
      <c r="D73" s="64" t="s">
        <v>8</v>
      </c>
      <c r="E73" s="64" t="s">
        <v>4</v>
      </c>
      <c r="F73" s="59" t="s">
        <v>78</v>
      </c>
      <c r="G73" s="60"/>
      <c r="H73" s="60"/>
      <c r="I73" s="60"/>
      <c r="J73" s="60"/>
      <c r="K73" s="60"/>
    </row>
    <row r="74" spans="2:11" ht="12.95" customHeight="1" x14ac:dyDescent="0.3">
      <c r="B74" s="62"/>
      <c r="C74" s="65"/>
      <c r="D74" s="65"/>
      <c r="E74" s="65"/>
      <c r="F74" s="59" t="s">
        <v>55</v>
      </c>
      <c r="G74" s="71"/>
      <c r="H74" s="59" t="s">
        <v>56</v>
      </c>
      <c r="I74" s="60"/>
      <c r="J74" s="59" t="s">
        <v>57</v>
      </c>
      <c r="K74" s="60"/>
    </row>
    <row r="75" spans="2:11" ht="12.95" customHeight="1" x14ac:dyDescent="0.3">
      <c r="B75" s="63"/>
      <c r="C75" s="66"/>
      <c r="D75" s="66"/>
      <c r="E75" s="66"/>
      <c r="F75" s="20" t="s">
        <v>51</v>
      </c>
      <c r="G75" s="21" t="s">
        <v>52</v>
      </c>
      <c r="H75" s="20" t="s">
        <v>51</v>
      </c>
      <c r="I75" s="21" t="s">
        <v>52</v>
      </c>
      <c r="J75" s="20" t="s">
        <v>51</v>
      </c>
      <c r="K75" s="21" t="s">
        <v>52</v>
      </c>
    </row>
    <row r="76" spans="2:11" ht="12.95" customHeight="1" x14ac:dyDescent="0.3">
      <c r="B76" s="22" t="s">
        <v>22</v>
      </c>
      <c r="C76" s="23" t="s">
        <v>27</v>
      </c>
      <c r="D76" s="24" t="s">
        <v>23</v>
      </c>
      <c r="E76" s="25">
        <v>0</v>
      </c>
      <c r="F76" s="26">
        <v>75</v>
      </c>
      <c r="G76" s="2">
        <f t="shared" ref="G76:G78" si="15">TRUNC($E76*F76,1)</f>
        <v>0</v>
      </c>
      <c r="H76" s="26">
        <v>149</v>
      </c>
      <c r="I76" s="2">
        <f t="shared" ref="I76:I78" si="16">TRUNC($E76*H76,1)</f>
        <v>0</v>
      </c>
      <c r="J76" s="26">
        <v>224</v>
      </c>
      <c r="K76" s="2">
        <f t="shared" ref="K76:K78" si="17">TRUNC($E76*J76,1)</f>
        <v>0</v>
      </c>
    </row>
    <row r="77" spans="2:11" ht="12.95" customHeight="1" x14ac:dyDescent="0.3">
      <c r="B77" s="22" t="s">
        <v>24</v>
      </c>
      <c r="C77" s="23" t="s">
        <v>30</v>
      </c>
      <c r="D77" s="24" t="s">
        <v>25</v>
      </c>
      <c r="E77" s="25">
        <v>0</v>
      </c>
      <c r="F77" s="27">
        <v>1.9E-2</v>
      </c>
      <c r="G77" s="2">
        <f t="shared" ref="G77" si="18">TRUNC($E77*F77,1)</f>
        <v>0</v>
      </c>
      <c r="H77" s="27">
        <v>4.9000000000000002E-2</v>
      </c>
      <c r="I77" s="2">
        <f t="shared" ref="I77" si="19">TRUNC($E77*H77,1)</f>
        <v>0</v>
      </c>
      <c r="J77" s="27">
        <v>7.8E-2</v>
      </c>
      <c r="K77" s="2">
        <f t="shared" ref="K77" si="20">TRUNC($E77*J77,1)</f>
        <v>0</v>
      </c>
    </row>
    <row r="78" spans="2:11" ht="12.95" customHeight="1" x14ac:dyDescent="0.3">
      <c r="B78" s="22" t="s">
        <v>24</v>
      </c>
      <c r="C78" s="23" t="s">
        <v>31</v>
      </c>
      <c r="D78" s="24" t="s">
        <v>25</v>
      </c>
      <c r="E78" s="25">
        <v>0</v>
      </c>
      <c r="F78" s="27">
        <v>3.0000000000000001E-3</v>
      </c>
      <c r="G78" s="2">
        <f t="shared" si="15"/>
        <v>0</v>
      </c>
      <c r="H78" s="27">
        <v>3.0000000000000001E-3</v>
      </c>
      <c r="I78" s="2">
        <f t="shared" si="16"/>
        <v>0</v>
      </c>
      <c r="J78" s="27">
        <v>3.0000000000000001E-3</v>
      </c>
      <c r="K78" s="2">
        <f t="shared" si="17"/>
        <v>0</v>
      </c>
    </row>
    <row r="79" spans="2:11" ht="12.95" customHeight="1" x14ac:dyDescent="0.3">
      <c r="B79" s="29" t="s">
        <v>10</v>
      </c>
      <c r="C79" s="30"/>
      <c r="D79" s="31"/>
      <c r="E79" s="32"/>
      <c r="F79" s="33"/>
      <c r="G79" s="5">
        <f>TRUNC(SUM(G76:G78))</f>
        <v>0</v>
      </c>
      <c r="H79" s="33"/>
      <c r="I79" s="5">
        <f>TRUNC(SUM(I76:I78))</f>
        <v>0</v>
      </c>
      <c r="J79" s="33"/>
      <c r="K79" s="5">
        <f>TRUNC(SUM(K76:K78))</f>
        <v>0</v>
      </c>
    </row>
    <row r="80" spans="2:11" ht="12.95" customHeight="1" x14ac:dyDescent="0.3">
      <c r="B80" s="34"/>
      <c r="C80" s="35"/>
      <c r="D80" s="35"/>
      <c r="E80" s="36"/>
      <c r="F80" s="37"/>
      <c r="G80" s="38"/>
      <c r="H80" s="37"/>
      <c r="I80" s="38"/>
      <c r="J80" s="37"/>
      <c r="K80" s="38"/>
    </row>
    <row r="81" spans="2:11" ht="12.95" customHeight="1" x14ac:dyDescent="0.3">
      <c r="B81" s="48" t="s">
        <v>12</v>
      </c>
      <c r="C81" s="56"/>
      <c r="D81" s="56"/>
      <c r="E81" s="57"/>
      <c r="F81" s="57"/>
      <c r="G81" s="58">
        <f>SUM(G79)</f>
        <v>0</v>
      </c>
      <c r="H81" s="57"/>
      <c r="I81" s="58">
        <f>SUM(I79)</f>
        <v>0</v>
      </c>
      <c r="J81" s="57"/>
      <c r="K81" s="58">
        <f>SUM(K79)</f>
        <v>0</v>
      </c>
    </row>
    <row r="82" spans="2:11" ht="12.95" customHeight="1" x14ac:dyDescent="0.3">
      <c r="B82" s="1" t="s">
        <v>81</v>
      </c>
    </row>
    <row r="84" spans="2:11" ht="12.95" customHeight="1" x14ac:dyDescent="0.3">
      <c r="B84" s="14" t="s">
        <v>32</v>
      </c>
      <c r="C84" s="15"/>
      <c r="D84" s="16"/>
      <c r="E84" s="17"/>
      <c r="I84" s="17" t="s">
        <v>33</v>
      </c>
    </row>
    <row r="85" spans="2:11" ht="12.95" customHeight="1" x14ac:dyDescent="0.3">
      <c r="B85" s="67" t="s">
        <v>3</v>
      </c>
      <c r="C85" s="68" t="s">
        <v>7</v>
      </c>
      <c r="D85" s="69" t="s">
        <v>8</v>
      </c>
      <c r="E85" s="70" t="s">
        <v>4</v>
      </c>
      <c r="F85" s="59" t="s">
        <v>20</v>
      </c>
      <c r="G85" s="60"/>
      <c r="H85" s="59" t="s">
        <v>21</v>
      </c>
      <c r="I85" s="60"/>
    </row>
    <row r="86" spans="2:11" ht="12.95" customHeight="1" x14ac:dyDescent="0.3">
      <c r="B86" s="67"/>
      <c r="C86" s="68"/>
      <c r="D86" s="69"/>
      <c r="E86" s="70"/>
      <c r="F86" s="54" t="s">
        <v>5</v>
      </c>
      <c r="G86" s="53" t="s">
        <v>6</v>
      </c>
      <c r="H86" s="54" t="s">
        <v>5</v>
      </c>
      <c r="I86" s="53" t="s">
        <v>6</v>
      </c>
    </row>
    <row r="87" spans="2:11" ht="12.95" customHeight="1" x14ac:dyDescent="0.3">
      <c r="B87" s="22" t="s">
        <v>14</v>
      </c>
      <c r="C87" s="23" t="s">
        <v>15</v>
      </c>
      <c r="D87" s="24" t="s">
        <v>13</v>
      </c>
      <c r="E87" s="28"/>
      <c r="F87" s="26">
        <v>1</v>
      </c>
      <c r="G87" s="4">
        <f>TRUNC(SUM(G90:G91)*0.02,1)</f>
        <v>31943.599999999999</v>
      </c>
      <c r="H87" s="26">
        <v>1</v>
      </c>
      <c r="I87" s="4">
        <f>TRUNC(SUM(I90:I91)*0.02,1)</f>
        <v>26380.799999999999</v>
      </c>
    </row>
    <row r="88" spans="2:11" ht="12.95" customHeight="1" x14ac:dyDescent="0.3">
      <c r="B88" s="29" t="s">
        <v>10</v>
      </c>
      <c r="C88" s="30"/>
      <c r="D88" s="31"/>
      <c r="E88" s="32"/>
      <c r="F88" s="33"/>
      <c r="G88" s="5">
        <f>TRUNC(SUM(G87:G87))</f>
        <v>31943</v>
      </c>
      <c r="H88" s="33"/>
      <c r="I88" s="5">
        <f>TRUNC(SUM(I87:I87))</f>
        <v>26380</v>
      </c>
    </row>
    <row r="89" spans="2:11" ht="12.95" customHeight="1" x14ac:dyDescent="0.3">
      <c r="B89" s="34"/>
      <c r="C89" s="35"/>
      <c r="D89" s="35"/>
      <c r="E89" s="36"/>
      <c r="F89" s="37"/>
      <c r="G89" s="38"/>
      <c r="H89" s="37"/>
      <c r="I89" s="38"/>
    </row>
    <row r="90" spans="2:11" ht="12.95" customHeight="1" x14ac:dyDescent="0.3">
      <c r="B90" s="39" t="s">
        <v>1</v>
      </c>
      <c r="C90" s="40"/>
      <c r="D90" s="41" t="s">
        <v>9</v>
      </c>
      <c r="E90" s="42">
        <v>270807</v>
      </c>
      <c r="F90" s="55">
        <v>4.5</v>
      </c>
      <c r="G90" s="2">
        <f t="shared" ref="G90:G91" si="21">TRUNC($E90*F90,1)</f>
        <v>1218631.5</v>
      </c>
      <c r="H90" s="55">
        <v>3.6</v>
      </c>
      <c r="I90" s="2">
        <f t="shared" ref="I90:I91" si="22">TRUNC($E90*H90,1)</f>
        <v>974905.2</v>
      </c>
    </row>
    <row r="91" spans="2:11" ht="12.95" customHeight="1" x14ac:dyDescent="0.3">
      <c r="B91" s="39" t="s">
        <v>0</v>
      </c>
      <c r="C91" s="40"/>
      <c r="D91" s="41" t="s">
        <v>9</v>
      </c>
      <c r="E91" s="42">
        <v>172068</v>
      </c>
      <c r="F91" s="55">
        <v>2.2000000000000002</v>
      </c>
      <c r="G91" s="2">
        <f t="shared" si="21"/>
        <v>378549.6</v>
      </c>
      <c r="H91" s="55">
        <v>2</v>
      </c>
      <c r="I91" s="2">
        <f t="shared" si="22"/>
        <v>344136</v>
      </c>
    </row>
    <row r="92" spans="2:11" ht="12.95" customHeight="1" x14ac:dyDescent="0.3">
      <c r="B92" s="43" t="s">
        <v>11</v>
      </c>
      <c r="C92" s="35"/>
      <c r="D92" s="35"/>
      <c r="E92" s="36"/>
      <c r="F92" s="37"/>
      <c r="G92" s="44">
        <f>TRUNC(SUM(G90:G91))</f>
        <v>1597181</v>
      </c>
      <c r="H92" s="37"/>
      <c r="I92" s="44">
        <f>TRUNC(SUM(I90:I91))</f>
        <v>1319041</v>
      </c>
    </row>
    <row r="93" spans="2:11" ht="12.95" customHeight="1" x14ac:dyDescent="0.3">
      <c r="B93" s="34"/>
      <c r="C93" s="35"/>
      <c r="D93" s="35"/>
      <c r="E93" s="36"/>
      <c r="F93" s="37"/>
      <c r="G93" s="38"/>
      <c r="H93" s="37"/>
      <c r="I93" s="38"/>
    </row>
    <row r="94" spans="2:11" ht="12.95" customHeight="1" x14ac:dyDescent="0.3">
      <c r="B94" s="48" t="s">
        <v>12</v>
      </c>
      <c r="C94" s="56"/>
      <c r="D94" s="56"/>
      <c r="E94" s="57"/>
      <c r="F94" s="57"/>
      <c r="G94" s="58">
        <f>SUM(G88+G92)</f>
        <v>1629124</v>
      </c>
      <c r="H94" s="57"/>
      <c r="I94" s="58">
        <f>SUM(I88+I92)</f>
        <v>1345421</v>
      </c>
    </row>
    <row r="96" spans="2:11" ht="12.95" customHeight="1" x14ac:dyDescent="0.3">
      <c r="B96" s="14" t="s">
        <v>34</v>
      </c>
      <c r="C96" s="15"/>
      <c r="D96" s="16"/>
      <c r="E96" s="17"/>
      <c r="I96" s="17" t="s">
        <v>33</v>
      </c>
    </row>
    <row r="97" spans="2:13" ht="12.95" customHeight="1" x14ac:dyDescent="0.3">
      <c r="B97" s="67" t="s">
        <v>3</v>
      </c>
      <c r="C97" s="68" t="s">
        <v>7</v>
      </c>
      <c r="D97" s="69" t="s">
        <v>8</v>
      </c>
      <c r="E97" s="70" t="s">
        <v>4</v>
      </c>
      <c r="F97" s="59" t="s">
        <v>20</v>
      </c>
      <c r="G97" s="60"/>
      <c r="H97" s="59" t="s">
        <v>21</v>
      </c>
      <c r="I97" s="60"/>
    </row>
    <row r="98" spans="2:13" ht="12.95" customHeight="1" x14ac:dyDescent="0.3">
      <c r="B98" s="67"/>
      <c r="C98" s="68"/>
      <c r="D98" s="69"/>
      <c r="E98" s="70"/>
      <c r="F98" s="54" t="s">
        <v>5</v>
      </c>
      <c r="G98" s="53" t="s">
        <v>6</v>
      </c>
      <c r="H98" s="54" t="s">
        <v>5</v>
      </c>
      <c r="I98" s="53" t="s">
        <v>6</v>
      </c>
    </row>
    <row r="99" spans="2:13" ht="12.95" customHeight="1" x14ac:dyDescent="0.3">
      <c r="B99" s="22" t="s">
        <v>24</v>
      </c>
      <c r="C99" s="23" t="s">
        <v>35</v>
      </c>
      <c r="D99" s="24" t="s">
        <v>25</v>
      </c>
      <c r="E99" s="25">
        <v>0</v>
      </c>
      <c r="F99" s="27">
        <v>0.31</v>
      </c>
      <c r="G99" s="2">
        <f t="shared" ref="G99:G100" si="23">TRUNC($E99*F99,1)</f>
        <v>0</v>
      </c>
      <c r="H99" s="27">
        <v>0.34</v>
      </c>
      <c r="I99" s="2">
        <f t="shared" ref="I99:I100" si="24">TRUNC($E99*H99,1)</f>
        <v>0</v>
      </c>
    </row>
    <row r="100" spans="2:13" ht="12.95" customHeight="1" x14ac:dyDescent="0.3">
      <c r="B100" s="22" t="s">
        <v>24</v>
      </c>
      <c r="C100" s="23" t="s">
        <v>31</v>
      </c>
      <c r="D100" s="24" t="s">
        <v>25</v>
      </c>
      <c r="E100" s="25">
        <v>0</v>
      </c>
      <c r="F100" s="27">
        <v>1.9E-2</v>
      </c>
      <c r="G100" s="2">
        <f t="shared" si="23"/>
        <v>0</v>
      </c>
      <c r="H100" s="27">
        <v>1.2999999999999999E-2</v>
      </c>
      <c r="I100" s="2">
        <f t="shared" si="24"/>
        <v>0</v>
      </c>
    </row>
    <row r="101" spans="2:13" ht="12.95" customHeight="1" x14ac:dyDescent="0.3">
      <c r="B101" s="29" t="s">
        <v>10</v>
      </c>
      <c r="C101" s="30"/>
      <c r="D101" s="31"/>
      <c r="E101" s="32"/>
      <c r="F101" s="33"/>
      <c r="G101" s="5">
        <f>TRUNC(SUM(G99:G100))</f>
        <v>0</v>
      </c>
      <c r="H101" s="33"/>
      <c r="I101" s="5">
        <f>TRUNC(SUM(I99:I100))</f>
        <v>0</v>
      </c>
    </row>
    <row r="102" spans="2:13" ht="12.95" customHeight="1" x14ac:dyDescent="0.3">
      <c r="B102" s="34"/>
      <c r="C102" s="35"/>
      <c r="D102" s="35"/>
      <c r="E102" s="36"/>
      <c r="F102" s="37"/>
      <c r="G102" s="38"/>
      <c r="H102" s="37"/>
      <c r="I102" s="38"/>
    </row>
    <row r="103" spans="2:13" ht="12.95" customHeight="1" x14ac:dyDescent="0.3">
      <c r="B103" s="39" t="s">
        <v>2</v>
      </c>
      <c r="C103" s="40"/>
      <c r="D103" s="41" t="s">
        <v>9</v>
      </c>
      <c r="E103" s="42">
        <v>211653</v>
      </c>
      <c r="F103" s="55">
        <v>0.4</v>
      </c>
      <c r="G103" s="2">
        <f t="shared" ref="G103" si="25">TRUNC($E103*F103,1)</f>
        <v>84661.2</v>
      </c>
      <c r="H103" s="55">
        <v>0.3</v>
      </c>
      <c r="I103" s="2">
        <f t="shared" ref="I103" si="26">TRUNC($E103*H103,1)</f>
        <v>63495.9</v>
      </c>
    </row>
    <row r="104" spans="2:13" ht="12.95" customHeight="1" x14ac:dyDescent="0.3">
      <c r="B104" s="43" t="s">
        <v>11</v>
      </c>
      <c r="C104" s="35"/>
      <c r="D104" s="35"/>
      <c r="E104" s="36"/>
      <c r="F104" s="37"/>
      <c r="G104" s="44">
        <f>TRUNC(SUM(G103:G103))</f>
        <v>84661</v>
      </c>
      <c r="H104" s="37"/>
      <c r="I104" s="44">
        <f>TRUNC(SUM(I103:I103))</f>
        <v>63495</v>
      </c>
    </row>
    <row r="105" spans="2:13" ht="12.95" customHeight="1" x14ac:dyDescent="0.3">
      <c r="B105" s="34"/>
      <c r="C105" s="35"/>
      <c r="D105" s="35"/>
      <c r="E105" s="36"/>
      <c r="F105" s="37"/>
      <c r="G105" s="38"/>
      <c r="H105" s="37"/>
      <c r="I105" s="38"/>
    </row>
    <row r="106" spans="2:13" ht="12.95" customHeight="1" x14ac:dyDescent="0.3">
      <c r="B106" s="48" t="s">
        <v>12</v>
      </c>
      <c r="C106" s="56"/>
      <c r="D106" s="56"/>
      <c r="E106" s="57"/>
      <c r="F106" s="57"/>
      <c r="G106" s="58">
        <f>SUM(G101+G104)</f>
        <v>84661</v>
      </c>
      <c r="H106" s="57"/>
      <c r="I106" s="58">
        <f>SUM(I101+I104)</f>
        <v>63495</v>
      </c>
    </row>
    <row r="108" spans="2:13" ht="12.95" customHeight="1" x14ac:dyDescent="0.3">
      <c r="B108" s="14" t="s">
        <v>61</v>
      </c>
      <c r="C108" s="15"/>
      <c r="D108" s="16"/>
      <c r="E108" s="17"/>
      <c r="M108" s="17" t="s">
        <v>62</v>
      </c>
    </row>
    <row r="109" spans="2:13" ht="12.95" customHeight="1" x14ac:dyDescent="0.3">
      <c r="B109" s="67" t="s">
        <v>3</v>
      </c>
      <c r="C109" s="68" t="s">
        <v>7</v>
      </c>
      <c r="D109" s="69" t="s">
        <v>8</v>
      </c>
      <c r="E109" s="70" t="s">
        <v>4</v>
      </c>
      <c r="F109" s="59" t="s">
        <v>63</v>
      </c>
      <c r="G109" s="60"/>
      <c r="H109" s="59" t="s">
        <v>64</v>
      </c>
      <c r="I109" s="60"/>
      <c r="J109" s="59" t="s">
        <v>65</v>
      </c>
      <c r="K109" s="60"/>
      <c r="L109" s="59" t="s">
        <v>66</v>
      </c>
      <c r="M109" s="60"/>
    </row>
    <row r="110" spans="2:13" ht="12.95" customHeight="1" x14ac:dyDescent="0.3">
      <c r="B110" s="67"/>
      <c r="C110" s="68"/>
      <c r="D110" s="69"/>
      <c r="E110" s="70"/>
      <c r="F110" s="54" t="s">
        <v>5</v>
      </c>
      <c r="G110" s="53" t="s">
        <v>6</v>
      </c>
      <c r="H110" s="54" t="s">
        <v>5</v>
      </c>
      <c r="I110" s="53" t="s">
        <v>6</v>
      </c>
      <c r="J110" s="54" t="s">
        <v>5</v>
      </c>
      <c r="K110" s="53" t="s">
        <v>6</v>
      </c>
      <c r="L110" s="54" t="s">
        <v>5</v>
      </c>
      <c r="M110" s="53" t="s">
        <v>6</v>
      </c>
    </row>
    <row r="111" spans="2:13" ht="12.95" customHeight="1" x14ac:dyDescent="0.3">
      <c r="B111" s="39" t="s">
        <v>1</v>
      </c>
      <c r="C111" s="40"/>
      <c r="D111" s="41" t="s">
        <v>9</v>
      </c>
      <c r="E111" s="42">
        <v>270807</v>
      </c>
      <c r="F111" s="33">
        <v>0.06</v>
      </c>
      <c r="G111" s="2">
        <f t="shared" ref="G111" si="27">TRUNC($E111*F111,1)</f>
        <v>16248.4</v>
      </c>
      <c r="H111" s="33">
        <v>0.08</v>
      </c>
      <c r="I111" s="2">
        <f t="shared" ref="I111" si="28">TRUNC($E111*H111,1)</f>
        <v>21664.5</v>
      </c>
      <c r="J111" s="33">
        <v>0.08</v>
      </c>
      <c r="K111" s="2">
        <f t="shared" ref="K111" si="29">TRUNC($E111*J111,1)</f>
        <v>21664.5</v>
      </c>
      <c r="L111" s="33">
        <v>0.06</v>
      </c>
      <c r="M111" s="2">
        <f t="shared" ref="M111" si="30">TRUNC($E111*L111,1)</f>
        <v>16248.4</v>
      </c>
    </row>
    <row r="112" spans="2:13" ht="12.95" customHeight="1" x14ac:dyDescent="0.3">
      <c r="B112" s="43" t="s">
        <v>11</v>
      </c>
      <c r="C112" s="35"/>
      <c r="D112" s="35"/>
      <c r="E112" s="36"/>
      <c r="F112" s="37"/>
      <c r="G112" s="44">
        <f>TRUNC(SUM(G111:G111))</f>
        <v>16248</v>
      </c>
      <c r="H112" s="37"/>
      <c r="I112" s="44">
        <f>TRUNC(SUM(I111:I111))</f>
        <v>21664</v>
      </c>
      <c r="J112" s="37"/>
      <c r="K112" s="44">
        <f>TRUNC(SUM(K111:K111))</f>
        <v>21664</v>
      </c>
      <c r="L112" s="37"/>
      <c r="M112" s="44">
        <f>TRUNC(SUM(M111:M111))</f>
        <v>16248</v>
      </c>
    </row>
    <row r="113" spans="2:13" ht="12.95" customHeight="1" x14ac:dyDescent="0.3">
      <c r="B113" s="34"/>
      <c r="C113" s="35"/>
      <c r="D113" s="35"/>
      <c r="E113" s="36"/>
      <c r="F113" s="37"/>
      <c r="G113" s="38"/>
      <c r="H113" s="37"/>
      <c r="I113" s="38"/>
      <c r="J113" s="37"/>
      <c r="K113" s="38"/>
      <c r="L113" s="37"/>
      <c r="M113" s="38"/>
    </row>
    <row r="114" spans="2:13" ht="12.95" customHeight="1" x14ac:dyDescent="0.3">
      <c r="B114" s="48" t="s">
        <v>12</v>
      </c>
      <c r="C114" s="56"/>
      <c r="D114" s="56"/>
      <c r="E114" s="57"/>
      <c r="F114" s="57"/>
      <c r="G114" s="58">
        <f>SUM(G112)</f>
        <v>16248</v>
      </c>
      <c r="H114" s="57"/>
      <c r="I114" s="58">
        <f>SUM(I112)</f>
        <v>21664</v>
      </c>
      <c r="J114" s="57"/>
      <c r="K114" s="58">
        <f>SUM(K112)</f>
        <v>21664</v>
      </c>
      <c r="L114" s="57"/>
      <c r="M114" s="58">
        <f>SUM(M112)</f>
        <v>16248</v>
      </c>
    </row>
    <row r="116" spans="2:13" ht="12.95" customHeight="1" x14ac:dyDescent="0.3">
      <c r="B116" s="12" t="s">
        <v>36</v>
      </c>
    </row>
    <row r="117" spans="2:13" ht="12.95" customHeight="1" x14ac:dyDescent="0.3">
      <c r="B117" s="14" t="s">
        <v>37</v>
      </c>
      <c r="C117" s="15"/>
      <c r="D117" s="16"/>
      <c r="E117" s="17"/>
      <c r="F117" s="16"/>
      <c r="G117" s="17"/>
      <c r="M117" s="17" t="s">
        <v>54</v>
      </c>
    </row>
    <row r="118" spans="2:13" ht="12.95" customHeight="1" x14ac:dyDescent="0.3">
      <c r="B118" s="61" t="s">
        <v>3</v>
      </c>
      <c r="C118" s="64" t="s">
        <v>7</v>
      </c>
      <c r="D118" s="64" t="s">
        <v>8</v>
      </c>
      <c r="E118" s="64" t="s">
        <v>4</v>
      </c>
      <c r="F118" s="59" t="s">
        <v>67</v>
      </c>
      <c r="G118" s="60"/>
      <c r="H118" s="60"/>
      <c r="I118" s="60"/>
      <c r="J118" s="59" t="s">
        <v>68</v>
      </c>
      <c r="K118" s="60"/>
      <c r="L118" s="60"/>
      <c r="M118" s="60"/>
    </row>
    <row r="119" spans="2:13" ht="12.95" customHeight="1" x14ac:dyDescent="0.3">
      <c r="B119" s="62"/>
      <c r="C119" s="65"/>
      <c r="D119" s="65"/>
      <c r="E119" s="65"/>
      <c r="F119" s="59" t="s">
        <v>38</v>
      </c>
      <c r="G119" s="60"/>
      <c r="H119" s="59" t="s">
        <v>39</v>
      </c>
      <c r="I119" s="60"/>
      <c r="J119" s="59" t="s">
        <v>38</v>
      </c>
      <c r="K119" s="60"/>
      <c r="L119" s="59" t="s">
        <v>39</v>
      </c>
      <c r="M119" s="60"/>
    </row>
    <row r="120" spans="2:13" ht="12.95" customHeight="1" x14ac:dyDescent="0.3">
      <c r="B120" s="62"/>
      <c r="C120" s="65"/>
      <c r="D120" s="65"/>
      <c r="E120" s="65"/>
      <c r="F120" s="18" t="s">
        <v>58</v>
      </c>
      <c r="G120" s="19">
        <v>20</v>
      </c>
      <c r="H120" s="18" t="s">
        <v>58</v>
      </c>
      <c r="I120" s="19">
        <v>19</v>
      </c>
      <c r="J120" s="18" t="s">
        <v>58</v>
      </c>
      <c r="K120" s="19">
        <v>24</v>
      </c>
      <c r="L120" s="18" t="s">
        <v>58</v>
      </c>
      <c r="M120" s="19">
        <v>23</v>
      </c>
    </row>
    <row r="121" spans="2:13" ht="12.95" customHeight="1" x14ac:dyDescent="0.3">
      <c r="B121" s="63"/>
      <c r="C121" s="66"/>
      <c r="D121" s="66"/>
      <c r="E121" s="66"/>
      <c r="F121" s="20" t="s">
        <v>51</v>
      </c>
      <c r="G121" s="21" t="s">
        <v>52</v>
      </c>
      <c r="H121" s="20" t="s">
        <v>51</v>
      </c>
      <c r="I121" s="21" t="s">
        <v>52</v>
      </c>
      <c r="J121" s="20" t="s">
        <v>51</v>
      </c>
      <c r="K121" s="21" t="s">
        <v>52</v>
      </c>
      <c r="L121" s="20" t="s">
        <v>51</v>
      </c>
      <c r="M121" s="21" t="s">
        <v>52</v>
      </c>
    </row>
    <row r="122" spans="2:13" ht="12.95" customHeight="1" x14ac:dyDescent="0.3">
      <c r="B122" s="22" t="s">
        <v>14</v>
      </c>
      <c r="C122" s="23" t="s">
        <v>15</v>
      </c>
      <c r="D122" s="24" t="s">
        <v>13</v>
      </c>
      <c r="E122" s="28"/>
      <c r="F122" s="26">
        <v>1</v>
      </c>
      <c r="G122" s="4">
        <f>TRUNC(SUM(G125:G126)*0.02,1)</f>
        <v>19689.7</v>
      </c>
      <c r="H122" s="26">
        <v>1</v>
      </c>
      <c r="I122" s="4">
        <f>TRUNC(SUM(I125:I126)*0.02,1)</f>
        <v>19689.7</v>
      </c>
      <c r="J122" s="26">
        <v>1</v>
      </c>
      <c r="K122" s="4">
        <f>TRUNC(SUM(K125:K126)*0.02,1)</f>
        <v>19689.7</v>
      </c>
      <c r="L122" s="26">
        <v>1</v>
      </c>
      <c r="M122" s="4">
        <f>TRUNC(SUM(M125:M126)*0.02,1)</f>
        <v>19689.7</v>
      </c>
    </row>
    <row r="123" spans="2:13" ht="12.95" customHeight="1" x14ac:dyDescent="0.3">
      <c r="B123" s="29" t="s">
        <v>10</v>
      </c>
      <c r="C123" s="30"/>
      <c r="D123" s="31"/>
      <c r="E123" s="32"/>
      <c r="F123" s="33"/>
      <c r="G123" s="5">
        <f>TRUNC(SUM(G122:G122))</f>
        <v>19689</v>
      </c>
      <c r="H123" s="33"/>
      <c r="I123" s="5">
        <f>TRUNC(SUM(I122:I122))</f>
        <v>19689</v>
      </c>
      <c r="J123" s="33"/>
      <c r="K123" s="5">
        <f>TRUNC(SUM(K122:K122))</f>
        <v>19689</v>
      </c>
      <c r="L123" s="33"/>
      <c r="M123" s="5">
        <f>TRUNC(SUM(M122:M122))</f>
        <v>19689</v>
      </c>
    </row>
    <row r="124" spans="2:13" ht="12.95" customHeight="1" x14ac:dyDescent="0.3">
      <c r="B124" s="34"/>
      <c r="C124" s="35"/>
      <c r="D124" s="35"/>
      <c r="E124" s="36"/>
      <c r="F124" s="37"/>
      <c r="G124" s="38"/>
      <c r="H124" s="37"/>
      <c r="I124" s="38"/>
      <c r="J124" s="37"/>
      <c r="K124" s="38"/>
      <c r="L124" s="37"/>
      <c r="M124" s="38"/>
    </row>
    <row r="125" spans="2:13" ht="12.95" customHeight="1" x14ac:dyDescent="0.3">
      <c r="B125" s="39" t="s">
        <v>1</v>
      </c>
      <c r="C125" s="40"/>
      <c r="D125" s="41" t="s">
        <v>9</v>
      </c>
      <c r="E125" s="42">
        <v>270807</v>
      </c>
      <c r="F125" s="26">
        <v>3</v>
      </c>
      <c r="G125" s="2">
        <f t="shared" ref="G125:G126" si="31">TRUNC($E125*F125,1)</f>
        <v>812421</v>
      </c>
      <c r="H125" s="26">
        <v>3</v>
      </c>
      <c r="I125" s="2">
        <f t="shared" ref="I125:I126" si="32">TRUNC($E125*H125,1)</f>
        <v>812421</v>
      </c>
      <c r="J125" s="26">
        <v>3</v>
      </c>
      <c r="K125" s="2">
        <f t="shared" ref="K125:K126" si="33">TRUNC($E125*J125,1)</f>
        <v>812421</v>
      </c>
      <c r="L125" s="26">
        <v>3</v>
      </c>
      <c r="M125" s="2">
        <f t="shared" ref="M125:M126" si="34">TRUNC($E125*L125,1)</f>
        <v>812421</v>
      </c>
    </row>
    <row r="126" spans="2:13" ht="12.95" customHeight="1" x14ac:dyDescent="0.3">
      <c r="B126" s="39" t="s">
        <v>0</v>
      </c>
      <c r="C126" s="40"/>
      <c r="D126" s="41" t="s">
        <v>9</v>
      </c>
      <c r="E126" s="42">
        <v>172068</v>
      </c>
      <c r="F126" s="26">
        <v>1</v>
      </c>
      <c r="G126" s="2">
        <f t="shared" si="31"/>
        <v>172068</v>
      </c>
      <c r="H126" s="26">
        <v>1</v>
      </c>
      <c r="I126" s="2">
        <f t="shared" si="32"/>
        <v>172068</v>
      </c>
      <c r="J126" s="26">
        <v>1</v>
      </c>
      <c r="K126" s="2">
        <f t="shared" si="33"/>
        <v>172068</v>
      </c>
      <c r="L126" s="26">
        <v>1</v>
      </c>
      <c r="M126" s="2">
        <f t="shared" si="34"/>
        <v>172068</v>
      </c>
    </row>
    <row r="127" spans="2:13" ht="12.95" customHeight="1" x14ac:dyDescent="0.3">
      <c r="B127" s="43" t="s">
        <v>11</v>
      </c>
      <c r="C127" s="35"/>
      <c r="D127" s="35"/>
      <c r="E127" s="36"/>
      <c r="F127" s="37"/>
      <c r="G127" s="44">
        <f>TRUNC(SUM(G125:G126))</f>
        <v>984489</v>
      </c>
      <c r="H127" s="37"/>
      <c r="I127" s="44">
        <f>TRUNC(SUM(I125:I126))</f>
        <v>984489</v>
      </c>
      <c r="J127" s="37"/>
      <c r="K127" s="44">
        <f>TRUNC(SUM(K125:K126))</f>
        <v>984489</v>
      </c>
      <c r="L127" s="37"/>
      <c r="M127" s="44">
        <f>TRUNC(SUM(M125:M126))</f>
        <v>984489</v>
      </c>
    </row>
    <row r="128" spans="2:13" ht="12.95" customHeight="1" x14ac:dyDescent="0.3">
      <c r="B128" s="34"/>
      <c r="C128" s="35"/>
      <c r="D128" s="35"/>
      <c r="E128" s="36"/>
      <c r="F128" s="37"/>
      <c r="G128" s="38"/>
      <c r="H128" s="37"/>
      <c r="I128" s="38"/>
      <c r="J128" s="37"/>
      <c r="K128" s="38"/>
      <c r="L128" s="37"/>
      <c r="M128" s="38"/>
    </row>
    <row r="129" spans="2:13" ht="12.95" customHeight="1" x14ac:dyDescent="0.3">
      <c r="B129" s="45" t="s">
        <v>12</v>
      </c>
      <c r="C129" s="35"/>
      <c r="D129" s="35"/>
      <c r="E129" s="46"/>
      <c r="F129" s="46"/>
      <c r="G129" s="47">
        <f>SUM(G123+G127)</f>
        <v>1004178</v>
      </c>
      <c r="H129" s="46"/>
      <c r="I129" s="47">
        <f>SUM(I123+I127)</f>
        <v>1004178</v>
      </c>
      <c r="J129" s="46"/>
      <c r="K129" s="47">
        <f>SUM(K123+K127)</f>
        <v>1004178</v>
      </c>
      <c r="L129" s="46"/>
      <c r="M129" s="47">
        <f>SUM(M123+M127)</f>
        <v>1004178</v>
      </c>
    </row>
    <row r="130" spans="2:13" ht="12.95" customHeight="1" x14ac:dyDescent="0.3">
      <c r="B130" s="48" t="s">
        <v>53</v>
      </c>
      <c r="C130" s="49"/>
      <c r="D130" s="50"/>
      <c r="E130" s="51"/>
      <c r="F130" s="52"/>
      <c r="G130" s="9">
        <f>TRUNC(G129/G120)</f>
        <v>50208</v>
      </c>
      <c r="H130" s="52"/>
      <c r="I130" s="9">
        <f>TRUNC(I129/I120)</f>
        <v>52851</v>
      </c>
      <c r="J130" s="52"/>
      <c r="K130" s="9">
        <f>TRUNC(K129/K120)</f>
        <v>41840</v>
      </c>
      <c r="L130" s="52"/>
      <c r="M130" s="9">
        <f>TRUNC(M129/M120)</f>
        <v>43659</v>
      </c>
    </row>
    <row r="131" spans="2:13" ht="12.95" customHeight="1" x14ac:dyDescent="0.3">
      <c r="B131" s="61" t="s">
        <v>3</v>
      </c>
      <c r="C131" s="64" t="s">
        <v>7</v>
      </c>
      <c r="D131" s="64" t="s">
        <v>8</v>
      </c>
      <c r="E131" s="64" t="s">
        <v>4</v>
      </c>
      <c r="F131" s="59" t="s">
        <v>69</v>
      </c>
      <c r="G131" s="60"/>
      <c r="H131" s="60"/>
      <c r="I131" s="60"/>
    </row>
    <row r="132" spans="2:13" ht="12.95" customHeight="1" x14ac:dyDescent="0.3">
      <c r="B132" s="62"/>
      <c r="C132" s="65"/>
      <c r="D132" s="65"/>
      <c r="E132" s="65"/>
      <c r="F132" s="59" t="s">
        <v>38</v>
      </c>
      <c r="G132" s="60"/>
      <c r="H132" s="59" t="s">
        <v>39</v>
      </c>
      <c r="I132" s="60"/>
    </row>
    <row r="133" spans="2:13" ht="12.95" customHeight="1" x14ac:dyDescent="0.3">
      <c r="B133" s="62"/>
      <c r="C133" s="65"/>
      <c r="D133" s="65"/>
      <c r="E133" s="65"/>
      <c r="F133" s="18" t="s">
        <v>58</v>
      </c>
      <c r="G133" s="19">
        <v>28</v>
      </c>
      <c r="H133" s="18" t="s">
        <v>58</v>
      </c>
      <c r="I133" s="19">
        <v>27</v>
      </c>
    </row>
    <row r="134" spans="2:13" ht="12.95" customHeight="1" x14ac:dyDescent="0.3">
      <c r="B134" s="63"/>
      <c r="C134" s="66"/>
      <c r="D134" s="66"/>
      <c r="E134" s="66"/>
      <c r="F134" s="20" t="s">
        <v>51</v>
      </c>
      <c r="G134" s="21" t="s">
        <v>52</v>
      </c>
      <c r="H134" s="20" t="s">
        <v>51</v>
      </c>
      <c r="I134" s="21" t="s">
        <v>52</v>
      </c>
    </row>
    <row r="135" spans="2:13" ht="12.95" customHeight="1" x14ac:dyDescent="0.3">
      <c r="B135" s="22" t="s">
        <v>14</v>
      </c>
      <c r="C135" s="23" t="s">
        <v>15</v>
      </c>
      <c r="D135" s="24" t="s">
        <v>13</v>
      </c>
      <c r="E135" s="28"/>
      <c r="F135" s="26">
        <v>1</v>
      </c>
      <c r="G135" s="4">
        <f>TRUNC(SUM(G138:G139)*0.02,1)</f>
        <v>19689.7</v>
      </c>
      <c r="H135" s="26">
        <v>1</v>
      </c>
      <c r="I135" s="4">
        <f>TRUNC(SUM(I138:I139)*0.02,1)</f>
        <v>19689.7</v>
      </c>
    </row>
    <row r="136" spans="2:13" ht="12.95" customHeight="1" x14ac:dyDescent="0.3">
      <c r="B136" s="29" t="s">
        <v>10</v>
      </c>
      <c r="C136" s="30"/>
      <c r="D136" s="31"/>
      <c r="E136" s="32"/>
      <c r="F136" s="33"/>
      <c r="G136" s="5">
        <f>TRUNC(SUM(G135:G135))</f>
        <v>19689</v>
      </c>
      <c r="H136" s="33"/>
      <c r="I136" s="5">
        <f>TRUNC(SUM(I135:I135))</f>
        <v>19689</v>
      </c>
    </row>
    <row r="137" spans="2:13" ht="12.95" customHeight="1" x14ac:dyDescent="0.3">
      <c r="B137" s="34"/>
      <c r="C137" s="35"/>
      <c r="D137" s="35"/>
      <c r="E137" s="36"/>
      <c r="F137" s="37"/>
      <c r="G137" s="38"/>
      <c r="H137" s="37"/>
      <c r="I137" s="38"/>
    </row>
    <row r="138" spans="2:13" ht="12.95" customHeight="1" x14ac:dyDescent="0.3">
      <c r="B138" s="39" t="s">
        <v>1</v>
      </c>
      <c r="C138" s="40"/>
      <c r="D138" s="41" t="s">
        <v>9</v>
      </c>
      <c r="E138" s="42">
        <v>270807</v>
      </c>
      <c r="F138" s="26">
        <v>3</v>
      </c>
      <c r="G138" s="2">
        <f t="shared" ref="G138:G139" si="35">TRUNC($E138*F138,1)</f>
        <v>812421</v>
      </c>
      <c r="H138" s="26">
        <v>3</v>
      </c>
      <c r="I138" s="2">
        <f t="shared" ref="I138:I139" si="36">TRUNC($E138*H138,1)</f>
        <v>812421</v>
      </c>
    </row>
    <row r="139" spans="2:13" ht="12.95" customHeight="1" x14ac:dyDescent="0.3">
      <c r="B139" s="39" t="s">
        <v>0</v>
      </c>
      <c r="C139" s="40"/>
      <c r="D139" s="41" t="s">
        <v>9</v>
      </c>
      <c r="E139" s="42">
        <v>172068</v>
      </c>
      <c r="F139" s="26">
        <v>1</v>
      </c>
      <c r="G139" s="2">
        <f t="shared" si="35"/>
        <v>172068</v>
      </c>
      <c r="H139" s="26">
        <v>1</v>
      </c>
      <c r="I139" s="2">
        <f t="shared" si="36"/>
        <v>172068</v>
      </c>
    </row>
    <row r="140" spans="2:13" ht="12.95" customHeight="1" x14ac:dyDescent="0.3">
      <c r="B140" s="43" t="s">
        <v>11</v>
      </c>
      <c r="C140" s="35"/>
      <c r="D140" s="35"/>
      <c r="E140" s="36"/>
      <c r="F140" s="37"/>
      <c r="G140" s="44">
        <f>TRUNC(SUM(G138:G139))</f>
        <v>984489</v>
      </c>
      <c r="H140" s="37"/>
      <c r="I140" s="44">
        <f>TRUNC(SUM(I138:I139))</f>
        <v>984489</v>
      </c>
    </row>
    <row r="141" spans="2:13" ht="12.95" customHeight="1" x14ac:dyDescent="0.3">
      <c r="B141" s="34"/>
      <c r="C141" s="35"/>
      <c r="D141" s="35"/>
      <c r="E141" s="36"/>
      <c r="F141" s="37"/>
      <c r="G141" s="38"/>
      <c r="H141" s="37"/>
      <c r="I141" s="38"/>
    </row>
    <row r="142" spans="2:13" ht="12.95" customHeight="1" x14ac:dyDescent="0.3">
      <c r="B142" s="45" t="s">
        <v>12</v>
      </c>
      <c r="C142" s="35"/>
      <c r="D142" s="35"/>
      <c r="E142" s="46"/>
      <c r="F142" s="46"/>
      <c r="G142" s="47">
        <f>SUM(G136+G140)</f>
        <v>1004178</v>
      </c>
      <c r="H142" s="46"/>
      <c r="I142" s="47">
        <f>SUM(I136+I140)</f>
        <v>1004178</v>
      </c>
    </row>
    <row r="143" spans="2:13" ht="12.95" customHeight="1" x14ac:dyDescent="0.3">
      <c r="B143" s="48" t="s">
        <v>53</v>
      </c>
      <c r="C143" s="49"/>
      <c r="D143" s="50"/>
      <c r="E143" s="51"/>
      <c r="F143" s="52"/>
      <c r="G143" s="9">
        <f>TRUNC(G142/G133)</f>
        <v>35863</v>
      </c>
      <c r="H143" s="52"/>
      <c r="I143" s="9">
        <f>TRUNC(I142/I133)</f>
        <v>37191</v>
      </c>
    </row>
    <row r="144" spans="2:13" ht="12.95" customHeight="1" x14ac:dyDescent="0.3">
      <c r="B144" s="61" t="s">
        <v>3</v>
      </c>
      <c r="C144" s="64" t="s">
        <v>7</v>
      </c>
      <c r="D144" s="64" t="s">
        <v>8</v>
      </c>
      <c r="E144" s="64" t="s">
        <v>4</v>
      </c>
      <c r="F144" s="59" t="s">
        <v>70</v>
      </c>
      <c r="G144" s="60"/>
      <c r="H144" s="60"/>
      <c r="I144" s="60"/>
      <c r="J144" s="59" t="s">
        <v>71</v>
      </c>
      <c r="K144" s="60"/>
      <c r="L144" s="60"/>
      <c r="M144" s="60"/>
    </row>
    <row r="145" spans="2:13" ht="12.95" customHeight="1" x14ac:dyDescent="0.3">
      <c r="B145" s="62"/>
      <c r="C145" s="65"/>
      <c r="D145" s="65"/>
      <c r="E145" s="65"/>
      <c r="F145" s="59" t="s">
        <v>38</v>
      </c>
      <c r="G145" s="60"/>
      <c r="H145" s="59" t="s">
        <v>39</v>
      </c>
      <c r="I145" s="60"/>
      <c r="J145" s="59" t="s">
        <v>38</v>
      </c>
      <c r="K145" s="60"/>
      <c r="L145" s="59" t="s">
        <v>39</v>
      </c>
      <c r="M145" s="60"/>
    </row>
    <row r="146" spans="2:13" ht="12.95" customHeight="1" x14ac:dyDescent="0.3">
      <c r="B146" s="62"/>
      <c r="C146" s="65"/>
      <c r="D146" s="65"/>
      <c r="E146" s="65"/>
      <c r="F146" s="18" t="s">
        <v>58</v>
      </c>
      <c r="G146" s="19">
        <v>19</v>
      </c>
      <c r="H146" s="18" t="s">
        <v>58</v>
      </c>
      <c r="I146" s="19">
        <v>18</v>
      </c>
      <c r="J146" s="18" t="s">
        <v>58</v>
      </c>
      <c r="K146" s="19">
        <v>23</v>
      </c>
      <c r="L146" s="18" t="s">
        <v>58</v>
      </c>
      <c r="M146" s="19">
        <v>22</v>
      </c>
    </row>
    <row r="147" spans="2:13" ht="12.95" customHeight="1" x14ac:dyDescent="0.3">
      <c r="B147" s="63"/>
      <c r="C147" s="66"/>
      <c r="D147" s="66"/>
      <c r="E147" s="66"/>
      <c r="F147" s="20" t="s">
        <v>51</v>
      </c>
      <c r="G147" s="21" t="s">
        <v>52</v>
      </c>
      <c r="H147" s="20" t="s">
        <v>51</v>
      </c>
      <c r="I147" s="21" t="s">
        <v>52</v>
      </c>
      <c r="J147" s="20" t="s">
        <v>51</v>
      </c>
      <c r="K147" s="21" t="s">
        <v>52</v>
      </c>
      <c r="L147" s="20" t="s">
        <v>51</v>
      </c>
      <c r="M147" s="21" t="s">
        <v>52</v>
      </c>
    </row>
    <row r="148" spans="2:13" ht="12.95" customHeight="1" x14ac:dyDescent="0.3">
      <c r="B148" s="22" t="s">
        <v>14</v>
      </c>
      <c r="C148" s="23" t="s">
        <v>15</v>
      </c>
      <c r="D148" s="24" t="s">
        <v>13</v>
      </c>
      <c r="E148" s="28"/>
      <c r="F148" s="26">
        <v>1</v>
      </c>
      <c r="G148" s="4">
        <f>TRUNC(SUM(G151:G152)*0.02,1)</f>
        <v>23131.1</v>
      </c>
      <c r="H148" s="26">
        <v>1</v>
      </c>
      <c r="I148" s="4">
        <f>TRUNC(SUM(I151:I152)*0.02,1)</f>
        <v>23131.1</v>
      </c>
      <c r="J148" s="26">
        <v>1</v>
      </c>
      <c r="K148" s="4">
        <f>TRUNC(SUM(K151:K152)*0.02,1)</f>
        <v>23131.1</v>
      </c>
      <c r="L148" s="26">
        <v>1</v>
      </c>
      <c r="M148" s="4">
        <f>TRUNC(SUM(M151:M152)*0.02,1)</f>
        <v>23131.1</v>
      </c>
    </row>
    <row r="149" spans="2:13" ht="12.95" customHeight="1" x14ac:dyDescent="0.3">
      <c r="B149" s="29" t="s">
        <v>10</v>
      </c>
      <c r="C149" s="30"/>
      <c r="D149" s="31"/>
      <c r="E149" s="32"/>
      <c r="F149" s="33"/>
      <c r="G149" s="5">
        <f>TRUNC(SUM(G148:G148))</f>
        <v>23131</v>
      </c>
      <c r="H149" s="33"/>
      <c r="I149" s="5">
        <f>TRUNC(SUM(I148:I148))</f>
        <v>23131</v>
      </c>
      <c r="J149" s="33"/>
      <c r="K149" s="5">
        <f>TRUNC(SUM(K148:K148))</f>
        <v>23131</v>
      </c>
      <c r="L149" s="33"/>
      <c r="M149" s="5">
        <f>TRUNC(SUM(M148:M148))</f>
        <v>23131</v>
      </c>
    </row>
    <row r="150" spans="2:13" ht="12.95" customHeight="1" x14ac:dyDescent="0.3">
      <c r="B150" s="34"/>
      <c r="C150" s="35"/>
      <c r="D150" s="35"/>
      <c r="E150" s="36"/>
      <c r="F150" s="37"/>
      <c r="G150" s="38"/>
      <c r="H150" s="37"/>
      <c r="I150" s="38"/>
      <c r="J150" s="37"/>
      <c r="K150" s="38"/>
      <c r="L150" s="37"/>
      <c r="M150" s="38"/>
    </row>
    <row r="151" spans="2:13" ht="12.95" customHeight="1" x14ac:dyDescent="0.3">
      <c r="B151" s="39" t="s">
        <v>1</v>
      </c>
      <c r="C151" s="40"/>
      <c r="D151" s="41" t="s">
        <v>9</v>
      </c>
      <c r="E151" s="42">
        <v>270807</v>
      </c>
      <c r="F151" s="26">
        <v>3</v>
      </c>
      <c r="G151" s="2">
        <f t="shared" ref="G151:G152" si="37">TRUNC($E151*F151,1)</f>
        <v>812421</v>
      </c>
      <c r="H151" s="26">
        <v>3</v>
      </c>
      <c r="I151" s="2">
        <f t="shared" ref="I151:I152" si="38">TRUNC($E151*H151,1)</f>
        <v>812421</v>
      </c>
      <c r="J151" s="26">
        <v>3</v>
      </c>
      <c r="K151" s="2">
        <f t="shared" ref="K151:K152" si="39">TRUNC($E151*J151,1)</f>
        <v>812421</v>
      </c>
      <c r="L151" s="26">
        <v>3</v>
      </c>
      <c r="M151" s="2">
        <f t="shared" ref="M151:M152" si="40">TRUNC($E151*L151,1)</f>
        <v>812421</v>
      </c>
    </row>
    <row r="152" spans="2:13" ht="12.95" customHeight="1" x14ac:dyDescent="0.3">
      <c r="B152" s="39" t="s">
        <v>0</v>
      </c>
      <c r="C152" s="40"/>
      <c r="D152" s="41" t="s">
        <v>9</v>
      </c>
      <c r="E152" s="42">
        <v>172068</v>
      </c>
      <c r="F152" s="26">
        <v>2</v>
      </c>
      <c r="G152" s="2">
        <f t="shared" si="37"/>
        <v>344136</v>
      </c>
      <c r="H152" s="26">
        <v>2</v>
      </c>
      <c r="I152" s="2">
        <f t="shared" si="38"/>
        <v>344136</v>
      </c>
      <c r="J152" s="26">
        <v>2</v>
      </c>
      <c r="K152" s="2">
        <f t="shared" si="39"/>
        <v>344136</v>
      </c>
      <c r="L152" s="26">
        <v>2</v>
      </c>
      <c r="M152" s="2">
        <f t="shared" si="40"/>
        <v>344136</v>
      </c>
    </row>
    <row r="153" spans="2:13" ht="12.95" customHeight="1" x14ac:dyDescent="0.3">
      <c r="B153" s="43" t="s">
        <v>11</v>
      </c>
      <c r="C153" s="35"/>
      <c r="D153" s="35"/>
      <c r="E153" s="36"/>
      <c r="F153" s="37"/>
      <c r="G153" s="44">
        <f>TRUNC(SUM(G151:G152))</f>
        <v>1156557</v>
      </c>
      <c r="H153" s="37"/>
      <c r="I153" s="44">
        <f>TRUNC(SUM(I151:I152))</f>
        <v>1156557</v>
      </c>
      <c r="J153" s="37"/>
      <c r="K153" s="44">
        <f>TRUNC(SUM(K151:K152))</f>
        <v>1156557</v>
      </c>
      <c r="L153" s="37"/>
      <c r="M153" s="44">
        <f>TRUNC(SUM(M151:M152))</f>
        <v>1156557</v>
      </c>
    </row>
    <row r="154" spans="2:13" ht="12.95" customHeight="1" x14ac:dyDescent="0.3">
      <c r="B154" s="34"/>
      <c r="C154" s="35"/>
      <c r="D154" s="35"/>
      <c r="E154" s="36"/>
      <c r="F154" s="37"/>
      <c r="G154" s="38"/>
      <c r="H154" s="37"/>
      <c r="I154" s="38"/>
      <c r="J154" s="37"/>
      <c r="K154" s="38"/>
      <c r="L154" s="37"/>
      <c r="M154" s="38"/>
    </row>
    <row r="155" spans="2:13" ht="12.95" customHeight="1" x14ac:dyDescent="0.3">
      <c r="B155" s="45" t="s">
        <v>12</v>
      </c>
      <c r="C155" s="35"/>
      <c r="D155" s="35"/>
      <c r="E155" s="46"/>
      <c r="F155" s="46"/>
      <c r="G155" s="47">
        <f>SUM(G149+G153)</f>
        <v>1179688</v>
      </c>
      <c r="H155" s="46"/>
      <c r="I155" s="47">
        <f>SUM(I149+I153)</f>
        <v>1179688</v>
      </c>
      <c r="J155" s="46"/>
      <c r="K155" s="47">
        <f>SUM(K149+K153)</f>
        <v>1179688</v>
      </c>
      <c r="L155" s="46"/>
      <c r="M155" s="47">
        <f>SUM(M149+M153)</f>
        <v>1179688</v>
      </c>
    </row>
    <row r="156" spans="2:13" ht="12.95" customHeight="1" x14ac:dyDescent="0.3">
      <c r="B156" s="48" t="s">
        <v>53</v>
      </c>
      <c r="C156" s="49"/>
      <c r="D156" s="50"/>
      <c r="E156" s="51"/>
      <c r="F156" s="52"/>
      <c r="G156" s="9">
        <f>TRUNC(G155/G146)</f>
        <v>62088</v>
      </c>
      <c r="H156" s="52"/>
      <c r="I156" s="9">
        <f>TRUNC(I155/I146)</f>
        <v>65538</v>
      </c>
      <c r="J156" s="52"/>
      <c r="K156" s="9">
        <f>TRUNC(K155/K146)</f>
        <v>51290</v>
      </c>
      <c r="L156" s="52"/>
      <c r="M156" s="9">
        <f>TRUNC(M155/M146)</f>
        <v>53622</v>
      </c>
    </row>
    <row r="157" spans="2:13" ht="12.95" customHeight="1" x14ac:dyDescent="0.3">
      <c r="B157" s="61" t="s">
        <v>3</v>
      </c>
      <c r="C157" s="64" t="s">
        <v>7</v>
      </c>
      <c r="D157" s="64" t="s">
        <v>8</v>
      </c>
      <c r="E157" s="64" t="s">
        <v>4</v>
      </c>
      <c r="F157" s="59" t="s">
        <v>72</v>
      </c>
      <c r="G157" s="60"/>
      <c r="H157" s="60"/>
      <c r="I157" s="60"/>
    </row>
    <row r="158" spans="2:13" ht="12.95" customHeight="1" x14ac:dyDescent="0.3">
      <c r="B158" s="62"/>
      <c r="C158" s="65"/>
      <c r="D158" s="65"/>
      <c r="E158" s="65"/>
      <c r="F158" s="59" t="s">
        <v>38</v>
      </c>
      <c r="G158" s="60"/>
      <c r="H158" s="59" t="s">
        <v>39</v>
      </c>
      <c r="I158" s="60"/>
    </row>
    <row r="159" spans="2:13" ht="12.95" customHeight="1" x14ac:dyDescent="0.3">
      <c r="B159" s="62"/>
      <c r="C159" s="65"/>
      <c r="D159" s="65"/>
      <c r="E159" s="65"/>
      <c r="F159" s="18" t="s">
        <v>58</v>
      </c>
      <c r="G159" s="19">
        <v>27</v>
      </c>
      <c r="H159" s="18" t="s">
        <v>58</v>
      </c>
      <c r="I159" s="19">
        <v>25</v>
      </c>
    </row>
    <row r="160" spans="2:13" ht="12.95" customHeight="1" x14ac:dyDescent="0.3">
      <c r="B160" s="63"/>
      <c r="C160" s="66"/>
      <c r="D160" s="66"/>
      <c r="E160" s="66"/>
      <c r="F160" s="20" t="s">
        <v>51</v>
      </c>
      <c r="G160" s="21" t="s">
        <v>52</v>
      </c>
      <c r="H160" s="20" t="s">
        <v>51</v>
      </c>
      <c r="I160" s="21" t="s">
        <v>52</v>
      </c>
    </row>
    <row r="161" spans="2:11" ht="12.95" customHeight="1" x14ac:dyDescent="0.3">
      <c r="B161" s="22" t="s">
        <v>14</v>
      </c>
      <c r="C161" s="23" t="s">
        <v>15</v>
      </c>
      <c r="D161" s="24" t="s">
        <v>13</v>
      </c>
      <c r="E161" s="28"/>
      <c r="F161" s="26">
        <v>1</v>
      </c>
      <c r="G161" s="4">
        <f>TRUNC(SUM(G164:G165)*0.02,1)</f>
        <v>23131.1</v>
      </c>
      <c r="H161" s="26">
        <v>1</v>
      </c>
      <c r="I161" s="4">
        <f>TRUNC(SUM(I164:I165)*0.02,1)</f>
        <v>23131.1</v>
      </c>
    </row>
    <row r="162" spans="2:11" ht="12.95" customHeight="1" x14ac:dyDescent="0.3">
      <c r="B162" s="29" t="s">
        <v>10</v>
      </c>
      <c r="C162" s="30"/>
      <c r="D162" s="31"/>
      <c r="E162" s="32"/>
      <c r="F162" s="33"/>
      <c r="G162" s="5">
        <f>TRUNC(SUM(G161:G161))</f>
        <v>23131</v>
      </c>
      <c r="H162" s="33"/>
      <c r="I162" s="5">
        <f>TRUNC(SUM(I161:I161))</f>
        <v>23131</v>
      </c>
    </row>
    <row r="163" spans="2:11" ht="12.95" customHeight="1" x14ac:dyDescent="0.3">
      <c r="B163" s="34"/>
      <c r="C163" s="35"/>
      <c r="D163" s="35"/>
      <c r="E163" s="36"/>
      <c r="F163" s="37"/>
      <c r="G163" s="38"/>
      <c r="H163" s="37"/>
      <c r="I163" s="38"/>
    </row>
    <row r="164" spans="2:11" ht="12.95" customHeight="1" x14ac:dyDescent="0.3">
      <c r="B164" s="39" t="s">
        <v>1</v>
      </c>
      <c r="C164" s="40"/>
      <c r="D164" s="41" t="s">
        <v>9</v>
      </c>
      <c r="E164" s="42">
        <v>270807</v>
      </c>
      <c r="F164" s="26">
        <v>3</v>
      </c>
      <c r="G164" s="2">
        <f t="shared" ref="G164:G165" si="41">TRUNC($E164*F164,1)</f>
        <v>812421</v>
      </c>
      <c r="H164" s="26">
        <v>3</v>
      </c>
      <c r="I164" s="2">
        <f t="shared" ref="I164:I165" si="42">TRUNC($E164*H164,1)</f>
        <v>812421</v>
      </c>
    </row>
    <row r="165" spans="2:11" ht="12.95" customHeight="1" x14ac:dyDescent="0.3">
      <c r="B165" s="39" t="s">
        <v>0</v>
      </c>
      <c r="C165" s="40"/>
      <c r="D165" s="41" t="s">
        <v>9</v>
      </c>
      <c r="E165" s="42">
        <v>172068</v>
      </c>
      <c r="F165" s="26">
        <v>2</v>
      </c>
      <c r="G165" s="2">
        <f t="shared" si="41"/>
        <v>344136</v>
      </c>
      <c r="H165" s="26">
        <v>2</v>
      </c>
      <c r="I165" s="2">
        <f t="shared" si="42"/>
        <v>344136</v>
      </c>
    </row>
    <row r="166" spans="2:11" ht="12.95" customHeight="1" x14ac:dyDescent="0.3">
      <c r="B166" s="43" t="s">
        <v>11</v>
      </c>
      <c r="C166" s="35"/>
      <c r="D166" s="35"/>
      <c r="E166" s="36"/>
      <c r="F166" s="37"/>
      <c r="G166" s="44">
        <f>TRUNC(SUM(G164:G165))</f>
        <v>1156557</v>
      </c>
      <c r="H166" s="37"/>
      <c r="I166" s="44">
        <f>TRUNC(SUM(I164:I165))</f>
        <v>1156557</v>
      </c>
    </row>
    <row r="167" spans="2:11" ht="12.95" customHeight="1" x14ac:dyDescent="0.3">
      <c r="B167" s="34"/>
      <c r="C167" s="35"/>
      <c r="D167" s="35"/>
      <c r="E167" s="36"/>
      <c r="F167" s="37"/>
      <c r="G167" s="38"/>
      <c r="H167" s="37"/>
      <c r="I167" s="38"/>
    </row>
    <row r="168" spans="2:11" ht="12.95" customHeight="1" x14ac:dyDescent="0.3">
      <c r="B168" s="45" t="s">
        <v>12</v>
      </c>
      <c r="C168" s="35"/>
      <c r="D168" s="35"/>
      <c r="E168" s="46"/>
      <c r="F168" s="46"/>
      <c r="G168" s="47">
        <f>SUM(G162+G166)</f>
        <v>1179688</v>
      </c>
      <c r="H168" s="46"/>
      <c r="I168" s="47">
        <f>SUM(I162+I166)</f>
        <v>1179688</v>
      </c>
    </row>
    <row r="169" spans="2:11" ht="12.95" customHeight="1" x14ac:dyDescent="0.3">
      <c r="B169" s="48" t="s">
        <v>53</v>
      </c>
      <c r="C169" s="49"/>
      <c r="D169" s="50"/>
      <c r="E169" s="51"/>
      <c r="F169" s="52"/>
      <c r="G169" s="9">
        <f>TRUNC(G168/G159)</f>
        <v>43692</v>
      </c>
      <c r="H169" s="52"/>
      <c r="I169" s="9">
        <f>TRUNC(I168/I159)</f>
        <v>47187</v>
      </c>
    </row>
    <row r="171" spans="2:11" ht="12.95" customHeight="1" x14ac:dyDescent="0.3">
      <c r="B171" s="14" t="s">
        <v>88</v>
      </c>
      <c r="C171" s="15"/>
      <c r="D171" s="16"/>
      <c r="E171" s="17"/>
      <c r="F171" s="16"/>
      <c r="G171" s="17"/>
      <c r="K171" s="17" t="s">
        <v>77</v>
      </c>
    </row>
    <row r="172" spans="2:11" ht="12.95" customHeight="1" x14ac:dyDescent="0.3">
      <c r="B172" s="61" t="s">
        <v>3</v>
      </c>
      <c r="C172" s="64" t="s">
        <v>7</v>
      </c>
      <c r="D172" s="64" t="s">
        <v>8</v>
      </c>
      <c r="E172" s="64" t="s">
        <v>4</v>
      </c>
      <c r="F172" s="59" t="s">
        <v>87</v>
      </c>
      <c r="G172" s="60"/>
      <c r="H172" s="60"/>
      <c r="I172" s="60"/>
      <c r="J172" s="60"/>
      <c r="K172" s="60"/>
    </row>
    <row r="173" spans="2:11" ht="12.95" customHeight="1" x14ac:dyDescent="0.3">
      <c r="B173" s="62"/>
      <c r="C173" s="65"/>
      <c r="D173" s="65"/>
      <c r="E173" s="65"/>
      <c r="F173" s="59" t="s">
        <v>84</v>
      </c>
      <c r="G173" s="71"/>
      <c r="H173" s="59" t="s">
        <v>83</v>
      </c>
      <c r="I173" s="60"/>
      <c r="J173" s="59" t="s">
        <v>82</v>
      </c>
      <c r="K173" s="60"/>
    </row>
    <row r="174" spans="2:11" ht="12.95" customHeight="1" x14ac:dyDescent="0.3">
      <c r="B174" s="63"/>
      <c r="C174" s="66"/>
      <c r="D174" s="66"/>
      <c r="E174" s="66"/>
      <c r="F174" s="20" t="s">
        <v>51</v>
      </c>
      <c r="G174" s="21" t="s">
        <v>52</v>
      </c>
      <c r="H174" s="20" t="s">
        <v>51</v>
      </c>
      <c r="I174" s="21" t="s">
        <v>52</v>
      </c>
      <c r="J174" s="20" t="s">
        <v>51</v>
      </c>
      <c r="K174" s="21" t="s">
        <v>52</v>
      </c>
    </row>
    <row r="175" spans="2:11" ht="12.95" customHeight="1" x14ac:dyDescent="0.3">
      <c r="B175" s="22" t="s">
        <v>85</v>
      </c>
      <c r="C175" s="23"/>
      <c r="D175" s="24" t="s">
        <v>86</v>
      </c>
      <c r="E175" s="25">
        <v>0</v>
      </c>
      <c r="F175" s="27">
        <v>0.01</v>
      </c>
      <c r="G175" s="2">
        <f t="shared" ref="G175" si="43">TRUNC($E175*F175,1)</f>
        <v>0</v>
      </c>
      <c r="H175" s="27">
        <v>8.9999999999999993E-3</v>
      </c>
      <c r="I175" s="2">
        <f t="shared" ref="I175" si="44">TRUNC($E175*H175,1)</f>
        <v>0</v>
      </c>
      <c r="J175" s="27">
        <v>6.0000000000000001E-3</v>
      </c>
      <c r="K175" s="2">
        <f t="shared" ref="K175" si="45">TRUNC($E175*J175,1)</f>
        <v>0</v>
      </c>
    </row>
    <row r="176" spans="2:11" ht="12.95" customHeight="1" x14ac:dyDescent="0.3">
      <c r="B176" s="29" t="s">
        <v>10</v>
      </c>
      <c r="C176" s="30"/>
      <c r="D176" s="31"/>
      <c r="E176" s="32"/>
      <c r="F176" s="33"/>
      <c r="G176" s="5">
        <f>TRUNC(SUM(G175:G175))</f>
        <v>0</v>
      </c>
      <c r="H176" s="33"/>
      <c r="I176" s="5">
        <f>TRUNC(SUM(I175:I175))</f>
        <v>0</v>
      </c>
      <c r="J176" s="33"/>
      <c r="K176" s="5">
        <f>TRUNC(SUM(K175:K175))</f>
        <v>0</v>
      </c>
    </row>
    <row r="177" spans="2:13" ht="12.95" customHeight="1" x14ac:dyDescent="0.3">
      <c r="B177" s="34"/>
      <c r="C177" s="35"/>
      <c r="D177" s="35"/>
      <c r="E177" s="36"/>
      <c r="F177" s="37"/>
      <c r="G177" s="38"/>
      <c r="H177" s="37"/>
      <c r="I177" s="38"/>
      <c r="J177" s="37"/>
      <c r="K177" s="38"/>
    </row>
    <row r="178" spans="2:13" ht="12.95" customHeight="1" x14ac:dyDescent="0.3">
      <c r="B178" s="48" t="s">
        <v>12</v>
      </c>
      <c r="C178" s="56"/>
      <c r="D178" s="56"/>
      <c r="E178" s="57"/>
      <c r="F178" s="57"/>
      <c r="G178" s="58">
        <f>SUM(G176)</f>
        <v>0</v>
      </c>
      <c r="H178" s="57"/>
      <c r="I178" s="58">
        <f>SUM(I176)</f>
        <v>0</v>
      </c>
      <c r="J178" s="57"/>
      <c r="K178" s="58">
        <f>SUM(K176)</f>
        <v>0</v>
      </c>
    </row>
    <row r="179" spans="2:13" ht="12.95" customHeight="1" x14ac:dyDescent="0.3">
      <c r="B179" s="1" t="s">
        <v>89</v>
      </c>
    </row>
    <row r="181" spans="2:13" ht="12.95" customHeight="1" x14ac:dyDescent="0.3">
      <c r="B181" s="14" t="s">
        <v>40</v>
      </c>
      <c r="C181" s="15"/>
      <c r="D181" s="16"/>
      <c r="E181" s="17"/>
      <c r="F181" s="16"/>
      <c r="G181" s="17"/>
      <c r="M181" s="17" t="s">
        <v>54</v>
      </c>
    </row>
    <row r="182" spans="2:13" ht="12.95" customHeight="1" x14ac:dyDescent="0.3">
      <c r="B182" s="61" t="s">
        <v>3</v>
      </c>
      <c r="C182" s="64" t="s">
        <v>7</v>
      </c>
      <c r="D182" s="64" t="s">
        <v>8</v>
      </c>
      <c r="E182" s="64" t="s">
        <v>4</v>
      </c>
      <c r="F182" s="59" t="s">
        <v>67</v>
      </c>
      <c r="G182" s="60"/>
      <c r="H182" s="60"/>
      <c r="I182" s="60"/>
      <c r="J182" s="59" t="s">
        <v>68</v>
      </c>
      <c r="K182" s="60"/>
      <c r="L182" s="60"/>
      <c r="M182" s="60"/>
    </row>
    <row r="183" spans="2:13" ht="12.95" customHeight="1" x14ac:dyDescent="0.3">
      <c r="B183" s="62"/>
      <c r="C183" s="65"/>
      <c r="D183" s="65"/>
      <c r="E183" s="65"/>
      <c r="F183" s="59" t="s">
        <v>38</v>
      </c>
      <c r="G183" s="60"/>
      <c r="H183" s="59" t="s">
        <v>39</v>
      </c>
      <c r="I183" s="60"/>
      <c r="J183" s="59" t="s">
        <v>38</v>
      </c>
      <c r="K183" s="60"/>
      <c r="L183" s="59" t="s">
        <v>39</v>
      </c>
      <c r="M183" s="60"/>
    </row>
    <row r="184" spans="2:13" ht="12.95" customHeight="1" x14ac:dyDescent="0.3">
      <c r="B184" s="62"/>
      <c r="C184" s="65"/>
      <c r="D184" s="65"/>
      <c r="E184" s="65"/>
      <c r="F184" s="18" t="s">
        <v>58</v>
      </c>
      <c r="G184" s="19">
        <v>18</v>
      </c>
      <c r="H184" s="18" t="s">
        <v>58</v>
      </c>
      <c r="I184" s="19">
        <v>17</v>
      </c>
      <c r="J184" s="18" t="s">
        <v>58</v>
      </c>
      <c r="K184" s="19">
        <v>22</v>
      </c>
      <c r="L184" s="18" t="s">
        <v>58</v>
      </c>
      <c r="M184" s="19">
        <v>21</v>
      </c>
    </row>
    <row r="185" spans="2:13" ht="12.95" customHeight="1" x14ac:dyDescent="0.3">
      <c r="B185" s="63"/>
      <c r="C185" s="66"/>
      <c r="D185" s="66"/>
      <c r="E185" s="66"/>
      <c r="F185" s="20" t="s">
        <v>51</v>
      </c>
      <c r="G185" s="21" t="s">
        <v>52</v>
      </c>
      <c r="H185" s="20" t="s">
        <v>51</v>
      </c>
      <c r="I185" s="21" t="s">
        <v>52</v>
      </c>
      <c r="J185" s="20" t="s">
        <v>51</v>
      </c>
      <c r="K185" s="21" t="s">
        <v>52</v>
      </c>
      <c r="L185" s="20" t="s">
        <v>51</v>
      </c>
      <c r="M185" s="21" t="s">
        <v>52</v>
      </c>
    </row>
    <row r="186" spans="2:13" ht="12.95" customHeight="1" x14ac:dyDescent="0.3">
      <c r="B186" s="22" t="s">
        <v>14</v>
      </c>
      <c r="C186" s="23" t="s">
        <v>15</v>
      </c>
      <c r="D186" s="24" t="s">
        <v>13</v>
      </c>
      <c r="E186" s="28"/>
      <c r="F186" s="26">
        <v>1</v>
      </c>
      <c r="G186" s="4">
        <f>TRUNC(SUM(G189:G190)*0.02,1)</f>
        <v>19689.7</v>
      </c>
      <c r="H186" s="26">
        <v>1</v>
      </c>
      <c r="I186" s="4">
        <f>TRUNC(SUM(I189:I190)*0.02,1)</f>
        <v>19689.7</v>
      </c>
      <c r="J186" s="26">
        <v>1</v>
      </c>
      <c r="K186" s="4">
        <f>TRUNC(SUM(K189:K190)*0.02,1)</f>
        <v>19689.7</v>
      </c>
      <c r="L186" s="26">
        <v>1</v>
      </c>
      <c r="M186" s="4">
        <f>TRUNC(SUM(M189:M190)*0.02,1)</f>
        <v>19689.7</v>
      </c>
    </row>
    <row r="187" spans="2:13" ht="12.95" customHeight="1" x14ac:dyDescent="0.3">
      <c r="B187" s="29" t="s">
        <v>10</v>
      </c>
      <c r="C187" s="30"/>
      <c r="D187" s="31"/>
      <c r="E187" s="32"/>
      <c r="F187" s="33"/>
      <c r="G187" s="5">
        <f>TRUNC(SUM(G186:G186))</f>
        <v>19689</v>
      </c>
      <c r="H187" s="33"/>
      <c r="I187" s="5">
        <f>TRUNC(SUM(I186:I186))</f>
        <v>19689</v>
      </c>
      <c r="J187" s="33"/>
      <c r="K187" s="5">
        <f>TRUNC(SUM(K186:K186))</f>
        <v>19689</v>
      </c>
      <c r="L187" s="33"/>
      <c r="M187" s="5">
        <f>TRUNC(SUM(M186:M186))</f>
        <v>19689</v>
      </c>
    </row>
    <row r="188" spans="2:13" ht="12.95" customHeight="1" x14ac:dyDescent="0.3">
      <c r="B188" s="34"/>
      <c r="C188" s="35"/>
      <c r="D188" s="35"/>
      <c r="E188" s="36"/>
      <c r="F188" s="37"/>
      <c r="G188" s="38"/>
      <c r="H188" s="37"/>
      <c r="I188" s="38"/>
      <c r="J188" s="37"/>
      <c r="K188" s="38"/>
      <c r="L188" s="37"/>
      <c r="M188" s="38"/>
    </row>
    <row r="189" spans="2:13" ht="12.95" customHeight="1" x14ac:dyDescent="0.3">
      <c r="B189" s="39" t="s">
        <v>1</v>
      </c>
      <c r="C189" s="40"/>
      <c r="D189" s="41" t="s">
        <v>9</v>
      </c>
      <c r="E189" s="42">
        <v>270807</v>
      </c>
      <c r="F189" s="26">
        <v>3</v>
      </c>
      <c r="G189" s="2">
        <f t="shared" ref="G189:G190" si="46">TRUNC($E189*F189,1)</f>
        <v>812421</v>
      </c>
      <c r="H189" s="26">
        <v>3</v>
      </c>
      <c r="I189" s="2">
        <f t="shared" ref="I189:I190" si="47">TRUNC($E189*H189,1)</f>
        <v>812421</v>
      </c>
      <c r="J189" s="26">
        <v>3</v>
      </c>
      <c r="K189" s="2">
        <f t="shared" ref="K189:K190" si="48">TRUNC($E189*J189,1)</f>
        <v>812421</v>
      </c>
      <c r="L189" s="26">
        <v>3</v>
      </c>
      <c r="M189" s="2">
        <f t="shared" ref="M189:M190" si="49">TRUNC($E189*L189,1)</f>
        <v>812421</v>
      </c>
    </row>
    <row r="190" spans="2:13" ht="12.95" customHeight="1" x14ac:dyDescent="0.3">
      <c r="B190" s="39" t="s">
        <v>0</v>
      </c>
      <c r="C190" s="40"/>
      <c r="D190" s="41" t="s">
        <v>9</v>
      </c>
      <c r="E190" s="42">
        <v>172068</v>
      </c>
      <c r="F190" s="26">
        <v>1</v>
      </c>
      <c r="G190" s="2">
        <f t="shared" si="46"/>
        <v>172068</v>
      </c>
      <c r="H190" s="26">
        <v>1</v>
      </c>
      <c r="I190" s="2">
        <f t="shared" si="47"/>
        <v>172068</v>
      </c>
      <c r="J190" s="26">
        <v>1</v>
      </c>
      <c r="K190" s="2">
        <f t="shared" si="48"/>
        <v>172068</v>
      </c>
      <c r="L190" s="26">
        <v>1</v>
      </c>
      <c r="M190" s="2">
        <f t="shared" si="49"/>
        <v>172068</v>
      </c>
    </row>
    <row r="191" spans="2:13" ht="12.95" customHeight="1" x14ac:dyDescent="0.3">
      <c r="B191" s="43" t="s">
        <v>11</v>
      </c>
      <c r="C191" s="35"/>
      <c r="D191" s="35"/>
      <c r="E191" s="36"/>
      <c r="F191" s="37"/>
      <c r="G191" s="44">
        <f>TRUNC(SUM(G189:G190))</f>
        <v>984489</v>
      </c>
      <c r="H191" s="37"/>
      <c r="I191" s="44">
        <f>TRUNC(SUM(I189:I190))</f>
        <v>984489</v>
      </c>
      <c r="J191" s="37"/>
      <c r="K191" s="44">
        <f>TRUNC(SUM(K189:K190))</f>
        <v>984489</v>
      </c>
      <c r="L191" s="37"/>
      <c r="M191" s="44">
        <f>TRUNC(SUM(M189:M190))</f>
        <v>984489</v>
      </c>
    </row>
    <row r="192" spans="2:13" ht="12.95" customHeight="1" x14ac:dyDescent="0.3">
      <c r="B192" s="34"/>
      <c r="C192" s="35"/>
      <c r="D192" s="35"/>
      <c r="E192" s="36"/>
      <c r="F192" s="37"/>
      <c r="G192" s="38"/>
      <c r="H192" s="37"/>
      <c r="I192" s="38"/>
      <c r="J192" s="37"/>
      <c r="K192" s="38"/>
      <c r="L192" s="37"/>
      <c r="M192" s="38"/>
    </row>
    <row r="193" spans="2:13" ht="12.95" customHeight="1" x14ac:dyDescent="0.3">
      <c r="B193" s="45" t="s">
        <v>12</v>
      </c>
      <c r="C193" s="35"/>
      <c r="D193" s="35"/>
      <c r="E193" s="46"/>
      <c r="F193" s="46"/>
      <c r="G193" s="47">
        <f>SUM(G187+G191)</f>
        <v>1004178</v>
      </c>
      <c r="H193" s="46"/>
      <c r="I193" s="47">
        <f>SUM(I187+I191)</f>
        <v>1004178</v>
      </c>
      <c r="J193" s="46"/>
      <c r="K193" s="47">
        <f>SUM(K187+K191)</f>
        <v>1004178</v>
      </c>
      <c r="L193" s="46"/>
      <c r="M193" s="47">
        <f>SUM(M187+M191)</f>
        <v>1004178</v>
      </c>
    </row>
    <row r="194" spans="2:13" ht="12.95" customHeight="1" x14ac:dyDescent="0.3">
      <c r="B194" s="48" t="s">
        <v>53</v>
      </c>
      <c r="C194" s="49"/>
      <c r="D194" s="50"/>
      <c r="E194" s="51"/>
      <c r="F194" s="52"/>
      <c r="G194" s="9">
        <f>TRUNC(G193/G184)</f>
        <v>55787</v>
      </c>
      <c r="H194" s="52"/>
      <c r="I194" s="9">
        <f>TRUNC(I193/I184)</f>
        <v>59069</v>
      </c>
      <c r="J194" s="52"/>
      <c r="K194" s="9">
        <f>TRUNC(K193/K184)</f>
        <v>45644</v>
      </c>
      <c r="L194" s="52"/>
      <c r="M194" s="9">
        <f>TRUNC(M193/M184)</f>
        <v>47818</v>
      </c>
    </row>
    <row r="195" spans="2:13" ht="12.95" customHeight="1" x14ac:dyDescent="0.3">
      <c r="B195" s="61" t="s">
        <v>3</v>
      </c>
      <c r="C195" s="64" t="s">
        <v>7</v>
      </c>
      <c r="D195" s="64" t="s">
        <v>8</v>
      </c>
      <c r="E195" s="64" t="s">
        <v>4</v>
      </c>
      <c r="F195" s="59" t="s">
        <v>69</v>
      </c>
      <c r="G195" s="60"/>
      <c r="H195" s="60"/>
      <c r="I195" s="60"/>
    </row>
    <row r="196" spans="2:13" ht="12.95" customHeight="1" x14ac:dyDescent="0.3">
      <c r="B196" s="62"/>
      <c r="C196" s="65"/>
      <c r="D196" s="65"/>
      <c r="E196" s="65"/>
      <c r="F196" s="59" t="s">
        <v>38</v>
      </c>
      <c r="G196" s="60"/>
      <c r="H196" s="59" t="s">
        <v>39</v>
      </c>
      <c r="I196" s="60"/>
    </row>
    <row r="197" spans="2:13" ht="12.95" customHeight="1" x14ac:dyDescent="0.3">
      <c r="B197" s="62"/>
      <c r="C197" s="65"/>
      <c r="D197" s="65"/>
      <c r="E197" s="65"/>
      <c r="F197" s="18" t="s">
        <v>58</v>
      </c>
      <c r="G197" s="19">
        <v>26</v>
      </c>
      <c r="H197" s="18" t="s">
        <v>58</v>
      </c>
      <c r="I197" s="19">
        <v>25</v>
      </c>
    </row>
    <row r="198" spans="2:13" ht="12.95" customHeight="1" x14ac:dyDescent="0.3">
      <c r="B198" s="63"/>
      <c r="C198" s="66"/>
      <c r="D198" s="66"/>
      <c r="E198" s="66"/>
      <c r="F198" s="20" t="s">
        <v>51</v>
      </c>
      <c r="G198" s="21" t="s">
        <v>52</v>
      </c>
      <c r="H198" s="20" t="s">
        <v>51</v>
      </c>
      <c r="I198" s="21" t="s">
        <v>52</v>
      </c>
    </row>
    <row r="199" spans="2:13" ht="12.95" customHeight="1" x14ac:dyDescent="0.3">
      <c r="B199" s="22" t="s">
        <v>14</v>
      </c>
      <c r="C199" s="23" t="s">
        <v>15</v>
      </c>
      <c r="D199" s="24" t="s">
        <v>13</v>
      </c>
      <c r="E199" s="28"/>
      <c r="F199" s="26">
        <v>1</v>
      </c>
      <c r="G199" s="4">
        <f>TRUNC(SUM(G202:G203)*0.02,1)</f>
        <v>19689.7</v>
      </c>
      <c r="H199" s="26">
        <v>1</v>
      </c>
      <c r="I199" s="4">
        <f>TRUNC(SUM(I202:I203)*0.02,1)</f>
        <v>19689.7</v>
      </c>
    </row>
    <row r="200" spans="2:13" ht="12.95" customHeight="1" x14ac:dyDescent="0.3">
      <c r="B200" s="29" t="s">
        <v>10</v>
      </c>
      <c r="C200" s="30"/>
      <c r="D200" s="31"/>
      <c r="E200" s="32"/>
      <c r="F200" s="33"/>
      <c r="G200" s="5">
        <f>TRUNC(SUM(G199:G199))</f>
        <v>19689</v>
      </c>
      <c r="H200" s="33"/>
      <c r="I200" s="5">
        <f>TRUNC(SUM(I199:I199))</f>
        <v>19689</v>
      </c>
    </row>
    <row r="201" spans="2:13" ht="12.95" customHeight="1" x14ac:dyDescent="0.3">
      <c r="B201" s="34"/>
      <c r="C201" s="35"/>
      <c r="D201" s="35"/>
      <c r="E201" s="36"/>
      <c r="F201" s="37"/>
      <c r="G201" s="38"/>
      <c r="H201" s="37"/>
      <c r="I201" s="38"/>
    </row>
    <row r="202" spans="2:13" ht="12.95" customHeight="1" x14ac:dyDescent="0.3">
      <c r="B202" s="39" t="s">
        <v>1</v>
      </c>
      <c r="C202" s="40"/>
      <c r="D202" s="41" t="s">
        <v>9</v>
      </c>
      <c r="E202" s="42">
        <v>270807</v>
      </c>
      <c r="F202" s="26">
        <v>3</v>
      </c>
      <c r="G202" s="2">
        <f t="shared" ref="G202:G203" si="50">TRUNC($E202*F202,1)</f>
        <v>812421</v>
      </c>
      <c r="H202" s="26">
        <v>3</v>
      </c>
      <c r="I202" s="2">
        <f t="shared" ref="I202:I203" si="51">TRUNC($E202*H202,1)</f>
        <v>812421</v>
      </c>
    </row>
    <row r="203" spans="2:13" ht="12.95" customHeight="1" x14ac:dyDescent="0.3">
      <c r="B203" s="39" t="s">
        <v>0</v>
      </c>
      <c r="C203" s="40"/>
      <c r="D203" s="41" t="s">
        <v>9</v>
      </c>
      <c r="E203" s="42">
        <v>172068</v>
      </c>
      <c r="F203" s="26">
        <v>1</v>
      </c>
      <c r="G203" s="2">
        <f t="shared" si="50"/>
        <v>172068</v>
      </c>
      <c r="H203" s="26">
        <v>1</v>
      </c>
      <c r="I203" s="2">
        <f t="shared" si="51"/>
        <v>172068</v>
      </c>
    </row>
    <row r="204" spans="2:13" ht="12.95" customHeight="1" x14ac:dyDescent="0.3">
      <c r="B204" s="43" t="s">
        <v>11</v>
      </c>
      <c r="C204" s="35"/>
      <c r="D204" s="35"/>
      <c r="E204" s="36"/>
      <c r="F204" s="37"/>
      <c r="G204" s="44">
        <f>TRUNC(SUM(G202:G203))</f>
        <v>984489</v>
      </c>
      <c r="H204" s="37"/>
      <c r="I204" s="44">
        <f>TRUNC(SUM(I202:I203))</f>
        <v>984489</v>
      </c>
    </row>
    <row r="205" spans="2:13" ht="12.95" customHeight="1" x14ac:dyDescent="0.3">
      <c r="B205" s="34"/>
      <c r="C205" s="35"/>
      <c r="D205" s="35"/>
      <c r="E205" s="36"/>
      <c r="F205" s="37"/>
      <c r="G205" s="38"/>
      <c r="H205" s="37"/>
      <c r="I205" s="38"/>
    </row>
    <row r="206" spans="2:13" ht="12.95" customHeight="1" x14ac:dyDescent="0.3">
      <c r="B206" s="45" t="s">
        <v>12</v>
      </c>
      <c r="C206" s="35"/>
      <c r="D206" s="35"/>
      <c r="E206" s="46"/>
      <c r="F206" s="46"/>
      <c r="G206" s="47">
        <f>SUM(G200+G204)</f>
        <v>1004178</v>
      </c>
      <c r="H206" s="46"/>
      <c r="I206" s="47">
        <f>SUM(I200+I204)</f>
        <v>1004178</v>
      </c>
    </row>
    <row r="207" spans="2:13" ht="12.95" customHeight="1" x14ac:dyDescent="0.3">
      <c r="B207" s="48" t="s">
        <v>53</v>
      </c>
      <c r="C207" s="49"/>
      <c r="D207" s="50"/>
      <c r="E207" s="51"/>
      <c r="F207" s="52"/>
      <c r="G207" s="9">
        <f>TRUNC(G206/G197)</f>
        <v>38622</v>
      </c>
      <c r="H207" s="52"/>
      <c r="I207" s="9">
        <f>TRUNC(I206/I197)</f>
        <v>40167</v>
      </c>
    </row>
    <row r="208" spans="2:13" ht="12.95" customHeight="1" x14ac:dyDescent="0.3">
      <c r="B208" s="61" t="s">
        <v>3</v>
      </c>
      <c r="C208" s="64" t="s">
        <v>7</v>
      </c>
      <c r="D208" s="64" t="s">
        <v>8</v>
      </c>
      <c r="E208" s="64" t="s">
        <v>4</v>
      </c>
      <c r="F208" s="59" t="s">
        <v>70</v>
      </c>
      <c r="G208" s="60"/>
      <c r="H208" s="60"/>
      <c r="I208" s="60"/>
      <c r="J208" s="59" t="s">
        <v>71</v>
      </c>
      <c r="K208" s="60"/>
      <c r="L208" s="60"/>
      <c r="M208" s="60"/>
    </row>
    <row r="209" spans="2:13" ht="12.95" customHeight="1" x14ac:dyDescent="0.3">
      <c r="B209" s="62"/>
      <c r="C209" s="65"/>
      <c r="D209" s="65"/>
      <c r="E209" s="65"/>
      <c r="F209" s="59" t="s">
        <v>38</v>
      </c>
      <c r="G209" s="60"/>
      <c r="H209" s="59" t="s">
        <v>39</v>
      </c>
      <c r="I209" s="60"/>
      <c r="J209" s="59" t="s">
        <v>38</v>
      </c>
      <c r="K209" s="60"/>
      <c r="L209" s="59" t="s">
        <v>39</v>
      </c>
      <c r="M209" s="60"/>
    </row>
    <row r="210" spans="2:13" ht="12.95" customHeight="1" x14ac:dyDescent="0.3">
      <c r="B210" s="62"/>
      <c r="C210" s="65"/>
      <c r="D210" s="65"/>
      <c r="E210" s="65"/>
      <c r="F210" s="18" t="s">
        <v>58</v>
      </c>
      <c r="G210" s="19">
        <v>17</v>
      </c>
      <c r="H210" s="18" t="s">
        <v>58</v>
      </c>
      <c r="I210" s="19">
        <v>16</v>
      </c>
      <c r="J210" s="18" t="s">
        <v>58</v>
      </c>
      <c r="K210" s="19">
        <v>20</v>
      </c>
      <c r="L210" s="18" t="s">
        <v>58</v>
      </c>
      <c r="M210" s="19">
        <v>19</v>
      </c>
    </row>
    <row r="211" spans="2:13" ht="12.95" customHeight="1" x14ac:dyDescent="0.3">
      <c r="B211" s="63"/>
      <c r="C211" s="66"/>
      <c r="D211" s="66"/>
      <c r="E211" s="66"/>
      <c r="F211" s="20" t="s">
        <v>51</v>
      </c>
      <c r="G211" s="21" t="s">
        <v>52</v>
      </c>
      <c r="H211" s="20" t="s">
        <v>51</v>
      </c>
      <c r="I211" s="21" t="s">
        <v>52</v>
      </c>
      <c r="J211" s="20" t="s">
        <v>51</v>
      </c>
      <c r="K211" s="21" t="s">
        <v>52</v>
      </c>
      <c r="L211" s="20" t="s">
        <v>51</v>
      </c>
      <c r="M211" s="21" t="s">
        <v>52</v>
      </c>
    </row>
    <row r="212" spans="2:13" ht="12.95" customHeight="1" x14ac:dyDescent="0.3">
      <c r="B212" s="22" t="s">
        <v>14</v>
      </c>
      <c r="C212" s="23" t="s">
        <v>15</v>
      </c>
      <c r="D212" s="24" t="s">
        <v>13</v>
      </c>
      <c r="E212" s="28"/>
      <c r="F212" s="26">
        <v>1</v>
      </c>
      <c r="G212" s="4">
        <f>TRUNC(SUM(G215:G216)*0.02,1)</f>
        <v>23131.1</v>
      </c>
      <c r="H212" s="26">
        <v>1</v>
      </c>
      <c r="I212" s="4">
        <f>TRUNC(SUM(I215:I216)*0.02,1)</f>
        <v>23131.1</v>
      </c>
      <c r="J212" s="26">
        <v>1</v>
      </c>
      <c r="K212" s="4">
        <f>TRUNC(SUM(K215:K216)*0.02,1)</f>
        <v>23131.1</v>
      </c>
      <c r="L212" s="26">
        <v>1</v>
      </c>
      <c r="M212" s="4">
        <f>TRUNC(SUM(M215:M216)*0.02,1)</f>
        <v>23131.1</v>
      </c>
    </row>
    <row r="213" spans="2:13" ht="12.95" customHeight="1" x14ac:dyDescent="0.3">
      <c r="B213" s="29" t="s">
        <v>10</v>
      </c>
      <c r="C213" s="30"/>
      <c r="D213" s="31"/>
      <c r="E213" s="32"/>
      <c r="F213" s="33"/>
      <c r="G213" s="5">
        <f>TRUNC(SUM(G212:G212))</f>
        <v>23131</v>
      </c>
      <c r="H213" s="33"/>
      <c r="I213" s="5">
        <f>TRUNC(SUM(I212:I212))</f>
        <v>23131</v>
      </c>
      <c r="J213" s="33"/>
      <c r="K213" s="5">
        <f>TRUNC(SUM(K212:K212))</f>
        <v>23131</v>
      </c>
      <c r="L213" s="33"/>
      <c r="M213" s="5">
        <f>TRUNC(SUM(M212:M212))</f>
        <v>23131</v>
      </c>
    </row>
    <row r="214" spans="2:13" ht="12.95" customHeight="1" x14ac:dyDescent="0.3">
      <c r="B214" s="34"/>
      <c r="C214" s="35"/>
      <c r="D214" s="35"/>
      <c r="E214" s="36"/>
      <c r="F214" s="37"/>
      <c r="G214" s="38"/>
      <c r="H214" s="37"/>
      <c r="I214" s="38"/>
      <c r="J214" s="37"/>
      <c r="K214" s="38"/>
      <c r="L214" s="37"/>
      <c r="M214" s="38"/>
    </row>
    <row r="215" spans="2:13" ht="12.95" customHeight="1" x14ac:dyDescent="0.3">
      <c r="B215" s="39" t="s">
        <v>1</v>
      </c>
      <c r="C215" s="40"/>
      <c r="D215" s="41" t="s">
        <v>9</v>
      </c>
      <c r="E215" s="42">
        <v>270807</v>
      </c>
      <c r="F215" s="26">
        <v>3</v>
      </c>
      <c r="G215" s="2">
        <f t="shared" ref="G215:G216" si="52">TRUNC($E215*F215,1)</f>
        <v>812421</v>
      </c>
      <c r="H215" s="26">
        <v>3</v>
      </c>
      <c r="I215" s="2">
        <f t="shared" ref="I215:I216" si="53">TRUNC($E215*H215,1)</f>
        <v>812421</v>
      </c>
      <c r="J215" s="26">
        <v>3</v>
      </c>
      <c r="K215" s="2">
        <f t="shared" ref="K215:K216" si="54">TRUNC($E215*J215,1)</f>
        <v>812421</v>
      </c>
      <c r="L215" s="26">
        <v>3</v>
      </c>
      <c r="M215" s="2">
        <f t="shared" ref="M215:M216" si="55">TRUNC($E215*L215,1)</f>
        <v>812421</v>
      </c>
    </row>
    <row r="216" spans="2:13" ht="12.95" customHeight="1" x14ac:dyDescent="0.3">
      <c r="B216" s="39" t="s">
        <v>0</v>
      </c>
      <c r="C216" s="40"/>
      <c r="D216" s="41" t="s">
        <v>9</v>
      </c>
      <c r="E216" s="42">
        <v>172068</v>
      </c>
      <c r="F216" s="26">
        <v>2</v>
      </c>
      <c r="G216" s="2">
        <f t="shared" si="52"/>
        <v>344136</v>
      </c>
      <c r="H216" s="26">
        <v>2</v>
      </c>
      <c r="I216" s="2">
        <f t="shared" si="53"/>
        <v>344136</v>
      </c>
      <c r="J216" s="26">
        <v>2</v>
      </c>
      <c r="K216" s="2">
        <f t="shared" si="54"/>
        <v>344136</v>
      </c>
      <c r="L216" s="26">
        <v>2</v>
      </c>
      <c r="M216" s="2">
        <f t="shared" si="55"/>
        <v>344136</v>
      </c>
    </row>
    <row r="217" spans="2:13" ht="12.95" customHeight="1" x14ac:dyDescent="0.3">
      <c r="B217" s="43" t="s">
        <v>11</v>
      </c>
      <c r="C217" s="35"/>
      <c r="D217" s="35"/>
      <c r="E217" s="36"/>
      <c r="F217" s="37"/>
      <c r="G217" s="44">
        <f>TRUNC(SUM(G215:G216))</f>
        <v>1156557</v>
      </c>
      <c r="H217" s="37"/>
      <c r="I217" s="44">
        <f>TRUNC(SUM(I215:I216))</f>
        <v>1156557</v>
      </c>
      <c r="J217" s="37"/>
      <c r="K217" s="44">
        <f>TRUNC(SUM(K215:K216))</f>
        <v>1156557</v>
      </c>
      <c r="L217" s="37"/>
      <c r="M217" s="44">
        <f>TRUNC(SUM(M215:M216))</f>
        <v>1156557</v>
      </c>
    </row>
    <row r="218" spans="2:13" ht="12.95" customHeight="1" x14ac:dyDescent="0.3">
      <c r="B218" s="34"/>
      <c r="C218" s="35"/>
      <c r="D218" s="35"/>
      <c r="E218" s="36"/>
      <c r="F218" s="37"/>
      <c r="G218" s="38"/>
      <c r="H218" s="37"/>
      <c r="I218" s="38"/>
      <c r="J218" s="37"/>
      <c r="K218" s="38"/>
      <c r="L218" s="37"/>
      <c r="M218" s="38"/>
    </row>
    <row r="219" spans="2:13" ht="12.95" customHeight="1" x14ac:dyDescent="0.3">
      <c r="B219" s="45" t="s">
        <v>12</v>
      </c>
      <c r="C219" s="35"/>
      <c r="D219" s="35"/>
      <c r="E219" s="46"/>
      <c r="F219" s="46"/>
      <c r="G219" s="47">
        <f>SUM(G213+G217)</f>
        <v>1179688</v>
      </c>
      <c r="H219" s="46"/>
      <c r="I219" s="47">
        <f>SUM(I213+I217)</f>
        <v>1179688</v>
      </c>
      <c r="J219" s="46"/>
      <c r="K219" s="47">
        <f>SUM(K213+K217)</f>
        <v>1179688</v>
      </c>
      <c r="L219" s="46"/>
      <c r="M219" s="47">
        <f>SUM(M213+M217)</f>
        <v>1179688</v>
      </c>
    </row>
    <row r="220" spans="2:13" ht="12.95" customHeight="1" x14ac:dyDescent="0.3">
      <c r="B220" s="48" t="s">
        <v>53</v>
      </c>
      <c r="C220" s="49"/>
      <c r="D220" s="50"/>
      <c r="E220" s="51"/>
      <c r="F220" s="52"/>
      <c r="G220" s="9">
        <f>TRUNC(G219/G210)</f>
        <v>69393</v>
      </c>
      <c r="H220" s="52"/>
      <c r="I220" s="9">
        <f>TRUNC(I219/I210)</f>
        <v>73730</v>
      </c>
      <c r="J220" s="52"/>
      <c r="K220" s="9">
        <f>TRUNC(K219/K210)</f>
        <v>58984</v>
      </c>
      <c r="L220" s="52"/>
      <c r="M220" s="9">
        <f>TRUNC(M219/M210)</f>
        <v>62088</v>
      </c>
    </row>
    <row r="221" spans="2:13" ht="12.95" customHeight="1" x14ac:dyDescent="0.3">
      <c r="B221" s="61" t="s">
        <v>3</v>
      </c>
      <c r="C221" s="64" t="s">
        <v>7</v>
      </c>
      <c r="D221" s="64" t="s">
        <v>8</v>
      </c>
      <c r="E221" s="64" t="s">
        <v>4</v>
      </c>
      <c r="F221" s="59" t="s">
        <v>72</v>
      </c>
      <c r="G221" s="60"/>
      <c r="H221" s="60"/>
      <c r="I221" s="60"/>
    </row>
    <row r="222" spans="2:13" ht="12.95" customHeight="1" x14ac:dyDescent="0.3">
      <c r="B222" s="62"/>
      <c r="C222" s="65"/>
      <c r="D222" s="65"/>
      <c r="E222" s="65"/>
      <c r="F222" s="59" t="s">
        <v>38</v>
      </c>
      <c r="G222" s="60"/>
      <c r="H222" s="59" t="s">
        <v>39</v>
      </c>
      <c r="I222" s="60"/>
    </row>
    <row r="223" spans="2:13" ht="12.95" customHeight="1" x14ac:dyDescent="0.3">
      <c r="B223" s="62"/>
      <c r="C223" s="65"/>
      <c r="D223" s="65"/>
      <c r="E223" s="65"/>
      <c r="F223" s="18" t="s">
        <v>58</v>
      </c>
      <c r="G223" s="19">
        <v>24</v>
      </c>
      <c r="H223" s="18" t="s">
        <v>58</v>
      </c>
      <c r="I223" s="19">
        <v>23</v>
      </c>
    </row>
    <row r="224" spans="2:13" ht="12.95" customHeight="1" x14ac:dyDescent="0.3">
      <c r="B224" s="63"/>
      <c r="C224" s="66"/>
      <c r="D224" s="66"/>
      <c r="E224" s="66"/>
      <c r="F224" s="20" t="s">
        <v>51</v>
      </c>
      <c r="G224" s="21" t="s">
        <v>52</v>
      </c>
      <c r="H224" s="20" t="s">
        <v>51</v>
      </c>
      <c r="I224" s="21" t="s">
        <v>52</v>
      </c>
    </row>
    <row r="225" spans="2:11" ht="12.95" customHeight="1" x14ac:dyDescent="0.3">
      <c r="B225" s="22" t="s">
        <v>14</v>
      </c>
      <c r="C225" s="23" t="s">
        <v>15</v>
      </c>
      <c r="D225" s="24" t="s">
        <v>13</v>
      </c>
      <c r="E225" s="28"/>
      <c r="F225" s="26">
        <v>1</v>
      </c>
      <c r="G225" s="4">
        <f>TRUNC(SUM(G228:G229)*0.02,1)</f>
        <v>23131.1</v>
      </c>
      <c r="H225" s="26">
        <v>1</v>
      </c>
      <c r="I225" s="4">
        <f>TRUNC(SUM(I228:I229)*0.02,1)</f>
        <v>23131.1</v>
      </c>
    </row>
    <row r="226" spans="2:11" ht="12.95" customHeight="1" x14ac:dyDescent="0.3">
      <c r="B226" s="29" t="s">
        <v>10</v>
      </c>
      <c r="C226" s="30"/>
      <c r="D226" s="31"/>
      <c r="E226" s="32"/>
      <c r="F226" s="33"/>
      <c r="G226" s="5">
        <f>TRUNC(SUM(G225:G225))</f>
        <v>23131</v>
      </c>
      <c r="H226" s="33"/>
      <c r="I226" s="5">
        <f>TRUNC(SUM(I225:I225))</f>
        <v>23131</v>
      </c>
    </row>
    <row r="227" spans="2:11" ht="12.95" customHeight="1" x14ac:dyDescent="0.3">
      <c r="B227" s="34"/>
      <c r="C227" s="35"/>
      <c r="D227" s="35"/>
      <c r="E227" s="36"/>
      <c r="F227" s="37"/>
      <c r="G227" s="38"/>
      <c r="H227" s="37"/>
      <c r="I227" s="38"/>
    </row>
    <row r="228" spans="2:11" ht="12.95" customHeight="1" x14ac:dyDescent="0.3">
      <c r="B228" s="39" t="s">
        <v>1</v>
      </c>
      <c r="C228" s="40"/>
      <c r="D228" s="41" t="s">
        <v>9</v>
      </c>
      <c r="E228" s="42">
        <v>270807</v>
      </c>
      <c r="F228" s="26">
        <v>3</v>
      </c>
      <c r="G228" s="2">
        <f t="shared" ref="G228:G229" si="56">TRUNC($E228*F228,1)</f>
        <v>812421</v>
      </c>
      <c r="H228" s="26">
        <v>3</v>
      </c>
      <c r="I228" s="2">
        <f t="shared" ref="I228:I229" si="57">TRUNC($E228*H228,1)</f>
        <v>812421</v>
      </c>
    </row>
    <row r="229" spans="2:11" ht="12.95" customHeight="1" x14ac:dyDescent="0.3">
      <c r="B229" s="39" t="s">
        <v>0</v>
      </c>
      <c r="C229" s="40"/>
      <c r="D229" s="41" t="s">
        <v>9</v>
      </c>
      <c r="E229" s="42">
        <v>172068</v>
      </c>
      <c r="F229" s="26">
        <v>2</v>
      </c>
      <c r="G229" s="2">
        <f t="shared" si="56"/>
        <v>344136</v>
      </c>
      <c r="H229" s="26">
        <v>2</v>
      </c>
      <c r="I229" s="2">
        <f t="shared" si="57"/>
        <v>344136</v>
      </c>
    </row>
    <row r="230" spans="2:11" ht="12.95" customHeight="1" x14ac:dyDescent="0.3">
      <c r="B230" s="43" t="s">
        <v>11</v>
      </c>
      <c r="C230" s="35"/>
      <c r="D230" s="35"/>
      <c r="E230" s="36"/>
      <c r="F230" s="37"/>
      <c r="G230" s="44">
        <f>TRUNC(SUM(G228:G229))</f>
        <v>1156557</v>
      </c>
      <c r="H230" s="37"/>
      <c r="I230" s="44">
        <f>TRUNC(SUM(I228:I229))</f>
        <v>1156557</v>
      </c>
    </row>
    <row r="231" spans="2:11" ht="12.95" customHeight="1" x14ac:dyDescent="0.3">
      <c r="B231" s="34"/>
      <c r="C231" s="35"/>
      <c r="D231" s="35"/>
      <c r="E231" s="36"/>
      <c r="F231" s="37"/>
      <c r="G231" s="38"/>
      <c r="H231" s="37"/>
      <c r="I231" s="38"/>
    </row>
    <row r="232" spans="2:11" ht="12.95" customHeight="1" x14ac:dyDescent="0.3">
      <c r="B232" s="45" t="s">
        <v>12</v>
      </c>
      <c r="C232" s="35"/>
      <c r="D232" s="35"/>
      <c r="E232" s="46"/>
      <c r="F232" s="46"/>
      <c r="G232" s="47">
        <f>SUM(G226+G230)</f>
        <v>1179688</v>
      </c>
      <c r="H232" s="46"/>
      <c r="I232" s="47">
        <f>SUM(I226+I230)</f>
        <v>1179688</v>
      </c>
    </row>
    <row r="233" spans="2:11" ht="12.95" customHeight="1" x14ac:dyDescent="0.3">
      <c r="B233" s="48" t="s">
        <v>53</v>
      </c>
      <c r="C233" s="49"/>
      <c r="D233" s="50"/>
      <c r="E233" s="51"/>
      <c r="F233" s="52"/>
      <c r="G233" s="9">
        <f>TRUNC(G232/G223)</f>
        <v>49153</v>
      </c>
      <c r="H233" s="52"/>
      <c r="I233" s="9">
        <f>TRUNC(I232/I223)</f>
        <v>51290</v>
      </c>
    </row>
    <row r="235" spans="2:11" ht="12.95" customHeight="1" x14ac:dyDescent="0.3">
      <c r="B235" s="14" t="s">
        <v>90</v>
      </c>
      <c r="C235" s="15"/>
      <c r="D235" s="16"/>
      <c r="E235" s="17"/>
      <c r="F235" s="16"/>
      <c r="G235" s="17"/>
      <c r="K235" s="17" t="s">
        <v>77</v>
      </c>
    </row>
    <row r="236" spans="2:11" ht="12.95" customHeight="1" x14ac:dyDescent="0.3">
      <c r="B236" s="61" t="s">
        <v>3</v>
      </c>
      <c r="C236" s="64" t="s">
        <v>7</v>
      </c>
      <c r="D236" s="64" t="s">
        <v>8</v>
      </c>
      <c r="E236" s="64" t="s">
        <v>4</v>
      </c>
      <c r="F236" s="59" t="s">
        <v>87</v>
      </c>
      <c r="G236" s="60"/>
      <c r="H236" s="60"/>
      <c r="I236" s="60"/>
      <c r="J236" s="60"/>
      <c r="K236" s="60"/>
    </row>
    <row r="237" spans="2:11" ht="12.95" customHeight="1" x14ac:dyDescent="0.3">
      <c r="B237" s="62"/>
      <c r="C237" s="65"/>
      <c r="D237" s="65"/>
      <c r="E237" s="65"/>
      <c r="F237" s="59" t="s">
        <v>84</v>
      </c>
      <c r="G237" s="71"/>
      <c r="H237" s="59" t="s">
        <v>83</v>
      </c>
      <c r="I237" s="60"/>
      <c r="J237" s="59" t="s">
        <v>82</v>
      </c>
      <c r="K237" s="60"/>
    </row>
    <row r="238" spans="2:11" ht="12.95" customHeight="1" x14ac:dyDescent="0.3">
      <c r="B238" s="63"/>
      <c r="C238" s="66"/>
      <c r="D238" s="66"/>
      <c r="E238" s="66"/>
      <c r="F238" s="20" t="s">
        <v>51</v>
      </c>
      <c r="G238" s="21" t="s">
        <v>52</v>
      </c>
      <c r="H238" s="20" t="s">
        <v>51</v>
      </c>
      <c r="I238" s="21" t="s">
        <v>52</v>
      </c>
      <c r="J238" s="20" t="s">
        <v>51</v>
      </c>
      <c r="K238" s="21" t="s">
        <v>52</v>
      </c>
    </row>
    <row r="239" spans="2:11" ht="12.95" customHeight="1" x14ac:dyDescent="0.3">
      <c r="B239" s="22" t="s">
        <v>85</v>
      </c>
      <c r="C239" s="23"/>
      <c r="D239" s="24" t="s">
        <v>86</v>
      </c>
      <c r="E239" s="25">
        <v>0</v>
      </c>
      <c r="F239" s="27">
        <v>2.7E-2</v>
      </c>
      <c r="G239" s="2">
        <f t="shared" ref="G239" si="58">TRUNC($E239*F239,1)</f>
        <v>0</v>
      </c>
      <c r="H239" s="27">
        <v>1.9E-2</v>
      </c>
      <c r="I239" s="2">
        <f t="shared" ref="I239" si="59">TRUNC($E239*H239,1)</f>
        <v>0</v>
      </c>
      <c r="J239" s="27">
        <v>1.2E-2</v>
      </c>
      <c r="K239" s="2">
        <f t="shared" ref="K239" si="60">TRUNC($E239*J239,1)</f>
        <v>0</v>
      </c>
    </row>
    <row r="240" spans="2:11" ht="12.95" customHeight="1" x14ac:dyDescent="0.3">
      <c r="B240" s="29" t="s">
        <v>10</v>
      </c>
      <c r="C240" s="30"/>
      <c r="D240" s="31"/>
      <c r="E240" s="32"/>
      <c r="F240" s="33"/>
      <c r="G240" s="5">
        <f>TRUNC(SUM(G239:G239))</f>
        <v>0</v>
      </c>
      <c r="H240" s="33"/>
      <c r="I240" s="5">
        <f>TRUNC(SUM(I239:I239))</f>
        <v>0</v>
      </c>
      <c r="J240" s="33"/>
      <c r="K240" s="5">
        <f>TRUNC(SUM(K239:K239))</f>
        <v>0</v>
      </c>
    </row>
    <row r="241" spans="2:13" ht="12.95" customHeight="1" x14ac:dyDescent="0.3">
      <c r="B241" s="34"/>
      <c r="C241" s="35"/>
      <c r="D241" s="35"/>
      <c r="E241" s="36"/>
      <c r="F241" s="37"/>
      <c r="G241" s="38"/>
      <c r="H241" s="37"/>
      <c r="I241" s="38"/>
      <c r="J241" s="37"/>
      <c r="K241" s="38"/>
    </row>
    <row r="242" spans="2:13" ht="12.95" customHeight="1" x14ac:dyDescent="0.3">
      <c r="B242" s="48" t="s">
        <v>12</v>
      </c>
      <c r="C242" s="56"/>
      <c r="D242" s="56"/>
      <c r="E242" s="57"/>
      <c r="F242" s="57"/>
      <c r="G242" s="58">
        <f>SUM(G240)</f>
        <v>0</v>
      </c>
      <c r="H242" s="57"/>
      <c r="I242" s="58">
        <f>SUM(I240)</f>
        <v>0</v>
      </c>
      <c r="J242" s="57"/>
      <c r="K242" s="58">
        <f>SUM(K240)</f>
        <v>0</v>
      </c>
    </row>
    <row r="243" spans="2:13" ht="12.95" customHeight="1" x14ac:dyDescent="0.3">
      <c r="B243" s="1" t="s">
        <v>89</v>
      </c>
    </row>
    <row r="245" spans="2:13" ht="12.95" customHeight="1" x14ac:dyDescent="0.3">
      <c r="B245" s="12" t="s">
        <v>41</v>
      </c>
    </row>
    <row r="246" spans="2:13" ht="12.95" customHeight="1" x14ac:dyDescent="0.3">
      <c r="B246" s="14" t="s">
        <v>42</v>
      </c>
      <c r="C246" s="15"/>
      <c r="D246" s="16"/>
      <c r="E246" s="17"/>
      <c r="F246" s="16"/>
      <c r="G246" s="17"/>
      <c r="M246" s="17" t="s">
        <v>54</v>
      </c>
    </row>
    <row r="247" spans="2:13" ht="12.95" customHeight="1" x14ac:dyDescent="0.3">
      <c r="B247" s="61" t="s">
        <v>3</v>
      </c>
      <c r="C247" s="64" t="s">
        <v>7</v>
      </c>
      <c r="D247" s="64" t="s">
        <v>8</v>
      </c>
      <c r="E247" s="64" t="s">
        <v>4</v>
      </c>
      <c r="F247" s="59" t="s">
        <v>59</v>
      </c>
      <c r="G247" s="60"/>
      <c r="H247" s="60"/>
      <c r="I247" s="60"/>
      <c r="J247" s="60"/>
      <c r="K247" s="60"/>
      <c r="L247" s="60"/>
      <c r="M247" s="60"/>
    </row>
    <row r="248" spans="2:13" ht="12.95" customHeight="1" x14ac:dyDescent="0.3">
      <c r="B248" s="62"/>
      <c r="C248" s="65"/>
      <c r="D248" s="65"/>
      <c r="E248" s="65"/>
      <c r="F248" s="59" t="s">
        <v>43</v>
      </c>
      <c r="G248" s="60"/>
      <c r="H248" s="59" t="s">
        <v>44</v>
      </c>
      <c r="I248" s="60"/>
      <c r="J248" s="59" t="s">
        <v>45</v>
      </c>
      <c r="K248" s="60"/>
      <c r="L248" s="59" t="s">
        <v>46</v>
      </c>
      <c r="M248" s="60"/>
    </row>
    <row r="249" spans="2:13" ht="12.95" customHeight="1" x14ac:dyDescent="0.3">
      <c r="B249" s="62"/>
      <c r="C249" s="65"/>
      <c r="D249" s="65"/>
      <c r="E249" s="65"/>
      <c r="F249" s="18" t="s">
        <v>58</v>
      </c>
      <c r="G249" s="19">
        <v>23</v>
      </c>
      <c r="H249" s="18" t="s">
        <v>58</v>
      </c>
      <c r="I249" s="19">
        <v>20</v>
      </c>
      <c r="J249" s="18" t="s">
        <v>58</v>
      </c>
      <c r="K249" s="19">
        <v>18</v>
      </c>
      <c r="L249" s="18" t="s">
        <v>58</v>
      </c>
      <c r="M249" s="19">
        <v>17</v>
      </c>
    </row>
    <row r="250" spans="2:13" ht="12.95" customHeight="1" x14ac:dyDescent="0.3">
      <c r="B250" s="63"/>
      <c r="C250" s="66"/>
      <c r="D250" s="66"/>
      <c r="E250" s="66"/>
      <c r="F250" s="20" t="s">
        <v>51</v>
      </c>
      <c r="G250" s="21" t="s">
        <v>52</v>
      </c>
      <c r="H250" s="20" t="s">
        <v>51</v>
      </c>
      <c r="I250" s="21" t="s">
        <v>52</v>
      </c>
      <c r="J250" s="20" t="s">
        <v>51</v>
      </c>
      <c r="K250" s="21" t="s">
        <v>52</v>
      </c>
      <c r="L250" s="20" t="s">
        <v>51</v>
      </c>
      <c r="M250" s="21" t="s">
        <v>52</v>
      </c>
    </row>
    <row r="251" spans="2:13" ht="12.95" customHeight="1" x14ac:dyDescent="0.3">
      <c r="B251" s="22" t="s">
        <v>14</v>
      </c>
      <c r="C251" s="23" t="s">
        <v>16</v>
      </c>
      <c r="D251" s="24" t="s">
        <v>13</v>
      </c>
      <c r="E251" s="28"/>
      <c r="F251" s="26">
        <v>1</v>
      </c>
      <c r="G251" s="4">
        <f>TRUNC(SUM(G254:G255)*0.03,1)</f>
        <v>29534.6</v>
      </c>
      <c r="H251" s="26">
        <v>1</v>
      </c>
      <c r="I251" s="4">
        <f>TRUNC(SUM(I254:I255)*0.03,1)</f>
        <v>29534.6</v>
      </c>
      <c r="J251" s="26">
        <v>1</v>
      </c>
      <c r="K251" s="4">
        <f>TRUNC(SUM(K254:K255)*0.03,1)</f>
        <v>29534.6</v>
      </c>
      <c r="L251" s="26">
        <v>1</v>
      </c>
      <c r="M251" s="4">
        <f>TRUNC(SUM(M254:M255)*0.03,1)</f>
        <v>29534.6</v>
      </c>
    </row>
    <row r="252" spans="2:13" ht="12.95" customHeight="1" x14ac:dyDescent="0.3">
      <c r="B252" s="29" t="s">
        <v>10</v>
      </c>
      <c r="C252" s="30"/>
      <c r="D252" s="31"/>
      <c r="E252" s="32"/>
      <c r="F252" s="33"/>
      <c r="G252" s="5">
        <f>TRUNC(SUM(G251:G251))</f>
        <v>29534</v>
      </c>
      <c r="H252" s="33"/>
      <c r="I252" s="5">
        <f>TRUNC(SUM(I251:I251))</f>
        <v>29534</v>
      </c>
      <c r="J252" s="33"/>
      <c r="K252" s="5">
        <f>TRUNC(SUM(K251:K251))</f>
        <v>29534</v>
      </c>
      <c r="L252" s="33"/>
      <c r="M252" s="5">
        <f>TRUNC(SUM(M251:M251))</f>
        <v>29534</v>
      </c>
    </row>
    <row r="253" spans="2:13" ht="12.95" customHeight="1" x14ac:dyDescent="0.3">
      <c r="B253" s="34"/>
      <c r="C253" s="35"/>
      <c r="D253" s="35"/>
      <c r="E253" s="36"/>
      <c r="F253" s="37"/>
      <c r="G253" s="38"/>
      <c r="H253" s="37"/>
      <c r="I253" s="38"/>
      <c r="J253" s="37"/>
      <c r="K253" s="38"/>
      <c r="L253" s="37"/>
      <c r="M253" s="38"/>
    </row>
    <row r="254" spans="2:13" ht="12.95" customHeight="1" x14ac:dyDescent="0.3">
      <c r="B254" s="39" t="s">
        <v>1</v>
      </c>
      <c r="C254" s="40"/>
      <c r="D254" s="41" t="s">
        <v>9</v>
      </c>
      <c r="E254" s="42">
        <v>270807</v>
      </c>
      <c r="F254" s="26">
        <v>3</v>
      </c>
      <c r="G254" s="2">
        <f t="shared" ref="G254:G255" si="61">TRUNC($E254*F254,1)</f>
        <v>812421</v>
      </c>
      <c r="H254" s="26">
        <v>3</v>
      </c>
      <c r="I254" s="2">
        <f t="shared" ref="I254:I255" si="62">TRUNC($E254*H254,1)</f>
        <v>812421</v>
      </c>
      <c r="J254" s="26">
        <v>3</v>
      </c>
      <c r="K254" s="2">
        <f t="shared" ref="K254:K255" si="63">TRUNC($E254*J254,1)</f>
        <v>812421</v>
      </c>
      <c r="L254" s="26">
        <v>3</v>
      </c>
      <c r="M254" s="2">
        <f t="shared" ref="M254:M255" si="64">TRUNC($E254*L254,1)</f>
        <v>812421</v>
      </c>
    </row>
    <row r="255" spans="2:13" ht="12.95" customHeight="1" x14ac:dyDescent="0.3">
      <c r="B255" s="39" t="s">
        <v>0</v>
      </c>
      <c r="C255" s="40"/>
      <c r="D255" s="41" t="s">
        <v>9</v>
      </c>
      <c r="E255" s="42">
        <v>172068</v>
      </c>
      <c r="F255" s="26">
        <v>1</v>
      </c>
      <c r="G255" s="2">
        <f t="shared" si="61"/>
        <v>172068</v>
      </c>
      <c r="H255" s="26">
        <v>1</v>
      </c>
      <c r="I255" s="2">
        <f t="shared" si="62"/>
        <v>172068</v>
      </c>
      <c r="J255" s="26">
        <v>1</v>
      </c>
      <c r="K255" s="2">
        <f t="shared" si="63"/>
        <v>172068</v>
      </c>
      <c r="L255" s="26">
        <v>1</v>
      </c>
      <c r="M255" s="2">
        <f t="shared" si="64"/>
        <v>172068</v>
      </c>
    </row>
    <row r="256" spans="2:13" ht="12.95" customHeight="1" x14ac:dyDescent="0.3">
      <c r="B256" s="43" t="s">
        <v>11</v>
      </c>
      <c r="C256" s="35"/>
      <c r="D256" s="35"/>
      <c r="E256" s="36"/>
      <c r="F256" s="37"/>
      <c r="G256" s="44">
        <f>TRUNC(SUM(G254:G255))</f>
        <v>984489</v>
      </c>
      <c r="H256" s="37"/>
      <c r="I256" s="44">
        <f>TRUNC(SUM(I254:I255))</f>
        <v>984489</v>
      </c>
      <c r="J256" s="37"/>
      <c r="K256" s="44">
        <f>TRUNC(SUM(K254:K255))</f>
        <v>984489</v>
      </c>
      <c r="L256" s="37"/>
      <c r="M256" s="44">
        <f>TRUNC(SUM(M254:M255))</f>
        <v>984489</v>
      </c>
    </row>
    <row r="257" spans="2:13" ht="12.95" customHeight="1" x14ac:dyDescent="0.3">
      <c r="B257" s="34"/>
      <c r="C257" s="35"/>
      <c r="D257" s="35"/>
      <c r="E257" s="36"/>
      <c r="F257" s="37"/>
      <c r="G257" s="38"/>
      <c r="H257" s="37"/>
      <c r="I257" s="38"/>
      <c r="J257" s="37"/>
      <c r="K257" s="38"/>
      <c r="L257" s="37"/>
      <c r="M257" s="38"/>
    </row>
    <row r="258" spans="2:13" ht="12.95" customHeight="1" x14ac:dyDescent="0.3">
      <c r="B258" s="45" t="s">
        <v>12</v>
      </c>
      <c r="C258" s="35"/>
      <c r="D258" s="35"/>
      <c r="E258" s="46"/>
      <c r="F258" s="46"/>
      <c r="G258" s="47">
        <f>SUM(G252+G256)</f>
        <v>1014023</v>
      </c>
      <c r="H258" s="46"/>
      <c r="I258" s="47">
        <f>SUM(I252+I256)</f>
        <v>1014023</v>
      </c>
      <c r="J258" s="46"/>
      <c r="K258" s="47">
        <f>SUM(K252+K256)</f>
        <v>1014023</v>
      </c>
      <c r="L258" s="46"/>
      <c r="M258" s="47">
        <f>SUM(M252+M256)</f>
        <v>1014023</v>
      </c>
    </row>
    <row r="259" spans="2:13" ht="12.95" customHeight="1" x14ac:dyDescent="0.3">
      <c r="B259" s="48" t="s">
        <v>53</v>
      </c>
      <c r="C259" s="49"/>
      <c r="D259" s="50"/>
      <c r="E259" s="51"/>
      <c r="F259" s="52"/>
      <c r="G259" s="9">
        <f>TRUNC(G258/G249)</f>
        <v>44087</v>
      </c>
      <c r="H259" s="52"/>
      <c r="I259" s="9">
        <f>TRUNC(I258/I249)</f>
        <v>50701</v>
      </c>
      <c r="J259" s="52"/>
      <c r="K259" s="9">
        <f>TRUNC(K258/K249)</f>
        <v>56334</v>
      </c>
      <c r="L259" s="52"/>
      <c r="M259" s="9">
        <f>TRUNC(M258/M249)</f>
        <v>59648</v>
      </c>
    </row>
    <row r="260" spans="2:13" ht="12.95" customHeight="1" x14ac:dyDescent="0.3">
      <c r="B260" s="61" t="s">
        <v>3</v>
      </c>
      <c r="C260" s="64" t="s">
        <v>7</v>
      </c>
      <c r="D260" s="64" t="s">
        <v>8</v>
      </c>
      <c r="E260" s="64" t="s">
        <v>4</v>
      </c>
      <c r="F260" s="59" t="s">
        <v>60</v>
      </c>
      <c r="G260" s="60"/>
      <c r="H260" s="60"/>
      <c r="I260" s="60"/>
      <c r="J260" s="60"/>
      <c r="K260" s="60"/>
      <c r="L260" s="60"/>
      <c r="M260" s="60"/>
    </row>
    <row r="261" spans="2:13" ht="12.95" customHeight="1" x14ac:dyDescent="0.3">
      <c r="B261" s="62"/>
      <c r="C261" s="65"/>
      <c r="D261" s="65"/>
      <c r="E261" s="65"/>
      <c r="F261" s="59" t="s">
        <v>43</v>
      </c>
      <c r="G261" s="60"/>
      <c r="H261" s="59" t="s">
        <v>44</v>
      </c>
      <c r="I261" s="60"/>
      <c r="J261" s="59" t="s">
        <v>45</v>
      </c>
      <c r="K261" s="60"/>
      <c r="L261" s="59" t="s">
        <v>46</v>
      </c>
      <c r="M261" s="60"/>
    </row>
    <row r="262" spans="2:13" ht="12.95" customHeight="1" x14ac:dyDescent="0.3">
      <c r="B262" s="62"/>
      <c r="C262" s="65"/>
      <c r="D262" s="65"/>
      <c r="E262" s="65"/>
      <c r="F262" s="18" t="s">
        <v>58</v>
      </c>
      <c r="G262" s="19">
        <v>22</v>
      </c>
      <c r="H262" s="18" t="s">
        <v>58</v>
      </c>
      <c r="I262" s="19">
        <v>19</v>
      </c>
      <c r="J262" s="18" t="s">
        <v>58</v>
      </c>
      <c r="K262" s="19">
        <v>17</v>
      </c>
      <c r="L262" s="18" t="s">
        <v>58</v>
      </c>
      <c r="M262" s="19">
        <v>16</v>
      </c>
    </row>
    <row r="263" spans="2:13" ht="12.95" customHeight="1" x14ac:dyDescent="0.3">
      <c r="B263" s="63"/>
      <c r="C263" s="66"/>
      <c r="D263" s="66"/>
      <c r="E263" s="66"/>
      <c r="F263" s="20" t="s">
        <v>51</v>
      </c>
      <c r="G263" s="21" t="s">
        <v>52</v>
      </c>
      <c r="H263" s="20" t="s">
        <v>51</v>
      </c>
      <c r="I263" s="21" t="s">
        <v>52</v>
      </c>
      <c r="J263" s="20" t="s">
        <v>51</v>
      </c>
      <c r="K263" s="21" t="s">
        <v>52</v>
      </c>
      <c r="L263" s="20" t="s">
        <v>51</v>
      </c>
      <c r="M263" s="21" t="s">
        <v>52</v>
      </c>
    </row>
    <row r="264" spans="2:13" ht="12.95" customHeight="1" x14ac:dyDescent="0.3">
      <c r="B264" s="22" t="s">
        <v>14</v>
      </c>
      <c r="C264" s="23" t="s">
        <v>16</v>
      </c>
      <c r="D264" s="24" t="s">
        <v>13</v>
      </c>
      <c r="E264" s="28"/>
      <c r="F264" s="26">
        <v>1</v>
      </c>
      <c r="G264" s="4">
        <f>TRUNC(SUM(G267:G268)*0.03,1)</f>
        <v>34696.699999999997</v>
      </c>
      <c r="H264" s="26">
        <v>1</v>
      </c>
      <c r="I264" s="4">
        <f>TRUNC(SUM(I267:I268)*0.03,1)</f>
        <v>34696.699999999997</v>
      </c>
      <c r="J264" s="26">
        <v>1</v>
      </c>
      <c r="K264" s="4">
        <f>TRUNC(SUM(K267:K268)*0.03,1)</f>
        <v>34696.699999999997</v>
      </c>
      <c r="L264" s="26">
        <v>1</v>
      </c>
      <c r="M264" s="4">
        <f>TRUNC(SUM(M267:M268)*0.03,1)</f>
        <v>34696.699999999997</v>
      </c>
    </row>
    <row r="265" spans="2:13" ht="12.95" customHeight="1" x14ac:dyDescent="0.3">
      <c r="B265" s="29" t="s">
        <v>10</v>
      </c>
      <c r="C265" s="30"/>
      <c r="D265" s="31"/>
      <c r="E265" s="32"/>
      <c r="F265" s="33"/>
      <c r="G265" s="5">
        <f>TRUNC(SUM(G264:G264))</f>
        <v>34696</v>
      </c>
      <c r="H265" s="33"/>
      <c r="I265" s="5">
        <f>TRUNC(SUM(I264:I264))</f>
        <v>34696</v>
      </c>
      <c r="J265" s="33"/>
      <c r="K265" s="5">
        <f>TRUNC(SUM(K264:K264))</f>
        <v>34696</v>
      </c>
      <c r="L265" s="33"/>
      <c r="M265" s="5">
        <f>TRUNC(SUM(M264:M264))</f>
        <v>34696</v>
      </c>
    </row>
    <row r="266" spans="2:13" ht="12.95" customHeight="1" x14ac:dyDescent="0.3">
      <c r="B266" s="34"/>
      <c r="C266" s="35"/>
      <c r="D266" s="35"/>
      <c r="E266" s="36"/>
      <c r="F266" s="37"/>
      <c r="G266" s="38"/>
      <c r="H266" s="37"/>
      <c r="I266" s="38"/>
      <c r="J266" s="37"/>
      <c r="K266" s="38"/>
      <c r="L266" s="37"/>
      <c r="M266" s="38"/>
    </row>
    <row r="267" spans="2:13" ht="12.95" customHeight="1" x14ac:dyDescent="0.3">
      <c r="B267" s="39" t="s">
        <v>1</v>
      </c>
      <c r="C267" s="40"/>
      <c r="D267" s="41" t="s">
        <v>9</v>
      </c>
      <c r="E267" s="42">
        <v>270807</v>
      </c>
      <c r="F267" s="26">
        <v>3</v>
      </c>
      <c r="G267" s="2">
        <f t="shared" ref="G267:G268" si="65">TRUNC($E267*F267,1)</f>
        <v>812421</v>
      </c>
      <c r="H267" s="26">
        <v>3</v>
      </c>
      <c r="I267" s="2">
        <f t="shared" ref="I267:I268" si="66">TRUNC($E267*H267,1)</f>
        <v>812421</v>
      </c>
      <c r="J267" s="26">
        <v>3</v>
      </c>
      <c r="K267" s="2">
        <f t="shared" ref="K267:K268" si="67">TRUNC($E267*J267,1)</f>
        <v>812421</v>
      </c>
      <c r="L267" s="26">
        <v>3</v>
      </c>
      <c r="M267" s="2">
        <f t="shared" ref="M267:M268" si="68">TRUNC($E267*L267,1)</f>
        <v>812421</v>
      </c>
    </row>
    <row r="268" spans="2:13" ht="12.95" customHeight="1" x14ac:dyDescent="0.3">
      <c r="B268" s="39" t="s">
        <v>0</v>
      </c>
      <c r="C268" s="40"/>
      <c r="D268" s="41" t="s">
        <v>9</v>
      </c>
      <c r="E268" s="42">
        <v>172068</v>
      </c>
      <c r="F268" s="26">
        <v>2</v>
      </c>
      <c r="G268" s="2">
        <f t="shared" si="65"/>
        <v>344136</v>
      </c>
      <c r="H268" s="26">
        <v>2</v>
      </c>
      <c r="I268" s="2">
        <f t="shared" si="66"/>
        <v>344136</v>
      </c>
      <c r="J268" s="26">
        <v>2</v>
      </c>
      <c r="K268" s="2">
        <f t="shared" si="67"/>
        <v>344136</v>
      </c>
      <c r="L268" s="26">
        <v>2</v>
      </c>
      <c r="M268" s="2">
        <f t="shared" si="68"/>
        <v>344136</v>
      </c>
    </row>
    <row r="269" spans="2:13" ht="12.95" customHeight="1" x14ac:dyDescent="0.3">
      <c r="B269" s="43" t="s">
        <v>11</v>
      </c>
      <c r="C269" s="35"/>
      <c r="D269" s="35"/>
      <c r="E269" s="36"/>
      <c r="F269" s="37"/>
      <c r="G269" s="44">
        <f>TRUNC(SUM(G267:G268))</f>
        <v>1156557</v>
      </c>
      <c r="H269" s="37"/>
      <c r="I269" s="44">
        <f>TRUNC(SUM(I267:I268))</f>
        <v>1156557</v>
      </c>
      <c r="J269" s="37"/>
      <c r="K269" s="44">
        <f>TRUNC(SUM(K267:K268))</f>
        <v>1156557</v>
      </c>
      <c r="L269" s="37"/>
      <c r="M269" s="44">
        <f>TRUNC(SUM(M267:M268))</f>
        <v>1156557</v>
      </c>
    </row>
    <row r="270" spans="2:13" ht="12.95" customHeight="1" x14ac:dyDescent="0.3">
      <c r="B270" s="34"/>
      <c r="C270" s="35"/>
      <c r="D270" s="35"/>
      <c r="E270" s="36"/>
      <c r="F270" s="37"/>
      <c r="G270" s="38"/>
      <c r="H270" s="37"/>
      <c r="I270" s="38"/>
      <c r="J270" s="37"/>
      <c r="K270" s="38"/>
      <c r="L270" s="37"/>
      <c r="M270" s="38"/>
    </row>
    <row r="271" spans="2:13" ht="12.95" customHeight="1" x14ac:dyDescent="0.3">
      <c r="B271" s="45" t="s">
        <v>12</v>
      </c>
      <c r="C271" s="35"/>
      <c r="D271" s="35"/>
      <c r="E271" s="46"/>
      <c r="F271" s="46"/>
      <c r="G271" s="47">
        <f>SUM(G265+G269)</f>
        <v>1191253</v>
      </c>
      <c r="H271" s="46"/>
      <c r="I271" s="47">
        <f>SUM(I265+I269)</f>
        <v>1191253</v>
      </c>
      <c r="J271" s="46"/>
      <c r="K271" s="47">
        <f>SUM(K265+K269)</f>
        <v>1191253</v>
      </c>
      <c r="L271" s="46"/>
      <c r="M271" s="47">
        <f>SUM(M265+M269)</f>
        <v>1191253</v>
      </c>
    </row>
    <row r="272" spans="2:13" ht="12.95" customHeight="1" x14ac:dyDescent="0.3">
      <c r="B272" s="48" t="s">
        <v>53</v>
      </c>
      <c r="C272" s="49"/>
      <c r="D272" s="50"/>
      <c r="E272" s="51"/>
      <c r="F272" s="52"/>
      <c r="G272" s="9">
        <f>TRUNC(G271/G262)</f>
        <v>54147</v>
      </c>
      <c r="H272" s="52"/>
      <c r="I272" s="9">
        <f>TRUNC(I271/I262)</f>
        <v>62697</v>
      </c>
      <c r="J272" s="52"/>
      <c r="K272" s="9">
        <f>TRUNC(K271/K262)</f>
        <v>70073</v>
      </c>
      <c r="L272" s="52"/>
      <c r="M272" s="9">
        <f>TRUNC(M271/M262)</f>
        <v>74453</v>
      </c>
    </row>
    <row r="274" spans="2:13" ht="12.95" customHeight="1" x14ac:dyDescent="0.3">
      <c r="B274" s="14" t="s">
        <v>91</v>
      </c>
      <c r="C274" s="15"/>
      <c r="D274" s="16"/>
      <c r="E274" s="17"/>
      <c r="F274" s="16"/>
      <c r="G274" s="17"/>
      <c r="M274" s="17" t="s">
        <v>77</v>
      </c>
    </row>
    <row r="275" spans="2:13" ht="12.95" customHeight="1" x14ac:dyDescent="0.3">
      <c r="B275" s="61" t="s">
        <v>3</v>
      </c>
      <c r="C275" s="64" t="s">
        <v>7</v>
      </c>
      <c r="D275" s="64" t="s">
        <v>8</v>
      </c>
      <c r="E275" s="64" t="s">
        <v>4</v>
      </c>
      <c r="F275" s="59" t="s">
        <v>92</v>
      </c>
      <c r="G275" s="60"/>
      <c r="H275" s="60"/>
      <c r="I275" s="60"/>
      <c r="J275" s="60"/>
      <c r="K275" s="60"/>
      <c r="L275" s="60"/>
      <c r="M275" s="60"/>
    </row>
    <row r="276" spans="2:13" ht="12.95" customHeight="1" x14ac:dyDescent="0.3">
      <c r="B276" s="62"/>
      <c r="C276" s="65"/>
      <c r="D276" s="65"/>
      <c r="E276" s="65"/>
      <c r="F276" s="59" t="s">
        <v>43</v>
      </c>
      <c r="G276" s="71"/>
      <c r="H276" s="59" t="s">
        <v>44</v>
      </c>
      <c r="I276" s="60"/>
      <c r="J276" s="59" t="s">
        <v>45</v>
      </c>
      <c r="K276" s="60"/>
      <c r="L276" s="59" t="s">
        <v>46</v>
      </c>
      <c r="M276" s="60"/>
    </row>
    <row r="277" spans="2:13" ht="12.95" customHeight="1" x14ac:dyDescent="0.3">
      <c r="B277" s="63"/>
      <c r="C277" s="66"/>
      <c r="D277" s="66"/>
      <c r="E277" s="66"/>
      <c r="F277" s="20" t="s">
        <v>51</v>
      </c>
      <c r="G277" s="21" t="s">
        <v>52</v>
      </c>
      <c r="H277" s="20" t="s">
        <v>51</v>
      </c>
      <c r="I277" s="21" t="s">
        <v>52</v>
      </c>
      <c r="J277" s="20" t="s">
        <v>51</v>
      </c>
      <c r="K277" s="21" t="s">
        <v>52</v>
      </c>
      <c r="L277" s="20" t="s">
        <v>51</v>
      </c>
      <c r="M277" s="21" t="s">
        <v>52</v>
      </c>
    </row>
    <row r="278" spans="2:13" ht="12.95" customHeight="1" x14ac:dyDescent="0.3">
      <c r="B278" s="22" t="s">
        <v>85</v>
      </c>
      <c r="C278" s="23"/>
      <c r="D278" s="24" t="s">
        <v>17</v>
      </c>
      <c r="E278" s="25">
        <v>0</v>
      </c>
      <c r="F278" s="55">
        <v>6</v>
      </c>
      <c r="G278" s="2">
        <f t="shared" ref="G278" si="69">TRUNC($E278*F278,1)</f>
        <v>0</v>
      </c>
      <c r="H278" s="55">
        <v>7</v>
      </c>
      <c r="I278" s="2">
        <f t="shared" ref="I278" si="70">TRUNC($E278*H278,1)</f>
        <v>0</v>
      </c>
      <c r="J278" s="55">
        <v>9.5</v>
      </c>
      <c r="K278" s="2">
        <f t="shared" ref="K278" si="71">TRUNC($E278*J278,1)</f>
        <v>0</v>
      </c>
      <c r="L278" s="55">
        <v>12</v>
      </c>
      <c r="M278" s="2">
        <f t="shared" ref="M278" si="72">TRUNC($E278*L278,1)</f>
        <v>0</v>
      </c>
    </row>
    <row r="279" spans="2:13" ht="12.95" customHeight="1" x14ac:dyDescent="0.3">
      <c r="B279" s="29" t="s">
        <v>10</v>
      </c>
      <c r="C279" s="30"/>
      <c r="D279" s="31"/>
      <c r="E279" s="32"/>
      <c r="F279" s="33"/>
      <c r="G279" s="5">
        <f>TRUNC(SUM(G278:G278))</f>
        <v>0</v>
      </c>
      <c r="H279" s="33"/>
      <c r="I279" s="5">
        <f>TRUNC(SUM(I278:I278))</f>
        <v>0</v>
      </c>
      <c r="J279" s="33"/>
      <c r="K279" s="5">
        <f>TRUNC(SUM(K278:K278))</f>
        <v>0</v>
      </c>
      <c r="L279" s="33"/>
      <c r="M279" s="5">
        <f>TRUNC(SUM(M278:M278))</f>
        <v>0</v>
      </c>
    </row>
    <row r="280" spans="2:13" ht="12.95" customHeight="1" x14ac:dyDescent="0.3">
      <c r="B280" s="34"/>
      <c r="C280" s="35"/>
      <c r="D280" s="35"/>
      <c r="E280" s="36"/>
      <c r="F280" s="37"/>
      <c r="G280" s="38"/>
      <c r="H280" s="37"/>
      <c r="I280" s="38"/>
      <c r="J280" s="37"/>
      <c r="K280" s="38"/>
      <c r="L280" s="37"/>
      <c r="M280" s="38"/>
    </row>
    <row r="281" spans="2:13" ht="12.95" customHeight="1" x14ac:dyDescent="0.3">
      <c r="B281" s="48" t="s">
        <v>12</v>
      </c>
      <c r="C281" s="56"/>
      <c r="D281" s="56"/>
      <c r="E281" s="57"/>
      <c r="F281" s="57"/>
      <c r="G281" s="58">
        <f>SUM(G279)</f>
        <v>0</v>
      </c>
      <c r="H281" s="57"/>
      <c r="I281" s="58">
        <f>SUM(I279)</f>
        <v>0</v>
      </c>
      <c r="J281" s="57"/>
      <c r="K281" s="58">
        <f>SUM(K279)</f>
        <v>0</v>
      </c>
      <c r="L281" s="57"/>
      <c r="M281" s="58">
        <f>SUM(M279)</f>
        <v>0</v>
      </c>
    </row>
    <row r="282" spans="2:13" ht="12.95" customHeight="1" x14ac:dyDescent="0.3">
      <c r="B282" s="1" t="s">
        <v>93</v>
      </c>
    </row>
    <row r="284" spans="2:13" ht="12.95" customHeight="1" x14ac:dyDescent="0.3">
      <c r="B284" s="14" t="s">
        <v>47</v>
      </c>
      <c r="C284" s="15"/>
      <c r="D284" s="16"/>
      <c r="E284" s="17"/>
      <c r="K284" s="17" t="s">
        <v>54</v>
      </c>
    </row>
    <row r="285" spans="2:13" ht="12.95" customHeight="1" x14ac:dyDescent="0.3">
      <c r="B285" s="61" t="s">
        <v>3</v>
      </c>
      <c r="C285" s="64" t="s">
        <v>7</v>
      </c>
      <c r="D285" s="64" t="s">
        <v>8</v>
      </c>
      <c r="E285" s="64" t="s">
        <v>4</v>
      </c>
      <c r="F285" s="59" t="s">
        <v>48</v>
      </c>
      <c r="G285" s="60"/>
      <c r="H285" s="59" t="s">
        <v>49</v>
      </c>
      <c r="I285" s="60"/>
      <c r="J285" s="59" t="s">
        <v>50</v>
      </c>
      <c r="K285" s="60"/>
    </row>
    <row r="286" spans="2:13" ht="12.95" customHeight="1" x14ac:dyDescent="0.3">
      <c r="B286" s="62"/>
      <c r="C286" s="65"/>
      <c r="D286" s="65"/>
      <c r="E286" s="65"/>
      <c r="F286" s="18" t="s">
        <v>58</v>
      </c>
      <c r="G286" s="19">
        <v>22</v>
      </c>
      <c r="H286" s="18" t="s">
        <v>58</v>
      </c>
      <c r="I286" s="19">
        <v>19</v>
      </c>
      <c r="J286" s="18" t="s">
        <v>58</v>
      </c>
      <c r="K286" s="19">
        <v>16</v>
      </c>
    </row>
    <row r="287" spans="2:13" ht="12.95" customHeight="1" x14ac:dyDescent="0.3">
      <c r="B287" s="63"/>
      <c r="C287" s="66"/>
      <c r="D287" s="66"/>
      <c r="E287" s="66"/>
      <c r="F287" s="20" t="s">
        <v>51</v>
      </c>
      <c r="G287" s="21" t="s">
        <v>52</v>
      </c>
      <c r="H287" s="20" t="s">
        <v>51</v>
      </c>
      <c r="I287" s="21" t="s">
        <v>52</v>
      </c>
      <c r="J287" s="20" t="s">
        <v>51</v>
      </c>
      <c r="K287" s="21" t="s">
        <v>52</v>
      </c>
    </row>
    <row r="288" spans="2:13" ht="12.95" customHeight="1" x14ac:dyDescent="0.3">
      <c r="B288" s="22" t="s">
        <v>14</v>
      </c>
      <c r="C288" s="23" t="s">
        <v>16</v>
      </c>
      <c r="D288" s="24" t="s">
        <v>13</v>
      </c>
      <c r="E288" s="28"/>
      <c r="F288" s="26">
        <v>1</v>
      </c>
      <c r="G288" s="4">
        <f>TRUNC(SUM(G291:G292)*0.03,1)</f>
        <v>29534.6</v>
      </c>
      <c r="H288" s="26">
        <v>1</v>
      </c>
      <c r="I288" s="4">
        <f>TRUNC(SUM(I291:I292)*0.03,1)</f>
        <v>29534.6</v>
      </c>
      <c r="J288" s="26">
        <v>1</v>
      </c>
      <c r="K288" s="4">
        <f>TRUNC(SUM(K291:K292)*0.03,1)</f>
        <v>29534.6</v>
      </c>
    </row>
    <row r="289" spans="2:15" ht="12.95" customHeight="1" x14ac:dyDescent="0.3">
      <c r="B289" s="29" t="s">
        <v>10</v>
      </c>
      <c r="C289" s="30"/>
      <c r="D289" s="31"/>
      <c r="E289" s="32"/>
      <c r="F289" s="33"/>
      <c r="G289" s="5">
        <f>TRUNC(SUM(G288:G288))</f>
        <v>29534</v>
      </c>
      <c r="H289" s="33"/>
      <c r="I289" s="5">
        <f>TRUNC(SUM(I288:I288))</f>
        <v>29534</v>
      </c>
      <c r="J289" s="33"/>
      <c r="K289" s="5">
        <f>TRUNC(SUM(K288:K288))</f>
        <v>29534</v>
      </c>
    </row>
    <row r="290" spans="2:15" ht="12.95" customHeight="1" x14ac:dyDescent="0.3">
      <c r="B290" s="34"/>
      <c r="C290" s="35"/>
      <c r="D290" s="35"/>
      <c r="E290" s="36"/>
      <c r="F290" s="37"/>
      <c r="G290" s="38"/>
      <c r="H290" s="37"/>
      <c r="I290" s="38"/>
      <c r="J290" s="37"/>
      <c r="K290" s="38"/>
    </row>
    <row r="291" spans="2:15" ht="12.95" customHeight="1" x14ac:dyDescent="0.3">
      <c r="B291" s="39" t="s">
        <v>1</v>
      </c>
      <c r="C291" s="40"/>
      <c r="D291" s="41" t="s">
        <v>9</v>
      </c>
      <c r="E291" s="42">
        <v>270807</v>
      </c>
      <c r="F291" s="26">
        <v>3</v>
      </c>
      <c r="G291" s="2">
        <f t="shared" ref="G291:G292" si="73">TRUNC($E291*F291,1)</f>
        <v>812421</v>
      </c>
      <c r="H291" s="26">
        <v>3</v>
      </c>
      <c r="I291" s="2">
        <f t="shared" ref="I291:I292" si="74">TRUNC($E291*H291,1)</f>
        <v>812421</v>
      </c>
      <c r="J291" s="26">
        <v>3</v>
      </c>
      <c r="K291" s="2">
        <f t="shared" ref="K291:K292" si="75">TRUNC($E291*J291,1)</f>
        <v>812421</v>
      </c>
      <c r="O291" s="3"/>
    </row>
    <row r="292" spans="2:15" ht="12.95" customHeight="1" x14ac:dyDescent="0.3">
      <c r="B292" s="39" t="s">
        <v>0</v>
      </c>
      <c r="C292" s="40"/>
      <c r="D292" s="41" t="s">
        <v>9</v>
      </c>
      <c r="E292" s="42">
        <v>172068</v>
      </c>
      <c r="F292" s="26">
        <v>1</v>
      </c>
      <c r="G292" s="2">
        <f t="shared" si="73"/>
        <v>172068</v>
      </c>
      <c r="H292" s="26">
        <v>1</v>
      </c>
      <c r="I292" s="2">
        <f t="shared" si="74"/>
        <v>172068</v>
      </c>
      <c r="J292" s="26">
        <v>1</v>
      </c>
      <c r="K292" s="2">
        <f t="shared" si="75"/>
        <v>172068</v>
      </c>
      <c r="N292" s="3"/>
      <c r="O292" s="3"/>
    </row>
    <row r="293" spans="2:15" ht="12.95" customHeight="1" x14ac:dyDescent="0.3">
      <c r="B293" s="43" t="s">
        <v>11</v>
      </c>
      <c r="C293" s="35"/>
      <c r="D293" s="35"/>
      <c r="E293" s="36"/>
      <c r="F293" s="37"/>
      <c r="G293" s="44">
        <f>TRUNC(SUM(G291:G292))</f>
        <v>984489</v>
      </c>
      <c r="H293" s="37"/>
      <c r="I293" s="44">
        <f>TRUNC(SUM(I291:I292))</f>
        <v>984489</v>
      </c>
      <c r="J293" s="37"/>
      <c r="K293" s="44">
        <f>TRUNC(SUM(K291:K292))</f>
        <v>984489</v>
      </c>
      <c r="N293" s="3"/>
      <c r="O293" s="3"/>
    </row>
    <row r="294" spans="2:15" ht="12.95" customHeight="1" x14ac:dyDescent="0.3">
      <c r="B294" s="34"/>
      <c r="C294" s="35"/>
      <c r="D294" s="35"/>
      <c r="E294" s="36"/>
      <c r="F294" s="37"/>
      <c r="G294" s="38"/>
      <c r="H294" s="37"/>
      <c r="I294" s="38"/>
      <c r="J294" s="37"/>
      <c r="K294" s="38"/>
      <c r="N294" s="3"/>
      <c r="O294" s="3"/>
    </row>
    <row r="295" spans="2:15" ht="12.95" customHeight="1" x14ac:dyDescent="0.3">
      <c r="B295" s="45" t="s">
        <v>12</v>
      </c>
      <c r="C295" s="35"/>
      <c r="D295" s="35"/>
      <c r="E295" s="46"/>
      <c r="F295" s="46"/>
      <c r="G295" s="47">
        <f>SUM(G289+G293)</f>
        <v>1014023</v>
      </c>
      <c r="H295" s="46"/>
      <c r="I295" s="47">
        <f>SUM(I289+I293)</f>
        <v>1014023</v>
      </c>
      <c r="J295" s="46"/>
      <c r="K295" s="47">
        <f>SUM(K289+K293)</f>
        <v>1014023</v>
      </c>
      <c r="N295" s="3"/>
      <c r="O295" s="3"/>
    </row>
    <row r="296" spans="2:15" ht="12.95" customHeight="1" x14ac:dyDescent="0.3">
      <c r="B296" s="48" t="s">
        <v>53</v>
      </c>
      <c r="C296" s="49"/>
      <c r="D296" s="50"/>
      <c r="E296" s="51"/>
      <c r="F296" s="52"/>
      <c r="G296" s="9">
        <f>TRUNC(G295/G286)</f>
        <v>46091</v>
      </c>
      <c r="H296" s="52"/>
      <c r="I296" s="9">
        <f>TRUNC(I295/I286)</f>
        <v>53369</v>
      </c>
      <c r="J296" s="52"/>
      <c r="K296" s="9">
        <f>TRUNC(K295/K286)</f>
        <v>63376</v>
      </c>
      <c r="N296" s="3"/>
      <c r="O296" s="3"/>
    </row>
    <row r="297" spans="2:15" ht="12.95" customHeight="1" x14ac:dyDescent="0.3">
      <c r="B297" s="61" t="s">
        <v>3</v>
      </c>
      <c r="C297" s="64" t="s">
        <v>7</v>
      </c>
      <c r="D297" s="64" t="s">
        <v>8</v>
      </c>
      <c r="E297" s="64" t="s">
        <v>4</v>
      </c>
      <c r="F297" s="59" t="s">
        <v>73</v>
      </c>
      <c r="G297" s="60"/>
      <c r="H297" s="59" t="s">
        <v>74</v>
      </c>
      <c r="I297" s="60"/>
      <c r="J297" s="59" t="s">
        <v>75</v>
      </c>
      <c r="K297" s="60"/>
      <c r="N297" s="3"/>
      <c r="O297" s="3"/>
    </row>
    <row r="298" spans="2:15" ht="12.95" customHeight="1" x14ac:dyDescent="0.3">
      <c r="B298" s="62"/>
      <c r="C298" s="65"/>
      <c r="D298" s="65"/>
      <c r="E298" s="65"/>
      <c r="F298" s="18" t="s">
        <v>58</v>
      </c>
      <c r="G298" s="19">
        <v>14</v>
      </c>
      <c r="H298" s="18" t="s">
        <v>58</v>
      </c>
      <c r="I298" s="19">
        <v>13</v>
      </c>
      <c r="J298" s="18" t="s">
        <v>58</v>
      </c>
      <c r="K298" s="19">
        <v>11</v>
      </c>
      <c r="N298" s="3"/>
      <c r="O298" s="3"/>
    </row>
    <row r="299" spans="2:15" ht="12.95" customHeight="1" x14ac:dyDescent="0.3">
      <c r="B299" s="63"/>
      <c r="C299" s="66"/>
      <c r="D299" s="66"/>
      <c r="E299" s="66"/>
      <c r="F299" s="20" t="s">
        <v>51</v>
      </c>
      <c r="G299" s="21" t="s">
        <v>52</v>
      </c>
      <c r="H299" s="20" t="s">
        <v>51</v>
      </c>
      <c r="I299" s="21" t="s">
        <v>52</v>
      </c>
      <c r="J299" s="20" t="s">
        <v>51</v>
      </c>
      <c r="K299" s="21" t="s">
        <v>52</v>
      </c>
      <c r="N299" s="3"/>
      <c r="O299" s="3"/>
    </row>
    <row r="300" spans="2:15" ht="12.95" customHeight="1" x14ac:dyDescent="0.3">
      <c r="B300" s="22" t="s">
        <v>14</v>
      </c>
      <c r="C300" s="23" t="s">
        <v>16</v>
      </c>
      <c r="D300" s="24" t="s">
        <v>13</v>
      </c>
      <c r="E300" s="28"/>
      <c r="F300" s="26">
        <v>1</v>
      </c>
      <c r="G300" s="4">
        <f>TRUNC(SUM(G303:G304)*0.03,1)</f>
        <v>29534.6</v>
      </c>
      <c r="H300" s="26">
        <v>1</v>
      </c>
      <c r="I300" s="4">
        <f>TRUNC(SUM(I303:I304)*0.03,1)</f>
        <v>29534.6</v>
      </c>
      <c r="J300" s="26">
        <v>1</v>
      </c>
      <c r="K300" s="4">
        <f>TRUNC(SUM(K303:K304)*0.03,1)</f>
        <v>29534.6</v>
      </c>
      <c r="N300" s="3"/>
      <c r="O300" s="3"/>
    </row>
    <row r="301" spans="2:15" ht="12.95" customHeight="1" x14ac:dyDescent="0.3">
      <c r="B301" s="29" t="s">
        <v>10</v>
      </c>
      <c r="C301" s="30"/>
      <c r="D301" s="31"/>
      <c r="E301" s="32"/>
      <c r="F301" s="33"/>
      <c r="G301" s="5">
        <f>TRUNC(SUM(G300:G300))</f>
        <v>29534</v>
      </c>
      <c r="H301" s="33"/>
      <c r="I301" s="5">
        <f>TRUNC(SUM(I300:I300))</f>
        <v>29534</v>
      </c>
      <c r="J301" s="33"/>
      <c r="K301" s="5">
        <f>TRUNC(SUM(K300:K300))</f>
        <v>29534</v>
      </c>
      <c r="N301" s="3"/>
      <c r="O301" s="3"/>
    </row>
    <row r="302" spans="2:15" ht="12.95" customHeight="1" x14ac:dyDescent="0.3">
      <c r="B302" s="34"/>
      <c r="C302" s="35"/>
      <c r="D302" s="35"/>
      <c r="E302" s="36"/>
      <c r="F302" s="37"/>
      <c r="G302" s="38"/>
      <c r="H302" s="37"/>
      <c r="I302" s="38"/>
      <c r="J302" s="37"/>
      <c r="K302" s="38"/>
      <c r="N302" s="3"/>
      <c r="O302" s="3"/>
    </row>
    <row r="303" spans="2:15" ht="12.95" customHeight="1" x14ac:dyDescent="0.3">
      <c r="B303" s="39" t="s">
        <v>1</v>
      </c>
      <c r="C303" s="40"/>
      <c r="D303" s="41" t="s">
        <v>9</v>
      </c>
      <c r="E303" s="42">
        <v>270807</v>
      </c>
      <c r="F303" s="26">
        <v>3</v>
      </c>
      <c r="G303" s="2">
        <f t="shared" ref="G303:G304" si="76">TRUNC($E303*F303,1)</f>
        <v>812421</v>
      </c>
      <c r="H303" s="26">
        <v>3</v>
      </c>
      <c r="I303" s="2">
        <f t="shared" ref="I303:I304" si="77">TRUNC($E303*H303,1)</f>
        <v>812421</v>
      </c>
      <c r="J303" s="26">
        <v>3</v>
      </c>
      <c r="K303" s="2">
        <f t="shared" ref="K303:K304" si="78">TRUNC($E303*J303,1)</f>
        <v>812421</v>
      </c>
      <c r="N303" s="3"/>
      <c r="O303" s="3"/>
    </row>
    <row r="304" spans="2:15" ht="12.95" customHeight="1" x14ac:dyDescent="0.3">
      <c r="B304" s="39" t="s">
        <v>0</v>
      </c>
      <c r="C304" s="40"/>
      <c r="D304" s="41" t="s">
        <v>9</v>
      </c>
      <c r="E304" s="42">
        <v>172068</v>
      </c>
      <c r="F304" s="26">
        <v>1</v>
      </c>
      <c r="G304" s="2">
        <f t="shared" si="76"/>
        <v>172068</v>
      </c>
      <c r="H304" s="26">
        <v>1</v>
      </c>
      <c r="I304" s="2">
        <f t="shared" si="77"/>
        <v>172068</v>
      </c>
      <c r="J304" s="26">
        <v>1</v>
      </c>
      <c r="K304" s="2">
        <f t="shared" si="78"/>
        <v>172068</v>
      </c>
      <c r="N304" s="3"/>
      <c r="O304" s="3"/>
    </row>
    <row r="305" spans="2:15" ht="12.95" customHeight="1" x14ac:dyDescent="0.3">
      <c r="B305" s="43" t="s">
        <v>11</v>
      </c>
      <c r="C305" s="35"/>
      <c r="D305" s="35"/>
      <c r="E305" s="36"/>
      <c r="F305" s="37"/>
      <c r="G305" s="44">
        <f>TRUNC(SUM(G303:G304))</f>
        <v>984489</v>
      </c>
      <c r="H305" s="37"/>
      <c r="I305" s="44">
        <f>TRUNC(SUM(I303:I304))</f>
        <v>984489</v>
      </c>
      <c r="J305" s="37"/>
      <c r="K305" s="44">
        <f>TRUNC(SUM(K303:K304))</f>
        <v>984489</v>
      </c>
      <c r="N305" s="3"/>
      <c r="O305" s="3"/>
    </row>
    <row r="306" spans="2:15" ht="12.95" customHeight="1" x14ac:dyDescent="0.3">
      <c r="B306" s="34"/>
      <c r="C306" s="35"/>
      <c r="D306" s="35"/>
      <c r="E306" s="36"/>
      <c r="F306" s="37"/>
      <c r="G306" s="38"/>
      <c r="H306" s="37"/>
      <c r="I306" s="38"/>
      <c r="J306" s="37"/>
      <c r="K306" s="38"/>
      <c r="N306" s="3"/>
      <c r="O306" s="3"/>
    </row>
    <row r="307" spans="2:15" ht="12.95" customHeight="1" x14ac:dyDescent="0.3">
      <c r="B307" s="45" t="s">
        <v>12</v>
      </c>
      <c r="C307" s="35"/>
      <c r="D307" s="35"/>
      <c r="E307" s="46"/>
      <c r="F307" s="46"/>
      <c r="G307" s="47">
        <f>SUM(G301+G305)</f>
        <v>1014023</v>
      </c>
      <c r="H307" s="46"/>
      <c r="I307" s="47">
        <f>SUM(I301+I305)</f>
        <v>1014023</v>
      </c>
      <c r="J307" s="46"/>
      <c r="K307" s="47">
        <f>SUM(K301+K305)</f>
        <v>1014023</v>
      </c>
      <c r="N307" s="3"/>
      <c r="O307" s="3"/>
    </row>
    <row r="308" spans="2:15" ht="12.95" customHeight="1" x14ac:dyDescent="0.3">
      <c r="B308" s="48" t="s">
        <v>53</v>
      </c>
      <c r="C308" s="49"/>
      <c r="D308" s="50"/>
      <c r="E308" s="51"/>
      <c r="F308" s="52"/>
      <c r="G308" s="9">
        <f>TRUNC(G307/G298)</f>
        <v>72430</v>
      </c>
      <c r="H308" s="52"/>
      <c r="I308" s="9">
        <f>TRUNC(I307/I298)</f>
        <v>78001</v>
      </c>
      <c r="J308" s="52"/>
      <c r="K308" s="9">
        <f>TRUNC(K307/K298)</f>
        <v>92183</v>
      </c>
      <c r="N308" s="3"/>
    </row>
  </sheetData>
  <mergeCells count="193">
    <mergeCell ref="B275:B277"/>
    <mergeCell ref="C275:C277"/>
    <mergeCell ref="D275:D277"/>
    <mergeCell ref="E275:E277"/>
    <mergeCell ref="F276:G276"/>
    <mergeCell ref="H276:I276"/>
    <mergeCell ref="L276:M276"/>
    <mergeCell ref="J276:K276"/>
    <mergeCell ref="F275:M275"/>
    <mergeCell ref="B172:B174"/>
    <mergeCell ref="C172:C174"/>
    <mergeCell ref="D172:D174"/>
    <mergeCell ref="E172:E174"/>
    <mergeCell ref="F172:K172"/>
    <mergeCell ref="F173:G173"/>
    <mergeCell ref="H173:I173"/>
    <mergeCell ref="J173:K173"/>
    <mergeCell ref="B236:B238"/>
    <mergeCell ref="C236:C238"/>
    <mergeCell ref="D236:D238"/>
    <mergeCell ref="E236:E238"/>
    <mergeCell ref="F236:K236"/>
    <mergeCell ref="F237:G237"/>
    <mergeCell ref="H237:I237"/>
    <mergeCell ref="J237:K237"/>
    <mergeCell ref="B182:B185"/>
    <mergeCell ref="C182:C185"/>
    <mergeCell ref="D182:D185"/>
    <mergeCell ref="E182:E185"/>
    <mergeCell ref="F182:I182"/>
    <mergeCell ref="J182:M182"/>
    <mergeCell ref="F183:G183"/>
    <mergeCell ref="H183:I183"/>
    <mergeCell ref="D32:D34"/>
    <mergeCell ref="C32:C34"/>
    <mergeCell ref="B32:B34"/>
    <mergeCell ref="B57:B60"/>
    <mergeCell ref="C57:C60"/>
    <mergeCell ref="D57:D60"/>
    <mergeCell ref="E57:E60"/>
    <mergeCell ref="F57:K57"/>
    <mergeCell ref="F58:G58"/>
    <mergeCell ref="H58:I58"/>
    <mergeCell ref="J58:K58"/>
    <mergeCell ref="F73:K73"/>
    <mergeCell ref="F74:G74"/>
    <mergeCell ref="H74:I74"/>
    <mergeCell ref="J74:K74"/>
    <mergeCell ref="F32:K32"/>
    <mergeCell ref="F33:G33"/>
    <mergeCell ref="H33:I33"/>
    <mergeCell ref="J33:K33"/>
    <mergeCell ref="E32:E34"/>
    <mergeCell ref="B17:B20"/>
    <mergeCell ref="C17:C20"/>
    <mergeCell ref="D17:D20"/>
    <mergeCell ref="E17:E20"/>
    <mergeCell ref="F17:K17"/>
    <mergeCell ref="F18:G18"/>
    <mergeCell ref="H18:I18"/>
    <mergeCell ref="J18:K18"/>
    <mergeCell ref="B4:B7"/>
    <mergeCell ref="C4:C7"/>
    <mergeCell ref="D4:D7"/>
    <mergeCell ref="E4:E7"/>
    <mergeCell ref="F4:K4"/>
    <mergeCell ref="F5:G5"/>
    <mergeCell ref="H5:I5"/>
    <mergeCell ref="J5:K5"/>
    <mergeCell ref="B43:B46"/>
    <mergeCell ref="C43:C46"/>
    <mergeCell ref="D43:D46"/>
    <mergeCell ref="E43:E46"/>
    <mergeCell ref="F43:K43"/>
    <mergeCell ref="F44:G44"/>
    <mergeCell ref="H44:I44"/>
    <mergeCell ref="J44:K44"/>
    <mergeCell ref="B97:B98"/>
    <mergeCell ref="C97:C98"/>
    <mergeCell ref="D97:D98"/>
    <mergeCell ref="E97:E98"/>
    <mergeCell ref="F97:G97"/>
    <mergeCell ref="H97:I97"/>
    <mergeCell ref="B85:B86"/>
    <mergeCell ref="C85:C86"/>
    <mergeCell ref="D85:D86"/>
    <mergeCell ref="E85:E86"/>
    <mergeCell ref="F85:G85"/>
    <mergeCell ref="H85:I85"/>
    <mergeCell ref="B73:B75"/>
    <mergeCell ref="C73:C75"/>
    <mergeCell ref="D73:D75"/>
    <mergeCell ref="E73:E75"/>
    <mergeCell ref="J109:K109"/>
    <mergeCell ref="L109:M109"/>
    <mergeCell ref="B118:B121"/>
    <mergeCell ref="C118:C121"/>
    <mergeCell ref="D118:D121"/>
    <mergeCell ref="E118:E121"/>
    <mergeCell ref="F118:I118"/>
    <mergeCell ref="J118:M118"/>
    <mergeCell ref="F119:G119"/>
    <mergeCell ref="H119:I119"/>
    <mergeCell ref="B109:B110"/>
    <mergeCell ref="C109:C110"/>
    <mergeCell ref="D109:D110"/>
    <mergeCell ref="E109:E110"/>
    <mergeCell ref="F109:G109"/>
    <mergeCell ref="H109:I109"/>
    <mergeCell ref="J144:M144"/>
    <mergeCell ref="F145:G145"/>
    <mergeCell ref="H145:I145"/>
    <mergeCell ref="J145:K145"/>
    <mergeCell ref="L145:M145"/>
    <mergeCell ref="J119:K119"/>
    <mergeCell ref="L119:M119"/>
    <mergeCell ref="B131:B134"/>
    <mergeCell ref="C131:C134"/>
    <mergeCell ref="D131:D134"/>
    <mergeCell ref="E131:E134"/>
    <mergeCell ref="F131:I131"/>
    <mergeCell ref="F132:G132"/>
    <mergeCell ref="H132:I132"/>
    <mergeCell ref="B157:B160"/>
    <mergeCell ref="C157:C160"/>
    <mergeCell ref="D157:D160"/>
    <mergeCell ref="E157:E160"/>
    <mergeCell ref="F157:I157"/>
    <mergeCell ref="F158:G158"/>
    <mergeCell ref="H158:I158"/>
    <mergeCell ref="B144:B147"/>
    <mergeCell ref="C144:C147"/>
    <mergeCell ref="D144:D147"/>
    <mergeCell ref="E144:E147"/>
    <mergeCell ref="F144:I144"/>
    <mergeCell ref="J183:K183"/>
    <mergeCell ref="L183:M183"/>
    <mergeCell ref="J208:M208"/>
    <mergeCell ref="F209:G209"/>
    <mergeCell ref="H209:I209"/>
    <mergeCell ref="J209:K209"/>
    <mergeCell ref="L209:M209"/>
    <mergeCell ref="B195:B198"/>
    <mergeCell ref="C195:C198"/>
    <mergeCell ref="D195:D198"/>
    <mergeCell ref="E195:E198"/>
    <mergeCell ref="F195:I195"/>
    <mergeCell ref="F196:G196"/>
    <mergeCell ref="H196:I196"/>
    <mergeCell ref="B221:B224"/>
    <mergeCell ref="C221:C224"/>
    <mergeCell ref="D221:D224"/>
    <mergeCell ref="E221:E224"/>
    <mergeCell ref="F221:I221"/>
    <mergeCell ref="F222:G222"/>
    <mergeCell ref="H222:I222"/>
    <mergeCell ref="B208:B211"/>
    <mergeCell ref="C208:C211"/>
    <mergeCell ref="D208:D211"/>
    <mergeCell ref="E208:E211"/>
    <mergeCell ref="F208:I208"/>
    <mergeCell ref="B247:B250"/>
    <mergeCell ref="C247:C250"/>
    <mergeCell ref="D247:D250"/>
    <mergeCell ref="E247:E250"/>
    <mergeCell ref="F247:M247"/>
    <mergeCell ref="F248:G248"/>
    <mergeCell ref="H248:I248"/>
    <mergeCell ref="J248:K248"/>
    <mergeCell ref="L248:M248"/>
    <mergeCell ref="B260:B263"/>
    <mergeCell ref="C260:C263"/>
    <mergeCell ref="D260:D263"/>
    <mergeCell ref="E260:E263"/>
    <mergeCell ref="F260:M260"/>
    <mergeCell ref="F261:G261"/>
    <mergeCell ref="H261:I261"/>
    <mergeCell ref="J261:K261"/>
    <mergeCell ref="L261:M261"/>
    <mergeCell ref="J285:K285"/>
    <mergeCell ref="B297:B299"/>
    <mergeCell ref="C297:C299"/>
    <mergeCell ref="D297:D299"/>
    <mergeCell ref="E297:E299"/>
    <mergeCell ref="F297:G297"/>
    <mergeCell ref="H297:I297"/>
    <mergeCell ref="J297:K297"/>
    <mergeCell ref="B285:B287"/>
    <mergeCell ref="C285:C287"/>
    <mergeCell ref="D285:D287"/>
    <mergeCell ref="E285:E287"/>
    <mergeCell ref="F285:G285"/>
    <mergeCell ref="H285:I285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조적공사(상반기)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2026-01-01T08:03:30Z</dcterms:modified>
</cp:coreProperties>
</file>