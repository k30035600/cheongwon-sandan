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3.건축부문(2026년)\"/>
    </mc:Choice>
  </mc:AlternateContent>
  <xr:revisionPtr revIDLastSave="0" documentId="13_ncr:1_{7EC5D040-595D-45C3-8876-DE749732AB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타일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6" l="1"/>
  <c r="I132" i="6"/>
  <c r="G119" i="6"/>
  <c r="G118" i="6"/>
  <c r="K105" i="6"/>
  <c r="K106" i="6" s="1"/>
  <c r="K108" i="6" s="1"/>
  <c r="I105" i="6"/>
  <c r="I106" i="6" s="1"/>
  <c r="I108" i="6" s="1"/>
  <c r="G105" i="6"/>
  <c r="G106" i="6" s="1"/>
  <c r="G108" i="6" s="1"/>
  <c r="K98" i="6"/>
  <c r="K99" i="6" s="1"/>
  <c r="K101" i="6" s="1"/>
  <c r="I98" i="6"/>
  <c r="I99" i="6" s="1"/>
  <c r="I101" i="6" s="1"/>
  <c r="G98" i="6"/>
  <c r="G99" i="6" s="1"/>
  <c r="G101" i="6" s="1"/>
  <c r="G88" i="6"/>
  <c r="G87" i="6"/>
  <c r="K75" i="6"/>
  <c r="I75" i="6"/>
  <c r="I74" i="6"/>
  <c r="M61" i="6"/>
  <c r="M62" i="6" s="1"/>
  <c r="M64" i="6" s="1"/>
  <c r="K61" i="6"/>
  <c r="K62" i="6" s="1"/>
  <c r="K64" i="6" s="1"/>
  <c r="I61" i="6"/>
  <c r="I62" i="6" s="1"/>
  <c r="I64" i="6" s="1"/>
  <c r="G61" i="6"/>
  <c r="G62" i="6" s="1"/>
  <c r="G64" i="6" s="1"/>
  <c r="K51" i="6"/>
  <c r="K50" i="6"/>
  <c r="I36" i="6"/>
  <c r="I37" i="6" s="1"/>
  <c r="I39" i="6" s="1"/>
  <c r="G36" i="6"/>
  <c r="G37" i="6" s="1"/>
  <c r="G39" i="6" s="1"/>
  <c r="G28" i="6"/>
  <c r="G29" i="6" s="1"/>
  <c r="G31" i="6" s="1"/>
  <c r="K21" i="6"/>
  <c r="K22" i="6" s="1"/>
  <c r="K24" i="6" s="1"/>
  <c r="G11" i="6"/>
  <c r="G10" i="6"/>
  <c r="K88" i="6" l="1"/>
  <c r="I119" i="6"/>
  <c r="I87" i="6"/>
  <c r="K87" i="6"/>
  <c r="K84" i="6" s="1"/>
  <c r="K85" i="6" s="1"/>
  <c r="I11" i="6"/>
  <c r="I118" i="6"/>
  <c r="I115" i="6" s="1"/>
  <c r="I116" i="6" s="1"/>
  <c r="K74" i="6"/>
  <c r="K71" i="6" s="1"/>
  <c r="K72" i="6" s="1"/>
  <c r="K28" i="6"/>
  <c r="K29" i="6" s="1"/>
  <c r="K31" i="6" s="1"/>
  <c r="I71" i="6"/>
  <c r="I72" i="6" s="1"/>
  <c r="I76" i="6"/>
  <c r="G120" i="6"/>
  <c r="K118" i="6"/>
  <c r="K119" i="6"/>
  <c r="I28" i="6"/>
  <c r="I29" i="6" s="1"/>
  <c r="I31" i="6" s="1"/>
  <c r="G74" i="6"/>
  <c r="G75" i="6"/>
  <c r="G133" i="6"/>
  <c r="I88" i="6"/>
  <c r="I89" i="6" s="1"/>
  <c r="K52" i="6"/>
  <c r="K47" i="6"/>
  <c r="K48" i="6" s="1"/>
  <c r="K54" i="6" s="1"/>
  <c r="K55" i="6" s="1"/>
  <c r="G89" i="6"/>
  <c r="G84" i="6"/>
  <c r="G85" i="6" s="1"/>
  <c r="G12" i="6"/>
  <c r="G7" i="6"/>
  <c r="G8" i="6" s="1"/>
  <c r="G14" i="6" s="1"/>
  <c r="G15" i="6" s="1"/>
  <c r="I134" i="6"/>
  <c r="I129" i="6"/>
  <c r="I130" i="6" s="1"/>
  <c r="G21" i="6"/>
  <c r="G22" i="6" s="1"/>
  <c r="G24" i="6" s="1"/>
  <c r="G51" i="6"/>
  <c r="G71" i="6"/>
  <c r="G72" i="6" s="1"/>
  <c r="G115" i="6"/>
  <c r="G116" i="6" s="1"/>
  <c r="G132" i="6"/>
  <c r="I10" i="6"/>
  <c r="I50" i="6"/>
  <c r="I51" i="6"/>
  <c r="G50" i="6"/>
  <c r="I21" i="6"/>
  <c r="I22" i="6" s="1"/>
  <c r="I24" i="6" s="1"/>
  <c r="I120" i="6" l="1"/>
  <c r="I122" i="6" s="1"/>
  <c r="I123" i="6" s="1"/>
  <c r="K76" i="6"/>
  <c r="K78" i="6" s="1"/>
  <c r="K79" i="6" s="1"/>
  <c r="G122" i="6"/>
  <c r="G123" i="6" s="1"/>
  <c r="I84" i="6"/>
  <c r="I85" i="6" s="1"/>
  <c r="I78" i="6"/>
  <c r="I79" i="6" s="1"/>
  <c r="K89" i="6"/>
  <c r="K91" i="6" s="1"/>
  <c r="K92" i="6" s="1"/>
  <c r="G76" i="6"/>
  <c r="K115" i="6"/>
  <c r="K116" i="6" s="1"/>
  <c r="K120" i="6"/>
  <c r="G78" i="6"/>
  <c r="G79" i="6" s="1"/>
  <c r="I91" i="6"/>
  <c r="I92" i="6" s="1"/>
  <c r="I136" i="6"/>
  <c r="I137" i="6" s="1"/>
  <c r="G91" i="6"/>
  <c r="G92" i="6" s="1"/>
  <c r="I47" i="6"/>
  <c r="I48" i="6" s="1"/>
  <c r="I52" i="6"/>
  <c r="I12" i="6"/>
  <c r="I7" i="6"/>
  <c r="I8" i="6" s="1"/>
  <c r="G47" i="6"/>
  <c r="G48" i="6" s="1"/>
  <c r="G52" i="6"/>
  <c r="G129" i="6"/>
  <c r="G130" i="6" s="1"/>
  <c r="G134" i="6"/>
  <c r="K122" i="6" l="1"/>
  <c r="K123" i="6" s="1"/>
  <c r="G54" i="6"/>
  <c r="G55" i="6" s="1"/>
  <c r="I14" i="6"/>
  <c r="I15" i="6" s="1"/>
  <c r="G136" i="6"/>
  <c r="G137" i="6" s="1"/>
  <c r="I54" i="6"/>
  <c r="I55" i="6" s="1"/>
</calcChain>
</file>

<file path=xl/sharedStrings.xml><?xml version="1.0" encoding="utf-8"?>
<sst xmlns="http://schemas.openxmlformats.org/spreadsheetml/2006/main" count="290" uniqueCount="61">
  <si>
    <t>타일공</t>
  </si>
  <si>
    <t>미장공</t>
  </si>
  <si>
    <t>보통인부</t>
  </si>
  <si>
    <t>줄눈공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</si>
  <si>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</si>
  <si>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</si>
  <si>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</si>
  <si>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</si>
  <si>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</si>
  <si>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</si>
  <si>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</si>
  <si>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</si>
  <si>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</si>
  <si>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합   계</t>
    <phoneticPr fontId="3" type="noConversion"/>
  </si>
  <si>
    <t>식</t>
    <phoneticPr fontId="3" type="noConversion"/>
  </si>
  <si>
    <t>규격</t>
    <phoneticPr fontId="5" type="noConversion"/>
  </si>
  <si>
    <t>공구손료</t>
    <phoneticPr fontId="5" type="noConversion"/>
  </si>
  <si>
    <t>인력품의 2%</t>
    <phoneticPr fontId="3" type="noConversion"/>
  </si>
  <si>
    <t>인력품의 3%</t>
    <phoneticPr fontId="3" type="noConversion"/>
  </si>
  <si>
    <t>㎥</t>
    <phoneticPr fontId="3" type="noConversion"/>
  </si>
  <si>
    <t>(㎡당)</t>
    <phoneticPr fontId="3" type="noConversion"/>
  </si>
  <si>
    <t>제 3 장 타일공사</t>
    <phoneticPr fontId="3" type="noConversion"/>
  </si>
  <si>
    <t>3-1 공통공사</t>
  </si>
  <si>
    <t>3-1-1 바탕 고르기</t>
    <phoneticPr fontId="3" type="noConversion"/>
  </si>
  <si>
    <t>(10㎡당)</t>
    <phoneticPr fontId="3" type="noConversion"/>
  </si>
  <si>
    <t>3-1-2 타일줄눈 설치</t>
    <phoneticPr fontId="3" type="noConversion"/>
  </si>
  <si>
    <t>바닥면</t>
    <phoneticPr fontId="3" type="noConversion"/>
  </si>
  <si>
    <t>0.04~0.10㎡이하</t>
    <phoneticPr fontId="3" type="noConversion"/>
  </si>
  <si>
    <t>0.11~0.20㎡이하</t>
    <phoneticPr fontId="3" type="noConversion"/>
  </si>
  <si>
    <t>0.21~0.40㎡이하</t>
    <phoneticPr fontId="3" type="noConversion"/>
  </si>
  <si>
    <t>벽면</t>
    <phoneticPr fontId="3" type="noConversion"/>
  </si>
  <si>
    <t>※재료량</t>
    <phoneticPr fontId="3" type="noConversion"/>
  </si>
  <si>
    <t>떠붙이기</t>
    <phoneticPr fontId="3" type="noConversion"/>
  </si>
  <si>
    <t>압착붙이기</t>
    <phoneticPr fontId="3" type="noConversion"/>
  </si>
  <si>
    <t>줄눈 모르타르량</t>
    <phoneticPr fontId="5" type="noConversion"/>
  </si>
  <si>
    <t>배합비 1:1</t>
    <phoneticPr fontId="3" type="noConversion"/>
  </si>
  <si>
    <t>3-2 타일 붙임</t>
  </si>
  <si>
    <t>3-2-1 떠붙이기</t>
    <phoneticPr fontId="3" type="noConversion"/>
  </si>
  <si>
    <t>붙임 모르타르(벽체,㎥)</t>
    <phoneticPr fontId="3" type="noConversion"/>
  </si>
  <si>
    <t>바름두께 12㎜</t>
    <phoneticPr fontId="3" type="noConversion"/>
  </si>
  <si>
    <t>바름두께 15㎜</t>
    <phoneticPr fontId="3" type="noConversion"/>
  </si>
  <si>
    <t>바름두께 18㎜</t>
    <phoneticPr fontId="3" type="noConversion"/>
  </si>
  <si>
    <t>바름두께 24㎜</t>
    <phoneticPr fontId="3" type="noConversion"/>
  </si>
  <si>
    <t>3-2-2 압착 붙이기</t>
    <phoneticPr fontId="3" type="noConversion"/>
  </si>
  <si>
    <t>배합비 1:2</t>
    <phoneticPr fontId="3" type="noConversion"/>
  </si>
  <si>
    <t>붙임 모르타르(㎥) - 바닥면</t>
    <phoneticPr fontId="3" type="noConversion"/>
  </si>
  <si>
    <t>모르타르</t>
    <phoneticPr fontId="5" type="noConversion"/>
  </si>
  <si>
    <t>바름두께 5㎜</t>
    <phoneticPr fontId="3" type="noConversion"/>
  </si>
  <si>
    <t>바름두께 6㎜</t>
    <phoneticPr fontId="3" type="noConversion"/>
  </si>
  <si>
    <t>바름두께 7㎜</t>
    <phoneticPr fontId="3" type="noConversion"/>
  </si>
  <si>
    <t>붙임 모르타르(㎥) - 벽면</t>
    <phoneticPr fontId="3" type="noConversion"/>
  </si>
  <si>
    <t>3-2-3 접착 붙이기</t>
    <phoneticPr fontId="3" type="noConversion"/>
  </si>
  <si>
    <t>시공량(㎡)</t>
    <phoneticPr fontId="3" type="noConversion"/>
  </si>
  <si>
    <t>수량</t>
    <phoneticPr fontId="3" type="noConversion"/>
  </si>
  <si>
    <t>금액</t>
    <phoneticPr fontId="3" type="noConversion"/>
  </si>
  <si>
    <t>㎡당 단가</t>
    <phoneticPr fontId="3" type="noConversion"/>
  </si>
  <si>
    <t>벽</t>
    <phoneticPr fontId="3" type="noConversion"/>
  </si>
  <si>
    <t>바닥</t>
    <phoneticPr fontId="3" type="noConversion"/>
  </si>
  <si>
    <t>10㎡당 단가</t>
    <phoneticPr fontId="3" type="noConversion"/>
  </si>
  <si>
    <t>(일당)</t>
    <phoneticPr fontId="3" type="noConversion"/>
  </si>
  <si>
    <t>0.40~0.75㎡이하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</si>
</sst>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8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4" xfId="1" applyNumberFormat="1" applyFont="1" applyFill="1" applyBorder="1" applyAlignment="1">
      <alignment horizontal="center" vertical="center"/>
    </xf>
    <xf numFmtId="180" fontId="9" fillId="0" borderId="5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181" fontId="9" fillId="0" borderId="5" xfId="7" applyNumberFormat="1" applyFont="1" applyFill="1" applyBorder="1" applyAlignment="1">
      <alignment vertical="center"/>
    </xf>
    <xf numFmtId="41" fontId="13" fillId="0" borderId="4" xfId="5" applyFont="1" applyFill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7" xfId="5" applyFont="1" applyFill="1" applyBorder="1" applyAlignment="1">
      <alignment vertical="center"/>
    </xf>
    <xf numFmtId="41" fontId="17" fillId="0" borderId="4" xfId="5" applyFont="1" applyFill="1" applyBorder="1" applyAlignment="1">
      <alignment vertical="center"/>
    </xf>
    <xf numFmtId="41" fontId="17" fillId="0" borderId="5" xfId="5" applyFont="1" applyFill="1" applyBorder="1" applyAlignment="1">
      <alignment vertical="center"/>
    </xf>
    <xf numFmtId="41" fontId="16" fillId="0" borderId="5" xfId="7" applyFont="1" applyFill="1" applyBorder="1" applyAlignment="1">
      <alignment vertical="center"/>
    </xf>
    <xf numFmtId="0" fontId="9" fillId="0" borderId="0" xfId="0" applyFont="1">
      <alignment vertical="center"/>
    </xf>
    <xf numFmtId="185" fontId="20" fillId="0" borderId="0" xfId="4" applyNumberFormat="1" applyFont="1" applyAlignment="1">
      <alignment vertical="center"/>
    </xf>
    <xf numFmtId="0" fontId="6" fillId="0" borderId="0" xfId="0" applyFont="1" applyAlignment="1"/>
    <xf numFmtId="0" fontId="15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0" fontId="9" fillId="0" borderId="2" xfId="6" applyFont="1" applyBorder="1" applyAlignment="1">
      <alignment horizontal="center" vertical="center" shrinkToFit="1"/>
    </xf>
    <xf numFmtId="1" fontId="9" fillId="0" borderId="10" xfId="6" applyNumberFormat="1" applyFont="1" applyBorder="1" applyAlignment="1">
      <alignment horizontal="center" vertical="center" wrapText="1"/>
    </xf>
    <xf numFmtId="0" fontId="9" fillId="0" borderId="6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" xfId="6" applyFont="1" applyBorder="1" applyAlignment="1">
      <alignment vertical="center"/>
    </xf>
    <xf numFmtId="0" fontId="9" fillId="0" borderId="3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0" fontId="9" fillId="0" borderId="4" xfId="6" applyFont="1" applyBorder="1" applyAlignment="1">
      <alignment horizontal="right" vertical="center"/>
    </xf>
    <xf numFmtId="41" fontId="9" fillId="0" borderId="4" xfId="8" applyFont="1" applyFill="1" applyBorder="1" applyAlignment="1">
      <alignment vertical="center"/>
    </xf>
    <xf numFmtId="0" fontId="16" fillId="0" borderId="3" xfId="6" applyFont="1" applyBorder="1" applyAlignment="1">
      <alignment horizontal="left" vertical="center"/>
    </xf>
    <xf numFmtId="0" fontId="18" fillId="0" borderId="3" xfId="6" applyFont="1" applyBorder="1" applyAlignment="1">
      <alignment horizontal="left" vertical="center"/>
    </xf>
    <xf numFmtId="0" fontId="18" fillId="0" borderId="4" xfId="3" applyFont="1" applyBorder="1" applyAlignment="1">
      <alignment horizontal="center" vertical="center"/>
    </xf>
    <xf numFmtId="0" fontId="16" fillId="0" borderId="4" xfId="6" applyFont="1" applyBorder="1" applyAlignment="1">
      <alignment vertical="center"/>
    </xf>
    <xf numFmtId="182" fontId="9" fillId="0" borderId="4" xfId="8" applyNumberFormat="1" applyFont="1" applyFill="1" applyBorder="1" applyAlignment="1">
      <alignment vertical="center"/>
    </xf>
    <xf numFmtId="0" fontId="10" fillId="0" borderId="3" xfId="2" applyFont="1" applyBorder="1" applyAlignment="1">
      <alignment horizontal="left" vertical="center"/>
    </xf>
    <xf numFmtId="0" fontId="19" fillId="0" borderId="3" xfId="2" applyFont="1" applyBorder="1" applyAlignment="1">
      <alignment horizontal="left" vertical="center"/>
    </xf>
    <xf numFmtId="41" fontId="10" fillId="0" borderId="4" xfId="1" applyFont="1" applyFill="1" applyBorder="1" applyAlignment="1">
      <alignment vertical="center"/>
    </xf>
    <xf numFmtId="183" fontId="10" fillId="0" borderId="4" xfId="8" applyNumberFormat="1" applyFont="1" applyFill="1" applyBorder="1" applyAlignment="1">
      <alignment vertical="center"/>
    </xf>
    <xf numFmtId="41" fontId="10" fillId="0" borderId="0" xfId="8" applyFont="1" applyFill="1" applyBorder="1" applyAlignment="1">
      <alignment vertical="center"/>
    </xf>
    <xf numFmtId="0" fontId="12" fillId="0" borderId="3" xfId="3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3" xfId="3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41" fontId="11" fillId="0" borderId="4" xfId="0" applyNumberFormat="1" applyFont="1" applyBorder="1">
      <alignment vertical="center"/>
    </xf>
    <xf numFmtId="0" fontId="16" fillId="0" borderId="3" xfId="3" applyFont="1" applyBorder="1" applyAlignment="1">
      <alignment vertical="center"/>
    </xf>
    <xf numFmtId="41" fontId="16" fillId="0" borderId="5" xfId="8" applyFont="1" applyFill="1" applyBorder="1" applyAlignment="1">
      <alignment vertical="center"/>
    </xf>
    <xf numFmtId="0" fontId="10" fillId="0" borderId="3" xfId="6" applyFont="1" applyBorder="1" applyAlignment="1">
      <alignment horizontal="left" vertical="center"/>
    </xf>
    <xf numFmtId="0" fontId="10" fillId="0" borderId="4" xfId="2" applyFont="1" applyBorder="1" applyAlignment="1">
      <alignment vertical="center"/>
    </xf>
    <xf numFmtId="41" fontId="10" fillId="0" borderId="5" xfId="8" applyFont="1" applyFill="1" applyBorder="1" applyAlignment="1">
      <alignment vertical="center"/>
    </xf>
    <xf numFmtId="0" fontId="10" fillId="0" borderId="8" xfId="6" applyFont="1" applyBorder="1" applyAlignment="1">
      <alignment horizontal="left" vertical="center"/>
    </xf>
    <xf numFmtId="0" fontId="9" fillId="0" borderId="8" xfId="6" applyFont="1" applyBorder="1" applyAlignment="1">
      <alignment horizontal="left" vertical="center"/>
    </xf>
    <xf numFmtId="0" fontId="9" fillId="0" borderId="6" xfId="3" applyFont="1" applyBorder="1" applyAlignment="1">
      <alignment horizontal="center" vertical="center"/>
    </xf>
    <xf numFmtId="0" fontId="21" fillId="0" borderId="6" xfId="6" applyFont="1" applyBorder="1" applyAlignment="1">
      <alignment vertical="center"/>
    </xf>
    <xf numFmtId="0" fontId="10" fillId="0" borderId="6" xfId="6" applyFont="1" applyBorder="1" applyAlignment="1">
      <alignment vertical="center"/>
    </xf>
    <xf numFmtId="41" fontId="10" fillId="0" borderId="7" xfId="7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41" fontId="11" fillId="0" borderId="9" xfId="0" applyNumberFormat="1" applyFont="1" applyBorder="1">
      <alignment vertical="center"/>
    </xf>
    <xf numFmtId="183" fontId="12" fillId="0" borderId="4" xfId="1" applyNumberFormat="1" applyFont="1" applyFill="1" applyBorder="1" applyAlignment="1">
      <alignment vertical="center"/>
    </xf>
    <xf numFmtId="0" fontId="18" fillId="0" borderId="4" xfId="3" applyFont="1" applyBorder="1" applyAlignment="1">
      <alignment vertical="center" shrinkToFit="1"/>
    </xf>
    <xf numFmtId="0" fontId="18" fillId="0" borderId="3" xfId="3" applyFont="1" applyBorder="1" applyAlignment="1">
      <alignment horizontal="center" vertical="center"/>
    </xf>
    <xf numFmtId="0" fontId="17" fillId="0" borderId="4" xfId="3" applyFont="1" applyBorder="1" applyAlignment="1">
      <alignment vertical="center"/>
    </xf>
    <xf numFmtId="0" fontId="13" fillId="0" borderId="3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9" fillId="0" borderId="6" xfId="3" applyFont="1" applyBorder="1" applyAlignment="1">
      <alignment vertical="center" shrinkToFit="1"/>
    </xf>
    <xf numFmtId="0" fontId="9" fillId="0" borderId="8" xfId="3" applyFont="1" applyBorder="1" applyAlignment="1">
      <alignment horizontal="center" vertical="center"/>
    </xf>
    <xf numFmtId="0" fontId="13" fillId="0" borderId="6" xfId="3" applyFont="1" applyBorder="1" applyAlignment="1">
      <alignment vertical="center"/>
    </xf>
    <xf numFmtId="41" fontId="9" fillId="0" borderId="9" xfId="0" applyNumberFormat="1" applyFont="1" applyBorder="1">
      <alignment vertical="center"/>
    </xf>
    <xf numFmtId="0" fontId="19" fillId="0" borderId="8" xfId="2" applyFont="1" applyBorder="1" applyAlignment="1">
      <alignment horizontal="left" vertical="center"/>
    </xf>
    <xf numFmtId="0" fontId="10" fillId="0" borderId="6" xfId="2" applyFont="1" applyBorder="1" applyAlignment="1">
      <alignment vertical="center"/>
    </xf>
    <xf numFmtId="0" fontId="12" fillId="0" borderId="2" xfId="3" applyFont="1" applyBorder="1" applyAlignment="1">
      <alignment horizontal="center" vertical="center" shrinkToFit="1"/>
    </xf>
    <xf numFmtId="0" fontId="12" fillId="0" borderId="10" xfId="3" applyFont="1" applyBorder="1" applyAlignment="1">
      <alignment horizontal="center" vertical="center" shrinkToFit="1"/>
    </xf>
    <xf numFmtId="0" fontId="9" fillId="0" borderId="11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6" xfId="6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B847-BBC8-44D1-81D0-3855BC85AECF}">
  <sheetPr>
    <pageSetUpPr fitToPage="1"/>
  </sheetPr>
  <dimension ref="A1:O308"/>
  <sheetViews>
    <sheetView tabSelected="1" zoomScaleNormal="100" workbookViewId="0">
      <selection activeCell="J12" sqref="J12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18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3" ht="12.95" customHeight="1" x14ac:dyDescent="0.3">
      <c r="A1" s="13"/>
      <c r="B1" s="15" t="s">
        <v>21</v>
      </c>
      <c r="C1" s="16"/>
      <c r="D1" s="17"/>
    </row>
    <row r="2" spans="1:13" ht="12.95" customHeight="1" x14ac:dyDescent="0.15">
      <c r="A2" s="14"/>
      <c r="B2" s="17" t="s">
        <v>22</v>
      </c>
    </row>
    <row r="3" spans="1:13" ht="12.95" customHeight="1" x14ac:dyDescent="0.3">
      <c r="B3" s="19" t="s">
        <v>23</v>
      </c>
      <c r="C3" s="20"/>
      <c r="D3" s="21"/>
      <c r="E3" s="22"/>
      <c r="F3" s="21"/>
      <c r="G3" s="21"/>
      <c r="I3" s="23" t="s">
        <v>24</v>
      </c>
    </row>
    <row r="4" spans="1:13" ht="12.95" customHeight="1" x14ac:dyDescent="0.3">
      <c r="B4" s="77" t="s">
        <v>4</v>
      </c>
      <c r="C4" s="80" t="s">
        <v>8</v>
      </c>
      <c r="D4" s="80" t="s">
        <v>9</v>
      </c>
      <c r="E4" s="80" t="s">
        <v>5</v>
      </c>
      <c r="F4" s="75" t="s">
        <v>56</v>
      </c>
      <c r="G4" s="76"/>
      <c r="H4" s="75" t="s">
        <v>57</v>
      </c>
      <c r="I4" s="76"/>
    </row>
    <row r="5" spans="1:13" ht="12.95" customHeight="1" x14ac:dyDescent="0.3">
      <c r="B5" s="78"/>
      <c r="C5" s="81"/>
      <c r="D5" s="81"/>
      <c r="E5" s="81"/>
      <c r="F5" s="24" t="s">
        <v>52</v>
      </c>
      <c r="G5" s="25">
        <v>45</v>
      </c>
      <c r="H5" s="24" t="s">
        <v>52</v>
      </c>
      <c r="I5" s="25">
        <v>62</v>
      </c>
    </row>
    <row r="6" spans="1:13" ht="12.95" customHeight="1" x14ac:dyDescent="0.3">
      <c r="B6" s="79"/>
      <c r="C6" s="82"/>
      <c r="D6" s="82"/>
      <c r="E6" s="82"/>
      <c r="F6" s="26" t="s">
        <v>53</v>
      </c>
      <c r="G6" s="27" t="s">
        <v>54</v>
      </c>
      <c r="H6" s="26" t="s">
        <v>53</v>
      </c>
      <c r="I6" s="27" t="s">
        <v>54</v>
      </c>
    </row>
    <row r="7" spans="1:13" ht="12.95" customHeight="1" x14ac:dyDescent="0.3">
      <c r="B7" s="28" t="s">
        <v>16</v>
      </c>
      <c r="C7" s="29" t="s">
        <v>17</v>
      </c>
      <c r="D7" s="30" t="s">
        <v>14</v>
      </c>
      <c r="E7" s="31"/>
      <c r="F7" s="32">
        <v>1</v>
      </c>
      <c r="G7" s="5">
        <f>TRUNC(SUM(G10:G11)*0.02,1)</f>
        <v>14532.4</v>
      </c>
      <c r="H7" s="32">
        <v>1</v>
      </c>
      <c r="I7" s="5">
        <f>TRUNC(SUM(I10:I11)*0.02,1)</f>
        <v>14532.4</v>
      </c>
    </row>
    <row r="8" spans="1:13" ht="12.95" customHeight="1" x14ac:dyDescent="0.3">
      <c r="B8" s="33" t="s">
        <v>11</v>
      </c>
      <c r="C8" s="34"/>
      <c r="D8" s="35"/>
      <c r="E8" s="36"/>
      <c r="F8" s="37"/>
      <c r="G8" s="11">
        <f>TRUNC(SUM(G7:G7))</f>
        <v>14532</v>
      </c>
      <c r="H8" s="37"/>
      <c r="I8" s="11">
        <f>TRUNC(SUM(I7:I7))</f>
        <v>14532</v>
      </c>
    </row>
    <row r="9" spans="1:13" ht="12.95" customHeight="1" x14ac:dyDescent="0.3">
      <c r="B9" s="38"/>
      <c r="C9" s="39"/>
      <c r="D9" s="39"/>
      <c r="E9" s="40"/>
      <c r="F9" s="41"/>
      <c r="G9" s="42"/>
      <c r="H9" s="41"/>
      <c r="I9" s="42"/>
    </row>
    <row r="10" spans="1:13" ht="12.95" customHeight="1" x14ac:dyDescent="0.3">
      <c r="B10" s="43" t="s">
        <v>1</v>
      </c>
      <c r="C10" s="44"/>
      <c r="D10" s="45" t="s">
        <v>10</v>
      </c>
      <c r="E10" s="46">
        <v>277276</v>
      </c>
      <c r="F10" s="32">
        <v>2</v>
      </c>
      <c r="G10" s="3">
        <f t="shared" ref="G10:G11" si="0">TRUNC($E10*F10,1)</f>
        <v>554552</v>
      </c>
      <c r="H10" s="32">
        <v>2</v>
      </c>
      <c r="I10" s="3">
        <f t="shared" ref="I10:I11" si="1">TRUNC($E10*H10,1)</f>
        <v>554552</v>
      </c>
    </row>
    <row r="11" spans="1:13" ht="12.95" customHeight="1" x14ac:dyDescent="0.3">
      <c r="B11" s="43" t="s">
        <v>2</v>
      </c>
      <c r="C11" s="44"/>
      <c r="D11" s="45" t="s">
        <v>10</v>
      </c>
      <c r="E11" s="47">
        <v>172068</v>
      </c>
      <c r="F11" s="32">
        <v>1</v>
      </c>
      <c r="G11" s="3">
        <f t="shared" si="0"/>
        <v>172068</v>
      </c>
      <c r="H11" s="32">
        <v>1</v>
      </c>
      <c r="I11" s="3">
        <f t="shared" si="1"/>
        <v>172068</v>
      </c>
    </row>
    <row r="12" spans="1:13" ht="12.95" customHeight="1" x14ac:dyDescent="0.3">
      <c r="B12" s="48" t="s">
        <v>12</v>
      </c>
      <c r="C12" s="39"/>
      <c r="D12" s="39"/>
      <c r="E12" s="40"/>
      <c r="F12" s="41"/>
      <c r="G12" s="49">
        <f>TRUNC(SUM(G10:G11))</f>
        <v>726620</v>
      </c>
      <c r="H12" s="41"/>
      <c r="I12" s="49">
        <f>TRUNC(SUM(I10:I11))</f>
        <v>726620</v>
      </c>
    </row>
    <row r="13" spans="1:13" ht="12.95" customHeight="1" x14ac:dyDescent="0.3">
      <c r="B13" s="38"/>
      <c r="C13" s="39"/>
      <c r="D13" s="39"/>
      <c r="E13" s="40"/>
      <c r="F13" s="41"/>
      <c r="G13" s="42"/>
      <c r="H13" s="41"/>
      <c r="I13" s="42"/>
    </row>
    <row r="14" spans="1:13" ht="12.95" customHeight="1" x14ac:dyDescent="0.3">
      <c r="B14" s="50" t="s">
        <v>13</v>
      </c>
      <c r="C14" s="39"/>
      <c r="D14" s="39"/>
      <c r="E14" s="51"/>
      <c r="F14" s="51"/>
      <c r="G14" s="52">
        <f>SUM(G8+G12)</f>
        <v>741152</v>
      </c>
      <c r="H14" s="51"/>
      <c r="I14" s="52">
        <f>SUM(I8+I12)</f>
        <v>741152</v>
      </c>
    </row>
    <row r="15" spans="1:13" ht="12.95" customHeight="1" x14ac:dyDescent="0.3">
      <c r="B15" s="53" t="s">
        <v>58</v>
      </c>
      <c r="C15" s="54"/>
      <c r="D15" s="55"/>
      <c r="E15" s="56"/>
      <c r="F15" s="57"/>
      <c r="G15" s="58">
        <f>TRUNC((G14/G5)*10)</f>
        <v>164700</v>
      </c>
      <c r="H15" s="57"/>
      <c r="I15" s="58">
        <f>TRUNC((I14/I5)*10)</f>
        <v>119540</v>
      </c>
      <c r="L15" s="12"/>
      <c r="M15" s="12"/>
    </row>
    <row r="16" spans="1:13" ht="12.95" customHeight="1" x14ac:dyDescent="0.3">
      <c r="L16" s="12"/>
      <c r="M16" s="12"/>
    </row>
    <row r="17" spans="2:15" ht="12.95" customHeight="1" x14ac:dyDescent="0.3">
      <c r="B17" s="1" t="s">
        <v>25</v>
      </c>
      <c r="K17" s="59" t="s">
        <v>20</v>
      </c>
    </row>
    <row r="18" spans="2:15" ht="12.95" customHeight="1" x14ac:dyDescent="0.3">
      <c r="B18" s="77" t="s">
        <v>4</v>
      </c>
      <c r="C18" s="77" t="s">
        <v>8</v>
      </c>
      <c r="D18" s="80" t="s">
        <v>9</v>
      </c>
      <c r="E18" s="80" t="s">
        <v>5</v>
      </c>
      <c r="F18" s="75" t="s">
        <v>26</v>
      </c>
      <c r="G18" s="76"/>
      <c r="H18" s="76"/>
      <c r="I18" s="76"/>
      <c r="J18" s="76"/>
      <c r="K18" s="76"/>
    </row>
    <row r="19" spans="2:15" ht="12.95" customHeight="1" x14ac:dyDescent="0.3">
      <c r="B19" s="78"/>
      <c r="C19" s="78"/>
      <c r="D19" s="81"/>
      <c r="E19" s="81"/>
      <c r="F19" s="75" t="s">
        <v>27</v>
      </c>
      <c r="G19" s="76"/>
      <c r="H19" s="75" t="s">
        <v>28</v>
      </c>
      <c r="I19" s="76"/>
      <c r="J19" s="75" t="s">
        <v>29</v>
      </c>
      <c r="K19" s="76"/>
      <c r="N19" s="12"/>
      <c r="O19" s="12"/>
    </row>
    <row r="20" spans="2:15" ht="12.95" customHeight="1" x14ac:dyDescent="0.3">
      <c r="B20" s="79"/>
      <c r="C20" s="79"/>
      <c r="D20" s="82"/>
      <c r="E20" s="82"/>
      <c r="F20" s="60" t="s">
        <v>6</v>
      </c>
      <c r="G20" s="61" t="s">
        <v>7</v>
      </c>
      <c r="H20" s="60" t="s">
        <v>6</v>
      </c>
      <c r="I20" s="61" t="s">
        <v>7</v>
      </c>
      <c r="J20" s="60" t="s">
        <v>6</v>
      </c>
      <c r="K20" s="61" t="s">
        <v>7</v>
      </c>
    </row>
    <row r="21" spans="2:15" ht="12.95" customHeight="1" x14ac:dyDescent="0.3">
      <c r="B21" s="43" t="s">
        <v>3</v>
      </c>
      <c r="C21" s="44"/>
      <c r="D21" s="45" t="s">
        <v>10</v>
      </c>
      <c r="E21" s="62">
        <v>211653</v>
      </c>
      <c r="F21" s="63">
        <v>1.6E-2</v>
      </c>
      <c r="G21" s="2">
        <f t="shared" ref="G21" si="2">TRUNC($E21*F21,1)</f>
        <v>3386.4</v>
      </c>
      <c r="H21" s="63">
        <v>1.2999999999999999E-2</v>
      </c>
      <c r="I21" s="3">
        <f t="shared" ref="I21" si="3">TRUNC($E21*H21,1)</f>
        <v>2751.4</v>
      </c>
      <c r="J21" s="63">
        <v>1.0999999999999999E-2</v>
      </c>
      <c r="K21" s="3">
        <f t="shared" ref="K21" si="4">TRUNC($E21*J21,1)</f>
        <v>2328.1</v>
      </c>
    </row>
    <row r="22" spans="2:15" ht="12.95" customHeight="1" x14ac:dyDescent="0.3">
      <c r="B22" s="48" t="s">
        <v>12</v>
      </c>
      <c r="C22" s="64"/>
      <c r="D22" s="65"/>
      <c r="E22" s="66"/>
      <c r="F22" s="66"/>
      <c r="G22" s="9">
        <f>TRUNC(SUM(G21:G21))</f>
        <v>3386</v>
      </c>
      <c r="H22" s="66"/>
      <c r="I22" s="10">
        <f>TRUNC(SUM(I21:I21))</f>
        <v>2751</v>
      </c>
      <c r="J22" s="66"/>
      <c r="K22" s="10">
        <f>TRUNC(SUM(K21:K21))</f>
        <v>2328</v>
      </c>
    </row>
    <row r="23" spans="2:15" ht="12.95" customHeight="1" x14ac:dyDescent="0.3">
      <c r="B23" s="67"/>
      <c r="C23" s="44"/>
      <c r="D23" s="45"/>
      <c r="E23" s="68"/>
      <c r="F23" s="68"/>
      <c r="G23" s="6"/>
      <c r="H23" s="68"/>
      <c r="I23" s="7"/>
      <c r="J23" s="68"/>
      <c r="K23" s="7"/>
    </row>
    <row r="24" spans="2:15" ht="12.95" customHeight="1" x14ac:dyDescent="0.3">
      <c r="B24" s="53" t="s">
        <v>13</v>
      </c>
      <c r="C24" s="69"/>
      <c r="D24" s="70"/>
      <c r="E24" s="71"/>
      <c r="F24" s="71"/>
      <c r="G24" s="8">
        <f>SUM(G22)</f>
        <v>3386</v>
      </c>
      <c r="H24" s="71"/>
      <c r="I24" s="8">
        <f>SUM(I22)</f>
        <v>2751</v>
      </c>
      <c r="J24" s="71"/>
      <c r="K24" s="8">
        <f>SUM(K22)</f>
        <v>2328</v>
      </c>
    </row>
    <row r="25" spans="2:15" ht="12.95" customHeight="1" x14ac:dyDescent="0.3">
      <c r="B25" s="77" t="s">
        <v>4</v>
      </c>
      <c r="C25" s="77" t="s">
        <v>8</v>
      </c>
      <c r="D25" s="80" t="s">
        <v>9</v>
      </c>
      <c r="E25" s="80" t="s">
        <v>5</v>
      </c>
      <c r="F25" s="75" t="s">
        <v>30</v>
      </c>
      <c r="G25" s="76"/>
      <c r="H25" s="76"/>
      <c r="I25" s="76"/>
      <c r="J25" s="76"/>
      <c r="K25" s="76"/>
    </row>
    <row r="26" spans="2:15" ht="12.95" customHeight="1" x14ac:dyDescent="0.3">
      <c r="B26" s="78"/>
      <c r="C26" s="78"/>
      <c r="D26" s="81"/>
      <c r="E26" s="81"/>
      <c r="F26" s="75" t="s">
        <v>27</v>
      </c>
      <c r="G26" s="76"/>
      <c r="H26" s="75" t="s">
        <v>28</v>
      </c>
      <c r="I26" s="76"/>
      <c r="J26" s="75" t="s">
        <v>29</v>
      </c>
      <c r="K26" s="76"/>
    </row>
    <row r="27" spans="2:15" ht="12.95" customHeight="1" x14ac:dyDescent="0.3">
      <c r="B27" s="79"/>
      <c r="C27" s="79"/>
      <c r="D27" s="82"/>
      <c r="E27" s="82"/>
      <c r="F27" s="60" t="s">
        <v>6</v>
      </c>
      <c r="G27" s="61" t="s">
        <v>7</v>
      </c>
      <c r="H27" s="60" t="s">
        <v>6</v>
      </c>
      <c r="I27" s="61" t="s">
        <v>7</v>
      </c>
      <c r="J27" s="60" t="s">
        <v>6</v>
      </c>
      <c r="K27" s="61" t="s">
        <v>7</v>
      </c>
    </row>
    <row r="28" spans="2:15" ht="12.95" customHeight="1" x14ac:dyDescent="0.3">
      <c r="B28" s="43" t="s">
        <v>3</v>
      </c>
      <c r="C28" s="44"/>
      <c r="D28" s="45" t="s">
        <v>10</v>
      </c>
      <c r="E28" s="62">
        <v>211653</v>
      </c>
      <c r="F28" s="63">
        <v>0.02</v>
      </c>
      <c r="G28" s="2">
        <f t="shared" ref="G28" si="5">TRUNC($E28*F28,1)</f>
        <v>4233</v>
      </c>
      <c r="H28" s="63">
        <v>1.7000000000000001E-2</v>
      </c>
      <c r="I28" s="3">
        <f t="shared" ref="I28" si="6">TRUNC($E28*H28,1)</f>
        <v>3598.1</v>
      </c>
      <c r="J28" s="63">
        <v>1.4999999999999999E-2</v>
      </c>
      <c r="K28" s="3">
        <f t="shared" ref="K28" si="7">TRUNC($E28*J28,1)</f>
        <v>3174.7</v>
      </c>
    </row>
    <row r="29" spans="2:15" ht="12.95" customHeight="1" x14ac:dyDescent="0.3">
      <c r="B29" s="48" t="s">
        <v>12</v>
      </c>
      <c r="C29" s="64"/>
      <c r="D29" s="65"/>
      <c r="E29" s="66"/>
      <c r="F29" s="66"/>
      <c r="G29" s="9">
        <f>TRUNC(SUM(G28:G28))</f>
        <v>4233</v>
      </c>
      <c r="H29" s="66"/>
      <c r="I29" s="10">
        <f>TRUNC(SUM(I28:I28))</f>
        <v>3598</v>
      </c>
      <c r="J29" s="66"/>
      <c r="K29" s="10">
        <f>TRUNC(SUM(K28:K28))</f>
        <v>3174</v>
      </c>
    </row>
    <row r="30" spans="2:15" ht="12.95" customHeight="1" x14ac:dyDescent="0.3">
      <c r="B30" s="67"/>
      <c r="C30" s="44"/>
      <c r="D30" s="45"/>
      <c r="E30" s="68"/>
      <c r="F30" s="68"/>
      <c r="G30" s="6"/>
      <c r="H30" s="68"/>
      <c r="I30" s="7"/>
      <c r="J30" s="68"/>
      <c r="K30" s="7"/>
    </row>
    <row r="31" spans="2:15" ht="12.95" customHeight="1" x14ac:dyDescent="0.3">
      <c r="B31" s="53" t="s">
        <v>13</v>
      </c>
      <c r="C31" s="69"/>
      <c r="D31" s="70"/>
      <c r="E31" s="71"/>
      <c r="F31" s="71"/>
      <c r="G31" s="8">
        <f>SUM(G29)</f>
        <v>4233</v>
      </c>
      <c r="H31" s="71"/>
      <c r="I31" s="8">
        <f>SUM(I29)</f>
        <v>3598</v>
      </c>
      <c r="J31" s="71"/>
      <c r="K31" s="8">
        <f>SUM(K29)</f>
        <v>3174</v>
      </c>
    </row>
    <row r="33" spans="2:13" ht="12.95" customHeight="1" x14ac:dyDescent="0.3">
      <c r="B33" s="19" t="s">
        <v>31</v>
      </c>
      <c r="C33" s="20"/>
      <c r="D33" s="21"/>
      <c r="E33" s="22"/>
      <c r="F33" s="21"/>
      <c r="G33" s="21"/>
      <c r="I33" s="59" t="s">
        <v>20</v>
      </c>
    </row>
    <row r="34" spans="2:13" ht="12.95" customHeight="1" x14ac:dyDescent="0.3">
      <c r="B34" s="83" t="s">
        <v>4</v>
      </c>
      <c r="C34" s="85" t="s">
        <v>15</v>
      </c>
      <c r="D34" s="87" t="s">
        <v>9</v>
      </c>
      <c r="E34" s="80" t="s">
        <v>5</v>
      </c>
      <c r="F34" s="75" t="s">
        <v>32</v>
      </c>
      <c r="G34" s="76"/>
      <c r="H34" s="75" t="s">
        <v>33</v>
      </c>
      <c r="I34" s="76"/>
    </row>
    <row r="35" spans="2:13" ht="12.95" customHeight="1" x14ac:dyDescent="0.3">
      <c r="B35" s="84"/>
      <c r="C35" s="86"/>
      <c r="D35" s="87"/>
      <c r="E35" s="82"/>
      <c r="F35" s="60" t="s">
        <v>6</v>
      </c>
      <c r="G35" s="61" t="s">
        <v>7</v>
      </c>
      <c r="H35" s="60" t="s">
        <v>6</v>
      </c>
      <c r="I35" s="61" t="s">
        <v>7</v>
      </c>
    </row>
    <row r="36" spans="2:13" ht="12.95" customHeight="1" x14ac:dyDescent="0.3">
      <c r="B36" s="28" t="s">
        <v>34</v>
      </c>
      <c r="C36" s="29" t="s">
        <v>35</v>
      </c>
      <c r="D36" s="30" t="s">
        <v>19</v>
      </c>
      <c r="E36" s="72">
        <v>0</v>
      </c>
      <c r="F36" s="63">
        <v>5.0000000000000001E-3</v>
      </c>
      <c r="G36" s="2">
        <f t="shared" ref="G36:I36" si="8">TRUNC($E36*F36,1)</f>
        <v>0</v>
      </c>
      <c r="H36" s="63">
        <v>1E-3</v>
      </c>
      <c r="I36" s="3">
        <f t="shared" si="8"/>
        <v>0</v>
      </c>
    </row>
    <row r="37" spans="2:13" ht="12.95" customHeight="1" x14ac:dyDescent="0.3">
      <c r="B37" s="33" t="s">
        <v>11</v>
      </c>
      <c r="C37" s="34"/>
      <c r="D37" s="35"/>
      <c r="E37" s="36"/>
      <c r="F37" s="37"/>
      <c r="G37" s="9">
        <f>TRUNC(SUM(G36:G36))</f>
        <v>0</v>
      </c>
      <c r="H37" s="37"/>
      <c r="I37" s="10">
        <f>TRUNC(SUM(I36:I36))</f>
        <v>0</v>
      </c>
    </row>
    <row r="38" spans="2:13" ht="12.95" customHeight="1" x14ac:dyDescent="0.3">
      <c r="B38" s="38"/>
      <c r="C38" s="39"/>
      <c r="D38" s="39"/>
      <c r="E38" s="40"/>
      <c r="F38" s="41"/>
      <c r="G38" s="42"/>
      <c r="H38" s="41"/>
      <c r="I38" s="42"/>
    </row>
    <row r="39" spans="2:13" ht="12.95" customHeight="1" x14ac:dyDescent="0.3">
      <c r="B39" s="53" t="s">
        <v>13</v>
      </c>
      <c r="C39" s="73"/>
      <c r="D39" s="73"/>
      <c r="E39" s="74"/>
      <c r="F39" s="74"/>
      <c r="G39" s="8">
        <f>SUM(G37)</f>
        <v>0</v>
      </c>
      <c r="H39" s="74"/>
      <c r="I39" s="8">
        <f>SUM(I37)</f>
        <v>0</v>
      </c>
      <c r="M39" s="12"/>
    </row>
    <row r="41" spans="2:13" ht="12.95" customHeight="1" x14ac:dyDescent="0.3">
      <c r="B41" s="17" t="s">
        <v>36</v>
      </c>
    </row>
    <row r="42" spans="2:13" ht="12.95" customHeight="1" x14ac:dyDescent="0.3">
      <c r="B42" s="19" t="s">
        <v>37</v>
      </c>
      <c r="C42" s="20"/>
      <c r="D42" s="21"/>
      <c r="E42" s="22"/>
      <c r="F42" s="21"/>
      <c r="G42" s="21"/>
      <c r="K42" s="23" t="s">
        <v>59</v>
      </c>
    </row>
    <row r="43" spans="2:13" ht="12.95" customHeight="1" x14ac:dyDescent="0.3">
      <c r="B43" s="77" t="s">
        <v>4</v>
      </c>
      <c r="C43" s="80" t="s">
        <v>8</v>
      </c>
      <c r="D43" s="80" t="s">
        <v>9</v>
      </c>
      <c r="E43" s="80" t="s">
        <v>5</v>
      </c>
      <c r="F43" s="75" t="s">
        <v>30</v>
      </c>
      <c r="G43" s="76"/>
      <c r="H43" s="76"/>
      <c r="I43" s="76"/>
      <c r="J43" s="76"/>
      <c r="K43" s="76"/>
    </row>
    <row r="44" spans="2:13" ht="12.95" customHeight="1" x14ac:dyDescent="0.3">
      <c r="B44" s="78"/>
      <c r="C44" s="81"/>
      <c r="D44" s="81"/>
      <c r="E44" s="81"/>
      <c r="F44" s="75" t="s">
        <v>27</v>
      </c>
      <c r="G44" s="76"/>
      <c r="H44" s="75" t="s">
        <v>28</v>
      </c>
      <c r="I44" s="76"/>
      <c r="J44" s="75" t="s">
        <v>29</v>
      </c>
      <c r="K44" s="76"/>
    </row>
    <row r="45" spans="2:13" ht="12.95" customHeight="1" x14ac:dyDescent="0.3">
      <c r="B45" s="78"/>
      <c r="C45" s="81"/>
      <c r="D45" s="81"/>
      <c r="E45" s="81"/>
      <c r="F45" s="24" t="s">
        <v>52</v>
      </c>
      <c r="G45" s="25">
        <v>13</v>
      </c>
      <c r="H45" s="24" t="s">
        <v>52</v>
      </c>
      <c r="I45" s="25">
        <v>15</v>
      </c>
      <c r="J45" s="24" t="s">
        <v>52</v>
      </c>
      <c r="K45" s="25">
        <v>16</v>
      </c>
    </row>
    <row r="46" spans="2:13" ht="12.95" customHeight="1" x14ac:dyDescent="0.3">
      <c r="B46" s="79"/>
      <c r="C46" s="82"/>
      <c r="D46" s="82"/>
      <c r="E46" s="82"/>
      <c r="F46" s="26" t="s">
        <v>53</v>
      </c>
      <c r="G46" s="27" t="s">
        <v>54</v>
      </c>
      <c r="H46" s="26" t="s">
        <v>53</v>
      </c>
      <c r="I46" s="27" t="s">
        <v>54</v>
      </c>
      <c r="J46" s="26" t="s">
        <v>53</v>
      </c>
      <c r="K46" s="27" t="s">
        <v>54</v>
      </c>
    </row>
    <row r="47" spans="2:13" ht="12.95" customHeight="1" x14ac:dyDescent="0.3">
      <c r="B47" s="28" t="s">
        <v>16</v>
      </c>
      <c r="C47" s="29" t="s">
        <v>18</v>
      </c>
      <c r="D47" s="30" t="s">
        <v>14</v>
      </c>
      <c r="E47" s="31"/>
      <c r="F47" s="32">
        <v>1</v>
      </c>
      <c r="G47" s="5">
        <f>TRUNC(SUM(G50:G51)*0.03,1)</f>
        <v>22618.3</v>
      </c>
      <c r="H47" s="32">
        <v>1</v>
      </c>
      <c r="I47" s="5">
        <f>TRUNC(SUM(I50:I51)*0.03,1)</f>
        <v>22618.3</v>
      </c>
      <c r="J47" s="32">
        <v>1</v>
      </c>
      <c r="K47" s="5">
        <f>TRUNC(SUM(K50:K51)*0.03,1)</f>
        <v>22618.3</v>
      </c>
    </row>
    <row r="48" spans="2:13" ht="12.95" customHeight="1" x14ac:dyDescent="0.3">
      <c r="B48" s="33" t="s">
        <v>11</v>
      </c>
      <c r="C48" s="34"/>
      <c r="D48" s="35"/>
      <c r="E48" s="36"/>
      <c r="F48" s="37"/>
      <c r="G48" s="11">
        <f>TRUNC(SUM(G47:G47))</f>
        <v>22618</v>
      </c>
      <c r="H48" s="37"/>
      <c r="I48" s="11">
        <f>TRUNC(SUM(I47:I47))</f>
        <v>22618</v>
      </c>
      <c r="J48" s="37"/>
      <c r="K48" s="11">
        <f>TRUNC(SUM(K47:K47))</f>
        <v>22618</v>
      </c>
    </row>
    <row r="49" spans="2:13" ht="12.95" customHeight="1" x14ac:dyDescent="0.3">
      <c r="B49" s="38"/>
      <c r="C49" s="39"/>
      <c r="D49" s="39"/>
      <c r="E49" s="40"/>
      <c r="F49" s="41"/>
      <c r="G49" s="42"/>
      <c r="H49" s="41"/>
      <c r="I49" s="42"/>
      <c r="J49" s="41"/>
      <c r="K49" s="42"/>
    </row>
    <row r="50" spans="2:13" ht="12.95" customHeight="1" x14ac:dyDescent="0.3">
      <c r="B50" s="43" t="s">
        <v>0</v>
      </c>
      <c r="C50" s="44"/>
      <c r="D50" s="45" t="s">
        <v>10</v>
      </c>
      <c r="E50" s="47">
        <v>290939</v>
      </c>
      <c r="F50" s="32">
        <v>2</v>
      </c>
      <c r="G50" s="3">
        <f t="shared" ref="G50:G51" si="9">TRUNC($E50*F50,1)</f>
        <v>581878</v>
      </c>
      <c r="H50" s="32">
        <v>2</v>
      </c>
      <c r="I50" s="3">
        <f t="shared" ref="I50:I51" si="10">TRUNC($E50*H50,1)</f>
        <v>581878</v>
      </c>
      <c r="J50" s="32">
        <v>2</v>
      </c>
      <c r="K50" s="3">
        <f t="shared" ref="K50:K51" si="11">TRUNC($E50*J50,1)</f>
        <v>581878</v>
      </c>
    </row>
    <row r="51" spans="2:13" ht="12.95" customHeight="1" x14ac:dyDescent="0.3">
      <c r="B51" s="43" t="s">
        <v>2</v>
      </c>
      <c r="C51" s="44"/>
      <c r="D51" s="45" t="s">
        <v>10</v>
      </c>
      <c r="E51" s="47">
        <v>172068</v>
      </c>
      <c r="F51" s="32">
        <v>1</v>
      </c>
      <c r="G51" s="3">
        <f t="shared" si="9"/>
        <v>172068</v>
      </c>
      <c r="H51" s="32">
        <v>1</v>
      </c>
      <c r="I51" s="3">
        <f t="shared" si="10"/>
        <v>172068</v>
      </c>
      <c r="J51" s="32">
        <v>1</v>
      </c>
      <c r="K51" s="3">
        <f t="shared" si="11"/>
        <v>172068</v>
      </c>
    </row>
    <row r="52" spans="2:13" ht="12.95" customHeight="1" x14ac:dyDescent="0.3">
      <c r="B52" s="48" t="s">
        <v>12</v>
      </c>
      <c r="C52" s="39"/>
      <c r="D52" s="39"/>
      <c r="E52" s="40"/>
      <c r="F52" s="41"/>
      <c r="G52" s="49">
        <f>TRUNC(SUM(G50:G51))</f>
        <v>753946</v>
      </c>
      <c r="H52" s="41"/>
      <c r="I52" s="49">
        <f>TRUNC(SUM(I50:I51))</f>
        <v>753946</v>
      </c>
      <c r="J52" s="41"/>
      <c r="K52" s="49">
        <f>TRUNC(SUM(K50:K51))</f>
        <v>753946</v>
      </c>
    </row>
    <row r="53" spans="2:13" ht="12.95" customHeight="1" x14ac:dyDescent="0.3">
      <c r="B53" s="38"/>
      <c r="C53" s="39"/>
      <c r="D53" s="39"/>
      <c r="E53" s="40"/>
      <c r="F53" s="41"/>
      <c r="G53" s="42"/>
      <c r="H53" s="41"/>
      <c r="I53" s="42"/>
      <c r="J53" s="41"/>
      <c r="K53" s="42"/>
    </row>
    <row r="54" spans="2:13" ht="12.95" customHeight="1" x14ac:dyDescent="0.3">
      <c r="B54" s="50" t="s">
        <v>13</v>
      </c>
      <c r="C54" s="39"/>
      <c r="D54" s="39"/>
      <c r="E54" s="51"/>
      <c r="F54" s="51"/>
      <c r="G54" s="52">
        <f>SUM(G48+G52)</f>
        <v>776564</v>
      </c>
      <c r="H54" s="51"/>
      <c r="I54" s="52">
        <f>SUM(I48+I52)</f>
        <v>776564</v>
      </c>
      <c r="J54" s="51"/>
      <c r="K54" s="52">
        <f>SUM(K48+K52)</f>
        <v>776564</v>
      </c>
    </row>
    <row r="55" spans="2:13" ht="12.95" customHeight="1" x14ac:dyDescent="0.3">
      <c r="B55" s="53" t="s">
        <v>55</v>
      </c>
      <c r="C55" s="54"/>
      <c r="D55" s="55"/>
      <c r="E55" s="56"/>
      <c r="F55" s="57"/>
      <c r="G55" s="58">
        <f>TRUNC(G54/G45)</f>
        <v>59735</v>
      </c>
      <c r="H55" s="57"/>
      <c r="I55" s="58">
        <f>TRUNC(I54/I45)</f>
        <v>51770</v>
      </c>
      <c r="J55" s="57"/>
      <c r="K55" s="58">
        <f>TRUNC(K54/K45)</f>
        <v>48535</v>
      </c>
      <c r="L55" s="12"/>
      <c r="M55" s="12"/>
    </row>
    <row r="56" spans="2:13" ht="12.95" customHeight="1" x14ac:dyDescent="0.3">
      <c r="L56" s="12"/>
      <c r="M56" s="12"/>
    </row>
    <row r="57" spans="2:13" ht="12.95" customHeight="1" x14ac:dyDescent="0.3">
      <c r="B57" s="19" t="s">
        <v>31</v>
      </c>
      <c r="C57" s="20"/>
      <c r="D57" s="21"/>
      <c r="E57" s="22"/>
      <c r="F57" s="21"/>
      <c r="G57" s="21"/>
      <c r="I57" s="21"/>
      <c r="J57" s="21"/>
      <c r="K57" s="21"/>
      <c r="M57" s="59" t="s">
        <v>20</v>
      </c>
    </row>
    <row r="58" spans="2:13" ht="12.95" customHeight="1" x14ac:dyDescent="0.3">
      <c r="B58" s="77" t="s">
        <v>4</v>
      </c>
      <c r="C58" s="77" t="s">
        <v>8</v>
      </c>
      <c r="D58" s="80" t="s">
        <v>9</v>
      </c>
      <c r="E58" s="80" t="s">
        <v>5</v>
      </c>
      <c r="F58" s="75" t="s">
        <v>38</v>
      </c>
      <c r="G58" s="76"/>
      <c r="H58" s="76"/>
      <c r="I58" s="76"/>
      <c r="J58" s="76"/>
      <c r="K58" s="76"/>
      <c r="L58" s="76"/>
      <c r="M58" s="76"/>
    </row>
    <row r="59" spans="2:13" ht="12.95" customHeight="1" x14ac:dyDescent="0.3">
      <c r="B59" s="78"/>
      <c r="C59" s="78"/>
      <c r="D59" s="81"/>
      <c r="E59" s="81"/>
      <c r="F59" s="75" t="s">
        <v>39</v>
      </c>
      <c r="G59" s="76"/>
      <c r="H59" s="75" t="s">
        <v>40</v>
      </c>
      <c r="I59" s="76"/>
      <c r="J59" s="75" t="s">
        <v>41</v>
      </c>
      <c r="K59" s="76"/>
      <c r="L59" s="75" t="s">
        <v>42</v>
      </c>
      <c r="M59" s="76"/>
    </row>
    <row r="60" spans="2:13" ht="12.95" customHeight="1" x14ac:dyDescent="0.3">
      <c r="B60" s="79"/>
      <c r="C60" s="79"/>
      <c r="D60" s="82"/>
      <c r="E60" s="82"/>
      <c r="F60" s="60" t="s">
        <v>6</v>
      </c>
      <c r="G60" s="61" t="s">
        <v>7</v>
      </c>
      <c r="H60" s="60" t="s">
        <v>6</v>
      </c>
      <c r="I60" s="61" t="s">
        <v>7</v>
      </c>
      <c r="J60" s="60" t="s">
        <v>6</v>
      </c>
      <c r="K60" s="61" t="s">
        <v>7</v>
      </c>
      <c r="L60" s="60" t="s">
        <v>6</v>
      </c>
      <c r="M60" s="61" t="s">
        <v>7</v>
      </c>
    </row>
    <row r="61" spans="2:13" ht="12.95" customHeight="1" x14ac:dyDescent="0.3">
      <c r="B61" s="28" t="s">
        <v>34</v>
      </c>
      <c r="C61" s="29" t="s">
        <v>35</v>
      </c>
      <c r="D61" s="30" t="s">
        <v>19</v>
      </c>
      <c r="E61" s="72">
        <v>0</v>
      </c>
      <c r="F61" s="63">
        <v>1.4E-2</v>
      </c>
      <c r="G61" s="2">
        <f t="shared" ref="G61" si="12">TRUNC($E61*F61,1)</f>
        <v>0</v>
      </c>
      <c r="H61" s="63">
        <v>1.7000000000000001E-2</v>
      </c>
      <c r="I61" s="3">
        <f t="shared" ref="I61" si="13">TRUNC($E61*H61,1)</f>
        <v>0</v>
      </c>
      <c r="J61" s="63">
        <v>0.02</v>
      </c>
      <c r="K61" s="2">
        <f t="shared" ref="K61" si="14">TRUNC($E61*J61,1)</f>
        <v>0</v>
      </c>
      <c r="L61" s="63">
        <v>2.5999999999999999E-2</v>
      </c>
      <c r="M61" s="3">
        <f t="shared" ref="M61" si="15">TRUNC($E61*L61,1)</f>
        <v>0</v>
      </c>
    </row>
    <row r="62" spans="2:13" ht="12.95" customHeight="1" x14ac:dyDescent="0.3">
      <c r="B62" s="33" t="s">
        <v>11</v>
      </c>
      <c r="C62" s="34"/>
      <c r="D62" s="35"/>
      <c r="E62" s="36"/>
      <c r="F62" s="37"/>
      <c r="G62" s="9">
        <f>TRUNC(SUM(G61:G61))</f>
        <v>0</v>
      </c>
      <c r="H62" s="37"/>
      <c r="I62" s="10">
        <f>TRUNC(SUM(I61:I61))</f>
        <v>0</v>
      </c>
      <c r="J62" s="37"/>
      <c r="K62" s="9">
        <f>TRUNC(SUM(K61:K61))</f>
        <v>0</v>
      </c>
      <c r="L62" s="37"/>
      <c r="M62" s="10">
        <f>TRUNC(SUM(M61:M61))</f>
        <v>0</v>
      </c>
    </row>
    <row r="63" spans="2:13" ht="12.95" customHeight="1" x14ac:dyDescent="0.3">
      <c r="B63" s="38"/>
      <c r="C63" s="39"/>
      <c r="D63" s="39"/>
      <c r="E63" s="40"/>
      <c r="F63" s="41"/>
      <c r="G63" s="42"/>
      <c r="H63" s="41"/>
      <c r="I63" s="42"/>
      <c r="J63" s="41"/>
      <c r="K63" s="42"/>
      <c r="L63" s="41"/>
      <c r="M63" s="42"/>
    </row>
    <row r="64" spans="2:13" ht="12.95" customHeight="1" x14ac:dyDescent="0.3">
      <c r="B64" s="53" t="s">
        <v>13</v>
      </c>
      <c r="C64" s="73"/>
      <c r="D64" s="73"/>
      <c r="E64" s="74"/>
      <c r="F64" s="74"/>
      <c r="G64" s="8">
        <f>SUM(G62)</f>
        <v>0</v>
      </c>
      <c r="H64" s="74"/>
      <c r="I64" s="8">
        <f>SUM(I62)</f>
        <v>0</v>
      </c>
      <c r="J64" s="74"/>
      <c r="K64" s="8">
        <f>SUM(K62)</f>
        <v>0</v>
      </c>
      <c r="L64" s="74"/>
      <c r="M64" s="8">
        <f>SUM(M62)</f>
        <v>0</v>
      </c>
    </row>
    <row r="66" spans="2:13" ht="12.95" customHeight="1" x14ac:dyDescent="0.3">
      <c r="B66" s="19" t="s">
        <v>43</v>
      </c>
      <c r="C66" s="20"/>
      <c r="D66" s="21"/>
      <c r="E66" s="22"/>
      <c r="F66" s="21"/>
      <c r="G66" s="21"/>
      <c r="K66" s="23" t="s">
        <v>59</v>
      </c>
    </row>
    <row r="67" spans="2:13" ht="12.95" customHeight="1" x14ac:dyDescent="0.3">
      <c r="B67" s="77" t="s">
        <v>4</v>
      </c>
      <c r="C67" s="80" t="s">
        <v>8</v>
      </c>
      <c r="D67" s="80" t="s">
        <v>9</v>
      </c>
      <c r="E67" s="80" t="s">
        <v>5</v>
      </c>
      <c r="F67" s="75" t="s">
        <v>26</v>
      </c>
      <c r="G67" s="76"/>
      <c r="H67" s="76"/>
      <c r="I67" s="76"/>
      <c r="J67" s="76"/>
      <c r="K67" s="76"/>
    </row>
    <row r="68" spans="2:13" ht="12.95" customHeight="1" x14ac:dyDescent="0.3">
      <c r="B68" s="78"/>
      <c r="C68" s="81"/>
      <c r="D68" s="81"/>
      <c r="E68" s="81"/>
      <c r="F68" s="75" t="s">
        <v>27</v>
      </c>
      <c r="G68" s="76"/>
      <c r="H68" s="75" t="s">
        <v>28</v>
      </c>
      <c r="I68" s="76"/>
      <c r="J68" s="75" t="s">
        <v>29</v>
      </c>
      <c r="K68" s="76"/>
    </row>
    <row r="69" spans="2:13" ht="12.95" customHeight="1" x14ac:dyDescent="0.3">
      <c r="B69" s="78"/>
      <c r="C69" s="81"/>
      <c r="D69" s="81"/>
      <c r="E69" s="81"/>
      <c r="F69" s="24" t="s">
        <v>52</v>
      </c>
      <c r="G69" s="25">
        <v>18</v>
      </c>
      <c r="H69" s="24" t="s">
        <v>52</v>
      </c>
      <c r="I69" s="25">
        <v>21</v>
      </c>
      <c r="J69" s="24" t="s">
        <v>52</v>
      </c>
      <c r="K69" s="25">
        <v>22</v>
      </c>
    </row>
    <row r="70" spans="2:13" ht="12.95" customHeight="1" x14ac:dyDescent="0.3">
      <c r="B70" s="79"/>
      <c r="C70" s="82"/>
      <c r="D70" s="82"/>
      <c r="E70" s="82"/>
      <c r="F70" s="26" t="s">
        <v>53</v>
      </c>
      <c r="G70" s="27" t="s">
        <v>54</v>
      </c>
      <c r="H70" s="26" t="s">
        <v>53</v>
      </c>
      <c r="I70" s="27" t="s">
        <v>54</v>
      </c>
      <c r="J70" s="26" t="s">
        <v>53</v>
      </c>
      <c r="K70" s="27" t="s">
        <v>54</v>
      </c>
    </row>
    <row r="71" spans="2:13" ht="12.95" customHeight="1" x14ac:dyDescent="0.3">
      <c r="B71" s="28" t="s">
        <v>16</v>
      </c>
      <c r="C71" s="29" t="s">
        <v>18</v>
      </c>
      <c r="D71" s="30" t="s">
        <v>14</v>
      </c>
      <c r="E71" s="31"/>
      <c r="F71" s="32">
        <v>1</v>
      </c>
      <c r="G71" s="5">
        <f>TRUNC(SUM(G74:G75)*0.03,1)</f>
        <v>22618.3</v>
      </c>
      <c r="H71" s="32">
        <v>1</v>
      </c>
      <c r="I71" s="5">
        <f>TRUNC(SUM(I74:I75)*0.03,1)</f>
        <v>22618.3</v>
      </c>
      <c r="J71" s="32">
        <v>1</v>
      </c>
      <c r="K71" s="5">
        <f>TRUNC(SUM(K74:K75)*0.03,1)</f>
        <v>22618.3</v>
      </c>
    </row>
    <row r="72" spans="2:13" ht="12.95" customHeight="1" x14ac:dyDescent="0.3">
      <c r="B72" s="33" t="s">
        <v>11</v>
      </c>
      <c r="C72" s="34"/>
      <c r="D72" s="35"/>
      <c r="E72" s="36"/>
      <c r="F72" s="37"/>
      <c r="G72" s="11">
        <f>TRUNC(SUM(G71:G71))</f>
        <v>22618</v>
      </c>
      <c r="H72" s="37"/>
      <c r="I72" s="11">
        <f>TRUNC(SUM(I71:I71))</f>
        <v>22618</v>
      </c>
      <c r="J72" s="37"/>
      <c r="K72" s="11">
        <f>TRUNC(SUM(K71:K71))</f>
        <v>22618</v>
      </c>
    </row>
    <row r="73" spans="2:13" ht="12.95" customHeight="1" x14ac:dyDescent="0.3">
      <c r="B73" s="38"/>
      <c r="C73" s="39"/>
      <c r="D73" s="39"/>
      <c r="E73" s="40"/>
      <c r="F73" s="41"/>
      <c r="G73" s="42"/>
      <c r="H73" s="41"/>
      <c r="I73" s="42"/>
      <c r="J73" s="41"/>
      <c r="K73" s="42"/>
    </row>
    <row r="74" spans="2:13" ht="12.95" customHeight="1" x14ac:dyDescent="0.3">
      <c r="B74" s="43" t="s">
        <v>0</v>
      </c>
      <c r="C74" s="44"/>
      <c r="D74" s="45" t="s">
        <v>10</v>
      </c>
      <c r="E74" s="47">
        <v>290939</v>
      </c>
      <c r="F74" s="32">
        <v>2</v>
      </c>
      <c r="G74" s="3">
        <f t="shared" ref="G74:G75" si="16">TRUNC($E74*F74,1)</f>
        <v>581878</v>
      </c>
      <c r="H74" s="32">
        <v>2</v>
      </c>
      <c r="I74" s="3">
        <f t="shared" ref="I74:I75" si="17">TRUNC($E74*H74,1)</f>
        <v>581878</v>
      </c>
      <c r="J74" s="32">
        <v>2</v>
      </c>
      <c r="K74" s="3">
        <f t="shared" ref="K74:K75" si="18">TRUNC($E74*J74,1)</f>
        <v>581878</v>
      </c>
    </row>
    <row r="75" spans="2:13" ht="12.95" customHeight="1" x14ac:dyDescent="0.3">
      <c r="B75" s="43" t="s">
        <v>2</v>
      </c>
      <c r="C75" s="44"/>
      <c r="D75" s="45" t="s">
        <v>10</v>
      </c>
      <c r="E75" s="47">
        <v>172068</v>
      </c>
      <c r="F75" s="32">
        <v>1</v>
      </c>
      <c r="G75" s="3">
        <f t="shared" si="16"/>
        <v>172068</v>
      </c>
      <c r="H75" s="32">
        <v>1</v>
      </c>
      <c r="I75" s="3">
        <f t="shared" si="17"/>
        <v>172068</v>
      </c>
      <c r="J75" s="32">
        <v>1</v>
      </c>
      <c r="K75" s="3">
        <f t="shared" si="18"/>
        <v>172068</v>
      </c>
    </row>
    <row r="76" spans="2:13" ht="12.95" customHeight="1" x14ac:dyDescent="0.3">
      <c r="B76" s="48" t="s">
        <v>12</v>
      </c>
      <c r="C76" s="39"/>
      <c r="D76" s="39"/>
      <c r="E76" s="40"/>
      <c r="F76" s="41"/>
      <c r="G76" s="49">
        <f>TRUNC(SUM(G74:G75))</f>
        <v>753946</v>
      </c>
      <c r="H76" s="41"/>
      <c r="I76" s="49">
        <f>TRUNC(SUM(I74:I75))</f>
        <v>753946</v>
      </c>
      <c r="J76" s="41"/>
      <c r="K76" s="49">
        <f>TRUNC(SUM(K74:K75))</f>
        <v>753946</v>
      </c>
    </row>
    <row r="77" spans="2:13" ht="12.95" customHeight="1" x14ac:dyDescent="0.3">
      <c r="B77" s="38"/>
      <c r="C77" s="39"/>
      <c r="D77" s="39"/>
      <c r="E77" s="40"/>
      <c r="F77" s="41"/>
      <c r="G77" s="42"/>
      <c r="H77" s="41"/>
      <c r="I77" s="42"/>
      <c r="J77" s="41"/>
      <c r="K77" s="42"/>
    </row>
    <row r="78" spans="2:13" ht="12.95" customHeight="1" x14ac:dyDescent="0.3">
      <c r="B78" s="50" t="s">
        <v>13</v>
      </c>
      <c r="C78" s="39"/>
      <c r="D78" s="39"/>
      <c r="E78" s="51"/>
      <c r="F78" s="51"/>
      <c r="G78" s="52">
        <f>SUM(G72+G76)</f>
        <v>776564</v>
      </c>
      <c r="H78" s="51"/>
      <c r="I78" s="52">
        <f>SUM(I72+I76)</f>
        <v>776564</v>
      </c>
      <c r="J78" s="51"/>
      <c r="K78" s="52">
        <f>SUM(K72+K76)</f>
        <v>776564</v>
      </c>
    </row>
    <row r="79" spans="2:13" ht="12.95" customHeight="1" x14ac:dyDescent="0.3">
      <c r="B79" s="53" t="s">
        <v>55</v>
      </c>
      <c r="C79" s="54"/>
      <c r="D79" s="55"/>
      <c r="E79" s="56"/>
      <c r="F79" s="57"/>
      <c r="G79" s="58">
        <f>TRUNC(G78/G69)</f>
        <v>43142</v>
      </c>
      <c r="H79" s="57"/>
      <c r="I79" s="58">
        <f>TRUNC(I78/I69)</f>
        <v>36979</v>
      </c>
      <c r="J79" s="57"/>
      <c r="K79" s="58">
        <f>TRUNC(K78/K69)</f>
        <v>35298</v>
      </c>
      <c r="L79" s="12"/>
      <c r="M79" s="12"/>
    </row>
    <row r="80" spans="2:13" ht="12.95" customHeight="1" x14ac:dyDescent="0.3">
      <c r="B80" s="77" t="s">
        <v>4</v>
      </c>
      <c r="C80" s="80" t="s">
        <v>8</v>
      </c>
      <c r="D80" s="80" t="s">
        <v>9</v>
      </c>
      <c r="E80" s="80" t="s">
        <v>5</v>
      </c>
      <c r="F80" s="75" t="s">
        <v>30</v>
      </c>
      <c r="G80" s="76"/>
      <c r="H80" s="76"/>
      <c r="I80" s="76"/>
      <c r="J80" s="76"/>
      <c r="K80" s="76"/>
    </row>
    <row r="81" spans="2:13" ht="12.95" customHeight="1" x14ac:dyDescent="0.3">
      <c r="B81" s="78"/>
      <c r="C81" s="81"/>
      <c r="D81" s="81"/>
      <c r="E81" s="81"/>
      <c r="F81" s="75" t="s">
        <v>27</v>
      </c>
      <c r="G81" s="76"/>
      <c r="H81" s="75" t="s">
        <v>28</v>
      </c>
      <c r="I81" s="76"/>
      <c r="J81" s="75" t="s">
        <v>29</v>
      </c>
      <c r="K81" s="76"/>
    </row>
    <row r="82" spans="2:13" ht="12.95" customHeight="1" x14ac:dyDescent="0.3">
      <c r="B82" s="78"/>
      <c r="C82" s="81"/>
      <c r="D82" s="81"/>
      <c r="E82" s="81"/>
      <c r="F82" s="24" t="s">
        <v>52</v>
      </c>
      <c r="G82" s="25">
        <v>15</v>
      </c>
      <c r="H82" s="24" t="s">
        <v>52</v>
      </c>
      <c r="I82" s="25">
        <v>16</v>
      </c>
      <c r="J82" s="24" t="s">
        <v>52</v>
      </c>
      <c r="K82" s="25">
        <v>18</v>
      </c>
    </row>
    <row r="83" spans="2:13" ht="12.95" customHeight="1" x14ac:dyDescent="0.3">
      <c r="B83" s="79"/>
      <c r="C83" s="82"/>
      <c r="D83" s="82"/>
      <c r="E83" s="82"/>
      <c r="F83" s="26" t="s">
        <v>53</v>
      </c>
      <c r="G83" s="27" t="s">
        <v>54</v>
      </c>
      <c r="H83" s="26" t="s">
        <v>53</v>
      </c>
      <c r="I83" s="27" t="s">
        <v>54</v>
      </c>
      <c r="J83" s="26" t="s">
        <v>53</v>
      </c>
      <c r="K83" s="27" t="s">
        <v>54</v>
      </c>
    </row>
    <row r="84" spans="2:13" ht="12.95" customHeight="1" x14ac:dyDescent="0.3">
      <c r="B84" s="28" t="s">
        <v>16</v>
      </c>
      <c r="C84" s="29" t="s">
        <v>18</v>
      </c>
      <c r="D84" s="30" t="s">
        <v>14</v>
      </c>
      <c r="E84" s="31"/>
      <c r="F84" s="32">
        <v>1</v>
      </c>
      <c r="G84" s="5">
        <f>TRUNC(SUM(G87:G88)*0.03,1)</f>
        <v>22618.3</v>
      </c>
      <c r="H84" s="32">
        <v>1</v>
      </c>
      <c r="I84" s="5">
        <f>TRUNC(SUM(I87:I88)*0.03,1)</f>
        <v>22618.3</v>
      </c>
      <c r="J84" s="32">
        <v>1</v>
      </c>
      <c r="K84" s="5">
        <f>TRUNC(SUM(K87:K88)*0.03,1)</f>
        <v>22618.3</v>
      </c>
    </row>
    <row r="85" spans="2:13" ht="12.95" customHeight="1" x14ac:dyDescent="0.3">
      <c r="B85" s="33" t="s">
        <v>11</v>
      </c>
      <c r="C85" s="34"/>
      <c r="D85" s="35"/>
      <c r="E85" s="36"/>
      <c r="F85" s="37"/>
      <c r="G85" s="11">
        <f>TRUNC(SUM(G84:G84))</f>
        <v>22618</v>
      </c>
      <c r="H85" s="37"/>
      <c r="I85" s="11">
        <f>TRUNC(SUM(I84:I84))</f>
        <v>22618</v>
      </c>
      <c r="J85" s="37"/>
      <c r="K85" s="11">
        <f>TRUNC(SUM(K84:K84))</f>
        <v>22618</v>
      </c>
    </row>
    <row r="86" spans="2:13" ht="12.95" customHeight="1" x14ac:dyDescent="0.3">
      <c r="B86" s="38"/>
      <c r="C86" s="39"/>
      <c r="D86" s="39"/>
      <c r="E86" s="40"/>
      <c r="F86" s="41"/>
      <c r="G86" s="42"/>
      <c r="H86" s="41"/>
      <c r="I86" s="42"/>
      <c r="J86" s="41"/>
      <c r="K86" s="42"/>
    </row>
    <row r="87" spans="2:13" ht="12.95" customHeight="1" x14ac:dyDescent="0.3">
      <c r="B87" s="43" t="s">
        <v>0</v>
      </c>
      <c r="C87" s="44"/>
      <c r="D87" s="45" t="s">
        <v>10</v>
      </c>
      <c r="E87" s="47">
        <v>290939</v>
      </c>
      <c r="F87" s="32">
        <v>2</v>
      </c>
      <c r="G87" s="3">
        <f t="shared" ref="G87:G88" si="19">TRUNC($E87*F87,1)</f>
        <v>581878</v>
      </c>
      <c r="H87" s="32">
        <v>2</v>
      </c>
      <c r="I87" s="3">
        <f t="shared" ref="I87:I88" si="20">TRUNC($E87*H87,1)</f>
        <v>581878</v>
      </c>
      <c r="J87" s="32">
        <v>2</v>
      </c>
      <c r="K87" s="3">
        <f t="shared" ref="K87:K88" si="21">TRUNC($E87*J87,1)</f>
        <v>581878</v>
      </c>
    </row>
    <row r="88" spans="2:13" ht="12.95" customHeight="1" x14ac:dyDescent="0.3">
      <c r="B88" s="43" t="s">
        <v>2</v>
      </c>
      <c r="C88" s="44"/>
      <c r="D88" s="45" t="s">
        <v>10</v>
      </c>
      <c r="E88" s="47">
        <v>172068</v>
      </c>
      <c r="F88" s="32">
        <v>1</v>
      </c>
      <c r="G88" s="3">
        <f t="shared" si="19"/>
        <v>172068</v>
      </c>
      <c r="H88" s="32">
        <v>1</v>
      </c>
      <c r="I88" s="3">
        <f t="shared" si="20"/>
        <v>172068</v>
      </c>
      <c r="J88" s="32">
        <v>1</v>
      </c>
      <c r="K88" s="3">
        <f t="shared" si="21"/>
        <v>172068</v>
      </c>
    </row>
    <row r="89" spans="2:13" ht="12.95" customHeight="1" x14ac:dyDescent="0.3">
      <c r="B89" s="48" t="s">
        <v>12</v>
      </c>
      <c r="C89" s="39"/>
      <c r="D89" s="39"/>
      <c r="E89" s="40"/>
      <c r="F89" s="41"/>
      <c r="G89" s="49">
        <f>TRUNC(SUM(G87:G88))</f>
        <v>753946</v>
      </c>
      <c r="H89" s="41"/>
      <c r="I89" s="49">
        <f>TRUNC(SUM(I87:I88))</f>
        <v>753946</v>
      </c>
      <c r="J89" s="41"/>
      <c r="K89" s="49">
        <f>TRUNC(SUM(K87:K88))</f>
        <v>753946</v>
      </c>
    </row>
    <row r="90" spans="2:13" ht="12.95" customHeight="1" x14ac:dyDescent="0.3">
      <c r="B90" s="38"/>
      <c r="C90" s="39"/>
      <c r="D90" s="39"/>
      <c r="E90" s="40"/>
      <c r="F90" s="41"/>
      <c r="G90" s="42"/>
      <c r="H90" s="41"/>
      <c r="I90" s="42"/>
      <c r="J90" s="41"/>
      <c r="K90" s="42"/>
    </row>
    <row r="91" spans="2:13" ht="12.95" customHeight="1" x14ac:dyDescent="0.3">
      <c r="B91" s="50" t="s">
        <v>13</v>
      </c>
      <c r="C91" s="39"/>
      <c r="D91" s="39"/>
      <c r="E91" s="51"/>
      <c r="F91" s="51"/>
      <c r="G91" s="52">
        <f>SUM(G85+G89)</f>
        <v>776564</v>
      </c>
      <c r="H91" s="51"/>
      <c r="I91" s="52">
        <f>SUM(I85+I89)</f>
        <v>776564</v>
      </c>
      <c r="J91" s="51"/>
      <c r="K91" s="52">
        <f>SUM(K85+K89)</f>
        <v>776564</v>
      </c>
    </row>
    <row r="92" spans="2:13" ht="12.95" customHeight="1" x14ac:dyDescent="0.3">
      <c r="B92" s="53" t="s">
        <v>55</v>
      </c>
      <c r="C92" s="54"/>
      <c r="D92" s="55"/>
      <c r="E92" s="56"/>
      <c r="F92" s="57"/>
      <c r="G92" s="58">
        <f>TRUNC(G91/G82)</f>
        <v>51770</v>
      </c>
      <c r="H92" s="57"/>
      <c r="I92" s="58">
        <f>TRUNC(I91/I82)</f>
        <v>48535</v>
      </c>
      <c r="J92" s="57"/>
      <c r="K92" s="58">
        <f>TRUNC(K91/K82)</f>
        <v>43142</v>
      </c>
      <c r="L92" s="12"/>
      <c r="M92" s="12"/>
    </row>
    <row r="94" spans="2:13" ht="12.95" customHeight="1" x14ac:dyDescent="0.3">
      <c r="B94" s="19" t="s">
        <v>31</v>
      </c>
      <c r="C94" s="20"/>
      <c r="D94" s="21"/>
      <c r="E94" s="22"/>
      <c r="F94" s="21"/>
      <c r="G94" s="21"/>
      <c r="I94" s="21"/>
      <c r="J94" s="21"/>
      <c r="K94" s="59" t="s">
        <v>20</v>
      </c>
    </row>
    <row r="95" spans="2:13" ht="12.95" customHeight="1" x14ac:dyDescent="0.3">
      <c r="B95" s="77" t="s">
        <v>4</v>
      </c>
      <c r="C95" s="77" t="s">
        <v>8</v>
      </c>
      <c r="D95" s="80" t="s">
        <v>9</v>
      </c>
      <c r="E95" s="80" t="s">
        <v>5</v>
      </c>
      <c r="F95" s="75" t="s">
        <v>45</v>
      </c>
      <c r="G95" s="76"/>
      <c r="H95" s="76"/>
      <c r="I95" s="76"/>
      <c r="J95" s="76"/>
      <c r="K95" s="76"/>
    </row>
    <row r="96" spans="2:13" ht="12.95" customHeight="1" x14ac:dyDescent="0.3">
      <c r="B96" s="78"/>
      <c r="C96" s="78"/>
      <c r="D96" s="81"/>
      <c r="E96" s="81"/>
      <c r="F96" s="75" t="s">
        <v>47</v>
      </c>
      <c r="G96" s="76"/>
      <c r="H96" s="75" t="s">
        <v>48</v>
      </c>
      <c r="I96" s="76"/>
      <c r="J96" s="75" t="s">
        <v>49</v>
      </c>
      <c r="K96" s="76"/>
    </row>
    <row r="97" spans="2:11" ht="12.95" customHeight="1" x14ac:dyDescent="0.3">
      <c r="B97" s="79"/>
      <c r="C97" s="79"/>
      <c r="D97" s="82"/>
      <c r="E97" s="82"/>
      <c r="F97" s="60" t="s">
        <v>6</v>
      </c>
      <c r="G97" s="61" t="s">
        <v>7</v>
      </c>
      <c r="H97" s="60" t="s">
        <v>6</v>
      </c>
      <c r="I97" s="61" t="s">
        <v>7</v>
      </c>
      <c r="J97" s="60" t="s">
        <v>6</v>
      </c>
      <c r="K97" s="61" t="s">
        <v>7</v>
      </c>
    </row>
    <row r="98" spans="2:11" ht="12.95" customHeight="1" x14ac:dyDescent="0.3">
      <c r="B98" s="28" t="s">
        <v>46</v>
      </c>
      <c r="C98" s="29" t="s">
        <v>44</v>
      </c>
      <c r="D98" s="30" t="s">
        <v>19</v>
      </c>
      <c r="E98" s="72">
        <v>0</v>
      </c>
      <c r="F98" s="63">
        <v>5.0000000000000001E-3</v>
      </c>
      <c r="G98" s="2">
        <f t="shared" ref="G98" si="22">TRUNC($E98*F98,1)</f>
        <v>0</v>
      </c>
      <c r="H98" s="63">
        <v>6.0000000000000001E-3</v>
      </c>
      <c r="I98" s="3">
        <f t="shared" ref="I98" si="23">TRUNC($E98*H98,1)</f>
        <v>0</v>
      </c>
      <c r="J98" s="63">
        <v>7.0000000000000001E-3</v>
      </c>
      <c r="K98" s="3">
        <f t="shared" ref="K98" si="24">TRUNC($E98*J98,1)</f>
        <v>0</v>
      </c>
    </row>
    <row r="99" spans="2:11" ht="12.95" customHeight="1" x14ac:dyDescent="0.3">
      <c r="B99" s="33" t="s">
        <v>11</v>
      </c>
      <c r="C99" s="34"/>
      <c r="D99" s="35"/>
      <c r="E99" s="36"/>
      <c r="F99" s="37"/>
      <c r="G99" s="9">
        <f>TRUNC(SUM(G98:G98))</f>
        <v>0</v>
      </c>
      <c r="H99" s="37"/>
      <c r="I99" s="10">
        <f>TRUNC(SUM(I98:I98))</f>
        <v>0</v>
      </c>
      <c r="J99" s="37"/>
      <c r="K99" s="10">
        <f>TRUNC(SUM(K98:K98))</f>
        <v>0</v>
      </c>
    </row>
    <row r="100" spans="2:11" ht="12.95" customHeight="1" x14ac:dyDescent="0.3">
      <c r="B100" s="38"/>
      <c r="C100" s="39"/>
      <c r="D100" s="39"/>
      <c r="E100" s="40"/>
      <c r="F100" s="41"/>
      <c r="G100" s="42"/>
      <c r="H100" s="41"/>
      <c r="I100" s="42"/>
      <c r="J100" s="41"/>
      <c r="K100" s="42"/>
    </row>
    <row r="101" spans="2:11" ht="12.95" customHeight="1" x14ac:dyDescent="0.3">
      <c r="B101" s="53" t="s">
        <v>13</v>
      </c>
      <c r="C101" s="73"/>
      <c r="D101" s="73"/>
      <c r="E101" s="74"/>
      <c r="F101" s="74"/>
      <c r="G101" s="8">
        <f>SUM(G99)</f>
        <v>0</v>
      </c>
      <c r="H101" s="74"/>
      <c r="I101" s="8">
        <f>SUM(I99)</f>
        <v>0</v>
      </c>
      <c r="J101" s="74"/>
      <c r="K101" s="8">
        <f>SUM(K99)</f>
        <v>0</v>
      </c>
    </row>
    <row r="102" spans="2:11" ht="12.95" customHeight="1" x14ac:dyDescent="0.3">
      <c r="B102" s="77" t="s">
        <v>4</v>
      </c>
      <c r="C102" s="77" t="s">
        <v>8</v>
      </c>
      <c r="D102" s="80" t="s">
        <v>9</v>
      </c>
      <c r="E102" s="80" t="s">
        <v>5</v>
      </c>
      <c r="F102" s="75" t="s">
        <v>50</v>
      </c>
      <c r="G102" s="76"/>
      <c r="H102" s="76"/>
      <c r="I102" s="76"/>
      <c r="J102" s="76"/>
      <c r="K102" s="76"/>
    </row>
    <row r="103" spans="2:11" ht="12.95" customHeight="1" x14ac:dyDescent="0.3">
      <c r="B103" s="78"/>
      <c r="C103" s="78"/>
      <c r="D103" s="81"/>
      <c r="E103" s="81"/>
      <c r="F103" s="75" t="s">
        <v>47</v>
      </c>
      <c r="G103" s="76"/>
      <c r="H103" s="75" t="s">
        <v>48</v>
      </c>
      <c r="I103" s="76"/>
      <c r="J103" s="75" t="s">
        <v>49</v>
      </c>
      <c r="K103" s="76"/>
    </row>
    <row r="104" spans="2:11" ht="12.95" customHeight="1" x14ac:dyDescent="0.3">
      <c r="B104" s="79"/>
      <c r="C104" s="79"/>
      <c r="D104" s="82"/>
      <c r="E104" s="82"/>
      <c r="F104" s="60" t="s">
        <v>6</v>
      </c>
      <c r="G104" s="61" t="s">
        <v>7</v>
      </c>
      <c r="H104" s="60" t="s">
        <v>6</v>
      </c>
      <c r="I104" s="61" t="s">
        <v>7</v>
      </c>
      <c r="J104" s="60" t="s">
        <v>6</v>
      </c>
      <c r="K104" s="61" t="s">
        <v>7</v>
      </c>
    </row>
    <row r="105" spans="2:11" ht="12.95" customHeight="1" x14ac:dyDescent="0.3">
      <c r="B105" s="28" t="s">
        <v>46</v>
      </c>
      <c r="C105" s="29" t="s">
        <v>44</v>
      </c>
      <c r="D105" s="30" t="s">
        <v>19</v>
      </c>
      <c r="E105" s="72">
        <v>0</v>
      </c>
      <c r="F105" s="63">
        <v>6.0000000000000001E-3</v>
      </c>
      <c r="G105" s="2">
        <f t="shared" ref="G105" si="25">TRUNC($E105*F105,1)</f>
        <v>0</v>
      </c>
      <c r="H105" s="63">
        <v>7.0000000000000001E-3</v>
      </c>
      <c r="I105" s="3">
        <f t="shared" ref="I105" si="26">TRUNC($E105*H105,1)</f>
        <v>0</v>
      </c>
      <c r="J105" s="63">
        <v>8.0000000000000002E-3</v>
      </c>
      <c r="K105" s="3">
        <f t="shared" ref="K105" si="27">TRUNC($E105*J105,1)</f>
        <v>0</v>
      </c>
    </row>
    <row r="106" spans="2:11" ht="12.95" customHeight="1" x14ac:dyDescent="0.3">
      <c r="B106" s="33" t="s">
        <v>11</v>
      </c>
      <c r="C106" s="34"/>
      <c r="D106" s="35"/>
      <c r="E106" s="36"/>
      <c r="F106" s="37"/>
      <c r="G106" s="9">
        <f>TRUNC(SUM(G105:G105))</f>
        <v>0</v>
      </c>
      <c r="H106" s="37"/>
      <c r="I106" s="10">
        <f>TRUNC(SUM(I105:I105))</f>
        <v>0</v>
      </c>
      <c r="J106" s="37"/>
      <c r="K106" s="10">
        <f>TRUNC(SUM(K105:K105))</f>
        <v>0</v>
      </c>
    </row>
    <row r="107" spans="2:11" ht="12.95" customHeight="1" x14ac:dyDescent="0.3">
      <c r="B107" s="38"/>
      <c r="C107" s="39"/>
      <c r="D107" s="39"/>
      <c r="E107" s="40"/>
      <c r="F107" s="41"/>
      <c r="G107" s="42"/>
      <c r="H107" s="41"/>
      <c r="I107" s="42"/>
      <c r="J107" s="41"/>
      <c r="K107" s="42"/>
    </row>
    <row r="108" spans="2:11" ht="12.95" customHeight="1" x14ac:dyDescent="0.3">
      <c r="B108" s="53" t="s">
        <v>13</v>
      </c>
      <c r="C108" s="73"/>
      <c r="D108" s="73"/>
      <c r="E108" s="74"/>
      <c r="F108" s="74"/>
      <c r="G108" s="8">
        <f>SUM(G106)</f>
        <v>0</v>
      </c>
      <c r="H108" s="74"/>
      <c r="I108" s="8">
        <f>SUM(I106)</f>
        <v>0</v>
      </c>
      <c r="J108" s="74"/>
      <c r="K108" s="8">
        <f>SUM(K106)</f>
        <v>0</v>
      </c>
    </row>
    <row r="110" spans="2:11" ht="12.95" customHeight="1" x14ac:dyDescent="0.3">
      <c r="B110" s="19" t="s">
        <v>51</v>
      </c>
      <c r="C110" s="20"/>
      <c r="D110" s="21"/>
      <c r="E110" s="22"/>
      <c r="F110" s="21"/>
      <c r="G110" s="21"/>
      <c r="K110" s="23" t="s">
        <v>59</v>
      </c>
    </row>
    <row r="111" spans="2:11" ht="12.95" customHeight="1" x14ac:dyDescent="0.3">
      <c r="B111" s="77" t="s">
        <v>4</v>
      </c>
      <c r="C111" s="80" t="s">
        <v>8</v>
      </c>
      <c r="D111" s="80" t="s">
        <v>9</v>
      </c>
      <c r="E111" s="80" t="s">
        <v>5</v>
      </c>
      <c r="F111" s="75" t="s">
        <v>30</v>
      </c>
      <c r="G111" s="76"/>
      <c r="H111" s="76"/>
      <c r="I111" s="76"/>
      <c r="J111" s="76"/>
      <c r="K111" s="76"/>
    </row>
    <row r="112" spans="2:11" ht="12.95" customHeight="1" x14ac:dyDescent="0.3">
      <c r="B112" s="78"/>
      <c r="C112" s="81"/>
      <c r="D112" s="81"/>
      <c r="E112" s="81"/>
      <c r="F112" s="75" t="s">
        <v>27</v>
      </c>
      <c r="G112" s="76"/>
      <c r="H112" s="75" t="s">
        <v>28</v>
      </c>
      <c r="I112" s="76"/>
      <c r="J112" s="75" t="s">
        <v>29</v>
      </c>
      <c r="K112" s="76"/>
    </row>
    <row r="113" spans="2:13" ht="12.95" customHeight="1" x14ac:dyDescent="0.3">
      <c r="B113" s="78"/>
      <c r="C113" s="81"/>
      <c r="D113" s="81"/>
      <c r="E113" s="81"/>
      <c r="F113" s="24" t="s">
        <v>52</v>
      </c>
      <c r="G113" s="25">
        <v>25</v>
      </c>
      <c r="H113" s="24" t="s">
        <v>52</v>
      </c>
      <c r="I113" s="25">
        <v>26</v>
      </c>
      <c r="J113" s="24" t="s">
        <v>52</v>
      </c>
      <c r="K113" s="25">
        <v>28</v>
      </c>
    </row>
    <row r="114" spans="2:13" ht="12.95" customHeight="1" x14ac:dyDescent="0.3">
      <c r="B114" s="79"/>
      <c r="C114" s="82"/>
      <c r="D114" s="82"/>
      <c r="E114" s="82"/>
      <c r="F114" s="26" t="s">
        <v>53</v>
      </c>
      <c r="G114" s="27" t="s">
        <v>54</v>
      </c>
      <c r="H114" s="26" t="s">
        <v>53</v>
      </c>
      <c r="I114" s="27" t="s">
        <v>54</v>
      </c>
      <c r="J114" s="26" t="s">
        <v>53</v>
      </c>
      <c r="K114" s="27" t="s">
        <v>54</v>
      </c>
    </row>
    <row r="115" spans="2:13" ht="12.95" customHeight="1" x14ac:dyDescent="0.3">
      <c r="B115" s="28" t="s">
        <v>16</v>
      </c>
      <c r="C115" s="29" t="s">
        <v>18</v>
      </c>
      <c r="D115" s="30" t="s">
        <v>14</v>
      </c>
      <c r="E115" s="31"/>
      <c r="F115" s="32">
        <v>1</v>
      </c>
      <c r="G115" s="5">
        <f>TRUNC(SUM(G118:G119)*0.03,1)</f>
        <v>22618.3</v>
      </c>
      <c r="H115" s="32">
        <v>1</v>
      </c>
      <c r="I115" s="5">
        <f>TRUNC(SUM(I118:I119)*0.03,1)</f>
        <v>22618.3</v>
      </c>
      <c r="J115" s="32">
        <v>1</v>
      </c>
      <c r="K115" s="5">
        <f>TRUNC(SUM(K118:K119)*0.03,1)</f>
        <v>22618.3</v>
      </c>
    </row>
    <row r="116" spans="2:13" ht="12.95" customHeight="1" x14ac:dyDescent="0.3">
      <c r="B116" s="33" t="s">
        <v>11</v>
      </c>
      <c r="C116" s="34"/>
      <c r="D116" s="35"/>
      <c r="E116" s="36"/>
      <c r="F116" s="37"/>
      <c r="G116" s="11">
        <f>TRUNC(SUM(G115:G115))</f>
        <v>22618</v>
      </c>
      <c r="H116" s="37"/>
      <c r="I116" s="11">
        <f>TRUNC(SUM(I115:I115))</f>
        <v>22618</v>
      </c>
      <c r="J116" s="37"/>
      <c r="K116" s="11">
        <f>TRUNC(SUM(K115:K115))</f>
        <v>22618</v>
      </c>
    </row>
    <row r="117" spans="2:13" ht="12.95" customHeight="1" x14ac:dyDescent="0.3">
      <c r="B117" s="38"/>
      <c r="C117" s="39"/>
      <c r="D117" s="39"/>
      <c r="E117" s="40"/>
      <c r="F117" s="41"/>
      <c r="G117" s="42"/>
      <c r="H117" s="41"/>
      <c r="I117" s="42"/>
      <c r="J117" s="41"/>
      <c r="K117" s="42"/>
    </row>
    <row r="118" spans="2:13" ht="12.95" customHeight="1" x14ac:dyDescent="0.3">
      <c r="B118" s="43" t="s">
        <v>0</v>
      </c>
      <c r="C118" s="44"/>
      <c r="D118" s="45" t="s">
        <v>10</v>
      </c>
      <c r="E118" s="47">
        <v>290939</v>
      </c>
      <c r="F118" s="32">
        <v>2</v>
      </c>
      <c r="G118" s="3">
        <f t="shared" ref="G118:G119" si="28">TRUNC($E118*F118,1)</f>
        <v>581878</v>
      </c>
      <c r="H118" s="32">
        <v>2</v>
      </c>
      <c r="I118" s="3">
        <f t="shared" ref="I118:I119" si="29">TRUNC($E118*H118,1)</f>
        <v>581878</v>
      </c>
      <c r="J118" s="32">
        <v>2</v>
      </c>
      <c r="K118" s="3">
        <f t="shared" ref="K118:K119" si="30">TRUNC($E118*J118,1)</f>
        <v>581878</v>
      </c>
    </row>
    <row r="119" spans="2:13" ht="12.95" customHeight="1" x14ac:dyDescent="0.3">
      <c r="B119" s="43" t="s">
        <v>2</v>
      </c>
      <c r="C119" s="44"/>
      <c r="D119" s="45" t="s">
        <v>10</v>
      </c>
      <c r="E119" s="47">
        <v>172068</v>
      </c>
      <c r="F119" s="32">
        <v>1</v>
      </c>
      <c r="G119" s="3">
        <f t="shared" si="28"/>
        <v>172068</v>
      </c>
      <c r="H119" s="32">
        <v>1</v>
      </c>
      <c r="I119" s="3">
        <f t="shared" si="29"/>
        <v>172068</v>
      </c>
      <c r="J119" s="32">
        <v>1</v>
      </c>
      <c r="K119" s="3">
        <f t="shared" si="30"/>
        <v>172068</v>
      </c>
    </row>
    <row r="120" spans="2:13" ht="12.95" customHeight="1" x14ac:dyDescent="0.3">
      <c r="B120" s="48" t="s">
        <v>12</v>
      </c>
      <c r="C120" s="39"/>
      <c r="D120" s="39"/>
      <c r="E120" s="40"/>
      <c r="F120" s="41"/>
      <c r="G120" s="49">
        <f>TRUNC(SUM(G118:G119))</f>
        <v>753946</v>
      </c>
      <c r="H120" s="41"/>
      <c r="I120" s="49">
        <f>TRUNC(SUM(I118:I119))</f>
        <v>753946</v>
      </c>
      <c r="J120" s="41"/>
      <c r="K120" s="49">
        <f>TRUNC(SUM(K118:K119))</f>
        <v>753946</v>
      </c>
    </row>
    <row r="121" spans="2:13" ht="12.95" customHeight="1" x14ac:dyDescent="0.3">
      <c r="B121" s="38"/>
      <c r="C121" s="39"/>
      <c r="D121" s="39"/>
      <c r="E121" s="40"/>
      <c r="F121" s="41"/>
      <c r="G121" s="42"/>
      <c r="H121" s="41"/>
      <c r="I121" s="42"/>
      <c r="J121" s="41"/>
      <c r="K121" s="42"/>
    </row>
    <row r="122" spans="2:13" ht="12.95" customHeight="1" x14ac:dyDescent="0.3">
      <c r="B122" s="50" t="s">
        <v>13</v>
      </c>
      <c r="C122" s="39"/>
      <c r="D122" s="39"/>
      <c r="E122" s="51"/>
      <c r="F122" s="51"/>
      <c r="G122" s="52">
        <f>SUM(G116+G120)</f>
        <v>776564</v>
      </c>
      <c r="H122" s="51"/>
      <c r="I122" s="52">
        <f>SUM(I116+I120)</f>
        <v>776564</v>
      </c>
      <c r="J122" s="51"/>
      <c r="K122" s="52">
        <f>SUM(K116+K120)</f>
        <v>776564</v>
      </c>
    </row>
    <row r="123" spans="2:13" ht="12.95" customHeight="1" x14ac:dyDescent="0.3">
      <c r="B123" s="53" t="s">
        <v>55</v>
      </c>
      <c r="C123" s="54"/>
      <c r="D123" s="55"/>
      <c r="E123" s="56"/>
      <c r="F123" s="57"/>
      <c r="G123" s="58">
        <f>TRUNC(G122/G113)</f>
        <v>31062</v>
      </c>
      <c r="H123" s="57"/>
      <c r="I123" s="58">
        <f>TRUNC(I122/I113)</f>
        <v>29867</v>
      </c>
      <c r="J123" s="57"/>
      <c r="K123" s="58">
        <f>TRUNC(K122/K113)</f>
        <v>27734</v>
      </c>
      <c r="L123" s="12"/>
      <c r="M123" s="12"/>
    </row>
    <row r="125" spans="2:13" ht="12.95" customHeight="1" x14ac:dyDescent="0.3">
      <c r="B125" s="19" t="s">
        <v>51</v>
      </c>
      <c r="C125" s="20"/>
      <c r="D125" s="21"/>
      <c r="E125" s="22"/>
      <c r="F125" s="21"/>
      <c r="G125" s="21"/>
      <c r="I125" s="23" t="s">
        <v>59</v>
      </c>
    </row>
    <row r="126" spans="2:13" ht="12.95" customHeight="1" x14ac:dyDescent="0.3">
      <c r="B126" s="77" t="s">
        <v>4</v>
      </c>
      <c r="C126" s="80" t="s">
        <v>8</v>
      </c>
      <c r="D126" s="80" t="s">
        <v>9</v>
      </c>
      <c r="E126" s="80" t="s">
        <v>5</v>
      </c>
      <c r="F126" s="75" t="s">
        <v>29</v>
      </c>
      <c r="G126" s="76"/>
      <c r="H126" s="75" t="s">
        <v>60</v>
      </c>
      <c r="I126" s="76"/>
    </row>
    <row r="127" spans="2:13" ht="12.95" customHeight="1" x14ac:dyDescent="0.3">
      <c r="B127" s="78"/>
      <c r="C127" s="81"/>
      <c r="D127" s="81"/>
      <c r="E127" s="81"/>
      <c r="F127" s="24" t="s">
        <v>52</v>
      </c>
      <c r="G127" s="25">
        <v>21</v>
      </c>
      <c r="H127" s="24" t="s">
        <v>52</v>
      </c>
      <c r="I127" s="25">
        <v>30</v>
      </c>
    </row>
    <row r="128" spans="2:13" ht="12.95" customHeight="1" x14ac:dyDescent="0.3">
      <c r="B128" s="79"/>
      <c r="C128" s="82"/>
      <c r="D128" s="82"/>
      <c r="E128" s="82"/>
      <c r="F128" s="26" t="s">
        <v>53</v>
      </c>
      <c r="G128" s="27" t="s">
        <v>54</v>
      </c>
      <c r="H128" s="26" t="s">
        <v>53</v>
      </c>
      <c r="I128" s="27" t="s">
        <v>54</v>
      </c>
    </row>
    <row r="129" spans="2:11" ht="12.95" customHeight="1" x14ac:dyDescent="0.3">
      <c r="B129" s="28" t="s">
        <v>16</v>
      </c>
      <c r="C129" s="29" t="s">
        <v>18</v>
      </c>
      <c r="D129" s="30" t="s">
        <v>14</v>
      </c>
      <c r="E129" s="31"/>
      <c r="F129" s="32">
        <v>1</v>
      </c>
      <c r="G129" s="5">
        <f>TRUNC(SUM(G132:G133)*0.03,1)</f>
        <v>22618.3</v>
      </c>
      <c r="H129" s="32">
        <v>1</v>
      </c>
      <c r="I129" s="5">
        <f>TRUNC(SUM(I132:I133)*0.03,1)</f>
        <v>31346.5</v>
      </c>
    </row>
    <row r="130" spans="2:11" ht="12.95" customHeight="1" x14ac:dyDescent="0.3">
      <c r="B130" s="33" t="s">
        <v>11</v>
      </c>
      <c r="C130" s="34"/>
      <c r="D130" s="35"/>
      <c r="E130" s="36"/>
      <c r="F130" s="37"/>
      <c r="G130" s="11">
        <f>TRUNC(SUM(G129:G129))</f>
        <v>22618</v>
      </c>
      <c r="H130" s="37"/>
      <c r="I130" s="11">
        <f>TRUNC(SUM(I129:I129))</f>
        <v>31346</v>
      </c>
    </row>
    <row r="131" spans="2:11" ht="12.95" customHeight="1" x14ac:dyDescent="0.3">
      <c r="B131" s="38"/>
      <c r="C131" s="39"/>
      <c r="D131" s="39"/>
      <c r="E131" s="40"/>
      <c r="F131" s="41"/>
      <c r="G131" s="42"/>
      <c r="H131" s="41"/>
      <c r="I131" s="42"/>
    </row>
    <row r="132" spans="2:11" ht="12.95" customHeight="1" x14ac:dyDescent="0.3">
      <c r="B132" s="43" t="s">
        <v>0</v>
      </c>
      <c r="C132" s="44"/>
      <c r="D132" s="45" t="s">
        <v>10</v>
      </c>
      <c r="E132" s="47">
        <v>290939</v>
      </c>
      <c r="F132" s="32">
        <v>2</v>
      </c>
      <c r="G132" s="3">
        <f t="shared" ref="G132:G133" si="31">TRUNC($E132*F132,1)</f>
        <v>581878</v>
      </c>
      <c r="H132" s="32">
        <v>3</v>
      </c>
      <c r="I132" s="3">
        <f t="shared" ref="I132:I133" si="32">TRUNC($E132*H132,1)</f>
        <v>872817</v>
      </c>
    </row>
    <row r="133" spans="2:11" ht="12.95" customHeight="1" x14ac:dyDescent="0.3">
      <c r="B133" s="43" t="s">
        <v>2</v>
      </c>
      <c r="C133" s="44"/>
      <c r="D133" s="45" t="s">
        <v>10</v>
      </c>
      <c r="E133" s="47">
        <v>172068</v>
      </c>
      <c r="F133" s="32">
        <v>1</v>
      </c>
      <c r="G133" s="3">
        <f t="shared" si="31"/>
        <v>172068</v>
      </c>
      <c r="H133" s="32">
        <v>1</v>
      </c>
      <c r="I133" s="3">
        <f t="shared" si="32"/>
        <v>172068</v>
      </c>
    </row>
    <row r="134" spans="2:11" ht="12.95" customHeight="1" x14ac:dyDescent="0.3">
      <c r="B134" s="48" t="s">
        <v>12</v>
      </c>
      <c r="C134" s="39"/>
      <c r="D134" s="39"/>
      <c r="E134" s="40"/>
      <c r="F134" s="41"/>
      <c r="G134" s="49">
        <f>TRUNC(SUM(G132:G133))</f>
        <v>753946</v>
      </c>
      <c r="H134" s="41"/>
      <c r="I134" s="49">
        <f>TRUNC(SUM(I132:I133))</f>
        <v>1044885</v>
      </c>
    </row>
    <row r="135" spans="2:11" ht="12.95" customHeight="1" x14ac:dyDescent="0.3">
      <c r="B135" s="38"/>
      <c r="C135" s="39"/>
      <c r="D135" s="39"/>
      <c r="E135" s="40"/>
      <c r="F135" s="41"/>
      <c r="G135" s="42"/>
      <c r="H135" s="41"/>
      <c r="I135" s="42"/>
    </row>
    <row r="136" spans="2:11" ht="12.95" customHeight="1" x14ac:dyDescent="0.3">
      <c r="B136" s="50" t="s">
        <v>13</v>
      </c>
      <c r="C136" s="39"/>
      <c r="D136" s="39"/>
      <c r="E136" s="51"/>
      <c r="F136" s="51"/>
      <c r="G136" s="52">
        <f>SUM(G130+G134)</f>
        <v>776564</v>
      </c>
      <c r="H136" s="51"/>
      <c r="I136" s="52">
        <f>SUM(I130+I134)</f>
        <v>1076231</v>
      </c>
    </row>
    <row r="137" spans="2:11" ht="12.95" customHeight="1" x14ac:dyDescent="0.3">
      <c r="B137" s="53" t="s">
        <v>55</v>
      </c>
      <c r="C137" s="54"/>
      <c r="D137" s="55"/>
      <c r="E137" s="56"/>
      <c r="F137" s="57"/>
      <c r="G137" s="58">
        <f>TRUNC(G136/G127)</f>
        <v>36979</v>
      </c>
      <c r="H137" s="57"/>
      <c r="I137" s="58">
        <f>TRUNC(I136/I127)</f>
        <v>35874</v>
      </c>
      <c r="J137" s="12"/>
      <c r="K137" s="12"/>
    </row>
    <row r="291" spans="14:15" ht="12.95" customHeight="1" x14ac:dyDescent="0.3">
      <c r="O291" s="4"/>
    </row>
    <row r="292" spans="14:15" ht="12.95" customHeight="1" x14ac:dyDescent="0.3">
      <c r="N292" s="4"/>
      <c r="O292" s="4"/>
    </row>
    <row r="293" spans="14:15" ht="12.95" customHeight="1" x14ac:dyDescent="0.3">
      <c r="N293" s="4"/>
      <c r="O293" s="4"/>
    </row>
    <row r="294" spans="14:15" ht="12.95" customHeight="1" x14ac:dyDescent="0.3">
      <c r="N294" s="4"/>
      <c r="O294" s="4"/>
    </row>
    <row r="295" spans="14:15" ht="12.95" customHeight="1" x14ac:dyDescent="0.3">
      <c r="N295" s="4"/>
      <c r="O295" s="4"/>
    </row>
    <row r="296" spans="14:15" ht="12.95" customHeight="1" x14ac:dyDescent="0.3">
      <c r="N296" s="4"/>
      <c r="O296" s="4"/>
    </row>
    <row r="297" spans="14:15" ht="12.95" customHeight="1" x14ac:dyDescent="0.3">
      <c r="N297" s="4"/>
      <c r="O297" s="4"/>
    </row>
    <row r="298" spans="14:15" ht="12.95" customHeight="1" x14ac:dyDescent="0.3">
      <c r="N298" s="4"/>
      <c r="O298" s="4"/>
    </row>
    <row r="299" spans="14:15" ht="12.95" customHeight="1" x14ac:dyDescent="0.3">
      <c r="N299" s="4"/>
      <c r="O299" s="4"/>
    </row>
    <row r="300" spans="14:15" ht="12.95" customHeight="1" x14ac:dyDescent="0.3">
      <c r="N300" s="4"/>
      <c r="O300" s="4"/>
    </row>
    <row r="301" spans="14:15" ht="12.95" customHeight="1" x14ac:dyDescent="0.3">
      <c r="N301" s="4"/>
      <c r="O301" s="4"/>
    </row>
    <row r="302" spans="14:15" ht="12.95" customHeight="1" x14ac:dyDescent="0.3">
      <c r="N302" s="4"/>
      <c r="O302" s="4"/>
    </row>
    <row r="303" spans="14:15" ht="12.95" customHeight="1" x14ac:dyDescent="0.3">
      <c r="N303" s="4"/>
      <c r="O303" s="4"/>
    </row>
    <row r="304" spans="14:15" ht="12.95" customHeight="1" x14ac:dyDescent="0.3">
      <c r="N304" s="4"/>
      <c r="O304" s="4"/>
    </row>
    <row r="305" spans="14:15" ht="12.95" customHeight="1" x14ac:dyDescent="0.3">
      <c r="N305" s="4"/>
      <c r="O305" s="4"/>
    </row>
    <row r="306" spans="14:15" ht="12.95" customHeight="1" x14ac:dyDescent="0.3">
      <c r="N306" s="4"/>
      <c r="O306" s="4"/>
    </row>
    <row r="307" spans="14:15" ht="12.95" customHeight="1" x14ac:dyDescent="0.3">
      <c r="N307" s="4"/>
      <c r="O307" s="4"/>
    </row>
    <row r="308" spans="14:15" ht="12.95" customHeight="1" x14ac:dyDescent="0.3">
      <c r="N308" s="4"/>
    </row>
  </sheetData>
  <mergeCells count="91">
    <mergeCell ref="H126:I126"/>
    <mergeCell ref="B111:B114"/>
    <mergeCell ref="C111:C114"/>
    <mergeCell ref="D111:D114"/>
    <mergeCell ref="E111:E114"/>
    <mergeCell ref="F111:K111"/>
    <mergeCell ref="F112:G112"/>
    <mergeCell ref="H112:I112"/>
    <mergeCell ref="J112:K112"/>
    <mergeCell ref="B126:B128"/>
    <mergeCell ref="C126:C128"/>
    <mergeCell ref="D126:D128"/>
    <mergeCell ref="E126:E128"/>
    <mergeCell ref="F126:G126"/>
    <mergeCell ref="B102:B104"/>
    <mergeCell ref="C102:C104"/>
    <mergeCell ref="D102:D104"/>
    <mergeCell ref="E102:E104"/>
    <mergeCell ref="F102:K102"/>
    <mergeCell ref="F103:G103"/>
    <mergeCell ref="H103:I103"/>
    <mergeCell ref="J103:K103"/>
    <mergeCell ref="B95:B97"/>
    <mergeCell ref="C95:C97"/>
    <mergeCell ref="D95:D97"/>
    <mergeCell ref="E95:E97"/>
    <mergeCell ref="F95:K95"/>
    <mergeCell ref="F96:G96"/>
    <mergeCell ref="H96:I96"/>
    <mergeCell ref="J96:K96"/>
    <mergeCell ref="B80:B83"/>
    <mergeCell ref="C80:C83"/>
    <mergeCell ref="D80:D83"/>
    <mergeCell ref="E80:E83"/>
    <mergeCell ref="F80:K80"/>
    <mergeCell ref="F81:G81"/>
    <mergeCell ref="H81:I81"/>
    <mergeCell ref="J81:K81"/>
    <mergeCell ref="B67:B70"/>
    <mergeCell ref="C67:C70"/>
    <mergeCell ref="D67:D70"/>
    <mergeCell ref="E67:E70"/>
    <mergeCell ref="F67:K67"/>
    <mergeCell ref="F68:G68"/>
    <mergeCell ref="H68:I68"/>
    <mergeCell ref="J68:K68"/>
    <mergeCell ref="B58:B60"/>
    <mergeCell ref="C58:C60"/>
    <mergeCell ref="D58:D60"/>
    <mergeCell ref="E58:E60"/>
    <mergeCell ref="F58:M58"/>
    <mergeCell ref="F59:G59"/>
    <mergeCell ref="H59:I59"/>
    <mergeCell ref="J59:K59"/>
    <mergeCell ref="L59:M59"/>
    <mergeCell ref="B43:B46"/>
    <mergeCell ref="C43:C46"/>
    <mergeCell ref="D43:D46"/>
    <mergeCell ref="E43:E46"/>
    <mergeCell ref="F43:K43"/>
    <mergeCell ref="F44:G44"/>
    <mergeCell ref="H44:I44"/>
    <mergeCell ref="J44:K44"/>
    <mergeCell ref="H34:I34"/>
    <mergeCell ref="B25:B27"/>
    <mergeCell ref="C25:C27"/>
    <mergeCell ref="D25:D27"/>
    <mergeCell ref="E25:E27"/>
    <mergeCell ref="F25:K25"/>
    <mergeCell ref="F26:G26"/>
    <mergeCell ref="H26:I26"/>
    <mergeCell ref="J26:K26"/>
    <mergeCell ref="B34:B35"/>
    <mergeCell ref="C34:C35"/>
    <mergeCell ref="D34:D35"/>
    <mergeCell ref="E34:E35"/>
    <mergeCell ref="F34:G34"/>
    <mergeCell ref="B18:B20"/>
    <mergeCell ref="C18:C20"/>
    <mergeCell ref="D18:D20"/>
    <mergeCell ref="E18:E20"/>
    <mergeCell ref="F18:K18"/>
    <mergeCell ref="F19:G19"/>
    <mergeCell ref="H19:I19"/>
    <mergeCell ref="J19:K19"/>
    <mergeCell ref="H4:I4"/>
    <mergeCell ref="B4:B6"/>
    <mergeCell ref="C4:C6"/>
    <mergeCell ref="D4:D6"/>
    <mergeCell ref="E4:E6"/>
    <mergeCell ref="F4:G4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타일공사(상반기)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2026-01-01T08:04:04Z</dcterms:modified>
</cp:coreProperties>
</file>