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75B25C70-8CC5-4E55-BF26-503FF1316C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칠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6" i="6" l="1"/>
  <c r="I227" i="6" s="1"/>
  <c r="I223" i="6"/>
  <c r="I222" i="6"/>
  <c r="I221" i="6"/>
  <c r="I218" i="6" s="1"/>
  <c r="I217" i="6"/>
  <c r="G209" i="6"/>
  <c r="G208" i="6"/>
  <c r="G197" i="6"/>
  <c r="G196" i="6"/>
  <c r="G184" i="6"/>
  <c r="G183" i="6"/>
  <c r="G172" i="6"/>
  <c r="G171" i="6"/>
  <c r="I160" i="6"/>
  <c r="I159" i="6"/>
  <c r="G148" i="6"/>
  <c r="G147" i="6"/>
  <c r="G136" i="6"/>
  <c r="G135" i="6"/>
  <c r="G137" i="6" s="1"/>
  <c r="I124" i="6"/>
  <c r="G123" i="6"/>
  <c r="G112" i="6"/>
  <c r="I111" i="6"/>
  <c r="G100" i="6"/>
  <c r="G99" i="6"/>
  <c r="G88" i="6"/>
  <c r="G87" i="6"/>
  <c r="G76" i="6"/>
  <c r="G75" i="6"/>
  <c r="G77" i="6" s="1"/>
  <c r="I63" i="6"/>
  <c r="I64" i="6" s="1"/>
  <c r="I66" i="6" s="1"/>
  <c r="G55" i="6"/>
  <c r="G54" i="6"/>
  <c r="I43" i="6"/>
  <c r="I42" i="6"/>
  <c r="G31" i="6"/>
  <c r="G30" i="6"/>
  <c r="G32" i="6" s="1"/>
  <c r="I19" i="6"/>
  <c r="I18" i="6"/>
  <c r="G7" i="6"/>
  <c r="G6" i="6"/>
  <c r="I15" i="6" l="1"/>
  <c r="I16" i="6" s="1"/>
  <c r="G101" i="6"/>
  <c r="G173" i="6"/>
  <c r="G43" i="6"/>
  <c r="G8" i="6"/>
  <c r="G10" i="6" s="1"/>
  <c r="G217" i="6"/>
  <c r="G18" i="6"/>
  <c r="G63" i="6"/>
  <c r="G64" i="6" s="1"/>
  <c r="G66" i="6" s="1"/>
  <c r="I123" i="6"/>
  <c r="I125" i="6" s="1"/>
  <c r="G221" i="6"/>
  <c r="I120" i="6"/>
  <c r="I121" i="6" s="1"/>
  <c r="G89" i="6"/>
  <c r="G27" i="6"/>
  <c r="G28" i="6" s="1"/>
  <c r="G34" i="6" s="1"/>
  <c r="G124" i="6"/>
  <c r="G125" i="6" s="1"/>
  <c r="G205" i="6"/>
  <c r="G206" i="6" s="1"/>
  <c r="G210" i="6"/>
  <c r="I161" i="6"/>
  <c r="I156" i="6"/>
  <c r="I157" i="6" s="1"/>
  <c r="I163" i="6" s="1"/>
  <c r="G193" i="6"/>
  <c r="G194" i="6" s="1"/>
  <c r="G198" i="6"/>
  <c r="I219" i="6"/>
  <c r="I44" i="6"/>
  <c r="I39" i="6"/>
  <c r="I40" i="6" s="1"/>
  <c r="G56" i="6"/>
  <c r="G51" i="6"/>
  <c r="G52" i="6" s="1"/>
  <c r="G180" i="6"/>
  <c r="G181" i="6" s="1"/>
  <c r="G185" i="6"/>
  <c r="G149" i="6"/>
  <c r="G42" i="6"/>
  <c r="G72" i="6"/>
  <c r="G73" i="6" s="1"/>
  <c r="G79" i="6" s="1"/>
  <c r="G84" i="6"/>
  <c r="G85" i="6" s="1"/>
  <c r="G132" i="6"/>
  <c r="G133" i="6" s="1"/>
  <c r="G139" i="6" s="1"/>
  <c r="G144" i="6"/>
  <c r="G145" i="6" s="1"/>
  <c r="G160" i="6"/>
  <c r="G223" i="6"/>
  <c r="G19" i="6"/>
  <c r="G111" i="6"/>
  <c r="I112" i="6"/>
  <c r="I108" i="6" s="1"/>
  <c r="I109" i="6" s="1"/>
  <c r="G159" i="6"/>
  <c r="G222" i="6"/>
  <c r="G226" i="6"/>
  <c r="G227" i="6" s="1"/>
  <c r="I224" i="6"/>
  <c r="I20" i="6"/>
  <c r="I22" i="6" s="1"/>
  <c r="G96" i="6"/>
  <c r="G97" i="6" s="1"/>
  <c r="G103" i="6" s="1"/>
  <c r="G168" i="6"/>
  <c r="G169" i="6" s="1"/>
  <c r="G175" i="6" s="1"/>
  <c r="I127" i="6" l="1"/>
  <c r="G20" i="6"/>
  <c r="G91" i="6"/>
  <c r="G224" i="6"/>
  <c r="G120" i="6"/>
  <c r="G121" i="6" s="1"/>
  <c r="G127" i="6" s="1"/>
  <c r="G151" i="6"/>
  <c r="G58" i="6"/>
  <c r="I229" i="6"/>
  <c r="G113" i="6"/>
  <c r="G108" i="6"/>
  <c r="G109" i="6" s="1"/>
  <c r="G187" i="6"/>
  <c r="G218" i="6"/>
  <c r="G219" i="6" s="1"/>
  <c r="G229" i="6" s="1"/>
  <c r="G212" i="6"/>
  <c r="I113" i="6"/>
  <c r="I115" i="6" s="1"/>
  <c r="G44" i="6"/>
  <c r="G39" i="6"/>
  <c r="G40" i="6" s="1"/>
  <c r="G161" i="6"/>
  <c r="G156" i="6"/>
  <c r="G157" i="6" s="1"/>
  <c r="I46" i="6"/>
  <c r="G200" i="6"/>
  <c r="G15" i="6"/>
  <c r="G16" i="6" s="1"/>
  <c r="G22" i="6" s="1"/>
  <c r="G163" i="6" l="1"/>
  <c r="G115" i="6"/>
  <c r="G46" i="6"/>
</calcChain>
</file>

<file path=xl/sharedStrings.xml><?xml version="1.0" encoding="utf-8"?>
<sst xmlns="http://schemas.openxmlformats.org/spreadsheetml/2006/main" count="374" uniqueCount="64">
  <si>
    <t>도장공</t>
  </si>
  <si>
    <t>보통인부</t>
  </si>
  <si>
    <t>구분</t>
  </si>
  <si>
    <t>단가</t>
  </si>
  <si>
    <t>수량</t>
  </si>
  <si>
    <t>금액</t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</si>
  <si>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</si>
  <si>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</si>
  <si>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</si>
  <si>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</si>
  <si>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</si>
  <si>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</si>
  <si>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</si>
  <si>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</si>
  <si>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hr</t>
  </si>
  <si>
    <t>수량</t>
    <phoneticPr fontId="3" type="noConversion"/>
  </si>
  <si>
    <t>금액</t>
    <phoneticPr fontId="3" type="noConversion"/>
  </si>
  <si>
    <t>공구손료</t>
    <phoneticPr fontId="5" type="noConversion"/>
  </si>
  <si>
    <t>인력품의 3%</t>
    <phoneticPr fontId="3" type="noConversion"/>
  </si>
  <si>
    <t>(㎡당)</t>
    <phoneticPr fontId="3" type="noConversion"/>
  </si>
  <si>
    <t>제 11 장 칠공사</t>
  </si>
  <si>
    <t>11-1 공통공사</t>
  </si>
  <si>
    <r>
      <t>11-1-1 콘크리트</t>
    </r>
    <r>
      <rPr>
        <sz val="9"/>
        <rFont val="Yu Gothic"/>
        <family val="3"/>
        <charset val="128"/>
      </rPr>
      <t>･</t>
    </r>
    <r>
      <rPr>
        <sz val="9"/>
        <rFont val="맑은 고딕"/>
        <family val="3"/>
        <charset val="129"/>
        <scheme val="minor"/>
      </rPr>
      <t>모르타르면 바탕만들기</t>
    </r>
    <phoneticPr fontId="3" type="noConversion"/>
  </si>
  <si>
    <t>올퍼티</t>
    <phoneticPr fontId="3" type="noConversion"/>
  </si>
  <si>
    <t>줄퍼티</t>
    <phoneticPr fontId="3" type="noConversion"/>
  </si>
  <si>
    <t>11-1-2 석고보드면 바탕만들기</t>
    <phoneticPr fontId="3" type="noConversion"/>
  </si>
  <si>
    <t>11-2 페인트</t>
  </si>
  <si>
    <t>11-2-1 수성페인트 붓칠</t>
    <phoneticPr fontId="3" type="noConversion"/>
  </si>
  <si>
    <t>11-2-2 수성페인트 롤러칠</t>
    <phoneticPr fontId="3" type="noConversion"/>
  </si>
  <si>
    <t>11-2-3 수성페인트 뿜칠</t>
    <phoneticPr fontId="3" type="noConversion"/>
  </si>
  <si>
    <t>(10㎡당)</t>
    <phoneticPr fontId="3" type="noConversion"/>
  </si>
  <si>
    <t>11-2-4 유성페인트 붓칠</t>
    <phoneticPr fontId="3" type="noConversion"/>
  </si>
  <si>
    <t>11-2-5 유성페인트 롤러칠</t>
    <phoneticPr fontId="3" type="noConversion"/>
  </si>
  <si>
    <t>11-2-6 녹막이 페인트칠</t>
    <phoneticPr fontId="3" type="noConversion"/>
  </si>
  <si>
    <t>11-2-7 오일스테인칠</t>
    <phoneticPr fontId="3" type="noConversion"/>
  </si>
  <si>
    <t>11-2-8 에폭시 페인트칠</t>
    <phoneticPr fontId="3" type="noConversion"/>
  </si>
  <si>
    <t>에폭시 코팅(롤러칠)</t>
    <phoneticPr fontId="3" type="noConversion"/>
  </si>
  <si>
    <t>에폭시 라이닝(레기칠)</t>
    <phoneticPr fontId="3" type="noConversion"/>
  </si>
  <si>
    <t>11-2-9 낙서방지용 페인트칠</t>
    <phoneticPr fontId="3" type="noConversion"/>
  </si>
  <si>
    <t>11-3 스프레이</t>
  </si>
  <si>
    <t>11-3-1 무늬코트칠</t>
    <phoneticPr fontId="3" type="noConversion"/>
  </si>
  <si>
    <t>11-3-2 탄성코트칠</t>
    <phoneticPr fontId="3" type="noConversion"/>
  </si>
  <si>
    <t>(100㎡당)</t>
    <phoneticPr fontId="3" type="noConversion"/>
  </si>
  <si>
    <t>인력품의 4%</t>
    <phoneticPr fontId="3" type="noConversion"/>
  </si>
  <si>
    <t>11-1-5 도장 후 퍼티 및 연마</t>
    <phoneticPr fontId="3" type="noConversion"/>
  </si>
  <si>
    <t>11-1-3 철재면 바탕만들기</t>
  </si>
  <si>
    <t>11-1-4 목재면 바탕만들기</t>
  </si>
  <si>
    <t>불순물 제거</t>
    <phoneticPr fontId="3" type="noConversion"/>
  </si>
  <si>
    <t>퍼티 및 연마</t>
    <phoneticPr fontId="3" type="noConversion"/>
  </si>
  <si>
    <t>11-1-6 비닐 보양</t>
    <phoneticPr fontId="3" type="noConversion"/>
  </si>
  <si>
    <t>(보양길이 100m당)</t>
  </si>
  <si>
    <t>창호 및 난간류</t>
    <phoneticPr fontId="3" type="noConversion"/>
  </si>
  <si>
    <t>배관류</t>
    <phoneticPr fontId="3" type="noConversion"/>
  </si>
  <si>
    <t>인력비의 2%</t>
    <phoneticPr fontId="3" type="noConversion"/>
  </si>
  <si>
    <t>인력품의 12%</t>
    <phoneticPr fontId="3" type="noConversion"/>
  </si>
  <si>
    <t>철재면</t>
    <phoneticPr fontId="3" type="noConversion"/>
  </si>
  <si>
    <r>
      <t>콘크리트</t>
    </r>
    <r>
      <rPr>
        <sz val="9.1"/>
        <rFont val="맑은 고딕"/>
        <family val="3"/>
        <charset val="128"/>
        <scheme val="minor"/>
      </rPr>
      <t>･</t>
    </r>
    <r>
      <rPr>
        <sz val="9.1"/>
        <rFont val="맑은 고딕"/>
        <family val="3"/>
        <charset val="129"/>
        <scheme val="minor"/>
      </rPr>
      <t>모르타르면</t>
    </r>
    <r>
      <rPr>
        <sz val="9.1"/>
        <rFont val="맑은 고딕"/>
        <family val="3"/>
        <charset val="128"/>
        <scheme val="minor"/>
      </rPr>
      <t>･</t>
    </r>
    <r>
      <rPr>
        <sz val="9.1"/>
        <rFont val="맑은 고딕"/>
        <family val="3"/>
        <charset val="129"/>
        <scheme val="minor"/>
      </rPr>
      <t>석고보드면</t>
    </r>
    <phoneticPr fontId="3" type="noConversion"/>
  </si>
  <si>
    <t>인력품의 2%</t>
    <phoneticPr fontId="3" type="noConversion"/>
  </si>
  <si>
    <t>11-2-10 걸레받이용 페인트칠</t>
  </si>
  <si>
    <t>11-3-3 석재도료칠</t>
  </si>
  <si>
    <t>고소작업차</t>
    <phoneticPr fontId="3" type="noConversion"/>
  </si>
  <si>
    <t>3ton</t>
    <phoneticPr fontId="3" type="noConversion"/>
  </si>
  <si>
    <t>줄눈무늬(無)</t>
    <phoneticPr fontId="3" type="noConversion"/>
  </si>
  <si>
    <t>줄눈무늬(有)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</si>
</sst>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0_-;\-* #,##0.00_-;_-* &quot;-&quot;_-;_-@_-"/>
    <numFmt numFmtId="182" formatCode="_-* #,##0.000_-;\-* #,##0.000_-;_-* &quot;-&quot;_-;_-@_-"/>
    <numFmt numFmtId="184" formatCode="#,##0.00_);[Red]\(#,##0.0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sz val="9"/>
      <name val="Yu Gothic"/>
      <family val="3"/>
      <charset val="128"/>
    </font>
    <font>
      <b/>
      <sz val="8"/>
      <color indexed="10"/>
      <name val="돋움"/>
      <family val="3"/>
      <charset val="129"/>
    </font>
    <font>
      <sz val="9.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3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3" xfId="3" applyFont="1" applyBorder="1" applyAlignment="1">
      <alignment vertical="center" shrinkToFit="1"/>
    </xf>
    <xf numFmtId="180" fontId="9" fillId="0" borderId="5" xfId="1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4" xfId="3" applyFont="1" applyBorder="1" applyAlignment="1">
      <alignment vertical="center" shrinkToFit="1"/>
    </xf>
    <xf numFmtId="0" fontId="12" fillId="0" borderId="0" xfId="6" applyFont="1" applyAlignment="1">
      <alignment vertical="center"/>
    </xf>
    <xf numFmtId="0" fontId="9" fillId="0" borderId="3" xfId="6" applyFont="1" applyBorder="1" applyAlignment="1">
      <alignment vertical="center"/>
    </xf>
    <xf numFmtId="0" fontId="9" fillId="0" borderId="4" xfId="6" applyFont="1" applyBorder="1" applyAlignment="1">
      <alignment horizontal="right" vertical="center"/>
    </xf>
    <xf numFmtId="0" fontId="9" fillId="0" borderId="3" xfId="6" applyFont="1" applyBorder="1" applyAlignment="1">
      <alignment horizontal="left" vertical="center"/>
    </xf>
    <xf numFmtId="0" fontId="10" fillId="0" borderId="8" xfId="6" applyFont="1" applyBorder="1" applyAlignment="1">
      <alignment horizontal="left" vertical="center"/>
    </xf>
    <xf numFmtId="0" fontId="11" fillId="0" borderId="3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14" fillId="0" borderId="3" xfId="3" applyFont="1" applyBorder="1" applyAlignment="1">
      <alignment vertical="center"/>
    </xf>
    <xf numFmtId="41" fontId="14" fillId="0" borderId="5" xfId="7" applyFont="1" applyFill="1" applyBorder="1" applyAlignment="1">
      <alignment vertical="center"/>
    </xf>
    <xf numFmtId="0" fontId="14" fillId="0" borderId="3" xfId="6" applyFont="1" applyBorder="1" applyAlignment="1">
      <alignment horizontal="left" vertical="center"/>
    </xf>
    <xf numFmtId="0" fontId="14" fillId="0" borderId="4" xfId="6" applyFont="1" applyBorder="1" applyAlignment="1">
      <alignment vertical="center"/>
    </xf>
    <xf numFmtId="0" fontId="15" fillId="0" borderId="4" xfId="3" applyFont="1" applyBorder="1" applyAlignment="1">
      <alignment horizontal="center" vertical="center"/>
    </xf>
    <xf numFmtId="0" fontId="15" fillId="0" borderId="3" xfId="6" applyFont="1" applyBorder="1" applyAlignment="1">
      <alignment horizontal="left" vertical="center"/>
    </xf>
    <xf numFmtId="0" fontId="11" fillId="0" borderId="0" xfId="3" applyFont="1" applyAlignment="1">
      <alignment horizontal="right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1" fontId="9" fillId="0" borderId="4" xfId="8" applyNumberFormat="1" applyFont="1" applyBorder="1" applyAlignment="1">
      <alignment vertical="center"/>
    </xf>
    <xf numFmtId="180" fontId="9" fillId="0" borderId="0" xfId="8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41" fontId="10" fillId="0" borderId="0" xfId="8" applyFont="1" applyBorder="1" applyAlignment="1">
      <alignment vertical="center"/>
    </xf>
    <xf numFmtId="182" fontId="10" fillId="0" borderId="4" xfId="8" applyNumberFormat="1" applyFont="1" applyFill="1" applyBorder="1" applyAlignment="1">
      <alignment vertical="center"/>
    </xf>
    <xf numFmtId="41" fontId="9" fillId="0" borderId="4" xfId="2" applyNumberFormat="1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41" fontId="10" fillId="0" borderId="7" xfId="8" applyFont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6" fillId="0" borderId="3" xfId="2" applyFont="1" applyBorder="1" applyAlignment="1">
      <alignment horizontal="left" vertical="center"/>
    </xf>
    <xf numFmtId="0" fontId="16" fillId="0" borderId="8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0" fontId="9" fillId="0" borderId="3" xfId="2" applyFont="1" applyBorder="1" applyAlignment="1">
      <alignment horizontal="center" vertical="center"/>
    </xf>
    <xf numFmtId="41" fontId="14" fillId="0" borderId="5" xfId="8" applyFont="1" applyBorder="1" applyAlignment="1">
      <alignment vertical="center"/>
    </xf>
    <xf numFmtId="41" fontId="14" fillId="0" borderId="5" xfId="8" applyFont="1" applyFill="1" applyBorder="1" applyAlignment="1">
      <alignment vertical="center"/>
    </xf>
    <xf numFmtId="41" fontId="10" fillId="0" borderId="4" xfId="1" applyFont="1" applyBorder="1" applyAlignment="1">
      <alignment vertical="center"/>
    </xf>
    <xf numFmtId="41" fontId="9" fillId="0" borderId="4" xfId="8" applyFont="1" applyBorder="1" applyAlignment="1">
      <alignment vertical="center"/>
    </xf>
    <xf numFmtId="181" fontId="10" fillId="0" borderId="4" xfId="8" applyNumberFormat="1" applyFont="1" applyBorder="1" applyAlignment="1">
      <alignment vertical="center"/>
    </xf>
    <xf numFmtId="182" fontId="10" fillId="0" borderId="4" xfId="8" applyNumberFormat="1" applyFont="1" applyBorder="1" applyAlignment="1">
      <alignment vertical="center"/>
    </xf>
    <xf numFmtId="0" fontId="9" fillId="0" borderId="4" xfId="3" applyFont="1" applyBorder="1" applyAlignment="1">
      <alignment horizontal="center" vertical="center"/>
    </xf>
    <xf numFmtId="182" fontId="9" fillId="0" borderId="4" xfId="8" applyNumberFormat="1" applyFont="1" applyBorder="1" applyAlignment="1">
      <alignment vertical="center"/>
    </xf>
    <xf numFmtId="0" fontId="11" fillId="0" borderId="1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41" fontId="15" fillId="0" borderId="4" xfId="0" applyNumberFormat="1" applyFont="1" applyBorder="1">
      <alignment vertical="center"/>
    </xf>
    <xf numFmtId="180" fontId="9" fillId="0" borderId="5" xfId="1" applyNumberFormat="1" applyFont="1" applyFill="1" applyBorder="1" applyAlignment="1">
      <alignment vertical="center"/>
    </xf>
    <xf numFmtId="41" fontId="15" fillId="0" borderId="3" xfId="1" applyFont="1" applyFill="1" applyBorder="1" applyAlignment="1">
      <alignment horizontal="right" vertical="center"/>
    </xf>
    <xf numFmtId="184" fontId="18" fillId="0" borderId="0" xfId="4" applyNumberFormat="1" applyFont="1" applyAlignment="1">
      <alignment vertical="center"/>
    </xf>
    <xf numFmtId="0" fontId="6" fillId="0" borderId="0" xfId="0" applyFont="1" applyAlignment="1"/>
    <xf numFmtId="0" fontId="11" fillId="0" borderId="2" xfId="3" applyFont="1" applyBorder="1" applyAlignment="1">
      <alignment horizontal="center" vertical="center" shrinkToFit="1"/>
    </xf>
    <xf numFmtId="0" fontId="11" fillId="0" borderId="11" xfId="3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C0FC-9A19-49F5-BC84-AF3AC19CB486}">
  <sheetPr>
    <pageSetUpPr fitToPage="1"/>
  </sheetPr>
  <dimension ref="A1:O308"/>
  <sheetViews>
    <sheetView tabSelected="1" zoomScaleNormal="100" workbookViewId="0">
      <selection activeCell="K18" sqref="K18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5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55"/>
      <c r="B1" s="8" t="s">
        <v>20</v>
      </c>
      <c r="C1" s="4"/>
      <c r="D1" s="1"/>
    </row>
    <row r="2" spans="1:15" ht="12.95" customHeight="1" x14ac:dyDescent="0.15">
      <c r="A2" s="56"/>
      <c r="B2" s="1" t="s">
        <v>21</v>
      </c>
    </row>
    <row r="3" spans="1:15" ht="12.95" customHeight="1" x14ac:dyDescent="0.3">
      <c r="B3" s="38" t="s">
        <v>22</v>
      </c>
      <c r="C3" s="39"/>
      <c r="D3" s="24"/>
      <c r="E3" s="40"/>
      <c r="F3" s="24"/>
      <c r="G3" s="40" t="s">
        <v>19</v>
      </c>
    </row>
    <row r="4" spans="1:15" ht="12.95" customHeight="1" x14ac:dyDescent="0.3">
      <c r="B4" s="59" t="s">
        <v>2</v>
      </c>
      <c r="C4" s="61" t="s">
        <v>13</v>
      </c>
      <c r="D4" s="63" t="s">
        <v>6</v>
      </c>
      <c r="E4" s="64" t="s">
        <v>3</v>
      </c>
      <c r="F4" s="63" t="s">
        <v>15</v>
      </c>
      <c r="G4" s="66" t="s">
        <v>16</v>
      </c>
    </row>
    <row r="5" spans="1:15" ht="12.95" customHeight="1" x14ac:dyDescent="0.3">
      <c r="B5" s="60"/>
      <c r="C5" s="62"/>
      <c r="D5" s="63"/>
      <c r="E5" s="65"/>
      <c r="F5" s="63"/>
      <c r="G5" s="67"/>
    </row>
    <row r="6" spans="1:15" ht="12.95" customHeight="1" x14ac:dyDescent="0.3">
      <c r="B6" s="15" t="s">
        <v>0</v>
      </c>
      <c r="C6" s="9"/>
      <c r="D6" s="3" t="s">
        <v>7</v>
      </c>
      <c r="E6" s="52">
        <v>263017</v>
      </c>
      <c r="F6" s="49">
        <v>0.01</v>
      </c>
      <c r="G6" s="7">
        <f t="shared" ref="G6:G7" si="0">TRUNC($E6*F6,1)</f>
        <v>2630.1</v>
      </c>
    </row>
    <row r="7" spans="1:15" ht="12.95" customHeight="1" x14ac:dyDescent="0.3">
      <c r="B7" s="15" t="s">
        <v>1</v>
      </c>
      <c r="C7" s="9"/>
      <c r="D7" s="3" t="s">
        <v>7</v>
      </c>
      <c r="E7" s="52">
        <v>172068</v>
      </c>
      <c r="F7" s="49">
        <v>1E-3</v>
      </c>
      <c r="G7" s="7">
        <f t="shared" si="0"/>
        <v>172</v>
      </c>
    </row>
    <row r="8" spans="1:15" ht="12.95" customHeight="1" x14ac:dyDescent="0.3">
      <c r="B8" s="17" t="s">
        <v>9</v>
      </c>
      <c r="C8" s="36"/>
      <c r="D8" s="36"/>
      <c r="E8" s="44"/>
      <c r="F8" s="47"/>
      <c r="G8" s="42">
        <f>TRUNC(SUM(G6:G7))</f>
        <v>2802</v>
      </c>
    </row>
    <row r="9" spans="1:15" ht="12.95" customHeight="1" x14ac:dyDescent="0.3">
      <c r="B9" s="35"/>
      <c r="C9" s="36"/>
      <c r="D9" s="36"/>
      <c r="E9" s="44"/>
      <c r="F9" s="47"/>
      <c r="G9" s="30"/>
    </row>
    <row r="10" spans="1:15" ht="12.95" customHeight="1" x14ac:dyDescent="0.3">
      <c r="B10" s="14" t="s">
        <v>11</v>
      </c>
      <c r="C10" s="37"/>
      <c r="D10" s="37"/>
      <c r="E10" s="33"/>
      <c r="F10" s="33"/>
      <c r="G10" s="34">
        <f>SUM(G8)</f>
        <v>2802</v>
      </c>
    </row>
    <row r="12" spans="1:15" ht="12.95" customHeight="1" x14ac:dyDescent="0.3">
      <c r="B12" s="38" t="s">
        <v>25</v>
      </c>
      <c r="C12" s="39"/>
      <c r="D12" s="24"/>
      <c r="E12" s="40"/>
      <c r="F12" s="24"/>
      <c r="G12" s="24"/>
      <c r="I12" s="40" t="s">
        <v>19</v>
      </c>
    </row>
    <row r="13" spans="1:15" ht="12.95" customHeight="1" x14ac:dyDescent="0.3">
      <c r="B13" s="59" t="s">
        <v>2</v>
      </c>
      <c r="C13" s="61" t="s">
        <v>13</v>
      </c>
      <c r="D13" s="63" t="s">
        <v>6</v>
      </c>
      <c r="E13" s="64" t="s">
        <v>3</v>
      </c>
      <c r="F13" s="57" t="s">
        <v>23</v>
      </c>
      <c r="G13" s="58"/>
      <c r="H13" s="57" t="s">
        <v>24</v>
      </c>
      <c r="I13" s="58"/>
      <c r="O13" s="25"/>
    </row>
    <row r="14" spans="1:15" ht="12.95" customHeight="1" x14ac:dyDescent="0.3">
      <c r="B14" s="60"/>
      <c r="C14" s="62"/>
      <c r="D14" s="63"/>
      <c r="E14" s="65"/>
      <c r="F14" s="50" t="s">
        <v>4</v>
      </c>
      <c r="G14" s="51" t="s">
        <v>5</v>
      </c>
      <c r="H14" s="50" t="s">
        <v>4</v>
      </c>
      <c r="I14" s="51" t="s">
        <v>5</v>
      </c>
      <c r="N14" s="25"/>
      <c r="O14" s="25"/>
    </row>
    <row r="15" spans="1:15" ht="12.95" customHeight="1" x14ac:dyDescent="0.3">
      <c r="B15" s="11" t="s">
        <v>17</v>
      </c>
      <c r="C15" s="6" t="s">
        <v>43</v>
      </c>
      <c r="D15" s="48" t="s">
        <v>12</v>
      </c>
      <c r="E15" s="12"/>
      <c r="F15" s="45">
        <v>1</v>
      </c>
      <c r="G15" s="53">
        <f>TRUNC(SUM(G18:G19)*0.04,1)</f>
        <v>818.2</v>
      </c>
      <c r="H15" s="45">
        <v>1</v>
      </c>
      <c r="I15" s="53">
        <f>TRUNC(SUM(I18:I19)*0.04,1)</f>
        <v>437</v>
      </c>
      <c r="N15" s="25"/>
      <c r="O15" s="25"/>
    </row>
    <row r="16" spans="1:15" ht="12.95" customHeight="1" x14ac:dyDescent="0.3">
      <c r="B16" s="19" t="s">
        <v>8</v>
      </c>
      <c r="C16" s="22"/>
      <c r="D16" s="21"/>
      <c r="E16" s="20"/>
      <c r="F16" s="26"/>
      <c r="G16" s="18">
        <f>TRUNC(SUM(G15:G15))</f>
        <v>818</v>
      </c>
      <c r="H16" s="26"/>
      <c r="I16" s="18">
        <f>TRUNC(SUM(I15:I15))</f>
        <v>437</v>
      </c>
      <c r="N16" s="25"/>
      <c r="O16" s="25"/>
    </row>
    <row r="17" spans="2:15" ht="12.95" customHeight="1" x14ac:dyDescent="0.3">
      <c r="B17" s="35"/>
      <c r="C17" s="36"/>
      <c r="D17" s="36"/>
      <c r="E17" s="44"/>
      <c r="F17" s="47"/>
      <c r="G17" s="30"/>
      <c r="H17" s="47"/>
      <c r="I17" s="30"/>
      <c r="N17" s="25"/>
      <c r="O17" s="25"/>
    </row>
    <row r="18" spans="2:15" ht="12.95" customHeight="1" x14ac:dyDescent="0.3">
      <c r="B18" s="15" t="s">
        <v>0</v>
      </c>
      <c r="C18" s="9"/>
      <c r="D18" s="3" t="s">
        <v>7</v>
      </c>
      <c r="E18" s="52">
        <v>263017</v>
      </c>
      <c r="F18" s="49">
        <v>6.6000000000000003E-2</v>
      </c>
      <c r="G18" s="7">
        <f t="shared" ref="G18:G19" si="1">TRUNC($E18*F18,1)</f>
        <v>17359.099999999999</v>
      </c>
      <c r="H18" s="49">
        <v>3.5000000000000003E-2</v>
      </c>
      <c r="I18" s="7">
        <f t="shared" ref="I18:I19" si="2">TRUNC($E18*H18,1)</f>
        <v>9205.5</v>
      </c>
      <c r="N18" s="25"/>
      <c r="O18" s="25"/>
    </row>
    <row r="19" spans="2:15" ht="12.95" customHeight="1" x14ac:dyDescent="0.3">
      <c r="B19" s="15" t="s">
        <v>1</v>
      </c>
      <c r="C19" s="9"/>
      <c r="D19" s="3" t="s">
        <v>7</v>
      </c>
      <c r="E19" s="52">
        <v>172068</v>
      </c>
      <c r="F19" s="49">
        <v>1.7999999999999999E-2</v>
      </c>
      <c r="G19" s="7">
        <f t="shared" si="1"/>
        <v>3097.2</v>
      </c>
      <c r="H19" s="49">
        <v>0.01</v>
      </c>
      <c r="I19" s="7">
        <f t="shared" si="2"/>
        <v>1720.6</v>
      </c>
      <c r="N19" s="25"/>
      <c r="O19" s="25"/>
    </row>
    <row r="20" spans="2:15" ht="12.95" customHeight="1" x14ac:dyDescent="0.3">
      <c r="B20" s="17" t="s">
        <v>9</v>
      </c>
      <c r="C20" s="36"/>
      <c r="D20" s="36"/>
      <c r="E20" s="44"/>
      <c r="F20" s="47"/>
      <c r="G20" s="42">
        <f>TRUNC(SUM(G18:G19))</f>
        <v>20456</v>
      </c>
      <c r="H20" s="47"/>
      <c r="I20" s="42">
        <f>TRUNC(SUM(I18:I19))</f>
        <v>10926</v>
      </c>
    </row>
    <row r="21" spans="2:15" ht="12.95" customHeight="1" x14ac:dyDescent="0.3">
      <c r="B21" s="35"/>
      <c r="C21" s="36"/>
      <c r="D21" s="36"/>
      <c r="E21" s="44"/>
      <c r="F21" s="47"/>
      <c r="G21" s="30"/>
      <c r="H21" s="47"/>
      <c r="I21" s="30"/>
    </row>
    <row r="22" spans="2:15" ht="12.95" customHeight="1" x14ac:dyDescent="0.3">
      <c r="B22" s="14" t="s">
        <v>11</v>
      </c>
      <c r="C22" s="37"/>
      <c r="D22" s="37"/>
      <c r="E22" s="33"/>
      <c r="F22" s="33"/>
      <c r="G22" s="34">
        <f>SUM(G16+G20)</f>
        <v>21274</v>
      </c>
      <c r="H22" s="33"/>
      <c r="I22" s="34">
        <f>SUM(I16+I20)</f>
        <v>11363</v>
      </c>
    </row>
    <row r="24" spans="2:15" ht="12.95" customHeight="1" x14ac:dyDescent="0.3">
      <c r="B24" s="38" t="s">
        <v>45</v>
      </c>
      <c r="C24" s="39"/>
      <c r="D24" s="24"/>
      <c r="E24" s="40"/>
      <c r="F24" s="24"/>
      <c r="G24" s="40" t="s">
        <v>19</v>
      </c>
    </row>
    <row r="25" spans="2:15" ht="12.95" customHeight="1" x14ac:dyDescent="0.3">
      <c r="B25" s="59" t="s">
        <v>2</v>
      </c>
      <c r="C25" s="61" t="s">
        <v>13</v>
      </c>
      <c r="D25" s="63" t="s">
        <v>6</v>
      </c>
      <c r="E25" s="64" t="s">
        <v>3</v>
      </c>
      <c r="F25" s="63" t="s">
        <v>15</v>
      </c>
      <c r="G25" s="66" t="s">
        <v>16</v>
      </c>
    </row>
    <row r="26" spans="2:15" ht="12.95" customHeight="1" x14ac:dyDescent="0.3">
      <c r="B26" s="60"/>
      <c r="C26" s="62"/>
      <c r="D26" s="63"/>
      <c r="E26" s="65"/>
      <c r="F26" s="63"/>
      <c r="G26" s="67"/>
    </row>
    <row r="27" spans="2:15" ht="12.95" customHeight="1" x14ac:dyDescent="0.3">
      <c r="B27" s="11" t="s">
        <v>17</v>
      </c>
      <c r="C27" s="6" t="s">
        <v>18</v>
      </c>
      <c r="D27" s="48" t="s">
        <v>12</v>
      </c>
      <c r="E27" s="12"/>
      <c r="F27" s="45">
        <v>1</v>
      </c>
      <c r="G27" s="53">
        <f>TRUNC(SUM(G30:G31)*0.03,1)</f>
        <v>52.5</v>
      </c>
    </row>
    <row r="28" spans="2:15" ht="12.95" customHeight="1" x14ac:dyDescent="0.3">
      <c r="B28" s="19" t="s">
        <v>8</v>
      </c>
      <c r="C28" s="22"/>
      <c r="D28" s="21"/>
      <c r="E28" s="20"/>
      <c r="F28" s="26"/>
      <c r="G28" s="18">
        <f>TRUNC(SUM(G27:G27))</f>
        <v>52</v>
      </c>
    </row>
    <row r="29" spans="2:15" ht="12.95" customHeight="1" x14ac:dyDescent="0.3">
      <c r="B29" s="35"/>
      <c r="C29" s="36"/>
      <c r="D29" s="36"/>
      <c r="E29" s="44"/>
      <c r="F29" s="47"/>
      <c r="G29" s="30"/>
    </row>
    <row r="30" spans="2:15" ht="12.95" customHeight="1" x14ac:dyDescent="0.3">
      <c r="B30" s="15" t="s">
        <v>0</v>
      </c>
      <c r="C30" s="9"/>
      <c r="D30" s="3" t="s">
        <v>7</v>
      </c>
      <c r="E30" s="52">
        <v>263017</v>
      </c>
      <c r="F30" s="49">
        <v>6.0000000000000001E-3</v>
      </c>
      <c r="G30" s="7">
        <f t="shared" ref="G30:G31" si="3">TRUNC($E30*F30,1)</f>
        <v>1578.1</v>
      </c>
    </row>
    <row r="31" spans="2:15" ht="12.95" customHeight="1" x14ac:dyDescent="0.3">
      <c r="B31" s="15" t="s">
        <v>1</v>
      </c>
      <c r="C31" s="9"/>
      <c r="D31" s="3" t="s">
        <v>7</v>
      </c>
      <c r="E31" s="52">
        <v>172068</v>
      </c>
      <c r="F31" s="49">
        <v>1E-3</v>
      </c>
      <c r="G31" s="7">
        <f t="shared" si="3"/>
        <v>172</v>
      </c>
    </row>
    <row r="32" spans="2:15" ht="12.95" customHeight="1" x14ac:dyDescent="0.3">
      <c r="B32" s="17" t="s">
        <v>9</v>
      </c>
      <c r="C32" s="36"/>
      <c r="D32" s="36"/>
      <c r="E32" s="44"/>
      <c r="F32" s="47"/>
      <c r="G32" s="42">
        <f>TRUNC(SUM(G30:G31))</f>
        <v>1750</v>
      </c>
    </row>
    <row r="33" spans="2:9" ht="12.95" customHeight="1" x14ac:dyDescent="0.3">
      <c r="B33" s="35"/>
      <c r="C33" s="36"/>
      <c r="D33" s="36"/>
      <c r="E33" s="44"/>
      <c r="F33" s="47"/>
      <c r="G33" s="30"/>
    </row>
    <row r="34" spans="2:9" ht="12.95" customHeight="1" x14ac:dyDescent="0.3">
      <c r="B34" s="14" t="s">
        <v>11</v>
      </c>
      <c r="C34" s="37"/>
      <c r="D34" s="37"/>
      <c r="E34" s="33"/>
      <c r="F34" s="33"/>
      <c r="G34" s="34">
        <f>SUM(G28+G32)</f>
        <v>1802</v>
      </c>
    </row>
    <row r="36" spans="2:9" ht="12.95" customHeight="1" x14ac:dyDescent="0.3">
      <c r="B36" s="38" t="s">
        <v>46</v>
      </c>
      <c r="C36" s="39"/>
      <c r="D36" s="24"/>
      <c r="E36" s="40"/>
      <c r="F36" s="24"/>
      <c r="G36" s="24"/>
      <c r="I36" s="40" t="s">
        <v>19</v>
      </c>
    </row>
    <row r="37" spans="2:9" ht="12.95" customHeight="1" x14ac:dyDescent="0.3">
      <c r="B37" s="59" t="s">
        <v>2</v>
      </c>
      <c r="C37" s="61" t="s">
        <v>13</v>
      </c>
      <c r="D37" s="63" t="s">
        <v>6</v>
      </c>
      <c r="E37" s="64" t="s">
        <v>3</v>
      </c>
      <c r="F37" s="57" t="s">
        <v>47</v>
      </c>
      <c r="G37" s="58"/>
      <c r="H37" s="57" t="s">
        <v>48</v>
      </c>
      <c r="I37" s="58"/>
    </row>
    <row r="38" spans="2:9" ht="12.95" customHeight="1" x14ac:dyDescent="0.3">
      <c r="B38" s="60"/>
      <c r="C38" s="62"/>
      <c r="D38" s="63"/>
      <c r="E38" s="65"/>
      <c r="F38" s="50" t="s">
        <v>4</v>
      </c>
      <c r="G38" s="51" t="s">
        <v>5</v>
      </c>
      <c r="H38" s="50" t="s">
        <v>4</v>
      </c>
      <c r="I38" s="51" t="s">
        <v>5</v>
      </c>
    </row>
    <row r="39" spans="2:9" ht="12.95" customHeight="1" x14ac:dyDescent="0.3">
      <c r="B39" s="11" t="s">
        <v>17</v>
      </c>
      <c r="C39" s="6" t="s">
        <v>18</v>
      </c>
      <c r="D39" s="48" t="s">
        <v>12</v>
      </c>
      <c r="E39" s="12"/>
      <c r="F39" s="45">
        <v>1</v>
      </c>
      <c r="G39" s="53">
        <f>TRUNC(SUM(G42:G43)*0.03,1)</f>
        <v>52.5</v>
      </c>
      <c r="H39" s="45">
        <v>1</v>
      </c>
      <c r="I39" s="53">
        <f>TRUNC(SUM(I42:I43)*0.03,1)</f>
        <v>76.099999999999994</v>
      </c>
    </row>
    <row r="40" spans="2:9" ht="12.95" customHeight="1" x14ac:dyDescent="0.3">
      <c r="B40" s="19" t="s">
        <v>8</v>
      </c>
      <c r="C40" s="22"/>
      <c r="D40" s="21"/>
      <c r="E40" s="20"/>
      <c r="F40" s="26"/>
      <c r="G40" s="18">
        <f>TRUNC(SUM(G39:G39))</f>
        <v>52</v>
      </c>
      <c r="H40" s="26"/>
      <c r="I40" s="18">
        <f>TRUNC(SUM(I39:I39))</f>
        <v>76</v>
      </c>
    </row>
    <row r="41" spans="2:9" ht="12.95" customHeight="1" x14ac:dyDescent="0.3">
      <c r="B41" s="35"/>
      <c r="C41" s="36"/>
      <c r="D41" s="36"/>
      <c r="E41" s="44"/>
      <c r="F41" s="47"/>
      <c r="G41" s="30"/>
      <c r="H41" s="47"/>
      <c r="I41" s="30"/>
    </row>
    <row r="42" spans="2:9" ht="12.95" customHeight="1" x14ac:dyDescent="0.3">
      <c r="B42" s="15" t="s">
        <v>0</v>
      </c>
      <c r="C42" s="9"/>
      <c r="D42" s="3" t="s">
        <v>7</v>
      </c>
      <c r="E42" s="52">
        <v>263017</v>
      </c>
      <c r="F42" s="49">
        <v>6.0000000000000001E-3</v>
      </c>
      <c r="G42" s="7">
        <f t="shared" ref="G42:G43" si="4">TRUNC($E42*F42,1)</f>
        <v>1578.1</v>
      </c>
      <c r="H42" s="49">
        <v>8.9999999999999993E-3</v>
      </c>
      <c r="I42" s="7">
        <f t="shared" ref="I42:I43" si="5">TRUNC($E42*H42,1)</f>
        <v>2367.1</v>
      </c>
    </row>
    <row r="43" spans="2:9" ht="12.95" customHeight="1" x14ac:dyDescent="0.3">
      <c r="B43" s="15" t="s">
        <v>1</v>
      </c>
      <c r="C43" s="9"/>
      <c r="D43" s="3" t="s">
        <v>7</v>
      </c>
      <c r="E43" s="52">
        <v>172068</v>
      </c>
      <c r="F43" s="49">
        <v>1E-3</v>
      </c>
      <c r="G43" s="7">
        <f t="shared" si="4"/>
        <v>172</v>
      </c>
      <c r="H43" s="49">
        <v>1E-3</v>
      </c>
      <c r="I43" s="7">
        <f t="shared" si="5"/>
        <v>172</v>
      </c>
    </row>
    <row r="44" spans="2:9" ht="12.95" customHeight="1" x14ac:dyDescent="0.3">
      <c r="B44" s="17" t="s">
        <v>9</v>
      </c>
      <c r="C44" s="36"/>
      <c r="D44" s="36"/>
      <c r="E44" s="44"/>
      <c r="F44" s="47"/>
      <c r="G44" s="42">
        <f>TRUNC(SUM(G42:G43))</f>
        <v>1750</v>
      </c>
      <c r="H44" s="47"/>
      <c r="I44" s="42">
        <f>TRUNC(SUM(I42:I43))</f>
        <v>2539</v>
      </c>
    </row>
    <row r="45" spans="2:9" ht="12.95" customHeight="1" x14ac:dyDescent="0.3">
      <c r="B45" s="35"/>
      <c r="C45" s="36"/>
      <c r="D45" s="36"/>
      <c r="E45" s="44"/>
      <c r="F45" s="47"/>
      <c r="G45" s="30"/>
      <c r="H45" s="47"/>
      <c r="I45" s="30"/>
    </row>
    <row r="46" spans="2:9" ht="12.95" customHeight="1" x14ac:dyDescent="0.3">
      <c r="B46" s="14" t="s">
        <v>11</v>
      </c>
      <c r="C46" s="37"/>
      <c r="D46" s="37"/>
      <c r="E46" s="33"/>
      <c r="F46" s="33"/>
      <c r="G46" s="34">
        <f>SUM(G40+G44)</f>
        <v>1802</v>
      </c>
      <c r="H46" s="33"/>
      <c r="I46" s="34">
        <f>SUM(I40+I44)</f>
        <v>2615</v>
      </c>
    </row>
    <row r="48" spans="2:9" ht="12.95" customHeight="1" x14ac:dyDescent="0.3">
      <c r="B48" s="38" t="s">
        <v>44</v>
      </c>
      <c r="C48" s="39"/>
      <c r="D48" s="24"/>
      <c r="E48" s="40"/>
      <c r="F48" s="24"/>
      <c r="G48" s="40" t="s">
        <v>19</v>
      </c>
    </row>
    <row r="49" spans="2:9" ht="12.95" customHeight="1" x14ac:dyDescent="0.3">
      <c r="B49" s="59" t="s">
        <v>2</v>
      </c>
      <c r="C49" s="61" t="s">
        <v>13</v>
      </c>
      <c r="D49" s="63" t="s">
        <v>6</v>
      </c>
      <c r="E49" s="64" t="s">
        <v>3</v>
      </c>
      <c r="F49" s="63" t="s">
        <v>15</v>
      </c>
      <c r="G49" s="66" t="s">
        <v>16</v>
      </c>
    </row>
    <row r="50" spans="2:9" ht="12.95" customHeight="1" x14ac:dyDescent="0.3">
      <c r="B50" s="60"/>
      <c r="C50" s="62"/>
      <c r="D50" s="63"/>
      <c r="E50" s="65"/>
      <c r="F50" s="63"/>
      <c r="G50" s="67"/>
    </row>
    <row r="51" spans="2:9" ht="12.95" customHeight="1" x14ac:dyDescent="0.3">
      <c r="B51" s="11" t="s">
        <v>17</v>
      </c>
      <c r="C51" s="6" t="s">
        <v>18</v>
      </c>
      <c r="D51" s="48" t="s">
        <v>12</v>
      </c>
      <c r="E51" s="12"/>
      <c r="F51" s="45">
        <v>1</v>
      </c>
      <c r="G51" s="53">
        <f>TRUNC(SUM(G54:G55)*0.03,1)</f>
        <v>44.6</v>
      </c>
    </row>
    <row r="52" spans="2:9" ht="12.95" customHeight="1" x14ac:dyDescent="0.3">
      <c r="B52" s="19" t="s">
        <v>8</v>
      </c>
      <c r="C52" s="22"/>
      <c r="D52" s="21"/>
      <c r="E52" s="20"/>
      <c r="F52" s="26"/>
      <c r="G52" s="18">
        <f>TRUNC(SUM(G51:G51))</f>
        <v>44</v>
      </c>
    </row>
    <row r="53" spans="2:9" ht="12.95" customHeight="1" x14ac:dyDescent="0.3">
      <c r="B53" s="35"/>
      <c r="C53" s="36"/>
      <c r="D53" s="36"/>
      <c r="E53" s="44"/>
      <c r="F53" s="47"/>
      <c r="G53" s="30"/>
    </row>
    <row r="54" spans="2:9" ht="12.95" customHeight="1" x14ac:dyDescent="0.3">
      <c r="B54" s="15" t="s">
        <v>0</v>
      </c>
      <c r="C54" s="9"/>
      <c r="D54" s="3" t="s">
        <v>7</v>
      </c>
      <c r="E54" s="52">
        <v>263017</v>
      </c>
      <c r="F54" s="49">
        <v>5.0000000000000001E-3</v>
      </c>
      <c r="G54" s="7">
        <f t="shared" ref="G54:G55" si="6">TRUNC($E54*F54,1)</f>
        <v>1315</v>
      </c>
    </row>
    <row r="55" spans="2:9" ht="12.95" customHeight="1" x14ac:dyDescent="0.3">
      <c r="B55" s="15" t="s">
        <v>1</v>
      </c>
      <c r="C55" s="9"/>
      <c r="D55" s="3" t="s">
        <v>7</v>
      </c>
      <c r="E55" s="52">
        <v>172068</v>
      </c>
      <c r="F55" s="49">
        <v>1E-3</v>
      </c>
      <c r="G55" s="7">
        <f t="shared" si="6"/>
        <v>172</v>
      </c>
    </row>
    <row r="56" spans="2:9" ht="12.95" customHeight="1" x14ac:dyDescent="0.3">
      <c r="B56" s="17" t="s">
        <v>9</v>
      </c>
      <c r="C56" s="36"/>
      <c r="D56" s="36"/>
      <c r="E56" s="44"/>
      <c r="F56" s="47"/>
      <c r="G56" s="42">
        <f>TRUNC(SUM(G54:G55))</f>
        <v>1487</v>
      </c>
    </row>
    <row r="57" spans="2:9" ht="12.95" customHeight="1" x14ac:dyDescent="0.3">
      <c r="B57" s="35"/>
      <c r="C57" s="36"/>
      <c r="D57" s="36"/>
      <c r="E57" s="44"/>
      <c r="F57" s="47"/>
      <c r="G57" s="30"/>
    </row>
    <row r="58" spans="2:9" ht="12.95" customHeight="1" x14ac:dyDescent="0.3">
      <c r="B58" s="14" t="s">
        <v>11</v>
      </c>
      <c r="C58" s="37"/>
      <c r="D58" s="37"/>
      <c r="E58" s="33"/>
      <c r="F58" s="33"/>
      <c r="G58" s="34">
        <f>SUM(G52+G56)</f>
        <v>1531</v>
      </c>
    </row>
    <row r="60" spans="2:9" ht="12.95" customHeight="1" x14ac:dyDescent="0.3">
      <c r="B60" s="38" t="s">
        <v>49</v>
      </c>
      <c r="C60" s="39"/>
      <c r="D60" s="24"/>
      <c r="E60" s="40"/>
      <c r="F60" s="24"/>
      <c r="G60" s="24"/>
      <c r="H60" s="24"/>
      <c r="I60" s="40" t="s">
        <v>50</v>
      </c>
    </row>
    <row r="61" spans="2:9" ht="12.95" customHeight="1" x14ac:dyDescent="0.3">
      <c r="B61" s="59" t="s">
        <v>2</v>
      </c>
      <c r="C61" s="61" t="s">
        <v>13</v>
      </c>
      <c r="D61" s="63" t="s">
        <v>6</v>
      </c>
      <c r="E61" s="64" t="s">
        <v>3</v>
      </c>
      <c r="F61" s="57" t="s">
        <v>51</v>
      </c>
      <c r="G61" s="58"/>
      <c r="H61" s="57" t="s">
        <v>52</v>
      </c>
      <c r="I61" s="58"/>
    </row>
    <row r="62" spans="2:9" ht="12.95" customHeight="1" x14ac:dyDescent="0.3">
      <c r="B62" s="60"/>
      <c r="C62" s="62"/>
      <c r="D62" s="63"/>
      <c r="E62" s="65"/>
      <c r="F62" s="50" t="s">
        <v>4</v>
      </c>
      <c r="G62" s="51" t="s">
        <v>5</v>
      </c>
      <c r="H62" s="50" t="s">
        <v>4</v>
      </c>
      <c r="I62" s="51" t="s">
        <v>5</v>
      </c>
    </row>
    <row r="63" spans="2:9" ht="12.95" customHeight="1" x14ac:dyDescent="0.3">
      <c r="B63" s="15" t="s">
        <v>1</v>
      </c>
      <c r="C63" s="9"/>
      <c r="D63" s="3" t="s">
        <v>7</v>
      </c>
      <c r="E63" s="52">
        <v>172068</v>
      </c>
      <c r="F63" s="49">
        <v>0.625</v>
      </c>
      <c r="G63" s="7">
        <f t="shared" ref="G63" si="7">TRUNC($E63*F63,1)</f>
        <v>107542.5</v>
      </c>
      <c r="H63" s="49">
        <v>0.91200000000000003</v>
      </c>
      <c r="I63" s="7">
        <f t="shared" ref="I63" si="8">TRUNC($E63*H63,1)</f>
        <v>156926</v>
      </c>
    </row>
    <row r="64" spans="2:9" ht="12.95" customHeight="1" x14ac:dyDescent="0.3">
      <c r="B64" s="17" t="s">
        <v>9</v>
      </c>
      <c r="C64" s="36"/>
      <c r="D64" s="36"/>
      <c r="E64" s="44"/>
      <c r="F64" s="47"/>
      <c r="G64" s="42">
        <f>TRUNC(SUM(G63:G63))</f>
        <v>107542</v>
      </c>
      <c r="H64" s="47"/>
      <c r="I64" s="42">
        <f>TRUNC(SUM(I63:I63))</f>
        <v>156926</v>
      </c>
    </row>
    <row r="65" spans="2:9" ht="12.95" customHeight="1" x14ac:dyDescent="0.3">
      <c r="B65" s="35"/>
      <c r="C65" s="36"/>
      <c r="D65" s="36"/>
      <c r="E65" s="44"/>
      <c r="F65" s="47"/>
      <c r="G65" s="30"/>
      <c r="H65" s="47"/>
      <c r="I65" s="30"/>
    </row>
    <row r="66" spans="2:9" ht="12.95" customHeight="1" x14ac:dyDescent="0.3">
      <c r="B66" s="14" t="s">
        <v>11</v>
      </c>
      <c r="C66" s="37"/>
      <c r="D66" s="37"/>
      <c r="E66" s="33"/>
      <c r="F66" s="33"/>
      <c r="G66" s="34">
        <f>SUM(G64)</f>
        <v>107542</v>
      </c>
      <c r="H66" s="33"/>
      <c r="I66" s="34">
        <f>SUM(I64)</f>
        <v>156926</v>
      </c>
    </row>
    <row r="68" spans="2:9" ht="12.95" customHeight="1" x14ac:dyDescent="0.3">
      <c r="B68" s="1" t="s">
        <v>26</v>
      </c>
    </row>
    <row r="69" spans="2:9" ht="12.95" customHeight="1" x14ac:dyDescent="0.3">
      <c r="B69" s="38" t="s">
        <v>27</v>
      </c>
      <c r="C69" s="39"/>
      <c r="D69" s="24"/>
      <c r="E69" s="40"/>
      <c r="F69" s="24"/>
      <c r="G69" s="40" t="s">
        <v>19</v>
      </c>
    </row>
    <row r="70" spans="2:9" ht="12.95" customHeight="1" x14ac:dyDescent="0.3">
      <c r="B70" s="59" t="s">
        <v>2</v>
      </c>
      <c r="C70" s="61" t="s">
        <v>13</v>
      </c>
      <c r="D70" s="63" t="s">
        <v>6</v>
      </c>
      <c r="E70" s="64" t="s">
        <v>3</v>
      </c>
      <c r="F70" s="63" t="s">
        <v>15</v>
      </c>
      <c r="G70" s="66" t="s">
        <v>16</v>
      </c>
    </row>
    <row r="71" spans="2:9" ht="12.95" customHeight="1" x14ac:dyDescent="0.3">
      <c r="B71" s="60"/>
      <c r="C71" s="62"/>
      <c r="D71" s="63"/>
      <c r="E71" s="65"/>
      <c r="F71" s="63"/>
      <c r="G71" s="67"/>
    </row>
    <row r="72" spans="2:9" ht="12.95" customHeight="1" x14ac:dyDescent="0.3">
      <c r="B72" s="11" t="s">
        <v>17</v>
      </c>
      <c r="C72" s="6" t="s">
        <v>53</v>
      </c>
      <c r="D72" s="48" t="s">
        <v>12</v>
      </c>
      <c r="E72" s="12"/>
      <c r="F72" s="45">
        <v>1</v>
      </c>
      <c r="G72" s="53">
        <f>TRUNC(SUM(G75:G76)*0.02,1)</f>
        <v>129.4</v>
      </c>
    </row>
    <row r="73" spans="2:9" ht="12.95" customHeight="1" x14ac:dyDescent="0.3">
      <c r="B73" s="19" t="s">
        <v>8</v>
      </c>
      <c r="C73" s="22"/>
      <c r="D73" s="21"/>
      <c r="E73" s="20"/>
      <c r="F73" s="26"/>
      <c r="G73" s="18">
        <f>TRUNC(SUM(G72:G72))</f>
        <v>129</v>
      </c>
    </row>
    <row r="74" spans="2:9" ht="12.95" customHeight="1" x14ac:dyDescent="0.3">
      <c r="B74" s="35"/>
      <c r="C74" s="36"/>
      <c r="D74" s="36"/>
      <c r="E74" s="44"/>
      <c r="F74" s="47"/>
      <c r="G74" s="30"/>
    </row>
    <row r="75" spans="2:9" ht="12.95" customHeight="1" x14ac:dyDescent="0.3">
      <c r="B75" s="15" t="s">
        <v>0</v>
      </c>
      <c r="C75" s="9"/>
      <c r="D75" s="3" t="s">
        <v>7</v>
      </c>
      <c r="E75" s="52">
        <v>263017</v>
      </c>
      <c r="F75" s="49">
        <v>2.1999999999999999E-2</v>
      </c>
      <c r="G75" s="7">
        <f t="shared" ref="G75:G76" si="9">TRUNC($E75*F75,1)</f>
        <v>5786.3</v>
      </c>
    </row>
    <row r="76" spans="2:9" ht="12.95" customHeight="1" x14ac:dyDescent="0.3">
      <c r="B76" s="15" t="s">
        <v>1</v>
      </c>
      <c r="C76" s="9"/>
      <c r="D76" s="3" t="s">
        <v>7</v>
      </c>
      <c r="E76" s="52">
        <v>172068</v>
      </c>
      <c r="F76" s="49">
        <v>4.0000000000000001E-3</v>
      </c>
      <c r="G76" s="7">
        <f t="shared" si="9"/>
        <v>688.2</v>
      </c>
    </row>
    <row r="77" spans="2:9" ht="12.95" customHeight="1" x14ac:dyDescent="0.3">
      <c r="B77" s="17" t="s">
        <v>9</v>
      </c>
      <c r="C77" s="36"/>
      <c r="D77" s="36"/>
      <c r="E77" s="44"/>
      <c r="F77" s="47"/>
      <c r="G77" s="42">
        <f>TRUNC(SUM(G75:G76))</f>
        <v>6474</v>
      </c>
    </row>
    <row r="78" spans="2:9" ht="12.95" customHeight="1" x14ac:dyDescent="0.3">
      <c r="B78" s="35"/>
      <c r="C78" s="36"/>
      <c r="D78" s="36"/>
      <c r="E78" s="44"/>
      <c r="F78" s="47"/>
      <c r="G78" s="30"/>
    </row>
    <row r="79" spans="2:9" ht="12.95" customHeight="1" x14ac:dyDescent="0.3">
      <c r="B79" s="14" t="s">
        <v>11</v>
      </c>
      <c r="C79" s="37"/>
      <c r="D79" s="37"/>
      <c r="E79" s="33"/>
      <c r="F79" s="33"/>
      <c r="G79" s="34">
        <f>SUM(G73+G77)</f>
        <v>6603</v>
      </c>
    </row>
    <row r="81" spans="2:7" ht="12.95" customHeight="1" x14ac:dyDescent="0.3">
      <c r="B81" s="38" t="s">
        <v>28</v>
      </c>
      <c r="C81" s="39"/>
      <c r="D81" s="24"/>
      <c r="E81" s="40"/>
      <c r="F81" s="24"/>
      <c r="G81" s="40" t="s">
        <v>19</v>
      </c>
    </row>
    <row r="82" spans="2:7" ht="12.95" customHeight="1" x14ac:dyDescent="0.3">
      <c r="B82" s="59" t="s">
        <v>2</v>
      </c>
      <c r="C82" s="61" t="s">
        <v>13</v>
      </c>
      <c r="D82" s="63" t="s">
        <v>6</v>
      </c>
      <c r="E82" s="64" t="s">
        <v>3</v>
      </c>
      <c r="F82" s="63" t="s">
        <v>15</v>
      </c>
      <c r="G82" s="66" t="s">
        <v>16</v>
      </c>
    </row>
    <row r="83" spans="2:7" ht="12.95" customHeight="1" x14ac:dyDescent="0.3">
      <c r="B83" s="60"/>
      <c r="C83" s="62"/>
      <c r="D83" s="63"/>
      <c r="E83" s="65"/>
      <c r="F83" s="63"/>
      <c r="G83" s="67"/>
    </row>
    <row r="84" spans="2:7" ht="12.95" customHeight="1" x14ac:dyDescent="0.3">
      <c r="B84" s="11" t="s">
        <v>17</v>
      </c>
      <c r="C84" s="6" t="s">
        <v>53</v>
      </c>
      <c r="D84" s="48" t="s">
        <v>12</v>
      </c>
      <c r="E84" s="12"/>
      <c r="F84" s="45">
        <v>1</v>
      </c>
      <c r="G84" s="53">
        <f>TRUNC(SUM(G87:G88)*0.02,1)</f>
        <v>70</v>
      </c>
    </row>
    <row r="85" spans="2:7" ht="12.95" customHeight="1" x14ac:dyDescent="0.3">
      <c r="B85" s="19" t="s">
        <v>8</v>
      </c>
      <c r="C85" s="22"/>
      <c r="D85" s="21"/>
      <c r="E85" s="20"/>
      <c r="F85" s="26"/>
      <c r="G85" s="18">
        <f>TRUNC(SUM(G84:G84))</f>
        <v>70</v>
      </c>
    </row>
    <row r="86" spans="2:7" ht="12.95" customHeight="1" x14ac:dyDescent="0.3">
      <c r="B86" s="35"/>
      <c r="C86" s="36"/>
      <c r="D86" s="36"/>
      <c r="E86" s="44"/>
      <c r="F86" s="47"/>
      <c r="G86" s="30"/>
    </row>
    <row r="87" spans="2:7" ht="12.95" customHeight="1" x14ac:dyDescent="0.3">
      <c r="B87" s="15" t="s">
        <v>0</v>
      </c>
      <c r="C87" s="9"/>
      <c r="D87" s="3" t="s">
        <v>7</v>
      </c>
      <c r="E87" s="52">
        <v>263017</v>
      </c>
      <c r="F87" s="49">
        <v>1.2E-2</v>
      </c>
      <c r="G87" s="7">
        <f t="shared" ref="G87:G88" si="10">TRUNC($E87*F87,1)</f>
        <v>3156.2</v>
      </c>
    </row>
    <row r="88" spans="2:7" ht="12.95" customHeight="1" x14ac:dyDescent="0.3">
      <c r="B88" s="15" t="s">
        <v>1</v>
      </c>
      <c r="C88" s="9"/>
      <c r="D88" s="3" t="s">
        <v>7</v>
      </c>
      <c r="E88" s="52">
        <v>172068</v>
      </c>
      <c r="F88" s="49">
        <v>2E-3</v>
      </c>
      <c r="G88" s="7">
        <f t="shared" si="10"/>
        <v>344.1</v>
      </c>
    </row>
    <row r="89" spans="2:7" ht="12.95" customHeight="1" x14ac:dyDescent="0.3">
      <c r="B89" s="17" t="s">
        <v>9</v>
      </c>
      <c r="C89" s="36"/>
      <c r="D89" s="36"/>
      <c r="E89" s="44"/>
      <c r="F89" s="47"/>
      <c r="G89" s="42">
        <f>TRUNC(SUM(G87:G88))</f>
        <v>3500</v>
      </c>
    </row>
    <row r="90" spans="2:7" ht="12.95" customHeight="1" x14ac:dyDescent="0.3">
      <c r="B90" s="35"/>
      <c r="C90" s="36"/>
      <c r="D90" s="36"/>
      <c r="E90" s="44"/>
      <c r="F90" s="47"/>
      <c r="G90" s="30"/>
    </row>
    <row r="91" spans="2:7" ht="12.95" customHeight="1" x14ac:dyDescent="0.3">
      <c r="B91" s="14" t="s">
        <v>11</v>
      </c>
      <c r="C91" s="37"/>
      <c r="D91" s="37"/>
      <c r="E91" s="33"/>
      <c r="F91" s="33"/>
      <c r="G91" s="34">
        <f>SUM(G85+G89)</f>
        <v>3570</v>
      </c>
    </row>
    <row r="93" spans="2:7" ht="12.95" customHeight="1" x14ac:dyDescent="0.3">
      <c r="B93" s="38" t="s">
        <v>29</v>
      </c>
      <c r="C93" s="39"/>
      <c r="D93" s="24"/>
      <c r="E93" s="40"/>
      <c r="F93" s="24"/>
      <c r="G93" s="40" t="s">
        <v>30</v>
      </c>
    </row>
    <row r="94" spans="2:7" ht="12.95" customHeight="1" x14ac:dyDescent="0.3">
      <c r="B94" s="59" t="s">
        <v>2</v>
      </c>
      <c r="C94" s="61" t="s">
        <v>13</v>
      </c>
      <c r="D94" s="63" t="s">
        <v>6</v>
      </c>
      <c r="E94" s="64" t="s">
        <v>3</v>
      </c>
      <c r="F94" s="63" t="s">
        <v>15</v>
      </c>
      <c r="G94" s="66" t="s">
        <v>16</v>
      </c>
    </row>
    <row r="95" spans="2:7" ht="12.95" customHeight="1" x14ac:dyDescent="0.3">
      <c r="B95" s="60"/>
      <c r="C95" s="62"/>
      <c r="D95" s="63"/>
      <c r="E95" s="65"/>
      <c r="F95" s="63"/>
      <c r="G95" s="67"/>
    </row>
    <row r="96" spans="2:7" ht="12.95" customHeight="1" x14ac:dyDescent="0.3">
      <c r="B96" s="11" t="s">
        <v>17</v>
      </c>
      <c r="C96" s="6" t="s">
        <v>54</v>
      </c>
      <c r="D96" s="48" t="s">
        <v>12</v>
      </c>
      <c r="E96" s="12"/>
      <c r="F96" s="45">
        <v>1</v>
      </c>
      <c r="G96" s="53">
        <f>TRUNC(SUM(G99:G100)*0.12,1)</f>
        <v>1120.5</v>
      </c>
    </row>
    <row r="97" spans="2:9" ht="12.95" customHeight="1" x14ac:dyDescent="0.3">
      <c r="B97" s="19" t="s">
        <v>8</v>
      </c>
      <c r="C97" s="22"/>
      <c r="D97" s="21"/>
      <c r="E97" s="20"/>
      <c r="F97" s="26"/>
      <c r="G97" s="18">
        <f>TRUNC(SUM(G96:G96))</f>
        <v>1120</v>
      </c>
    </row>
    <row r="98" spans="2:9" ht="12.95" customHeight="1" x14ac:dyDescent="0.3">
      <c r="B98" s="35"/>
      <c r="C98" s="36"/>
      <c r="D98" s="36"/>
      <c r="E98" s="44"/>
      <c r="F98" s="47"/>
      <c r="G98" s="30"/>
    </row>
    <row r="99" spans="2:9" ht="12.95" customHeight="1" x14ac:dyDescent="0.3">
      <c r="B99" s="15" t="s">
        <v>0</v>
      </c>
      <c r="C99" s="9"/>
      <c r="D99" s="3" t="s">
        <v>7</v>
      </c>
      <c r="E99" s="52">
        <v>263017</v>
      </c>
      <c r="F99" s="49">
        <v>2.7E-2</v>
      </c>
      <c r="G99" s="7">
        <f t="shared" ref="G99:G100" si="11">TRUNC($E99*F99,1)</f>
        <v>7101.4</v>
      </c>
    </row>
    <row r="100" spans="2:9" ht="12.95" customHeight="1" x14ac:dyDescent="0.3">
      <c r="B100" s="15" t="s">
        <v>1</v>
      </c>
      <c r="C100" s="9"/>
      <c r="D100" s="3" t="s">
        <v>7</v>
      </c>
      <c r="E100" s="52">
        <v>172068</v>
      </c>
      <c r="F100" s="49">
        <v>1.2999999999999999E-2</v>
      </c>
      <c r="G100" s="7">
        <f t="shared" si="11"/>
        <v>2236.8000000000002</v>
      </c>
    </row>
    <row r="101" spans="2:9" ht="12.95" customHeight="1" x14ac:dyDescent="0.3">
      <c r="B101" s="17" t="s">
        <v>9</v>
      </c>
      <c r="C101" s="36"/>
      <c r="D101" s="36"/>
      <c r="E101" s="44"/>
      <c r="F101" s="47"/>
      <c r="G101" s="42">
        <f>TRUNC(SUM(G99:G100))</f>
        <v>9338</v>
      </c>
    </row>
    <row r="102" spans="2:9" ht="12.95" customHeight="1" x14ac:dyDescent="0.3">
      <c r="B102" s="35"/>
      <c r="C102" s="36"/>
      <c r="D102" s="36"/>
      <c r="E102" s="44"/>
      <c r="F102" s="47"/>
      <c r="G102" s="30"/>
    </row>
    <row r="103" spans="2:9" ht="12.95" customHeight="1" x14ac:dyDescent="0.3">
      <c r="B103" s="14" t="s">
        <v>11</v>
      </c>
      <c r="C103" s="37"/>
      <c r="D103" s="37"/>
      <c r="E103" s="33"/>
      <c r="F103" s="33"/>
      <c r="G103" s="34">
        <f>SUM(G97+G101)</f>
        <v>10458</v>
      </c>
    </row>
    <row r="105" spans="2:9" ht="12.95" customHeight="1" x14ac:dyDescent="0.3">
      <c r="B105" s="38" t="s">
        <v>31</v>
      </c>
      <c r="C105" s="39"/>
      <c r="D105" s="24"/>
      <c r="E105" s="40"/>
      <c r="F105" s="24"/>
      <c r="G105" s="24"/>
      <c r="I105" s="40" t="s">
        <v>19</v>
      </c>
    </row>
    <row r="106" spans="2:9" ht="12.95" customHeight="1" x14ac:dyDescent="0.3">
      <c r="B106" s="59" t="s">
        <v>2</v>
      </c>
      <c r="C106" s="61" t="s">
        <v>13</v>
      </c>
      <c r="D106" s="63" t="s">
        <v>6</v>
      </c>
      <c r="E106" s="64" t="s">
        <v>3</v>
      </c>
      <c r="F106" s="57" t="s">
        <v>55</v>
      </c>
      <c r="G106" s="58"/>
      <c r="H106" s="57" t="s">
        <v>56</v>
      </c>
      <c r="I106" s="58"/>
    </row>
    <row r="107" spans="2:9" ht="12.95" customHeight="1" x14ac:dyDescent="0.3">
      <c r="B107" s="60"/>
      <c r="C107" s="62"/>
      <c r="D107" s="63"/>
      <c r="E107" s="65"/>
      <c r="F107" s="50" t="s">
        <v>4</v>
      </c>
      <c r="G107" s="51" t="s">
        <v>5</v>
      </c>
      <c r="H107" s="50" t="s">
        <v>4</v>
      </c>
      <c r="I107" s="51" t="s">
        <v>5</v>
      </c>
    </row>
    <row r="108" spans="2:9" ht="12.95" customHeight="1" x14ac:dyDescent="0.3">
      <c r="B108" s="11" t="s">
        <v>17</v>
      </c>
      <c r="C108" s="6" t="s">
        <v>57</v>
      </c>
      <c r="D108" s="48" t="s">
        <v>12</v>
      </c>
      <c r="E108" s="12"/>
      <c r="F108" s="45">
        <v>1</v>
      </c>
      <c r="G108" s="53">
        <f>TRUNC(SUM(G111:G112)*0.02,1)</f>
        <v>118.9</v>
      </c>
      <c r="H108" s="45">
        <v>1</v>
      </c>
      <c r="I108" s="53">
        <f>TRUNC(SUM(I111:I112)*0.02,1)</f>
        <v>140</v>
      </c>
    </row>
    <row r="109" spans="2:9" ht="12.95" customHeight="1" x14ac:dyDescent="0.3">
      <c r="B109" s="19" t="s">
        <v>8</v>
      </c>
      <c r="C109" s="22"/>
      <c r="D109" s="21"/>
      <c r="E109" s="20"/>
      <c r="F109" s="26"/>
      <c r="G109" s="18">
        <f>TRUNC(SUM(G108:G108))</f>
        <v>118</v>
      </c>
      <c r="H109" s="26"/>
      <c r="I109" s="18">
        <f>TRUNC(SUM(I108:I108))</f>
        <v>140</v>
      </c>
    </row>
    <row r="110" spans="2:9" ht="12.95" customHeight="1" x14ac:dyDescent="0.3">
      <c r="B110" s="35"/>
      <c r="C110" s="36"/>
      <c r="D110" s="36"/>
      <c r="E110" s="44"/>
      <c r="F110" s="47"/>
      <c r="G110" s="30"/>
      <c r="H110" s="47"/>
      <c r="I110" s="30"/>
    </row>
    <row r="111" spans="2:9" ht="12.95" customHeight="1" x14ac:dyDescent="0.3">
      <c r="B111" s="15" t="s">
        <v>0</v>
      </c>
      <c r="C111" s="9"/>
      <c r="D111" s="3" t="s">
        <v>7</v>
      </c>
      <c r="E111" s="52">
        <v>263017</v>
      </c>
      <c r="F111" s="49">
        <v>0.02</v>
      </c>
      <c r="G111" s="7">
        <f t="shared" ref="G111:G112" si="12">TRUNC($E111*F111,1)</f>
        <v>5260.3</v>
      </c>
      <c r="H111" s="49">
        <v>2.4E-2</v>
      </c>
      <c r="I111" s="7">
        <f t="shared" ref="I111:I112" si="13">TRUNC($E111*H111,1)</f>
        <v>6312.4</v>
      </c>
    </row>
    <row r="112" spans="2:9" ht="12.95" customHeight="1" x14ac:dyDescent="0.3">
      <c r="B112" s="15" t="s">
        <v>1</v>
      </c>
      <c r="C112" s="9"/>
      <c r="D112" s="3" t="s">
        <v>7</v>
      </c>
      <c r="E112" s="52">
        <v>172068</v>
      </c>
      <c r="F112" s="49">
        <v>4.0000000000000001E-3</v>
      </c>
      <c r="G112" s="7">
        <f t="shared" si="12"/>
        <v>688.2</v>
      </c>
      <c r="H112" s="49">
        <v>4.0000000000000001E-3</v>
      </c>
      <c r="I112" s="7">
        <f t="shared" si="13"/>
        <v>688.2</v>
      </c>
    </row>
    <row r="113" spans="2:9" ht="12.95" customHeight="1" x14ac:dyDescent="0.3">
      <c r="B113" s="17" t="s">
        <v>9</v>
      </c>
      <c r="C113" s="36"/>
      <c r="D113" s="36"/>
      <c r="E113" s="44"/>
      <c r="F113" s="47"/>
      <c r="G113" s="42">
        <f>TRUNC(SUM(G111:G112))</f>
        <v>5948</v>
      </c>
      <c r="H113" s="47"/>
      <c r="I113" s="42">
        <f>TRUNC(SUM(I111:I112))</f>
        <v>7000</v>
      </c>
    </row>
    <row r="114" spans="2:9" ht="12.95" customHeight="1" x14ac:dyDescent="0.3">
      <c r="B114" s="35"/>
      <c r="C114" s="36"/>
      <c r="D114" s="36"/>
      <c r="E114" s="44"/>
      <c r="F114" s="47"/>
      <c r="G114" s="30"/>
      <c r="H114" s="47"/>
      <c r="I114" s="30"/>
    </row>
    <row r="115" spans="2:9" ht="12.95" customHeight="1" x14ac:dyDescent="0.3">
      <c r="B115" s="14" t="s">
        <v>11</v>
      </c>
      <c r="C115" s="37"/>
      <c r="D115" s="37"/>
      <c r="E115" s="33"/>
      <c r="F115" s="33"/>
      <c r="G115" s="34">
        <f>SUM(G109+G113)</f>
        <v>6066</v>
      </c>
      <c r="H115" s="33"/>
      <c r="I115" s="34">
        <f>SUM(I109+I113)</f>
        <v>7140</v>
      </c>
    </row>
    <row r="117" spans="2:9" ht="12.95" customHeight="1" x14ac:dyDescent="0.3">
      <c r="B117" s="38" t="s">
        <v>32</v>
      </c>
      <c r="C117" s="39"/>
      <c r="D117" s="24"/>
      <c r="E117" s="40"/>
      <c r="F117" s="24"/>
      <c r="G117" s="24"/>
      <c r="I117" s="40" t="s">
        <v>19</v>
      </c>
    </row>
    <row r="118" spans="2:9" ht="12.95" customHeight="1" x14ac:dyDescent="0.3">
      <c r="B118" s="59" t="s">
        <v>2</v>
      </c>
      <c r="C118" s="61" t="s">
        <v>13</v>
      </c>
      <c r="D118" s="63" t="s">
        <v>6</v>
      </c>
      <c r="E118" s="64" t="s">
        <v>3</v>
      </c>
      <c r="F118" s="57" t="s">
        <v>55</v>
      </c>
      <c r="G118" s="58"/>
      <c r="H118" s="57" t="s">
        <v>56</v>
      </c>
      <c r="I118" s="58"/>
    </row>
    <row r="119" spans="2:9" ht="12.95" customHeight="1" x14ac:dyDescent="0.3">
      <c r="B119" s="60"/>
      <c r="C119" s="62"/>
      <c r="D119" s="63"/>
      <c r="E119" s="65"/>
      <c r="F119" s="50" t="s">
        <v>4</v>
      </c>
      <c r="G119" s="51" t="s">
        <v>5</v>
      </c>
      <c r="H119" s="50" t="s">
        <v>4</v>
      </c>
      <c r="I119" s="51" t="s">
        <v>5</v>
      </c>
    </row>
    <row r="120" spans="2:9" ht="12.95" customHeight="1" x14ac:dyDescent="0.3">
      <c r="B120" s="11" t="s">
        <v>17</v>
      </c>
      <c r="C120" s="6" t="s">
        <v>57</v>
      </c>
      <c r="D120" s="48" t="s">
        <v>12</v>
      </c>
      <c r="E120" s="12"/>
      <c r="F120" s="45">
        <v>1</v>
      </c>
      <c r="G120" s="53">
        <f>TRUNC(SUM(G123:G124)*0.02,1)</f>
        <v>64.7</v>
      </c>
      <c r="H120" s="45">
        <v>1</v>
      </c>
      <c r="I120" s="53">
        <f>TRUNC(SUM(I123:I124)*0.02,1)</f>
        <v>78.7</v>
      </c>
    </row>
    <row r="121" spans="2:9" ht="12.95" customHeight="1" x14ac:dyDescent="0.3">
      <c r="B121" s="19" t="s">
        <v>8</v>
      </c>
      <c r="C121" s="22"/>
      <c r="D121" s="21"/>
      <c r="E121" s="20"/>
      <c r="F121" s="26"/>
      <c r="G121" s="18">
        <f>TRUNC(SUM(G120:G120))</f>
        <v>64</v>
      </c>
      <c r="H121" s="26"/>
      <c r="I121" s="18">
        <f>TRUNC(SUM(I120:I120))</f>
        <v>78</v>
      </c>
    </row>
    <row r="122" spans="2:9" ht="12.95" customHeight="1" x14ac:dyDescent="0.3">
      <c r="B122" s="35"/>
      <c r="C122" s="36"/>
      <c r="D122" s="36"/>
      <c r="E122" s="44"/>
      <c r="F122" s="47"/>
      <c r="G122" s="30"/>
      <c r="H122" s="47"/>
      <c r="I122" s="30"/>
    </row>
    <row r="123" spans="2:9" ht="12.95" customHeight="1" x14ac:dyDescent="0.3">
      <c r="B123" s="15" t="s">
        <v>0</v>
      </c>
      <c r="C123" s="9"/>
      <c r="D123" s="3" t="s">
        <v>7</v>
      </c>
      <c r="E123" s="52">
        <v>263017</v>
      </c>
      <c r="F123" s="49">
        <v>1.0999999999999999E-2</v>
      </c>
      <c r="G123" s="7">
        <f t="shared" ref="G123:G124" si="14">TRUNC($E123*F123,1)</f>
        <v>2893.1</v>
      </c>
      <c r="H123" s="49">
        <v>1.2999999999999999E-2</v>
      </c>
      <c r="I123" s="7">
        <f t="shared" ref="I123:I124" si="15">TRUNC($E123*H123,1)</f>
        <v>3419.2</v>
      </c>
    </row>
    <row r="124" spans="2:9" ht="12.95" customHeight="1" x14ac:dyDescent="0.3">
      <c r="B124" s="15" t="s">
        <v>1</v>
      </c>
      <c r="C124" s="9"/>
      <c r="D124" s="3" t="s">
        <v>7</v>
      </c>
      <c r="E124" s="52">
        <v>172068</v>
      </c>
      <c r="F124" s="49">
        <v>2E-3</v>
      </c>
      <c r="G124" s="7">
        <f t="shared" si="14"/>
        <v>344.1</v>
      </c>
      <c r="H124" s="49">
        <v>3.0000000000000001E-3</v>
      </c>
      <c r="I124" s="7">
        <f t="shared" si="15"/>
        <v>516.20000000000005</v>
      </c>
    </row>
    <row r="125" spans="2:9" ht="12.95" customHeight="1" x14ac:dyDescent="0.3">
      <c r="B125" s="17" t="s">
        <v>9</v>
      </c>
      <c r="C125" s="36"/>
      <c r="D125" s="36"/>
      <c r="E125" s="44"/>
      <c r="F125" s="47"/>
      <c r="G125" s="42">
        <f>TRUNC(SUM(G123:G124))</f>
        <v>3237</v>
      </c>
      <c r="H125" s="47"/>
      <c r="I125" s="42">
        <f>TRUNC(SUM(I123:I124))</f>
        <v>3935</v>
      </c>
    </row>
    <row r="126" spans="2:9" ht="12.95" customHeight="1" x14ac:dyDescent="0.3">
      <c r="B126" s="35"/>
      <c r="C126" s="36"/>
      <c r="D126" s="36"/>
      <c r="E126" s="44"/>
      <c r="F126" s="47"/>
      <c r="G126" s="30"/>
      <c r="H126" s="47"/>
      <c r="I126" s="30"/>
    </row>
    <row r="127" spans="2:9" ht="12.95" customHeight="1" x14ac:dyDescent="0.3">
      <c r="B127" s="14" t="s">
        <v>11</v>
      </c>
      <c r="C127" s="37"/>
      <c r="D127" s="37"/>
      <c r="E127" s="33"/>
      <c r="F127" s="33"/>
      <c r="G127" s="34">
        <f>SUM(G121+G125)</f>
        <v>3301</v>
      </c>
      <c r="H127" s="33"/>
      <c r="I127" s="34">
        <f>SUM(I121+I125)</f>
        <v>4013</v>
      </c>
    </row>
    <row r="129" spans="2:7" ht="12.95" customHeight="1" x14ac:dyDescent="0.3">
      <c r="B129" s="38" t="s">
        <v>33</v>
      </c>
      <c r="C129" s="39"/>
      <c r="D129" s="24"/>
      <c r="E129" s="40"/>
      <c r="F129" s="24"/>
      <c r="G129" s="40" t="s">
        <v>19</v>
      </c>
    </row>
    <row r="130" spans="2:7" ht="12.95" customHeight="1" x14ac:dyDescent="0.3">
      <c r="B130" s="59" t="s">
        <v>2</v>
      </c>
      <c r="C130" s="61" t="s">
        <v>13</v>
      </c>
      <c r="D130" s="63" t="s">
        <v>6</v>
      </c>
      <c r="E130" s="64" t="s">
        <v>3</v>
      </c>
      <c r="F130" s="63" t="s">
        <v>15</v>
      </c>
      <c r="G130" s="66" t="s">
        <v>16</v>
      </c>
    </row>
    <row r="131" spans="2:7" ht="12.95" customHeight="1" x14ac:dyDescent="0.3">
      <c r="B131" s="60"/>
      <c r="C131" s="62"/>
      <c r="D131" s="63"/>
      <c r="E131" s="65"/>
      <c r="F131" s="63"/>
      <c r="G131" s="67"/>
    </row>
    <row r="132" spans="2:7" ht="12.95" customHeight="1" x14ac:dyDescent="0.3">
      <c r="B132" s="11" t="s">
        <v>17</v>
      </c>
      <c r="C132" s="6" t="s">
        <v>57</v>
      </c>
      <c r="D132" s="48" t="s">
        <v>12</v>
      </c>
      <c r="E132" s="12"/>
      <c r="F132" s="45">
        <v>1</v>
      </c>
      <c r="G132" s="53">
        <f>TRUNC(SUM(G135:G136)*0.02,1)</f>
        <v>89.2</v>
      </c>
    </row>
    <row r="133" spans="2:7" ht="12.95" customHeight="1" x14ac:dyDescent="0.3">
      <c r="B133" s="19" t="s">
        <v>8</v>
      </c>
      <c r="C133" s="22"/>
      <c r="D133" s="21"/>
      <c r="E133" s="20"/>
      <c r="F133" s="26"/>
      <c r="G133" s="18">
        <f>TRUNC(SUM(G132:G132))</f>
        <v>89</v>
      </c>
    </row>
    <row r="134" spans="2:7" ht="12.95" customHeight="1" x14ac:dyDescent="0.3">
      <c r="B134" s="35"/>
      <c r="C134" s="36"/>
      <c r="D134" s="36"/>
      <c r="E134" s="44"/>
      <c r="F134" s="47"/>
      <c r="G134" s="30"/>
    </row>
    <row r="135" spans="2:7" ht="12.95" customHeight="1" x14ac:dyDescent="0.3">
      <c r="B135" s="15" t="s">
        <v>0</v>
      </c>
      <c r="C135" s="9"/>
      <c r="D135" s="3" t="s">
        <v>7</v>
      </c>
      <c r="E135" s="52">
        <v>263017</v>
      </c>
      <c r="F135" s="49">
        <v>1.4999999999999999E-2</v>
      </c>
      <c r="G135" s="7">
        <f t="shared" ref="G135:G136" si="16">TRUNC($E135*F135,1)</f>
        <v>3945.2</v>
      </c>
    </row>
    <row r="136" spans="2:7" ht="12.95" customHeight="1" x14ac:dyDescent="0.3">
      <c r="B136" s="15" t="s">
        <v>1</v>
      </c>
      <c r="C136" s="9"/>
      <c r="D136" s="3" t="s">
        <v>7</v>
      </c>
      <c r="E136" s="52">
        <v>172068</v>
      </c>
      <c r="F136" s="49">
        <v>3.0000000000000001E-3</v>
      </c>
      <c r="G136" s="7">
        <f t="shared" si="16"/>
        <v>516.20000000000005</v>
      </c>
    </row>
    <row r="137" spans="2:7" ht="12.95" customHeight="1" x14ac:dyDescent="0.3">
      <c r="B137" s="17" t="s">
        <v>9</v>
      </c>
      <c r="C137" s="36"/>
      <c r="D137" s="36"/>
      <c r="E137" s="44"/>
      <c r="F137" s="47"/>
      <c r="G137" s="42">
        <f>TRUNC(SUM(G135:G136))</f>
        <v>4461</v>
      </c>
    </row>
    <row r="138" spans="2:7" ht="12.95" customHeight="1" x14ac:dyDescent="0.3">
      <c r="B138" s="35"/>
      <c r="C138" s="36"/>
      <c r="D138" s="36"/>
      <c r="E138" s="44"/>
      <c r="F138" s="47"/>
      <c r="G138" s="30"/>
    </row>
    <row r="139" spans="2:7" ht="12.95" customHeight="1" x14ac:dyDescent="0.3">
      <c r="B139" s="14" t="s">
        <v>11</v>
      </c>
      <c r="C139" s="37"/>
      <c r="D139" s="37"/>
      <c r="E139" s="33"/>
      <c r="F139" s="33"/>
      <c r="G139" s="34">
        <f>SUM(G133+G137)</f>
        <v>4550</v>
      </c>
    </row>
    <row r="141" spans="2:7" ht="12.95" customHeight="1" x14ac:dyDescent="0.3">
      <c r="B141" s="38" t="s">
        <v>34</v>
      </c>
      <c r="C141" s="39"/>
      <c r="D141" s="24"/>
      <c r="E141" s="40"/>
      <c r="F141" s="24"/>
      <c r="G141" s="40" t="s">
        <v>19</v>
      </c>
    </row>
    <row r="142" spans="2:7" ht="12.95" customHeight="1" x14ac:dyDescent="0.3">
      <c r="B142" s="59" t="s">
        <v>2</v>
      </c>
      <c r="C142" s="61" t="s">
        <v>13</v>
      </c>
      <c r="D142" s="63" t="s">
        <v>6</v>
      </c>
      <c r="E142" s="64" t="s">
        <v>3</v>
      </c>
      <c r="F142" s="63" t="s">
        <v>15</v>
      </c>
      <c r="G142" s="66" t="s">
        <v>16</v>
      </c>
    </row>
    <row r="143" spans="2:7" ht="12.95" customHeight="1" x14ac:dyDescent="0.3">
      <c r="B143" s="60"/>
      <c r="C143" s="62"/>
      <c r="D143" s="63"/>
      <c r="E143" s="65"/>
      <c r="F143" s="63"/>
      <c r="G143" s="67"/>
    </row>
    <row r="144" spans="2:7" ht="12.95" customHeight="1" x14ac:dyDescent="0.3">
      <c r="B144" s="11" t="s">
        <v>17</v>
      </c>
      <c r="C144" s="6" t="s">
        <v>57</v>
      </c>
      <c r="D144" s="48" t="s">
        <v>12</v>
      </c>
      <c r="E144" s="12"/>
      <c r="F144" s="45">
        <v>1</v>
      </c>
      <c r="G144" s="53">
        <f>TRUNC(SUM(G147:G148)*0.02,1)</f>
        <v>110.2</v>
      </c>
    </row>
    <row r="145" spans="2:9" ht="12.95" customHeight="1" x14ac:dyDescent="0.3">
      <c r="B145" s="19" t="s">
        <v>8</v>
      </c>
      <c r="C145" s="22"/>
      <c r="D145" s="21"/>
      <c r="E145" s="20"/>
      <c r="F145" s="26"/>
      <c r="G145" s="18">
        <f>TRUNC(SUM(G144:G144))</f>
        <v>110</v>
      </c>
    </row>
    <row r="146" spans="2:9" ht="12.95" customHeight="1" x14ac:dyDescent="0.3">
      <c r="B146" s="35"/>
      <c r="C146" s="36"/>
      <c r="D146" s="36"/>
      <c r="E146" s="44"/>
      <c r="F146" s="47"/>
      <c r="G146" s="30"/>
    </row>
    <row r="147" spans="2:9" ht="12.95" customHeight="1" x14ac:dyDescent="0.3">
      <c r="B147" s="15" t="s">
        <v>0</v>
      </c>
      <c r="C147" s="9"/>
      <c r="D147" s="3" t="s">
        <v>7</v>
      </c>
      <c r="E147" s="52">
        <v>263017</v>
      </c>
      <c r="F147" s="49">
        <v>1.9E-2</v>
      </c>
      <c r="G147" s="7">
        <f t="shared" ref="G147:G148" si="17">TRUNC($E147*F147,1)</f>
        <v>4997.3</v>
      </c>
    </row>
    <row r="148" spans="2:9" ht="12.95" customHeight="1" x14ac:dyDescent="0.3">
      <c r="B148" s="15" t="s">
        <v>1</v>
      </c>
      <c r="C148" s="9"/>
      <c r="D148" s="3" t="s">
        <v>7</v>
      </c>
      <c r="E148" s="52">
        <v>172068</v>
      </c>
      <c r="F148" s="49">
        <v>3.0000000000000001E-3</v>
      </c>
      <c r="G148" s="7">
        <f t="shared" si="17"/>
        <v>516.20000000000005</v>
      </c>
    </row>
    <row r="149" spans="2:9" ht="12.95" customHeight="1" x14ac:dyDescent="0.3">
      <c r="B149" s="17" t="s">
        <v>9</v>
      </c>
      <c r="C149" s="36"/>
      <c r="D149" s="36"/>
      <c r="E149" s="44"/>
      <c r="F149" s="47"/>
      <c r="G149" s="42">
        <f>TRUNC(SUM(G147:G148))</f>
        <v>5513</v>
      </c>
    </row>
    <row r="150" spans="2:9" ht="12.95" customHeight="1" x14ac:dyDescent="0.3">
      <c r="B150" s="35"/>
      <c r="C150" s="36"/>
      <c r="D150" s="36"/>
      <c r="E150" s="44"/>
      <c r="F150" s="47"/>
      <c r="G150" s="30"/>
    </row>
    <row r="151" spans="2:9" ht="12.95" customHeight="1" x14ac:dyDescent="0.3">
      <c r="B151" s="14" t="s">
        <v>11</v>
      </c>
      <c r="C151" s="37"/>
      <c r="D151" s="37"/>
      <c r="E151" s="33"/>
      <c r="F151" s="33"/>
      <c r="G151" s="34">
        <f>SUM(G145+G149)</f>
        <v>5623</v>
      </c>
    </row>
    <row r="153" spans="2:9" ht="12.95" customHeight="1" x14ac:dyDescent="0.3">
      <c r="B153" s="38" t="s">
        <v>35</v>
      </c>
      <c r="C153" s="39"/>
      <c r="D153" s="24"/>
      <c r="E153" s="40"/>
      <c r="F153" s="24"/>
      <c r="G153" s="24"/>
      <c r="H153" s="24"/>
      <c r="I153" s="40" t="s">
        <v>19</v>
      </c>
    </row>
    <row r="154" spans="2:9" ht="12.95" customHeight="1" x14ac:dyDescent="0.3">
      <c r="B154" s="59" t="s">
        <v>2</v>
      </c>
      <c r="C154" s="61" t="s">
        <v>13</v>
      </c>
      <c r="D154" s="63" t="s">
        <v>6</v>
      </c>
      <c r="E154" s="64" t="s">
        <v>3</v>
      </c>
      <c r="F154" s="57" t="s">
        <v>36</v>
      </c>
      <c r="G154" s="58"/>
      <c r="H154" s="57" t="s">
        <v>37</v>
      </c>
      <c r="I154" s="58"/>
    </row>
    <row r="155" spans="2:9" ht="12.95" customHeight="1" x14ac:dyDescent="0.3">
      <c r="B155" s="60"/>
      <c r="C155" s="62"/>
      <c r="D155" s="63"/>
      <c r="E155" s="65"/>
      <c r="F155" s="50" t="s">
        <v>4</v>
      </c>
      <c r="G155" s="51" t="s">
        <v>5</v>
      </c>
      <c r="H155" s="50" t="s">
        <v>4</v>
      </c>
      <c r="I155" s="51" t="s">
        <v>5</v>
      </c>
    </row>
    <row r="156" spans="2:9" ht="12.95" customHeight="1" x14ac:dyDescent="0.3">
      <c r="B156" s="11" t="s">
        <v>17</v>
      </c>
      <c r="C156" s="6" t="s">
        <v>57</v>
      </c>
      <c r="D156" s="48" t="s">
        <v>12</v>
      </c>
      <c r="E156" s="12"/>
      <c r="F156" s="45">
        <v>1</v>
      </c>
      <c r="G156" s="53">
        <f>TRUNC(SUM(G159:G160)*0.02,1)</f>
        <v>232.6</v>
      </c>
      <c r="H156" s="45">
        <v>1</v>
      </c>
      <c r="I156" s="53">
        <f>TRUNC(SUM(I159:I160)*0.02,1)</f>
        <v>310.60000000000002</v>
      </c>
    </row>
    <row r="157" spans="2:9" ht="12.95" customHeight="1" x14ac:dyDescent="0.3">
      <c r="B157" s="19" t="s">
        <v>8</v>
      </c>
      <c r="C157" s="22"/>
      <c r="D157" s="21"/>
      <c r="E157" s="20"/>
      <c r="F157" s="26"/>
      <c r="G157" s="18">
        <f>TRUNC(SUM(G156:G156))</f>
        <v>232</v>
      </c>
      <c r="H157" s="26"/>
      <c r="I157" s="18">
        <f>TRUNC(SUM(I156:I156))</f>
        <v>310</v>
      </c>
    </row>
    <row r="158" spans="2:9" ht="12.95" customHeight="1" x14ac:dyDescent="0.3">
      <c r="B158" s="35"/>
      <c r="C158" s="36"/>
      <c r="D158" s="36"/>
      <c r="E158" s="44"/>
      <c r="F158" s="47"/>
      <c r="G158" s="30"/>
      <c r="H158" s="47"/>
      <c r="I158" s="30"/>
    </row>
    <row r="159" spans="2:9" ht="12.95" customHeight="1" x14ac:dyDescent="0.3">
      <c r="B159" s="15" t="s">
        <v>0</v>
      </c>
      <c r="C159" s="9"/>
      <c r="D159" s="3" t="s">
        <v>7</v>
      </c>
      <c r="E159" s="52">
        <v>263017</v>
      </c>
      <c r="F159" s="49">
        <v>3.9E-2</v>
      </c>
      <c r="G159" s="7">
        <f t="shared" ref="G159:G160" si="18">TRUNC($E159*F159,1)</f>
        <v>10257.6</v>
      </c>
      <c r="H159" s="49">
        <v>4.3999999999999997E-2</v>
      </c>
      <c r="I159" s="7">
        <f t="shared" ref="I159:I160" si="19">TRUNC($E159*H159,1)</f>
        <v>11572.7</v>
      </c>
    </row>
    <row r="160" spans="2:9" ht="12.95" customHeight="1" x14ac:dyDescent="0.3">
      <c r="B160" s="15" t="s">
        <v>1</v>
      </c>
      <c r="C160" s="9"/>
      <c r="D160" s="3" t="s">
        <v>7</v>
      </c>
      <c r="E160" s="52">
        <v>172068</v>
      </c>
      <c r="F160" s="49">
        <v>8.0000000000000002E-3</v>
      </c>
      <c r="G160" s="7">
        <f t="shared" si="18"/>
        <v>1376.5</v>
      </c>
      <c r="H160" s="49">
        <v>2.3E-2</v>
      </c>
      <c r="I160" s="7">
        <f t="shared" si="19"/>
        <v>3957.5</v>
      </c>
    </row>
    <row r="161" spans="2:9" ht="12.95" customHeight="1" x14ac:dyDescent="0.3">
      <c r="B161" s="17" t="s">
        <v>9</v>
      </c>
      <c r="C161" s="36"/>
      <c r="D161" s="36"/>
      <c r="E161" s="44"/>
      <c r="F161" s="47"/>
      <c r="G161" s="42">
        <f>TRUNC(SUM(G159:G160))</f>
        <v>11634</v>
      </c>
      <c r="H161" s="47"/>
      <c r="I161" s="42">
        <f>TRUNC(SUM(I159:I160))</f>
        <v>15530</v>
      </c>
    </row>
    <row r="162" spans="2:9" ht="12.95" customHeight="1" x14ac:dyDescent="0.3">
      <c r="B162" s="35"/>
      <c r="C162" s="36"/>
      <c r="D162" s="36"/>
      <c r="E162" s="44"/>
      <c r="F162" s="47"/>
      <c r="G162" s="30"/>
      <c r="H162" s="47"/>
      <c r="I162" s="30"/>
    </row>
    <row r="163" spans="2:9" ht="12.95" customHeight="1" x14ac:dyDescent="0.3">
      <c r="B163" s="14" t="s">
        <v>11</v>
      </c>
      <c r="C163" s="37"/>
      <c r="D163" s="37"/>
      <c r="E163" s="33"/>
      <c r="F163" s="33"/>
      <c r="G163" s="34">
        <f>SUM(G157+G161)</f>
        <v>11866</v>
      </c>
      <c r="H163" s="33"/>
      <c r="I163" s="34">
        <f>SUM(I157+I161)</f>
        <v>15840</v>
      </c>
    </row>
    <row r="165" spans="2:9" ht="12.95" customHeight="1" x14ac:dyDescent="0.3">
      <c r="B165" s="38" t="s">
        <v>38</v>
      </c>
      <c r="C165" s="39"/>
      <c r="D165" s="24"/>
      <c r="E165" s="40"/>
      <c r="F165" s="24"/>
      <c r="G165" s="40" t="s">
        <v>19</v>
      </c>
    </row>
    <row r="166" spans="2:9" ht="12.95" customHeight="1" x14ac:dyDescent="0.3">
      <c r="B166" s="59" t="s">
        <v>2</v>
      </c>
      <c r="C166" s="61" t="s">
        <v>13</v>
      </c>
      <c r="D166" s="63" t="s">
        <v>6</v>
      </c>
      <c r="E166" s="64" t="s">
        <v>3</v>
      </c>
      <c r="F166" s="63" t="s">
        <v>15</v>
      </c>
      <c r="G166" s="66" t="s">
        <v>16</v>
      </c>
    </row>
    <row r="167" spans="2:9" ht="12.95" customHeight="1" x14ac:dyDescent="0.3">
      <c r="B167" s="60"/>
      <c r="C167" s="62"/>
      <c r="D167" s="63"/>
      <c r="E167" s="65"/>
      <c r="F167" s="63"/>
      <c r="G167" s="67"/>
    </row>
    <row r="168" spans="2:9" ht="12.95" customHeight="1" x14ac:dyDescent="0.3">
      <c r="B168" s="11" t="s">
        <v>17</v>
      </c>
      <c r="C168" s="6" t="s">
        <v>18</v>
      </c>
      <c r="D168" s="48" t="s">
        <v>12</v>
      </c>
      <c r="E168" s="12"/>
      <c r="F168" s="45">
        <v>1</v>
      </c>
      <c r="G168" s="53">
        <f>TRUNC(SUM(G171:G172)*0.03,1)</f>
        <v>280.7</v>
      </c>
    </row>
    <row r="169" spans="2:9" ht="12.95" customHeight="1" x14ac:dyDescent="0.3">
      <c r="B169" s="19" t="s">
        <v>8</v>
      </c>
      <c r="C169" s="22"/>
      <c r="D169" s="21"/>
      <c r="E169" s="20"/>
      <c r="F169" s="26"/>
      <c r="G169" s="18">
        <f>TRUNC(SUM(G168:G168))</f>
        <v>280</v>
      </c>
    </row>
    <row r="170" spans="2:9" ht="12.95" customHeight="1" x14ac:dyDescent="0.3">
      <c r="B170" s="35"/>
      <c r="C170" s="36"/>
      <c r="D170" s="36"/>
      <c r="E170" s="44"/>
      <c r="F170" s="47"/>
      <c r="G170" s="30"/>
    </row>
    <row r="171" spans="2:9" ht="12.95" customHeight="1" x14ac:dyDescent="0.3">
      <c r="B171" s="15" t="s">
        <v>0</v>
      </c>
      <c r="C171" s="9"/>
      <c r="D171" s="3" t="s">
        <v>7</v>
      </c>
      <c r="E171" s="52">
        <v>263017</v>
      </c>
      <c r="F171" s="49">
        <v>3.1E-2</v>
      </c>
      <c r="G171" s="7">
        <f t="shared" ref="G171:G172" si="20">TRUNC($E171*F171,1)</f>
        <v>8153.5</v>
      </c>
    </row>
    <row r="172" spans="2:9" ht="12.95" customHeight="1" x14ac:dyDescent="0.3">
      <c r="B172" s="15" t="s">
        <v>1</v>
      </c>
      <c r="C172" s="9"/>
      <c r="D172" s="3" t="s">
        <v>7</v>
      </c>
      <c r="E172" s="52">
        <v>172068</v>
      </c>
      <c r="F172" s="49">
        <v>7.0000000000000001E-3</v>
      </c>
      <c r="G172" s="7">
        <f t="shared" si="20"/>
        <v>1204.4000000000001</v>
      </c>
    </row>
    <row r="173" spans="2:9" ht="12.95" customHeight="1" x14ac:dyDescent="0.3">
      <c r="B173" s="17" t="s">
        <v>9</v>
      </c>
      <c r="C173" s="36"/>
      <c r="D173" s="36"/>
      <c r="E173" s="44"/>
      <c r="F173" s="47"/>
      <c r="G173" s="42">
        <f>TRUNC(SUM(G171:G172))</f>
        <v>9357</v>
      </c>
    </row>
    <row r="174" spans="2:9" ht="12.95" customHeight="1" x14ac:dyDescent="0.3">
      <c r="B174" s="35"/>
      <c r="C174" s="36"/>
      <c r="D174" s="36"/>
      <c r="E174" s="44"/>
      <c r="F174" s="47"/>
      <c r="G174" s="30"/>
    </row>
    <row r="175" spans="2:9" ht="12.95" customHeight="1" x14ac:dyDescent="0.3">
      <c r="B175" s="14" t="s">
        <v>11</v>
      </c>
      <c r="C175" s="37"/>
      <c r="D175" s="37"/>
      <c r="E175" s="33"/>
      <c r="F175" s="33"/>
      <c r="G175" s="34">
        <f>SUM(G169+G173)</f>
        <v>9637</v>
      </c>
    </row>
    <row r="177" spans="2:7" ht="12.95" customHeight="1" x14ac:dyDescent="0.3">
      <c r="B177" s="38" t="s">
        <v>58</v>
      </c>
      <c r="C177" s="39"/>
      <c r="D177" s="24"/>
      <c r="E177" s="40"/>
      <c r="F177" s="24"/>
      <c r="G177" s="40" t="s">
        <v>19</v>
      </c>
    </row>
    <row r="178" spans="2:7" ht="12.95" customHeight="1" x14ac:dyDescent="0.3">
      <c r="B178" s="59" t="s">
        <v>2</v>
      </c>
      <c r="C178" s="61" t="s">
        <v>13</v>
      </c>
      <c r="D178" s="63" t="s">
        <v>6</v>
      </c>
      <c r="E178" s="64" t="s">
        <v>3</v>
      </c>
      <c r="F178" s="63" t="s">
        <v>15</v>
      </c>
      <c r="G178" s="66" t="s">
        <v>16</v>
      </c>
    </row>
    <row r="179" spans="2:7" ht="12.95" customHeight="1" x14ac:dyDescent="0.3">
      <c r="B179" s="60"/>
      <c r="C179" s="62"/>
      <c r="D179" s="63"/>
      <c r="E179" s="65"/>
      <c r="F179" s="63"/>
      <c r="G179" s="67"/>
    </row>
    <row r="180" spans="2:7" ht="12.95" customHeight="1" x14ac:dyDescent="0.3">
      <c r="B180" s="11" t="s">
        <v>17</v>
      </c>
      <c r="C180" s="6" t="s">
        <v>57</v>
      </c>
      <c r="D180" s="48" t="s">
        <v>12</v>
      </c>
      <c r="E180" s="12"/>
      <c r="F180" s="45">
        <v>1</v>
      </c>
      <c r="G180" s="53">
        <f>TRUNC(SUM(G183:G184)*0.02,1)</f>
        <v>390.2</v>
      </c>
    </row>
    <row r="181" spans="2:7" ht="12.95" customHeight="1" x14ac:dyDescent="0.3">
      <c r="B181" s="19" t="s">
        <v>8</v>
      </c>
      <c r="C181" s="22"/>
      <c r="D181" s="21"/>
      <c r="E181" s="20"/>
      <c r="F181" s="26"/>
      <c r="G181" s="18">
        <f>TRUNC(SUM(G180:G180))</f>
        <v>390</v>
      </c>
    </row>
    <row r="182" spans="2:7" ht="12.95" customHeight="1" x14ac:dyDescent="0.3">
      <c r="B182" s="35"/>
      <c r="C182" s="36"/>
      <c r="D182" s="36"/>
      <c r="E182" s="44"/>
      <c r="F182" s="47"/>
      <c r="G182" s="30"/>
    </row>
    <row r="183" spans="2:7" ht="12.95" customHeight="1" x14ac:dyDescent="0.3">
      <c r="B183" s="15" t="s">
        <v>0</v>
      </c>
      <c r="C183" s="9"/>
      <c r="D183" s="3" t="s">
        <v>7</v>
      </c>
      <c r="E183" s="52">
        <v>263017</v>
      </c>
      <c r="F183" s="49">
        <v>6.7000000000000004E-2</v>
      </c>
      <c r="G183" s="7">
        <f t="shared" ref="G183:G184" si="21">TRUNC($E183*F183,1)</f>
        <v>17622.099999999999</v>
      </c>
    </row>
    <row r="184" spans="2:7" ht="12.95" customHeight="1" x14ac:dyDescent="0.3">
      <c r="B184" s="15" t="s">
        <v>1</v>
      </c>
      <c r="C184" s="9"/>
      <c r="D184" s="3" t="s">
        <v>7</v>
      </c>
      <c r="E184" s="52">
        <v>172068</v>
      </c>
      <c r="F184" s="49">
        <v>1.0999999999999999E-2</v>
      </c>
      <c r="G184" s="7">
        <f t="shared" si="21"/>
        <v>1892.7</v>
      </c>
    </row>
    <row r="185" spans="2:7" ht="12.95" customHeight="1" x14ac:dyDescent="0.3">
      <c r="B185" s="17" t="s">
        <v>9</v>
      </c>
      <c r="C185" s="36"/>
      <c r="D185" s="36"/>
      <c r="E185" s="44"/>
      <c r="F185" s="47"/>
      <c r="G185" s="42">
        <f>TRUNC(SUM(G183:G184))</f>
        <v>19514</v>
      </c>
    </row>
    <row r="186" spans="2:7" ht="12.95" customHeight="1" x14ac:dyDescent="0.3">
      <c r="B186" s="35"/>
      <c r="C186" s="36"/>
      <c r="D186" s="36"/>
      <c r="E186" s="44"/>
      <c r="F186" s="47"/>
      <c r="G186" s="30"/>
    </row>
    <row r="187" spans="2:7" ht="12.95" customHeight="1" x14ac:dyDescent="0.3">
      <c r="B187" s="14" t="s">
        <v>11</v>
      </c>
      <c r="C187" s="37"/>
      <c r="D187" s="37"/>
      <c r="E187" s="33"/>
      <c r="F187" s="33"/>
      <c r="G187" s="34">
        <f>SUM(G181+G185)</f>
        <v>19904</v>
      </c>
    </row>
    <row r="189" spans="2:7" ht="12.95" customHeight="1" x14ac:dyDescent="0.3">
      <c r="B189" s="1" t="s">
        <v>39</v>
      </c>
    </row>
    <row r="190" spans="2:7" ht="12.95" customHeight="1" x14ac:dyDescent="0.3">
      <c r="B190" s="38" t="s">
        <v>40</v>
      </c>
      <c r="C190" s="39"/>
      <c r="D190" s="24"/>
      <c r="E190" s="40"/>
      <c r="F190" s="24"/>
      <c r="G190" s="40" t="s">
        <v>19</v>
      </c>
    </row>
    <row r="191" spans="2:7" ht="12.95" customHeight="1" x14ac:dyDescent="0.3">
      <c r="B191" s="59" t="s">
        <v>2</v>
      </c>
      <c r="C191" s="61" t="s">
        <v>13</v>
      </c>
      <c r="D191" s="63" t="s">
        <v>6</v>
      </c>
      <c r="E191" s="64" t="s">
        <v>3</v>
      </c>
      <c r="F191" s="63" t="s">
        <v>15</v>
      </c>
      <c r="G191" s="66" t="s">
        <v>16</v>
      </c>
    </row>
    <row r="192" spans="2:7" ht="12.95" customHeight="1" x14ac:dyDescent="0.3">
      <c r="B192" s="60"/>
      <c r="C192" s="62"/>
      <c r="D192" s="63"/>
      <c r="E192" s="65"/>
      <c r="F192" s="63"/>
      <c r="G192" s="67"/>
    </row>
    <row r="193" spans="2:7" ht="12.95" customHeight="1" x14ac:dyDescent="0.3">
      <c r="B193" s="11" t="s">
        <v>17</v>
      </c>
      <c r="C193" s="6" t="s">
        <v>57</v>
      </c>
      <c r="D193" s="48" t="s">
        <v>12</v>
      </c>
      <c r="E193" s="12"/>
      <c r="F193" s="45">
        <v>1</v>
      </c>
      <c r="G193" s="53">
        <f>TRUNC(SUM(G196:G197)*0.02,1)</f>
        <v>332.4</v>
      </c>
    </row>
    <row r="194" spans="2:7" ht="12.95" customHeight="1" x14ac:dyDescent="0.3">
      <c r="B194" s="19" t="s">
        <v>8</v>
      </c>
      <c r="C194" s="22"/>
      <c r="D194" s="21"/>
      <c r="E194" s="20"/>
      <c r="F194" s="26"/>
      <c r="G194" s="18">
        <f>TRUNC(SUM(G193:G193))</f>
        <v>332</v>
      </c>
    </row>
    <row r="195" spans="2:7" ht="12.95" customHeight="1" x14ac:dyDescent="0.3">
      <c r="B195" s="35"/>
      <c r="C195" s="36"/>
      <c r="D195" s="36"/>
      <c r="E195" s="44"/>
      <c r="F195" s="47"/>
      <c r="G195" s="30"/>
    </row>
    <row r="196" spans="2:7" ht="12.95" customHeight="1" x14ac:dyDescent="0.3">
      <c r="B196" s="15" t="s">
        <v>0</v>
      </c>
      <c r="C196" s="9"/>
      <c r="D196" s="3" t="s">
        <v>7</v>
      </c>
      <c r="E196" s="52">
        <v>263017</v>
      </c>
      <c r="F196" s="49">
        <v>5.6000000000000001E-2</v>
      </c>
      <c r="G196" s="7">
        <f t="shared" ref="G196:G197" si="22">TRUNC($E196*F196,1)</f>
        <v>14728.9</v>
      </c>
    </row>
    <row r="197" spans="2:7" ht="12.95" customHeight="1" x14ac:dyDescent="0.3">
      <c r="B197" s="15" t="s">
        <v>1</v>
      </c>
      <c r="C197" s="9"/>
      <c r="D197" s="3" t="s">
        <v>7</v>
      </c>
      <c r="E197" s="52">
        <v>172068</v>
      </c>
      <c r="F197" s="49">
        <v>1.0999999999999999E-2</v>
      </c>
      <c r="G197" s="7">
        <f t="shared" si="22"/>
        <v>1892.7</v>
      </c>
    </row>
    <row r="198" spans="2:7" ht="12.95" customHeight="1" x14ac:dyDescent="0.3">
      <c r="B198" s="17" t="s">
        <v>9</v>
      </c>
      <c r="C198" s="36"/>
      <c r="D198" s="36"/>
      <c r="E198" s="44"/>
      <c r="F198" s="47"/>
      <c r="G198" s="42">
        <f>TRUNC(SUM(G196:G197))</f>
        <v>16621</v>
      </c>
    </row>
    <row r="199" spans="2:7" ht="12.95" customHeight="1" x14ac:dyDescent="0.3">
      <c r="B199" s="35"/>
      <c r="C199" s="36"/>
      <c r="D199" s="36"/>
      <c r="E199" s="44"/>
      <c r="F199" s="47"/>
      <c r="G199" s="30"/>
    </row>
    <row r="200" spans="2:7" ht="12.95" customHeight="1" x14ac:dyDescent="0.3">
      <c r="B200" s="14" t="s">
        <v>11</v>
      </c>
      <c r="C200" s="37"/>
      <c r="D200" s="37"/>
      <c r="E200" s="33"/>
      <c r="F200" s="33"/>
      <c r="G200" s="34">
        <f>SUM(G194+G198)</f>
        <v>16953</v>
      </c>
    </row>
    <row r="202" spans="2:7" ht="12.95" customHeight="1" x14ac:dyDescent="0.3">
      <c r="B202" s="38" t="s">
        <v>41</v>
      </c>
      <c r="C202" s="39"/>
      <c r="D202" s="24"/>
      <c r="E202" s="40"/>
      <c r="F202" s="24"/>
      <c r="G202" s="40" t="s">
        <v>19</v>
      </c>
    </row>
    <row r="203" spans="2:7" ht="12.95" customHeight="1" x14ac:dyDescent="0.3">
      <c r="B203" s="59" t="s">
        <v>2</v>
      </c>
      <c r="C203" s="61" t="s">
        <v>13</v>
      </c>
      <c r="D203" s="63" t="s">
        <v>6</v>
      </c>
      <c r="E203" s="64" t="s">
        <v>3</v>
      </c>
      <c r="F203" s="63" t="s">
        <v>15</v>
      </c>
      <c r="G203" s="66" t="s">
        <v>16</v>
      </c>
    </row>
    <row r="204" spans="2:7" ht="12.95" customHeight="1" x14ac:dyDescent="0.3">
      <c r="B204" s="60"/>
      <c r="C204" s="62"/>
      <c r="D204" s="63"/>
      <c r="E204" s="65"/>
      <c r="F204" s="63"/>
      <c r="G204" s="67"/>
    </row>
    <row r="205" spans="2:7" ht="12.95" customHeight="1" x14ac:dyDescent="0.3">
      <c r="B205" s="11" t="s">
        <v>17</v>
      </c>
      <c r="C205" s="6" t="s">
        <v>57</v>
      </c>
      <c r="D205" s="48" t="s">
        <v>12</v>
      </c>
      <c r="E205" s="12"/>
      <c r="F205" s="45">
        <v>1</v>
      </c>
      <c r="G205" s="53">
        <f>TRUNC(SUM(G208:G209)*0.02,1)</f>
        <v>262.39999999999998</v>
      </c>
    </row>
    <row r="206" spans="2:7" ht="12.95" customHeight="1" x14ac:dyDescent="0.3">
      <c r="B206" s="19" t="s">
        <v>8</v>
      </c>
      <c r="C206" s="22"/>
      <c r="D206" s="21"/>
      <c r="E206" s="20"/>
      <c r="F206" s="26"/>
      <c r="G206" s="18">
        <f>TRUNC(SUM(G205:G205))</f>
        <v>262</v>
      </c>
    </row>
    <row r="207" spans="2:7" ht="12.95" customHeight="1" x14ac:dyDescent="0.3">
      <c r="B207" s="35"/>
      <c r="C207" s="36"/>
      <c r="D207" s="36"/>
      <c r="E207" s="44"/>
      <c r="F207" s="47"/>
      <c r="G207" s="30"/>
    </row>
    <row r="208" spans="2:7" ht="12.95" customHeight="1" x14ac:dyDescent="0.3">
      <c r="B208" s="15" t="s">
        <v>0</v>
      </c>
      <c r="C208" s="9"/>
      <c r="D208" s="3" t="s">
        <v>7</v>
      </c>
      <c r="E208" s="52">
        <v>263017</v>
      </c>
      <c r="F208" s="49">
        <v>4.3999999999999997E-2</v>
      </c>
      <c r="G208" s="7">
        <f t="shared" ref="G208:G209" si="23">TRUNC($E208*F208,1)</f>
        <v>11572.7</v>
      </c>
    </row>
    <row r="209" spans="2:9" ht="12.95" customHeight="1" x14ac:dyDescent="0.3">
      <c r="B209" s="15" t="s">
        <v>1</v>
      </c>
      <c r="C209" s="9"/>
      <c r="D209" s="3" t="s">
        <v>7</v>
      </c>
      <c r="E209" s="52">
        <v>172068</v>
      </c>
      <c r="F209" s="49">
        <v>8.9999999999999993E-3</v>
      </c>
      <c r="G209" s="7">
        <f t="shared" si="23"/>
        <v>1548.6</v>
      </c>
    </row>
    <row r="210" spans="2:9" ht="12.95" customHeight="1" x14ac:dyDescent="0.3">
      <c r="B210" s="17" t="s">
        <v>9</v>
      </c>
      <c r="C210" s="36"/>
      <c r="D210" s="36"/>
      <c r="E210" s="44"/>
      <c r="F210" s="47"/>
      <c r="G210" s="42">
        <f>TRUNC(SUM(G208:G209))</f>
        <v>13121</v>
      </c>
    </row>
    <row r="211" spans="2:9" ht="12.95" customHeight="1" x14ac:dyDescent="0.3">
      <c r="B211" s="35"/>
      <c r="C211" s="36"/>
      <c r="D211" s="36"/>
      <c r="E211" s="44"/>
      <c r="F211" s="47"/>
      <c r="G211" s="30"/>
    </row>
    <row r="212" spans="2:9" ht="12.95" customHeight="1" x14ac:dyDescent="0.3">
      <c r="B212" s="14" t="s">
        <v>11</v>
      </c>
      <c r="C212" s="37"/>
      <c r="D212" s="37"/>
      <c r="E212" s="33"/>
      <c r="F212" s="33"/>
      <c r="G212" s="34">
        <f>SUM(G206+G210)</f>
        <v>13383</v>
      </c>
    </row>
    <row r="214" spans="2:9" ht="12.95" customHeight="1" x14ac:dyDescent="0.3">
      <c r="B214" s="2" t="s">
        <v>59</v>
      </c>
      <c r="C214" s="16"/>
      <c r="D214" s="16"/>
      <c r="E214" s="16"/>
      <c r="F214" s="16"/>
      <c r="G214" s="16"/>
      <c r="H214" s="16"/>
      <c r="I214" s="23" t="s">
        <v>42</v>
      </c>
    </row>
    <row r="215" spans="2:9" ht="12.95" customHeight="1" x14ac:dyDescent="0.3">
      <c r="B215" s="59" t="s">
        <v>2</v>
      </c>
      <c r="C215" s="61" t="s">
        <v>13</v>
      </c>
      <c r="D215" s="63" t="s">
        <v>6</v>
      </c>
      <c r="E215" s="64" t="s">
        <v>3</v>
      </c>
      <c r="F215" s="57" t="s">
        <v>62</v>
      </c>
      <c r="G215" s="58"/>
      <c r="H215" s="57" t="s">
        <v>63</v>
      </c>
      <c r="I215" s="58"/>
    </row>
    <row r="216" spans="2:9" ht="12.95" customHeight="1" x14ac:dyDescent="0.3">
      <c r="B216" s="60"/>
      <c r="C216" s="62"/>
      <c r="D216" s="63"/>
      <c r="E216" s="65"/>
      <c r="F216" s="50" t="s">
        <v>4</v>
      </c>
      <c r="G216" s="51" t="s">
        <v>5</v>
      </c>
      <c r="H216" s="50" t="s">
        <v>4</v>
      </c>
      <c r="I216" s="51" t="s">
        <v>5</v>
      </c>
    </row>
    <row r="217" spans="2:9" ht="12.95" customHeight="1" x14ac:dyDescent="0.3">
      <c r="B217" s="28" t="s">
        <v>60</v>
      </c>
      <c r="C217" s="28" t="s">
        <v>61</v>
      </c>
      <c r="D217" s="41" t="s">
        <v>14</v>
      </c>
      <c r="E217" s="54">
        <v>5600</v>
      </c>
      <c r="F217" s="26">
        <v>3.27</v>
      </c>
      <c r="G217" s="7">
        <f t="shared" ref="G217" si="24">TRUNC($E217*F217,1)</f>
        <v>18312</v>
      </c>
      <c r="H217" s="26">
        <v>4.28</v>
      </c>
      <c r="I217" s="7">
        <f t="shared" ref="I217" si="25">TRUNC($E217*H217,1)</f>
        <v>23968</v>
      </c>
    </row>
    <row r="218" spans="2:9" ht="12.95" customHeight="1" x14ac:dyDescent="0.3">
      <c r="B218" s="11" t="s">
        <v>17</v>
      </c>
      <c r="C218" s="6" t="s">
        <v>18</v>
      </c>
      <c r="D218" s="48" t="s">
        <v>12</v>
      </c>
      <c r="E218" s="12"/>
      <c r="F218" s="45">
        <v>1</v>
      </c>
      <c r="G218" s="53">
        <f>TRUNC(SUM(G221:G222)*0.03,1)</f>
        <v>5511.5</v>
      </c>
      <c r="H218" s="45">
        <v>1</v>
      </c>
      <c r="I218" s="53">
        <f>TRUNC(SUM(I221:I222)*0.03,1)</f>
        <v>7062.3</v>
      </c>
    </row>
    <row r="219" spans="2:9" ht="12.95" customHeight="1" x14ac:dyDescent="0.3">
      <c r="B219" s="19" t="s">
        <v>8</v>
      </c>
      <c r="C219" s="36"/>
      <c r="D219" s="36"/>
      <c r="E219" s="44"/>
      <c r="F219" s="46"/>
      <c r="G219" s="42">
        <f>TRUNC(SUM(G217:G218))</f>
        <v>23823</v>
      </c>
      <c r="H219" s="46"/>
      <c r="I219" s="42">
        <f>TRUNC(SUM(I217:I218))</f>
        <v>31030</v>
      </c>
    </row>
    <row r="220" spans="2:9" ht="12.95" customHeight="1" x14ac:dyDescent="0.3">
      <c r="B220" s="35"/>
      <c r="C220" s="36"/>
      <c r="D220" s="36"/>
      <c r="E220" s="44"/>
      <c r="F220" s="46"/>
      <c r="G220" s="30"/>
      <c r="H220" s="46"/>
      <c r="I220" s="30"/>
    </row>
    <row r="221" spans="2:9" ht="12.95" customHeight="1" x14ac:dyDescent="0.3">
      <c r="B221" s="15" t="s">
        <v>0</v>
      </c>
      <c r="C221" s="9"/>
      <c r="D221" s="3" t="s">
        <v>7</v>
      </c>
      <c r="E221" s="52">
        <v>263017</v>
      </c>
      <c r="F221" s="26">
        <v>0.62</v>
      </c>
      <c r="G221" s="7">
        <f t="shared" ref="G221:G223" si="26">TRUNC($E221*F221,1)</f>
        <v>163070.5</v>
      </c>
      <c r="H221" s="26">
        <v>0.81</v>
      </c>
      <c r="I221" s="7">
        <f t="shared" ref="I221:I223" si="27">TRUNC($E221*H221,1)</f>
        <v>213043.7</v>
      </c>
    </row>
    <row r="222" spans="2:9" ht="12.95" customHeight="1" x14ac:dyDescent="0.3">
      <c r="B222" s="15" t="s">
        <v>1</v>
      </c>
      <c r="C222" s="9"/>
      <c r="D222" s="3" t="s">
        <v>7</v>
      </c>
      <c r="E222" s="52">
        <v>172068</v>
      </c>
      <c r="F222" s="26">
        <v>0.12</v>
      </c>
      <c r="G222" s="7">
        <f t="shared" si="26"/>
        <v>20648.099999999999</v>
      </c>
      <c r="H222" s="26">
        <v>0.13</v>
      </c>
      <c r="I222" s="7">
        <f t="shared" si="27"/>
        <v>22368.799999999999</v>
      </c>
    </row>
    <row r="223" spans="2:9" ht="12.95" customHeight="1" x14ac:dyDescent="0.3">
      <c r="B223" s="28" t="s">
        <v>60</v>
      </c>
      <c r="C223" s="28" t="s">
        <v>61</v>
      </c>
      <c r="D223" s="41" t="s">
        <v>14</v>
      </c>
      <c r="E223" s="54">
        <v>49698</v>
      </c>
      <c r="F223" s="26">
        <v>3.27</v>
      </c>
      <c r="G223" s="7">
        <f t="shared" si="26"/>
        <v>162512.4</v>
      </c>
      <c r="H223" s="26">
        <v>4.28</v>
      </c>
      <c r="I223" s="7">
        <f t="shared" si="27"/>
        <v>212707.4</v>
      </c>
    </row>
    <row r="224" spans="2:9" ht="12.95" customHeight="1" x14ac:dyDescent="0.3">
      <c r="B224" s="17" t="s">
        <v>9</v>
      </c>
      <c r="C224" s="36"/>
      <c r="D224" s="36"/>
      <c r="E224" s="44"/>
      <c r="F224" s="46"/>
      <c r="G224" s="42">
        <f>TRUNC(SUM(G221:G223))</f>
        <v>346231</v>
      </c>
      <c r="H224" s="46"/>
      <c r="I224" s="42">
        <f>TRUNC(SUM(I221:I223))</f>
        <v>448119</v>
      </c>
    </row>
    <row r="225" spans="2:9" ht="12.95" customHeight="1" x14ac:dyDescent="0.3">
      <c r="B225" s="35"/>
      <c r="C225" s="36"/>
      <c r="D225" s="36"/>
      <c r="E225" s="44"/>
      <c r="F225" s="46"/>
      <c r="G225" s="30"/>
      <c r="H225" s="46"/>
      <c r="I225" s="30"/>
    </row>
    <row r="226" spans="2:9" ht="12.95" customHeight="1" x14ac:dyDescent="0.3">
      <c r="B226" s="28" t="s">
        <v>60</v>
      </c>
      <c r="C226" s="28" t="s">
        <v>61</v>
      </c>
      <c r="D226" s="41" t="s">
        <v>14</v>
      </c>
      <c r="E226" s="54">
        <v>17396</v>
      </c>
      <c r="F226" s="26">
        <v>3.27</v>
      </c>
      <c r="G226" s="7">
        <f t="shared" ref="G226" si="28">TRUNC($E226*F226,1)</f>
        <v>56884.9</v>
      </c>
      <c r="H226" s="26">
        <v>4.28</v>
      </c>
      <c r="I226" s="7">
        <f t="shared" ref="I226" si="29">TRUNC($E226*H226,1)</f>
        <v>74454.8</v>
      </c>
    </row>
    <row r="227" spans="2:9" ht="12.95" customHeight="1" x14ac:dyDescent="0.3">
      <c r="B227" s="19" t="s">
        <v>10</v>
      </c>
      <c r="C227" s="36"/>
      <c r="D227" s="36"/>
      <c r="E227" s="29"/>
      <c r="F227" s="31"/>
      <c r="G227" s="43">
        <f>TRUNC(SUM(G226:G226))</f>
        <v>56884</v>
      </c>
      <c r="H227" s="31"/>
      <c r="I227" s="43">
        <f>TRUNC(SUM(I226:I226))</f>
        <v>74454</v>
      </c>
    </row>
    <row r="228" spans="2:9" ht="12.95" customHeight="1" x14ac:dyDescent="0.3">
      <c r="B228" s="13"/>
      <c r="C228" s="28"/>
      <c r="D228" s="28"/>
      <c r="E228" s="32"/>
      <c r="F228" s="26"/>
      <c r="G228" s="27"/>
      <c r="H228" s="26"/>
      <c r="I228" s="27"/>
    </row>
    <row r="229" spans="2:9" ht="12.95" customHeight="1" x14ac:dyDescent="0.3">
      <c r="B229" s="14" t="s">
        <v>11</v>
      </c>
      <c r="C229" s="37"/>
      <c r="D229" s="37"/>
      <c r="E229" s="33"/>
      <c r="F229" s="33"/>
      <c r="G229" s="34">
        <f>SUM(G219+G224+G227)</f>
        <v>426938</v>
      </c>
      <c r="H229" s="33"/>
      <c r="I229" s="34">
        <f>SUM(I219+I224+I227)</f>
        <v>553603</v>
      </c>
    </row>
    <row r="291" spans="14:15" ht="12.95" customHeight="1" x14ac:dyDescent="0.3">
      <c r="O291" s="10"/>
    </row>
    <row r="292" spans="14:15" ht="12.95" customHeight="1" x14ac:dyDescent="0.3">
      <c r="N292" s="10"/>
      <c r="O292" s="10"/>
    </row>
    <row r="293" spans="14:15" ht="12.95" customHeight="1" x14ac:dyDescent="0.3">
      <c r="N293" s="10"/>
      <c r="O293" s="10"/>
    </row>
    <row r="294" spans="14:15" ht="12.95" customHeight="1" x14ac:dyDescent="0.3">
      <c r="N294" s="10"/>
      <c r="O294" s="10"/>
    </row>
    <row r="295" spans="14:15" ht="12.95" customHeight="1" x14ac:dyDescent="0.3">
      <c r="N295" s="10"/>
      <c r="O295" s="10"/>
    </row>
    <row r="296" spans="14:15" ht="12.95" customHeight="1" x14ac:dyDescent="0.3">
      <c r="N296" s="10"/>
      <c r="O296" s="10"/>
    </row>
    <row r="297" spans="14:15" ht="12.95" customHeight="1" x14ac:dyDescent="0.3">
      <c r="N297" s="10"/>
      <c r="O297" s="10"/>
    </row>
    <row r="298" spans="14:15" ht="12.95" customHeight="1" x14ac:dyDescent="0.3">
      <c r="N298" s="10"/>
      <c r="O298" s="10"/>
    </row>
    <row r="299" spans="14:15" ht="12.95" customHeight="1" x14ac:dyDescent="0.3">
      <c r="N299" s="10"/>
      <c r="O299" s="10"/>
    </row>
    <row r="300" spans="14:15" ht="12.95" customHeight="1" x14ac:dyDescent="0.3">
      <c r="N300" s="10"/>
      <c r="O300" s="10"/>
    </row>
    <row r="301" spans="14:15" ht="12.95" customHeight="1" x14ac:dyDescent="0.3">
      <c r="N301" s="10"/>
      <c r="O301" s="10"/>
    </row>
    <row r="302" spans="14:15" ht="12.95" customHeight="1" x14ac:dyDescent="0.3">
      <c r="N302" s="10"/>
      <c r="O302" s="10"/>
    </row>
    <row r="303" spans="14:15" ht="12.95" customHeight="1" x14ac:dyDescent="0.3">
      <c r="N303" s="10"/>
      <c r="O303" s="10"/>
    </row>
    <row r="304" spans="14:15" ht="12.95" customHeight="1" x14ac:dyDescent="0.3">
      <c r="N304" s="10"/>
      <c r="O304" s="10"/>
    </row>
    <row r="305" spans="14:15" ht="12.95" customHeight="1" x14ac:dyDescent="0.3">
      <c r="N305" s="10"/>
      <c r="O305" s="10"/>
    </row>
    <row r="306" spans="14:15" ht="12.95" customHeight="1" x14ac:dyDescent="0.3">
      <c r="N306" s="10"/>
      <c r="O306" s="10"/>
    </row>
    <row r="307" spans="14:15" ht="12.95" customHeight="1" x14ac:dyDescent="0.3">
      <c r="N307" s="10"/>
      <c r="O307" s="10"/>
    </row>
    <row r="308" spans="14:15" ht="12.95" customHeight="1" x14ac:dyDescent="0.3">
      <c r="N308" s="10"/>
    </row>
  </sheetData>
  <mergeCells count="114">
    <mergeCell ref="B215:B216"/>
    <mergeCell ref="C215:C216"/>
    <mergeCell ref="D215:D216"/>
    <mergeCell ref="E215:E216"/>
    <mergeCell ref="F215:G215"/>
    <mergeCell ref="H215:I215"/>
    <mergeCell ref="B203:B204"/>
    <mergeCell ref="C203:C204"/>
    <mergeCell ref="D203:D204"/>
    <mergeCell ref="E203:E204"/>
    <mergeCell ref="F203:F204"/>
    <mergeCell ref="G203:G204"/>
    <mergeCell ref="B191:B192"/>
    <mergeCell ref="C191:C192"/>
    <mergeCell ref="D191:D192"/>
    <mergeCell ref="E191:E192"/>
    <mergeCell ref="F191:F192"/>
    <mergeCell ref="G191:G192"/>
    <mergeCell ref="B178:B179"/>
    <mergeCell ref="C178:C179"/>
    <mergeCell ref="D178:D179"/>
    <mergeCell ref="E178:E179"/>
    <mergeCell ref="F178:F179"/>
    <mergeCell ref="G178:G179"/>
    <mergeCell ref="B166:B167"/>
    <mergeCell ref="C166:C167"/>
    <mergeCell ref="D166:D167"/>
    <mergeCell ref="E166:E167"/>
    <mergeCell ref="F166:F167"/>
    <mergeCell ref="G166:G167"/>
    <mergeCell ref="B154:B155"/>
    <mergeCell ref="C154:C155"/>
    <mergeCell ref="D154:D155"/>
    <mergeCell ref="E154:E155"/>
    <mergeCell ref="F154:G154"/>
    <mergeCell ref="H154:I154"/>
    <mergeCell ref="B142:B143"/>
    <mergeCell ref="C142:C143"/>
    <mergeCell ref="D142:D143"/>
    <mergeCell ref="E142:E143"/>
    <mergeCell ref="F142:F143"/>
    <mergeCell ref="G142:G143"/>
    <mergeCell ref="B130:B131"/>
    <mergeCell ref="C130:C131"/>
    <mergeCell ref="D130:D131"/>
    <mergeCell ref="E130:E131"/>
    <mergeCell ref="F130:F131"/>
    <mergeCell ref="G130:G131"/>
    <mergeCell ref="B118:B119"/>
    <mergeCell ref="C118:C119"/>
    <mergeCell ref="D118:D119"/>
    <mergeCell ref="E118:E119"/>
    <mergeCell ref="F118:G118"/>
    <mergeCell ref="H118:I118"/>
    <mergeCell ref="B106:B107"/>
    <mergeCell ref="C106:C107"/>
    <mergeCell ref="D106:D107"/>
    <mergeCell ref="E106:E107"/>
    <mergeCell ref="F106:G106"/>
    <mergeCell ref="H106:I106"/>
    <mergeCell ref="B94:B95"/>
    <mergeCell ref="C94:C95"/>
    <mergeCell ref="D94:D95"/>
    <mergeCell ref="E94:E95"/>
    <mergeCell ref="F94:F95"/>
    <mergeCell ref="G94:G95"/>
    <mergeCell ref="B82:B83"/>
    <mergeCell ref="C82:C83"/>
    <mergeCell ref="D82:D83"/>
    <mergeCell ref="E82:E83"/>
    <mergeCell ref="F82:F83"/>
    <mergeCell ref="G82:G83"/>
    <mergeCell ref="B70:B71"/>
    <mergeCell ref="C70:C71"/>
    <mergeCell ref="D70:D71"/>
    <mergeCell ref="E70:E71"/>
    <mergeCell ref="F70:F71"/>
    <mergeCell ref="G70:G71"/>
    <mergeCell ref="B61:B62"/>
    <mergeCell ref="C61:C62"/>
    <mergeCell ref="D61:D62"/>
    <mergeCell ref="E61:E62"/>
    <mergeCell ref="F61:G61"/>
    <mergeCell ref="H61:I61"/>
    <mergeCell ref="B49:B50"/>
    <mergeCell ref="C49:C50"/>
    <mergeCell ref="D49:D50"/>
    <mergeCell ref="E49:E50"/>
    <mergeCell ref="F49:F50"/>
    <mergeCell ref="G49:G50"/>
    <mergeCell ref="B37:B38"/>
    <mergeCell ref="C37:C38"/>
    <mergeCell ref="D37:D38"/>
    <mergeCell ref="E37:E38"/>
    <mergeCell ref="F37:G37"/>
    <mergeCell ref="H37:I37"/>
    <mergeCell ref="H13:I13"/>
    <mergeCell ref="B4:B5"/>
    <mergeCell ref="C4:C5"/>
    <mergeCell ref="D4:D5"/>
    <mergeCell ref="E4:E5"/>
    <mergeCell ref="F4:F5"/>
    <mergeCell ref="G4:G5"/>
    <mergeCell ref="B25:B26"/>
    <mergeCell ref="C25:C26"/>
    <mergeCell ref="D25:D26"/>
    <mergeCell ref="E25:E26"/>
    <mergeCell ref="F25:F26"/>
    <mergeCell ref="G25:G26"/>
    <mergeCell ref="B13:B14"/>
    <mergeCell ref="C13:C14"/>
    <mergeCell ref="D13:D14"/>
    <mergeCell ref="E13:E14"/>
    <mergeCell ref="F13:G13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칠공사(상반기)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2026-01-01T08:04:11Z</dcterms:modified>
</cp:coreProperties>
</file>