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3.건축부문(2026년)\"/>
    </mc:Choice>
  </mc:AlternateContent>
  <xr:revisionPtr revIDLastSave="0" documentId="13_ncr:1_{9BAD8B5F-0160-4CB5-9467-562AF53A38F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창호 및 유리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0" i="6" l="1"/>
  <c r="I169" i="6"/>
  <c r="I171" i="6" l="1"/>
  <c r="I166" i="6"/>
  <c r="I167" i="6" s="1"/>
  <c r="I173" i="6" s="1"/>
  <c r="I174" i="6" s="1"/>
  <c r="G170" i="6"/>
  <c r="G169" i="6"/>
  <c r="G171" i="6" l="1"/>
  <c r="G166" i="6"/>
  <c r="G167" i="6" s="1"/>
  <c r="G173" i="6" s="1"/>
  <c r="G174" i="6" s="1"/>
  <c r="K243" i="6" l="1"/>
  <c r="G156" i="6"/>
  <c r="G157" i="6"/>
  <c r="G155" i="6"/>
  <c r="G75" i="6"/>
  <c r="G243" i="6" l="1"/>
  <c r="I243" i="6"/>
  <c r="I242" i="6"/>
  <c r="I244" i="6" s="1"/>
  <c r="I246" i="6" s="1"/>
  <c r="K242" i="6"/>
  <c r="K244" i="6" s="1"/>
  <c r="K246" i="6" s="1"/>
  <c r="G242" i="6"/>
  <c r="G158" i="6"/>
  <c r="G152" i="6"/>
  <c r="G153" i="6" s="1"/>
  <c r="G76" i="6"/>
  <c r="G72" i="6" s="1"/>
  <c r="G73" i="6" s="1"/>
  <c r="K258" i="6"/>
  <c r="G252" i="6"/>
  <c r="I251" i="6"/>
  <c r="G219" i="6"/>
  <c r="M218" i="6"/>
  <c r="K208" i="6"/>
  <c r="G196" i="6"/>
  <c r="G195" i="6"/>
  <c r="G184" i="6"/>
  <c r="G183" i="6"/>
  <c r="I144" i="6"/>
  <c r="K133" i="6"/>
  <c r="I122" i="6"/>
  <c r="G121" i="6"/>
  <c r="G111" i="6"/>
  <c r="I100" i="6"/>
  <c r="G99" i="6"/>
  <c r="I89" i="6"/>
  <c r="K88" i="6"/>
  <c r="G64" i="6"/>
  <c r="G63" i="6"/>
  <c r="G54" i="6"/>
  <c r="I53" i="6"/>
  <c r="M42" i="6"/>
  <c r="M41" i="6"/>
  <c r="G30" i="6"/>
  <c r="G31" i="6" s="1"/>
  <c r="G33" i="6" s="1"/>
  <c r="I22" i="6"/>
  <c r="K21" i="6"/>
  <c r="M11" i="6"/>
  <c r="G10" i="6"/>
  <c r="G160" i="6" l="1"/>
  <c r="G244" i="6"/>
  <c r="G246" i="6" s="1"/>
  <c r="G226" i="6"/>
  <c r="M226" i="6"/>
  <c r="G227" i="6"/>
  <c r="M227" i="6"/>
  <c r="I234" i="6"/>
  <c r="G234" i="6"/>
  <c r="M234" i="6"/>
  <c r="M235" i="6"/>
  <c r="I235" i="6"/>
  <c r="G235" i="6"/>
  <c r="I21" i="6"/>
  <c r="I23" i="6" s="1"/>
  <c r="M21" i="6"/>
  <c r="G100" i="6"/>
  <c r="G96" i="6" s="1"/>
  <c r="G97" i="6" s="1"/>
  <c r="I64" i="6"/>
  <c r="K22" i="6"/>
  <c r="K18" i="6" s="1"/>
  <c r="K19" i="6" s="1"/>
  <c r="G22" i="6"/>
  <c r="K252" i="6"/>
  <c r="I42" i="6"/>
  <c r="K226" i="6"/>
  <c r="G77" i="6"/>
  <c r="G79" i="6" s="1"/>
  <c r="G88" i="6"/>
  <c r="G122" i="6"/>
  <c r="G123" i="6" s="1"/>
  <c r="M22" i="6"/>
  <c r="I121" i="6"/>
  <c r="I123" i="6" s="1"/>
  <c r="G218" i="6"/>
  <c r="G220" i="6" s="1"/>
  <c r="G222" i="6" s="1"/>
  <c r="K218" i="6"/>
  <c r="I252" i="6"/>
  <c r="I253" i="6" s="1"/>
  <c r="I255" i="6" s="1"/>
  <c r="G133" i="6"/>
  <c r="I99" i="6"/>
  <c r="I96" i="6" s="1"/>
  <c r="I97" i="6" s="1"/>
  <c r="G21" i="6"/>
  <c r="G23" i="6" s="1"/>
  <c r="K227" i="6"/>
  <c r="K205" i="6"/>
  <c r="K206" i="6" s="1"/>
  <c r="K209" i="6"/>
  <c r="G185" i="6"/>
  <c r="G180" i="6"/>
  <c r="G181" i="6" s="1"/>
  <c r="K42" i="6"/>
  <c r="I111" i="6"/>
  <c r="G208" i="6"/>
  <c r="I258" i="6"/>
  <c r="G11" i="6"/>
  <c r="G7" i="6" s="1"/>
  <c r="G8" i="6" s="1"/>
  <c r="I11" i="6"/>
  <c r="K111" i="6"/>
  <c r="I208" i="6"/>
  <c r="I205" i="6" s="1"/>
  <c r="I206" i="6" s="1"/>
  <c r="K11" i="6"/>
  <c r="G42" i="6"/>
  <c r="I88" i="6"/>
  <c r="I85" i="6" s="1"/>
  <c r="I86" i="6" s="1"/>
  <c r="I133" i="6"/>
  <c r="G144" i="6"/>
  <c r="I218" i="6"/>
  <c r="I226" i="6"/>
  <c r="M43" i="6"/>
  <c r="M38" i="6"/>
  <c r="M39" i="6" s="1"/>
  <c r="I10" i="6"/>
  <c r="K41" i="6"/>
  <c r="G60" i="6"/>
  <c r="G61" i="6" s="1"/>
  <c r="G110" i="6"/>
  <c r="K110" i="6"/>
  <c r="K134" i="6"/>
  <c r="K130" i="6" s="1"/>
  <c r="K131" i="6" s="1"/>
  <c r="G134" i="6"/>
  <c r="G143" i="6"/>
  <c r="I143" i="6"/>
  <c r="K234" i="6"/>
  <c r="K10" i="6"/>
  <c r="I54" i="6"/>
  <c r="I55" i="6" s="1"/>
  <c r="I63" i="6"/>
  <c r="G65" i="6"/>
  <c r="I110" i="6"/>
  <c r="I134" i="6"/>
  <c r="K235" i="6"/>
  <c r="G251" i="6"/>
  <c r="G253" i="6" s="1"/>
  <c r="G255" i="6" s="1"/>
  <c r="K251" i="6"/>
  <c r="G41" i="6"/>
  <c r="I41" i="6"/>
  <c r="K219" i="6"/>
  <c r="K220" i="6" s="1"/>
  <c r="K222" i="6" s="1"/>
  <c r="M219" i="6"/>
  <c r="M220" i="6" s="1"/>
  <c r="M222" i="6" s="1"/>
  <c r="I219" i="6"/>
  <c r="M10" i="6"/>
  <c r="G53" i="6"/>
  <c r="K53" i="6"/>
  <c r="K54" i="6"/>
  <c r="K89" i="6"/>
  <c r="K85" i="6" s="1"/>
  <c r="K86" i="6" s="1"/>
  <c r="G89" i="6"/>
  <c r="G197" i="6"/>
  <c r="G192" i="6"/>
  <c r="G193" i="6" s="1"/>
  <c r="K259" i="6"/>
  <c r="K260" i="6" s="1"/>
  <c r="K262" i="6" s="1"/>
  <c r="I259" i="6"/>
  <c r="G259" i="6"/>
  <c r="I227" i="6"/>
  <c r="G258" i="6"/>
  <c r="G118" i="6" l="1"/>
  <c r="G119" i="6" s="1"/>
  <c r="M23" i="6"/>
  <c r="M18" i="6"/>
  <c r="M19" i="6" s="1"/>
  <c r="M25" i="6" s="1"/>
  <c r="G130" i="6"/>
  <c r="G131" i="6" s="1"/>
  <c r="G137" i="6" s="1"/>
  <c r="I130" i="6"/>
  <c r="I131" i="6" s="1"/>
  <c r="M236" i="6"/>
  <c r="M238" i="6" s="1"/>
  <c r="I18" i="6"/>
  <c r="I19" i="6" s="1"/>
  <c r="I25" i="6" s="1"/>
  <c r="I50" i="6"/>
  <c r="I51" i="6" s="1"/>
  <c r="I57" i="6" s="1"/>
  <c r="I90" i="6"/>
  <c r="I92" i="6" s="1"/>
  <c r="M228" i="6"/>
  <c r="M230" i="6" s="1"/>
  <c r="G236" i="6"/>
  <c r="G238" i="6" s="1"/>
  <c r="I236" i="6"/>
  <c r="I238" i="6" s="1"/>
  <c r="G228" i="6"/>
  <c r="G230" i="6" s="1"/>
  <c r="K211" i="6"/>
  <c r="G135" i="6"/>
  <c r="I228" i="6"/>
  <c r="I230" i="6" s="1"/>
  <c r="G101" i="6"/>
  <c r="G103" i="6" s="1"/>
  <c r="G187" i="6"/>
  <c r="G85" i="6"/>
  <c r="G86" i="6" s="1"/>
  <c r="I209" i="6"/>
  <c r="I211" i="6" s="1"/>
  <c r="I101" i="6"/>
  <c r="I103" i="6" s="1"/>
  <c r="K23" i="6"/>
  <c r="K25" i="6" s="1"/>
  <c r="G125" i="6"/>
  <c r="G18" i="6"/>
  <c r="G19" i="6" s="1"/>
  <c r="G25" i="6" s="1"/>
  <c r="I118" i="6"/>
  <c r="I119" i="6" s="1"/>
  <c r="I125" i="6" s="1"/>
  <c r="K228" i="6"/>
  <c r="K230" i="6" s="1"/>
  <c r="I135" i="6"/>
  <c r="G12" i="6"/>
  <c r="G14" i="6" s="1"/>
  <c r="K253" i="6"/>
  <c r="K255" i="6" s="1"/>
  <c r="I260" i="6"/>
  <c r="I262" i="6" s="1"/>
  <c r="G90" i="6"/>
  <c r="G209" i="6"/>
  <c r="G205" i="6"/>
  <c r="G206" i="6" s="1"/>
  <c r="G211" i="6" s="1"/>
  <c r="K236" i="6"/>
  <c r="K238" i="6" s="1"/>
  <c r="I220" i="6"/>
  <c r="I222" i="6" s="1"/>
  <c r="G260" i="6"/>
  <c r="G262" i="6" s="1"/>
  <c r="M12" i="6"/>
  <c r="M7" i="6"/>
  <c r="M8" i="6" s="1"/>
  <c r="K43" i="6"/>
  <c r="K38" i="6"/>
  <c r="K39" i="6" s="1"/>
  <c r="K45" i="6" s="1"/>
  <c r="K135" i="6"/>
  <c r="K137" i="6" s="1"/>
  <c r="I7" i="6"/>
  <c r="I8" i="6" s="1"/>
  <c r="I12" i="6"/>
  <c r="K50" i="6"/>
  <c r="K51" i="6" s="1"/>
  <c r="K55" i="6"/>
  <c r="I38" i="6"/>
  <c r="I39" i="6" s="1"/>
  <c r="I43" i="6"/>
  <c r="I112" i="6"/>
  <c r="I107" i="6"/>
  <c r="I108" i="6" s="1"/>
  <c r="I65" i="6"/>
  <c r="I60" i="6"/>
  <c r="I61" i="6" s="1"/>
  <c r="G140" i="6"/>
  <c r="G141" i="6" s="1"/>
  <c r="G145" i="6"/>
  <c r="K107" i="6"/>
  <c r="K108" i="6" s="1"/>
  <c r="K112" i="6"/>
  <c r="K7" i="6"/>
  <c r="K8" i="6" s="1"/>
  <c r="K12" i="6"/>
  <c r="I140" i="6"/>
  <c r="I141" i="6" s="1"/>
  <c r="I145" i="6"/>
  <c r="G199" i="6"/>
  <c r="G55" i="6"/>
  <c r="G50" i="6"/>
  <c r="G51" i="6" s="1"/>
  <c r="G43" i="6"/>
  <c r="G38" i="6"/>
  <c r="G39" i="6" s="1"/>
  <c r="G112" i="6"/>
  <c r="G107" i="6"/>
  <c r="G108" i="6" s="1"/>
  <c r="G67" i="6"/>
  <c r="K90" i="6"/>
  <c r="K92" i="6" s="1"/>
  <c r="M45" i="6"/>
  <c r="G92" i="6" l="1"/>
  <c r="I137" i="6"/>
  <c r="G45" i="6"/>
  <c r="M14" i="6"/>
  <c r="K57" i="6"/>
  <c r="G147" i="6"/>
  <c r="I147" i="6"/>
  <c r="G114" i="6"/>
  <c r="I67" i="6"/>
  <c r="K114" i="6"/>
  <c r="I45" i="6"/>
  <c r="K14" i="6"/>
  <c r="G57" i="6"/>
  <c r="I114" i="6"/>
  <c r="I14" i="6"/>
</calcChain>
</file>

<file path=xl/sharedStrings.xml><?xml version="1.0" encoding="utf-8"?>
<sst xmlns="http://schemas.openxmlformats.org/spreadsheetml/2006/main" count="537" uniqueCount="85">
  <si>
    <t>보통인부</t>
  </si>
  <si>
    <t>유리공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</si>
  <si>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</si>
  <si>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</si>
  <si>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</si>
  <si>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</si>
  <si>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</si>
  <si>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</si>
  <si>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</si>
  <si>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</si>
  <si>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</si>
  <si>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합   계</t>
    <phoneticPr fontId="3" type="noConversion"/>
  </si>
  <si>
    <t>식</t>
    <phoneticPr fontId="3" type="noConversion"/>
  </si>
  <si>
    <t>규격</t>
    <phoneticPr fontId="5" type="noConversion"/>
  </si>
  <si>
    <t>수량</t>
    <phoneticPr fontId="3" type="noConversion"/>
  </si>
  <si>
    <t>금액</t>
    <phoneticPr fontId="3" type="noConversion"/>
  </si>
  <si>
    <t>공구손료</t>
    <phoneticPr fontId="5" type="noConversion"/>
  </si>
  <si>
    <t>인력품의 2%</t>
    <phoneticPr fontId="3" type="noConversion"/>
  </si>
  <si>
    <t>인력품의 3%</t>
    <phoneticPr fontId="3" type="noConversion"/>
  </si>
  <si>
    <t>(㎡당)</t>
    <phoneticPr fontId="3" type="noConversion"/>
  </si>
  <si>
    <t>%</t>
    <phoneticPr fontId="3" type="noConversion"/>
  </si>
  <si>
    <t>인력품의 %</t>
    <phoneticPr fontId="3" type="noConversion"/>
  </si>
  <si>
    <t>10-1 창호</t>
  </si>
  <si>
    <t>여닫이</t>
    <phoneticPr fontId="3" type="noConversion"/>
  </si>
  <si>
    <t>1.0㎡이하</t>
    <phoneticPr fontId="3" type="noConversion"/>
  </si>
  <si>
    <t>1.0∼3.0㎡이하</t>
    <phoneticPr fontId="3" type="noConversion"/>
  </si>
  <si>
    <t>3.0∼6.0㎡이하</t>
    <phoneticPr fontId="3" type="noConversion"/>
  </si>
  <si>
    <t>6.0∼8.0㎡이하</t>
    <phoneticPr fontId="3" type="noConversion"/>
  </si>
  <si>
    <t>(개소당)</t>
    <phoneticPr fontId="3" type="noConversion"/>
  </si>
  <si>
    <t>창호공</t>
  </si>
  <si>
    <t>10-1-1 목제창호 설치</t>
    <phoneticPr fontId="3" type="noConversion"/>
  </si>
  <si>
    <t>미서기(단창)</t>
    <phoneticPr fontId="3" type="noConversion"/>
  </si>
  <si>
    <t>※ 문선을 설치하는 경우</t>
    <phoneticPr fontId="3" type="noConversion"/>
  </si>
  <si>
    <t>(m당)</t>
    <phoneticPr fontId="3" type="noConversion"/>
  </si>
  <si>
    <t>10-1-2 강제창호 설치</t>
    <phoneticPr fontId="3" type="noConversion"/>
  </si>
  <si>
    <t>6.0~9.0㎡이하</t>
    <phoneticPr fontId="3" type="noConversion"/>
  </si>
  <si>
    <t>9.0~12.0㎡이하</t>
    <phoneticPr fontId="3" type="noConversion"/>
  </si>
  <si>
    <t>10-1-3 알루미늄창호 설치</t>
    <phoneticPr fontId="3" type="noConversion"/>
  </si>
  <si>
    <t>단창</t>
    <phoneticPr fontId="3" type="noConversion"/>
  </si>
  <si>
    <t>이중창</t>
    <phoneticPr fontId="3" type="noConversion"/>
  </si>
  <si>
    <t>5㎡미만</t>
    <phoneticPr fontId="3" type="noConversion"/>
  </si>
  <si>
    <t>5∼10㎡미만</t>
    <phoneticPr fontId="3" type="noConversion"/>
  </si>
  <si>
    <t>10∼15㎡미만</t>
    <phoneticPr fontId="3" type="noConversion"/>
  </si>
  <si>
    <t>15∼20㎡미만</t>
    <phoneticPr fontId="3" type="noConversion"/>
  </si>
  <si>
    <t>20∼25㎡미만</t>
    <phoneticPr fontId="3" type="noConversion"/>
  </si>
  <si>
    <t>10-2 부속자재</t>
  </si>
  <si>
    <t>10-2-1 도어체크 설치</t>
    <phoneticPr fontId="3" type="noConversion"/>
  </si>
  <si>
    <t>(10개소당)</t>
    <phoneticPr fontId="3" type="noConversion"/>
  </si>
  <si>
    <t>10-2-2 플로어힌지 설치</t>
    <phoneticPr fontId="3" type="noConversion"/>
  </si>
  <si>
    <t>일반도어록</t>
    <phoneticPr fontId="3" type="noConversion"/>
  </si>
  <si>
    <t>디지털도어록</t>
    <phoneticPr fontId="3" type="noConversion"/>
  </si>
  <si>
    <t>목재창호</t>
    <phoneticPr fontId="3" type="noConversion"/>
  </si>
  <si>
    <t>강재창호</t>
    <phoneticPr fontId="3" type="noConversion"/>
  </si>
  <si>
    <t>10-2-3 도어록 설치</t>
    <phoneticPr fontId="3" type="noConversion"/>
  </si>
  <si>
    <t>10-3 유리</t>
  </si>
  <si>
    <t>10-3-1 창호유리 설치</t>
    <phoneticPr fontId="3" type="noConversion"/>
  </si>
  <si>
    <t>판유리</t>
    <phoneticPr fontId="3" type="noConversion"/>
  </si>
  <si>
    <t>복층유리</t>
    <phoneticPr fontId="3" type="noConversion"/>
  </si>
  <si>
    <t>3㎜이하</t>
    <phoneticPr fontId="3" type="noConversion"/>
  </si>
  <si>
    <t>5㎜이하</t>
    <phoneticPr fontId="3" type="noConversion"/>
  </si>
  <si>
    <t>9㎜이하</t>
    <phoneticPr fontId="3" type="noConversion"/>
  </si>
  <si>
    <t>12㎜이하</t>
    <phoneticPr fontId="3" type="noConversion"/>
  </si>
  <si>
    <t>16㎜이하</t>
    <phoneticPr fontId="3" type="noConversion"/>
  </si>
  <si>
    <t>18㎜이하</t>
    <phoneticPr fontId="3" type="noConversion"/>
  </si>
  <si>
    <t>22㎜이하</t>
    <phoneticPr fontId="3" type="noConversion"/>
  </si>
  <si>
    <t>24㎜이하</t>
    <phoneticPr fontId="3" type="noConversion"/>
  </si>
  <si>
    <t>28㎜이하</t>
    <phoneticPr fontId="3" type="noConversion"/>
  </si>
  <si>
    <t>10-3-2 커튼월유리 설치</t>
    <phoneticPr fontId="3" type="noConversion"/>
  </si>
  <si>
    <t>제 10 장 창호 및 유리공사</t>
    <phoneticPr fontId="3" type="noConversion"/>
  </si>
  <si>
    <t>기계설비공</t>
    <phoneticPr fontId="3" type="noConversion"/>
  </si>
  <si>
    <t>10-1-5 합성수지창호 설치</t>
    <phoneticPr fontId="3" type="noConversion"/>
  </si>
  <si>
    <t>10-1-6 셔터설치(장치포함)</t>
    <phoneticPr fontId="3" type="noConversion"/>
  </si>
  <si>
    <t>10-1-4 조립식 알루미늄창호 설치</t>
  </si>
  <si>
    <t>10-1-7 자동문 설치</t>
  </si>
  <si>
    <t>30㎜이하</t>
    <phoneticPr fontId="3" type="noConversion"/>
  </si>
  <si>
    <t>36㎜이하</t>
    <phoneticPr fontId="3" type="noConversion"/>
  </si>
  <si>
    <t>40㎜이하</t>
    <phoneticPr fontId="3" type="noConversion"/>
  </si>
  <si>
    <t>44㎜이하</t>
    <phoneticPr fontId="3" type="noConversion"/>
  </si>
  <si>
    <t>52㎜이하</t>
    <phoneticPr fontId="3" type="noConversion"/>
  </si>
  <si>
    <t>(일당)</t>
    <phoneticPr fontId="3" type="noConversion"/>
  </si>
  <si>
    <t>10-1-8 커튼월 프레임 설치</t>
  </si>
  <si>
    <t>현장가공</t>
    <phoneticPr fontId="5" type="noConversion"/>
  </si>
  <si>
    <t>공장가공</t>
    <phoneticPr fontId="5" type="noConversion"/>
  </si>
  <si>
    <t>시공량(㎏)</t>
    <phoneticPr fontId="3" type="noConversion"/>
  </si>
  <si>
    <t>10㎏당 단가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</si>
</sst>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_-;\-* #,##0.0_-;_-* &quot;-&quot;??_-;_-@_-"/>
    <numFmt numFmtId="182" formatCode="_-* #,##0.00_-;\-* #,##0.00_-;_-* &quot;-&quot;_-;_-@_-"/>
    <numFmt numFmtId="183" formatCode="_-* #,##0.000_-;\-* #,##0.000_-;_-* &quot;-&quot;_-;_-@_-"/>
    <numFmt numFmtId="185" formatCode="#,##0.00_);[Red]\(#,##0.0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  <font>
      <b/>
      <sz val="9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9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3" xfId="3" applyFont="1" applyBorder="1" applyAlignment="1">
      <alignment horizontal="center"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9" fillId="0" borderId="3" xfId="3" applyFont="1" applyBorder="1" applyAlignment="1">
      <alignment vertical="center" shrinkToFit="1"/>
    </xf>
    <xf numFmtId="180" fontId="9" fillId="0" borderId="5" xfId="1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9" fillId="0" borderId="4" xfId="3" applyFont="1" applyBorder="1" applyAlignment="1">
      <alignment vertical="center" shrinkToFit="1"/>
    </xf>
    <xf numFmtId="0" fontId="13" fillId="0" borderId="0" xfId="6" applyFont="1" applyAlignment="1">
      <alignment vertical="center"/>
    </xf>
    <xf numFmtId="0" fontId="9" fillId="0" borderId="3" xfId="6" applyFont="1" applyBorder="1" applyAlignment="1">
      <alignment vertical="center"/>
    </xf>
    <xf numFmtId="0" fontId="9" fillId="0" borderId="4" xfId="6" applyFont="1" applyBorder="1" applyAlignment="1">
      <alignment horizontal="right" vertical="center"/>
    </xf>
    <xf numFmtId="181" fontId="9" fillId="0" borderId="5" xfId="7" applyNumberFormat="1" applyFont="1" applyFill="1" applyBorder="1" applyAlignment="1">
      <alignment vertical="center"/>
    </xf>
    <xf numFmtId="0" fontId="10" fillId="0" borderId="8" xfId="6" applyFont="1" applyBorder="1" applyAlignment="1">
      <alignment horizontal="left" vertical="center"/>
    </xf>
    <xf numFmtId="0" fontId="12" fillId="0" borderId="3" xfId="3" applyFont="1" applyBorder="1" applyAlignment="1">
      <alignment vertical="center"/>
    </xf>
    <xf numFmtId="0" fontId="15" fillId="0" borderId="3" xfId="3" applyFont="1" applyBorder="1" applyAlignment="1">
      <alignment vertical="center"/>
    </xf>
    <xf numFmtId="41" fontId="15" fillId="0" borderId="5" xfId="7" applyFont="1" applyFill="1" applyBorder="1" applyAlignment="1">
      <alignment vertical="center"/>
    </xf>
    <xf numFmtId="0" fontId="15" fillId="0" borderId="3" xfId="6" applyFont="1" applyBorder="1" applyAlignment="1">
      <alignment horizontal="left" vertical="center"/>
    </xf>
    <xf numFmtId="0" fontId="15" fillId="0" borderId="4" xfId="6" applyFont="1" applyBorder="1" applyAlignment="1">
      <alignment vertical="center"/>
    </xf>
    <xf numFmtId="0" fontId="16" fillId="0" borderId="4" xfId="3" applyFont="1" applyBorder="1" applyAlignment="1">
      <alignment horizontal="center" vertical="center"/>
    </xf>
    <xf numFmtId="0" fontId="16" fillId="0" borderId="3" xfId="6" applyFont="1" applyBorder="1" applyAlignment="1">
      <alignment horizontal="left" vertical="center"/>
    </xf>
    <xf numFmtId="0" fontId="12" fillId="0" borderId="0" xfId="3" applyFont="1" applyAlignment="1">
      <alignment horizontal="right" vertical="center"/>
    </xf>
    <xf numFmtId="0" fontId="9" fillId="0" borderId="0" xfId="2" applyFont="1" applyAlignment="1">
      <alignment vertical="center"/>
    </xf>
    <xf numFmtId="0" fontId="9" fillId="0" borderId="0" xfId="0" applyFont="1">
      <alignment vertical="center"/>
    </xf>
    <xf numFmtId="182" fontId="9" fillId="0" borderId="4" xfId="8" applyNumberFormat="1" applyFont="1" applyBorder="1" applyAlignment="1">
      <alignment vertical="center"/>
    </xf>
    <xf numFmtId="41" fontId="10" fillId="0" borderId="0" xfId="8" applyFont="1" applyBorder="1" applyAlignment="1">
      <alignment vertical="center"/>
    </xf>
    <xf numFmtId="0" fontId="10" fillId="0" borderId="6" xfId="2" applyFont="1" applyBorder="1" applyAlignment="1">
      <alignment vertical="center"/>
    </xf>
    <xf numFmtId="41" fontId="10" fillId="0" borderId="7" xfId="8" applyFont="1" applyBorder="1" applyAlignment="1">
      <alignment vertical="center"/>
    </xf>
    <xf numFmtId="0" fontId="10" fillId="0" borderId="3" xfId="2" applyFont="1" applyBorder="1" applyAlignment="1">
      <alignment horizontal="left" vertical="center"/>
    </xf>
    <xf numFmtId="0" fontId="17" fillId="0" borderId="3" xfId="2" applyFont="1" applyBorder="1" applyAlignment="1">
      <alignment horizontal="left" vertical="center"/>
    </xf>
    <xf numFmtId="0" fontId="17" fillId="0" borderId="8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horizontal="right" vertical="center"/>
    </xf>
    <xf numFmtId="41" fontId="15" fillId="0" borderId="5" xfId="8" applyFont="1" applyBorder="1" applyAlignment="1">
      <alignment vertical="center"/>
    </xf>
    <xf numFmtId="41" fontId="10" fillId="0" borderId="4" xfId="1" applyFont="1" applyBorder="1" applyAlignment="1">
      <alignment vertical="center"/>
    </xf>
    <xf numFmtId="41" fontId="9" fillId="0" borderId="4" xfId="8" applyFont="1" applyBorder="1" applyAlignment="1">
      <alignment vertical="center"/>
    </xf>
    <xf numFmtId="41" fontId="11" fillId="0" borderId="4" xfId="0" applyNumberFormat="1" applyFont="1" applyBorder="1">
      <alignment vertical="center"/>
    </xf>
    <xf numFmtId="183" fontId="10" fillId="0" borderId="4" xfId="8" applyNumberFormat="1" applyFont="1" applyBorder="1" applyAlignment="1">
      <alignment vertical="center"/>
    </xf>
    <xf numFmtId="0" fontId="9" fillId="0" borderId="4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183" fontId="9" fillId="0" borderId="4" xfId="8" applyNumberFormat="1" applyFont="1" applyBorder="1" applyAlignment="1">
      <alignment vertical="center"/>
    </xf>
    <xf numFmtId="41" fontId="11" fillId="0" borderId="5" xfId="0" applyNumberFormat="1" applyFont="1" applyBorder="1">
      <alignment vertical="center"/>
    </xf>
    <xf numFmtId="185" fontId="18" fillId="0" borderId="0" xfId="4" applyNumberFormat="1" applyFont="1" applyAlignment="1">
      <alignment vertical="center"/>
    </xf>
    <xf numFmtId="0" fontId="6" fillId="0" borderId="0" xfId="0" applyFont="1" applyAlignment="1"/>
    <xf numFmtId="0" fontId="9" fillId="0" borderId="6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0" xfId="6" applyFont="1" applyAlignment="1">
      <alignment horizontal="left" vertical="center"/>
    </xf>
    <xf numFmtId="0" fontId="9" fillId="0" borderId="0" xfId="6" applyFont="1" applyAlignment="1">
      <alignment horizontal="centerContinuous" vertical="center"/>
    </xf>
    <xf numFmtId="0" fontId="9" fillId="0" borderId="0" xfId="6" applyFont="1" applyAlignment="1">
      <alignment vertical="center"/>
    </xf>
    <xf numFmtId="0" fontId="12" fillId="0" borderId="0" xfId="3" applyFont="1" applyAlignment="1">
      <alignment vertical="center"/>
    </xf>
    <xf numFmtId="0" fontId="9" fillId="0" borderId="0" xfId="6" applyFont="1" applyAlignment="1">
      <alignment horizontal="right" vertical="center"/>
    </xf>
    <xf numFmtId="0" fontId="9" fillId="0" borderId="2" xfId="6" applyFont="1" applyBorder="1" applyAlignment="1">
      <alignment horizontal="center" vertical="center" wrapText="1"/>
    </xf>
    <xf numFmtId="1" fontId="9" fillId="0" borderId="11" xfId="6" applyNumberFormat="1" applyFont="1" applyBorder="1" applyAlignment="1">
      <alignment horizontal="center" vertical="center" wrapText="1"/>
    </xf>
    <xf numFmtId="0" fontId="9" fillId="0" borderId="3" xfId="6" applyFont="1" applyBorder="1" applyAlignment="1">
      <alignment horizontal="left" vertical="center"/>
    </xf>
    <xf numFmtId="0" fontId="9" fillId="0" borderId="4" xfId="6" applyFont="1" applyBorder="1" applyAlignment="1">
      <alignment vertical="center"/>
    </xf>
    <xf numFmtId="0" fontId="9" fillId="0" borderId="5" xfId="6" applyFont="1" applyBorder="1" applyAlignment="1">
      <alignment vertical="center"/>
    </xf>
    <xf numFmtId="41" fontId="11" fillId="0" borderId="4" xfId="9" applyNumberFormat="1" applyFont="1" applyBorder="1" applyAlignment="1">
      <alignment vertical="center"/>
    </xf>
    <xf numFmtId="41" fontId="15" fillId="0" borderId="4" xfId="7" applyFont="1" applyFill="1" applyBorder="1" applyAlignment="1">
      <alignment vertical="center"/>
    </xf>
    <xf numFmtId="41" fontId="15" fillId="0" borderId="4" xfId="1" applyFont="1" applyBorder="1" applyAlignment="1">
      <alignment vertical="center"/>
    </xf>
    <xf numFmtId="41" fontId="9" fillId="0" borderId="4" xfId="1" applyFont="1" applyBorder="1" applyAlignment="1">
      <alignment vertical="center"/>
    </xf>
    <xf numFmtId="0" fontId="10" fillId="0" borderId="3" xfId="6" applyFont="1" applyBorder="1" applyAlignment="1">
      <alignment horizontal="left" vertical="center"/>
    </xf>
    <xf numFmtId="0" fontId="19" fillId="0" borderId="4" xfId="6" applyFont="1" applyBorder="1" applyAlignment="1">
      <alignment vertical="center"/>
    </xf>
    <xf numFmtId="0" fontId="10" fillId="0" borderId="4" xfId="6" applyFont="1" applyBorder="1" applyAlignment="1">
      <alignment vertical="center"/>
    </xf>
    <xf numFmtId="41" fontId="10" fillId="0" borderId="5" xfId="7" applyFont="1" applyFill="1" applyBorder="1" applyAlignment="1">
      <alignment horizontal="center" vertical="center"/>
    </xf>
    <xf numFmtId="0" fontId="9" fillId="0" borderId="8" xfId="6" applyFont="1" applyBorder="1" applyAlignment="1">
      <alignment horizontal="left" vertical="center"/>
    </xf>
    <xf numFmtId="0" fontId="9" fillId="0" borderId="6" xfId="3" applyFont="1" applyBorder="1" applyAlignment="1">
      <alignment horizontal="center" vertical="center"/>
    </xf>
    <xf numFmtId="0" fontId="19" fillId="0" borderId="6" xfId="6" applyFont="1" applyBorder="1" applyAlignment="1">
      <alignment vertical="center"/>
    </xf>
    <xf numFmtId="0" fontId="10" fillId="0" borderId="6" xfId="6" applyFont="1" applyBorder="1" applyAlignment="1">
      <alignment vertical="center"/>
    </xf>
    <xf numFmtId="41" fontId="10" fillId="0" borderId="7" xfId="7" applyFont="1" applyFill="1" applyBorder="1" applyAlignment="1">
      <alignment horizontal="center" vertical="center"/>
    </xf>
    <xf numFmtId="0" fontId="9" fillId="0" borderId="12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6" xfId="6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 shrinkToFit="1"/>
    </xf>
    <xf numFmtId="0" fontId="12" fillId="0" borderId="11" xfId="3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2" fillId="0" borderId="9" xfId="3" applyFont="1" applyBorder="1" applyAlignment="1">
      <alignment horizontal="center" vertical="center"/>
    </xf>
    <xf numFmtId="0" fontId="12" fillId="0" borderId="6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9" fillId="0" borderId="2" xfId="6" applyFont="1" applyBorder="1" applyAlignment="1">
      <alignment horizontal="center" vertical="center" wrapText="1"/>
    </xf>
    <xf numFmtId="0" fontId="9" fillId="0" borderId="11" xfId="6" applyFont="1" applyBorder="1" applyAlignment="1">
      <alignment horizontal="center" vertical="center" wrapText="1"/>
    </xf>
  </cellXfs>
  <cellStyles count="10">
    <cellStyle name="쉼표 [0]" xfId="1" builtinId="6"/>
    <cellStyle name="콤마 [0]_가설공사(1)" xfId="5" xr:uid="{00000000-0005-0000-0000-000002000000}"/>
    <cellStyle name="콤마 [0]_가설공사(2)" xfId="7" xr:uid="{00000000-0005-0000-0000-000003000000}"/>
    <cellStyle name="콤마 [0]_조경공사" xfId="8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기초공사" xfId="9" xr:uid="{2D8856AD-F252-4947-9F3D-A433975CFB6A}"/>
    <cellStyle name="표준_조경공사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596B-1B45-435E-83DD-CA8A34A8CFB3}">
  <sheetPr>
    <pageSetUpPr fitToPage="1"/>
  </sheetPr>
  <dimension ref="A1:W308"/>
  <sheetViews>
    <sheetView tabSelected="1" zoomScaleNormal="100" workbookViewId="0">
      <selection activeCell="L28" sqref="L28"/>
    </sheetView>
  </sheetViews>
  <sheetFormatPr defaultColWidth="9" defaultRowHeight="12.95" customHeight="1" x14ac:dyDescent="0.3"/>
  <cols>
    <col min="1" max="1" width="2.625" style="2" customWidth="1"/>
    <col min="2" max="2" width="15.625" style="2" customWidth="1"/>
    <col min="3" max="3" width="15.625" style="5" customWidth="1"/>
    <col min="4" max="4" width="4.625" style="2" customWidth="1"/>
    <col min="5" max="5" width="11.625" style="2" customWidth="1"/>
    <col min="6" max="6" width="8.625" style="2" customWidth="1"/>
    <col min="7" max="7" width="11.625" style="2" customWidth="1"/>
    <col min="8" max="8" width="8.625" style="2" customWidth="1"/>
    <col min="9" max="9" width="11.625" style="2" customWidth="1"/>
    <col min="10" max="10" width="8.625" style="2" customWidth="1"/>
    <col min="11" max="11" width="11.625" style="2" customWidth="1"/>
    <col min="12" max="12" width="8.625" style="2" customWidth="1"/>
    <col min="13" max="13" width="11.625" style="2" customWidth="1"/>
    <col min="14" max="14" width="2.625" style="2" customWidth="1"/>
    <col min="15" max="15" width="11.625" style="2" customWidth="1"/>
    <col min="16" max="16384" width="9" style="2"/>
  </cols>
  <sheetData>
    <row r="1" spans="1:15" ht="12.95" customHeight="1" x14ac:dyDescent="0.3">
      <c r="A1" s="45"/>
      <c r="B1" s="8" t="s">
        <v>68</v>
      </c>
      <c r="C1" s="4"/>
      <c r="D1" s="1"/>
    </row>
    <row r="2" spans="1:15" ht="12.95" customHeight="1" x14ac:dyDescent="0.15">
      <c r="A2" s="46"/>
      <c r="B2" s="1" t="s">
        <v>22</v>
      </c>
    </row>
    <row r="3" spans="1:15" ht="12.95" customHeight="1" x14ac:dyDescent="0.3">
      <c r="B3" s="32" t="s">
        <v>30</v>
      </c>
      <c r="C3" s="33"/>
      <c r="D3" s="23"/>
      <c r="E3" s="34"/>
      <c r="F3" s="23"/>
      <c r="G3" s="23"/>
      <c r="M3" s="22" t="s">
        <v>28</v>
      </c>
    </row>
    <row r="4" spans="1:15" ht="12.95" customHeight="1" x14ac:dyDescent="0.3">
      <c r="B4" s="72" t="s">
        <v>2</v>
      </c>
      <c r="C4" s="72" t="s">
        <v>6</v>
      </c>
      <c r="D4" s="75" t="s">
        <v>7</v>
      </c>
      <c r="E4" s="75" t="s">
        <v>3</v>
      </c>
      <c r="F4" s="78" t="s">
        <v>23</v>
      </c>
      <c r="G4" s="79"/>
      <c r="H4" s="79"/>
      <c r="I4" s="79"/>
      <c r="J4" s="79"/>
      <c r="K4" s="79"/>
      <c r="L4" s="79"/>
      <c r="M4" s="79"/>
    </row>
    <row r="5" spans="1:15" ht="12.95" customHeight="1" x14ac:dyDescent="0.3">
      <c r="B5" s="73"/>
      <c r="C5" s="73"/>
      <c r="D5" s="76"/>
      <c r="E5" s="76"/>
      <c r="F5" s="78" t="s">
        <v>24</v>
      </c>
      <c r="G5" s="79"/>
      <c r="H5" s="78" t="s">
        <v>25</v>
      </c>
      <c r="I5" s="79"/>
      <c r="J5" s="78" t="s">
        <v>26</v>
      </c>
      <c r="K5" s="79"/>
      <c r="L5" s="78" t="s">
        <v>27</v>
      </c>
      <c r="M5" s="79"/>
    </row>
    <row r="6" spans="1:15" ht="12.95" customHeight="1" x14ac:dyDescent="0.3">
      <c r="B6" s="74"/>
      <c r="C6" s="74"/>
      <c r="D6" s="77"/>
      <c r="E6" s="77"/>
      <c r="F6" s="41" t="s">
        <v>4</v>
      </c>
      <c r="G6" s="42" t="s">
        <v>5</v>
      </c>
      <c r="H6" s="41" t="s">
        <v>4</v>
      </c>
      <c r="I6" s="42" t="s">
        <v>5</v>
      </c>
      <c r="J6" s="41" t="s">
        <v>4</v>
      </c>
      <c r="K6" s="42" t="s">
        <v>5</v>
      </c>
      <c r="L6" s="41" t="s">
        <v>4</v>
      </c>
      <c r="M6" s="42" t="s">
        <v>5</v>
      </c>
    </row>
    <row r="7" spans="1:15" ht="12.95" customHeight="1" x14ac:dyDescent="0.3">
      <c r="B7" s="11" t="s">
        <v>16</v>
      </c>
      <c r="C7" s="6" t="s">
        <v>18</v>
      </c>
      <c r="D7" s="40" t="s">
        <v>12</v>
      </c>
      <c r="E7" s="12"/>
      <c r="F7" s="37">
        <v>1</v>
      </c>
      <c r="G7" s="13">
        <f>TRUNC(SUM(G10:G11)*0.03,1)</f>
        <v>2224.5</v>
      </c>
      <c r="H7" s="37">
        <v>1</v>
      </c>
      <c r="I7" s="13">
        <f>TRUNC(SUM(I10:I11)*0.03,1)</f>
        <v>2651.4</v>
      </c>
      <c r="J7" s="37">
        <v>1</v>
      </c>
      <c r="K7" s="13">
        <f>TRUNC(SUM(K10:K11)*0.03,1)</f>
        <v>3650.3</v>
      </c>
      <c r="L7" s="37">
        <v>1</v>
      </c>
      <c r="M7" s="13">
        <f>TRUNC(SUM(M10:M11)*0.03,1)</f>
        <v>4691.5</v>
      </c>
    </row>
    <row r="8" spans="1:15" ht="12.95" customHeight="1" x14ac:dyDescent="0.3">
      <c r="B8" s="18" t="s">
        <v>9</v>
      </c>
      <c r="C8" s="21"/>
      <c r="D8" s="20"/>
      <c r="E8" s="19"/>
      <c r="F8" s="25"/>
      <c r="G8" s="17">
        <f>TRUNC(SUM(G7))</f>
        <v>2224</v>
      </c>
      <c r="H8" s="25"/>
      <c r="I8" s="17">
        <f>TRUNC(SUM(I7))</f>
        <v>2651</v>
      </c>
      <c r="J8" s="25"/>
      <c r="K8" s="17">
        <f>TRUNC(SUM(K7))</f>
        <v>3650</v>
      </c>
      <c r="L8" s="25"/>
      <c r="M8" s="17">
        <f>TRUNC(SUM(M7))</f>
        <v>4691</v>
      </c>
    </row>
    <row r="9" spans="1:15" ht="12.95" customHeight="1" x14ac:dyDescent="0.3">
      <c r="B9" s="29"/>
      <c r="C9" s="30"/>
      <c r="D9" s="30"/>
      <c r="E9" s="36"/>
      <c r="F9" s="39"/>
      <c r="G9" s="26"/>
      <c r="H9" s="39"/>
      <c r="I9" s="26"/>
      <c r="J9" s="39"/>
      <c r="K9" s="26"/>
      <c r="L9" s="39"/>
      <c r="M9" s="26"/>
    </row>
    <row r="10" spans="1:15" ht="12.95" customHeight="1" x14ac:dyDescent="0.3">
      <c r="B10" s="15" t="s">
        <v>29</v>
      </c>
      <c r="C10" s="9"/>
      <c r="D10" s="3" t="s">
        <v>8</v>
      </c>
      <c r="E10" s="38">
        <v>247188</v>
      </c>
      <c r="F10" s="43">
        <v>0.26100000000000001</v>
      </c>
      <c r="G10" s="7">
        <f t="shared" ref="G10:G11" si="0">TRUNC($E10*F10,1)</f>
        <v>64516</v>
      </c>
      <c r="H10" s="43">
        <v>0.313</v>
      </c>
      <c r="I10" s="7">
        <f t="shared" ref="I10:I11" si="1">TRUNC($E10*H10,1)</f>
        <v>77369.8</v>
      </c>
      <c r="J10" s="43">
        <v>0.43099999999999999</v>
      </c>
      <c r="K10" s="7">
        <f t="shared" ref="K10:K11" si="2">TRUNC($E10*J10,1)</f>
        <v>106538</v>
      </c>
      <c r="L10" s="43">
        <v>0.55400000000000005</v>
      </c>
      <c r="M10" s="7">
        <f t="shared" ref="M10:M11" si="3">TRUNC($E10*L10,1)</f>
        <v>136942.1</v>
      </c>
    </row>
    <row r="11" spans="1:15" ht="12.95" customHeight="1" x14ac:dyDescent="0.3">
      <c r="B11" s="15" t="s">
        <v>0</v>
      </c>
      <c r="C11" s="9"/>
      <c r="D11" s="3" t="s">
        <v>8</v>
      </c>
      <c r="E11" s="38">
        <v>172068</v>
      </c>
      <c r="F11" s="43">
        <v>5.6000000000000001E-2</v>
      </c>
      <c r="G11" s="7">
        <f t="shared" si="0"/>
        <v>9635.7999999999993</v>
      </c>
      <c r="H11" s="43">
        <v>6.4000000000000001E-2</v>
      </c>
      <c r="I11" s="7">
        <f t="shared" si="1"/>
        <v>11012.3</v>
      </c>
      <c r="J11" s="43">
        <v>8.7999999999999995E-2</v>
      </c>
      <c r="K11" s="7">
        <f t="shared" si="2"/>
        <v>15141.9</v>
      </c>
      <c r="L11" s="43">
        <v>0.113</v>
      </c>
      <c r="M11" s="7">
        <f t="shared" si="3"/>
        <v>19443.599999999999</v>
      </c>
    </row>
    <row r="12" spans="1:15" ht="12.95" customHeight="1" x14ac:dyDescent="0.3">
      <c r="B12" s="16" t="s">
        <v>10</v>
      </c>
      <c r="C12" s="30"/>
      <c r="D12" s="30"/>
      <c r="E12" s="36"/>
      <c r="F12" s="39"/>
      <c r="G12" s="35">
        <f>TRUNC(SUM(G10:G11))</f>
        <v>74151</v>
      </c>
      <c r="H12" s="39"/>
      <c r="I12" s="35">
        <f>TRUNC(SUM(I10:I11))</f>
        <v>88382</v>
      </c>
      <c r="J12" s="39"/>
      <c r="K12" s="35">
        <f>TRUNC(SUM(K10:K11))</f>
        <v>121679</v>
      </c>
      <c r="L12" s="39"/>
      <c r="M12" s="35">
        <f>TRUNC(SUM(M10:M11))</f>
        <v>156385</v>
      </c>
    </row>
    <row r="13" spans="1:15" ht="12.95" customHeight="1" x14ac:dyDescent="0.3">
      <c r="B13" s="29"/>
      <c r="C13" s="30"/>
      <c r="D13" s="30"/>
      <c r="E13" s="36"/>
      <c r="F13" s="39"/>
      <c r="G13" s="26"/>
      <c r="H13" s="39"/>
      <c r="I13" s="26"/>
      <c r="J13" s="39"/>
      <c r="K13" s="26"/>
      <c r="L13" s="39"/>
      <c r="M13" s="26"/>
      <c r="O13" s="24"/>
    </row>
    <row r="14" spans="1:15" ht="12.95" customHeight="1" x14ac:dyDescent="0.3">
      <c r="B14" s="14" t="s">
        <v>11</v>
      </c>
      <c r="C14" s="31"/>
      <c r="D14" s="31"/>
      <c r="E14" s="27"/>
      <c r="F14" s="27"/>
      <c r="G14" s="28">
        <f>SUM(G8+G12)</f>
        <v>76375</v>
      </c>
      <c r="H14" s="27"/>
      <c r="I14" s="28">
        <f>SUM(I8+I12)</f>
        <v>91033</v>
      </c>
      <c r="J14" s="27"/>
      <c r="K14" s="28">
        <f>SUM(K8+K12)</f>
        <v>125329</v>
      </c>
      <c r="L14" s="27"/>
      <c r="M14" s="28">
        <f>SUM(M8+M12)</f>
        <v>161076</v>
      </c>
      <c r="N14" s="24"/>
      <c r="O14" s="24"/>
    </row>
    <row r="15" spans="1:15" ht="12.95" customHeight="1" x14ac:dyDescent="0.3">
      <c r="B15" s="72" t="s">
        <v>2</v>
      </c>
      <c r="C15" s="72" t="s">
        <v>6</v>
      </c>
      <c r="D15" s="75" t="s">
        <v>7</v>
      </c>
      <c r="E15" s="75" t="s">
        <v>3</v>
      </c>
      <c r="F15" s="78" t="s">
        <v>31</v>
      </c>
      <c r="G15" s="79"/>
      <c r="H15" s="79"/>
      <c r="I15" s="79"/>
      <c r="J15" s="79"/>
      <c r="K15" s="79"/>
      <c r="L15" s="79"/>
      <c r="M15" s="79"/>
      <c r="N15" s="24"/>
      <c r="O15" s="24"/>
    </row>
    <row r="16" spans="1:15" ht="12.95" customHeight="1" x14ac:dyDescent="0.3">
      <c r="B16" s="73"/>
      <c r="C16" s="73"/>
      <c r="D16" s="76"/>
      <c r="E16" s="76"/>
      <c r="F16" s="78" t="s">
        <v>24</v>
      </c>
      <c r="G16" s="79"/>
      <c r="H16" s="78" t="s">
        <v>25</v>
      </c>
      <c r="I16" s="79"/>
      <c r="J16" s="78" t="s">
        <v>26</v>
      </c>
      <c r="K16" s="79"/>
      <c r="L16" s="78" t="s">
        <v>27</v>
      </c>
      <c r="M16" s="79"/>
      <c r="N16" s="24"/>
      <c r="O16" s="24"/>
    </row>
    <row r="17" spans="2:15" ht="12.95" customHeight="1" x14ac:dyDescent="0.3">
      <c r="B17" s="74"/>
      <c r="C17" s="74"/>
      <c r="D17" s="77"/>
      <c r="E17" s="77"/>
      <c r="F17" s="41" t="s">
        <v>4</v>
      </c>
      <c r="G17" s="42" t="s">
        <v>5</v>
      </c>
      <c r="H17" s="41" t="s">
        <v>4</v>
      </c>
      <c r="I17" s="42" t="s">
        <v>5</v>
      </c>
      <c r="J17" s="41" t="s">
        <v>4</v>
      </c>
      <c r="K17" s="42" t="s">
        <v>5</v>
      </c>
      <c r="L17" s="41" t="s">
        <v>4</v>
      </c>
      <c r="M17" s="42" t="s">
        <v>5</v>
      </c>
      <c r="N17" s="24"/>
      <c r="O17" s="24"/>
    </row>
    <row r="18" spans="2:15" ht="12.95" customHeight="1" x14ac:dyDescent="0.3">
      <c r="B18" s="11" t="s">
        <v>16</v>
      </c>
      <c r="C18" s="6" t="s">
        <v>18</v>
      </c>
      <c r="D18" s="40" t="s">
        <v>12</v>
      </c>
      <c r="E18" s="12"/>
      <c r="F18" s="37">
        <v>1</v>
      </c>
      <c r="G18" s="13">
        <f>TRUNC(SUM(G21:G22)*0.03,1)</f>
        <v>2117.8000000000002</v>
      </c>
      <c r="H18" s="37">
        <v>1</v>
      </c>
      <c r="I18" s="13">
        <f>TRUNC(SUM(I21:I22)*0.03,1)</f>
        <v>2517.3000000000002</v>
      </c>
      <c r="J18" s="37">
        <v>1</v>
      </c>
      <c r="K18" s="13">
        <f>TRUNC(SUM(K21:K22)*0.03,1)</f>
        <v>3466.6</v>
      </c>
      <c r="L18" s="37">
        <v>1</v>
      </c>
      <c r="M18" s="13">
        <f>TRUNC(SUM(M21:M22)*0.03,1)</f>
        <v>4458.1000000000004</v>
      </c>
      <c r="N18" s="24"/>
      <c r="O18" s="24"/>
    </row>
    <row r="19" spans="2:15" ht="12.95" customHeight="1" x14ac:dyDescent="0.3">
      <c r="B19" s="18" t="s">
        <v>9</v>
      </c>
      <c r="C19" s="21"/>
      <c r="D19" s="20"/>
      <c r="E19" s="19"/>
      <c r="F19" s="25"/>
      <c r="G19" s="17">
        <f>TRUNC(SUM(G18))</f>
        <v>2117</v>
      </c>
      <c r="H19" s="25"/>
      <c r="I19" s="17">
        <f>TRUNC(SUM(I18))</f>
        <v>2517</v>
      </c>
      <c r="J19" s="25"/>
      <c r="K19" s="17">
        <f>TRUNC(SUM(K18))</f>
        <v>3466</v>
      </c>
      <c r="L19" s="25"/>
      <c r="M19" s="17">
        <f>TRUNC(SUM(M18))</f>
        <v>4458</v>
      </c>
      <c r="N19" s="24"/>
      <c r="O19" s="24"/>
    </row>
    <row r="20" spans="2:15" ht="12.95" customHeight="1" x14ac:dyDescent="0.3">
      <c r="B20" s="29"/>
      <c r="C20" s="30"/>
      <c r="D20" s="30"/>
      <c r="E20" s="36"/>
      <c r="F20" s="39"/>
      <c r="G20" s="26"/>
      <c r="H20" s="39"/>
      <c r="I20" s="26"/>
      <c r="J20" s="39"/>
      <c r="K20" s="26"/>
      <c r="L20" s="39"/>
      <c r="M20" s="26"/>
    </row>
    <row r="21" spans="2:15" ht="12.95" customHeight="1" x14ac:dyDescent="0.3">
      <c r="B21" s="15" t="s">
        <v>29</v>
      </c>
      <c r="C21" s="9"/>
      <c r="D21" s="3" t="s">
        <v>8</v>
      </c>
      <c r="E21" s="38">
        <v>247188</v>
      </c>
      <c r="F21" s="43">
        <v>0.248</v>
      </c>
      <c r="G21" s="7">
        <f t="shared" ref="G21:G22" si="4">TRUNC($E21*F21,1)</f>
        <v>61302.6</v>
      </c>
      <c r="H21" s="43">
        <v>0.29699999999999999</v>
      </c>
      <c r="I21" s="7">
        <f t="shared" ref="I21:I22" si="5">TRUNC($E21*H21,1)</f>
        <v>73414.8</v>
      </c>
      <c r="J21" s="43">
        <v>0.40899999999999997</v>
      </c>
      <c r="K21" s="7">
        <f t="shared" ref="K21:K22" si="6">TRUNC($E21*J21,1)</f>
        <v>101099.8</v>
      </c>
      <c r="L21" s="43">
        <v>0.52600000000000002</v>
      </c>
      <c r="M21" s="7">
        <f t="shared" ref="M21:M22" si="7">TRUNC($E21*L21,1)</f>
        <v>130020.8</v>
      </c>
    </row>
    <row r="22" spans="2:15" ht="12.95" customHeight="1" x14ac:dyDescent="0.3">
      <c r="B22" s="15" t="s">
        <v>0</v>
      </c>
      <c r="C22" s="9"/>
      <c r="D22" s="3" t="s">
        <v>8</v>
      </c>
      <c r="E22" s="38">
        <v>172068</v>
      </c>
      <c r="F22" s="43">
        <v>5.3999999999999999E-2</v>
      </c>
      <c r="G22" s="7">
        <f t="shared" si="4"/>
        <v>9291.6</v>
      </c>
      <c r="H22" s="43">
        <v>6.0999999999999999E-2</v>
      </c>
      <c r="I22" s="7">
        <f t="shared" si="5"/>
        <v>10496.1</v>
      </c>
      <c r="J22" s="43">
        <v>8.4000000000000005E-2</v>
      </c>
      <c r="K22" s="7">
        <f t="shared" si="6"/>
        <v>14453.7</v>
      </c>
      <c r="L22" s="43">
        <v>0.108</v>
      </c>
      <c r="M22" s="7">
        <f t="shared" si="7"/>
        <v>18583.3</v>
      </c>
    </row>
    <row r="23" spans="2:15" ht="12.95" customHeight="1" x14ac:dyDescent="0.3">
      <c r="B23" s="16" t="s">
        <v>10</v>
      </c>
      <c r="C23" s="30"/>
      <c r="D23" s="30"/>
      <c r="E23" s="36"/>
      <c r="F23" s="39"/>
      <c r="G23" s="35">
        <f>TRUNC(SUM(G21:G22))</f>
        <v>70594</v>
      </c>
      <c r="H23" s="39"/>
      <c r="I23" s="35">
        <f>TRUNC(SUM(I21:I22))</f>
        <v>83910</v>
      </c>
      <c r="J23" s="39"/>
      <c r="K23" s="35">
        <f>TRUNC(SUM(K21:K22))</f>
        <v>115553</v>
      </c>
      <c r="L23" s="39"/>
      <c r="M23" s="35">
        <f>TRUNC(SUM(M21:M22))</f>
        <v>148604</v>
      </c>
    </row>
    <row r="24" spans="2:15" ht="12.95" customHeight="1" x14ac:dyDescent="0.3">
      <c r="B24" s="29"/>
      <c r="C24" s="30"/>
      <c r="D24" s="30"/>
      <c r="E24" s="36"/>
      <c r="F24" s="39"/>
      <c r="G24" s="26"/>
      <c r="H24" s="39"/>
      <c r="I24" s="26"/>
      <c r="J24" s="39"/>
      <c r="K24" s="26"/>
      <c r="L24" s="39"/>
      <c r="M24" s="26"/>
    </row>
    <row r="25" spans="2:15" ht="12.95" customHeight="1" x14ac:dyDescent="0.3">
      <c r="B25" s="14" t="s">
        <v>11</v>
      </c>
      <c r="C25" s="31"/>
      <c r="D25" s="31"/>
      <c r="E25" s="27"/>
      <c r="F25" s="27"/>
      <c r="G25" s="28">
        <f>SUM(G19+G23)</f>
        <v>72711</v>
      </c>
      <c r="H25" s="27"/>
      <c r="I25" s="28">
        <f>SUM(I19+I23)</f>
        <v>86427</v>
      </c>
      <c r="J25" s="27"/>
      <c r="K25" s="28">
        <f>SUM(K19+K23)</f>
        <v>119019</v>
      </c>
      <c r="L25" s="27"/>
      <c r="M25" s="28">
        <f>SUM(M19+M23)</f>
        <v>153062</v>
      </c>
    </row>
    <row r="27" spans="2:15" ht="12.95" customHeight="1" x14ac:dyDescent="0.3">
      <c r="B27" s="32" t="s">
        <v>32</v>
      </c>
      <c r="C27" s="33"/>
      <c r="D27" s="23"/>
      <c r="E27" s="34"/>
      <c r="F27" s="23"/>
      <c r="G27" s="34" t="s">
        <v>33</v>
      </c>
    </row>
    <row r="28" spans="2:15" ht="12.95" customHeight="1" x14ac:dyDescent="0.3">
      <c r="B28" s="80" t="s">
        <v>2</v>
      </c>
      <c r="C28" s="82" t="s">
        <v>13</v>
      </c>
      <c r="D28" s="84" t="s">
        <v>7</v>
      </c>
      <c r="E28" s="75" t="s">
        <v>3</v>
      </c>
      <c r="F28" s="86" t="s">
        <v>14</v>
      </c>
      <c r="G28" s="87" t="s">
        <v>15</v>
      </c>
    </row>
    <row r="29" spans="2:15" ht="12.95" customHeight="1" x14ac:dyDescent="0.3">
      <c r="B29" s="81"/>
      <c r="C29" s="83"/>
      <c r="D29" s="85"/>
      <c r="E29" s="77"/>
      <c r="F29" s="86"/>
      <c r="G29" s="88"/>
    </row>
    <row r="30" spans="2:15" ht="12.95" customHeight="1" x14ac:dyDescent="0.3">
      <c r="B30" s="15" t="s">
        <v>29</v>
      </c>
      <c r="C30" s="9"/>
      <c r="D30" s="3" t="s">
        <v>8</v>
      </c>
      <c r="E30" s="38">
        <v>247188</v>
      </c>
      <c r="F30" s="25">
        <v>0.01</v>
      </c>
      <c r="G30" s="7">
        <f t="shared" ref="G30" si="8">TRUNC($E30*F30,1)</f>
        <v>2471.8000000000002</v>
      </c>
    </row>
    <row r="31" spans="2:15" ht="12.95" customHeight="1" x14ac:dyDescent="0.3">
      <c r="B31" s="16" t="s">
        <v>10</v>
      </c>
      <c r="C31" s="30"/>
      <c r="D31" s="30"/>
      <c r="E31" s="36"/>
      <c r="F31" s="39"/>
      <c r="G31" s="35">
        <f>TRUNC(SUM(G30:G30))</f>
        <v>2471</v>
      </c>
    </row>
    <row r="32" spans="2:15" ht="12.95" customHeight="1" x14ac:dyDescent="0.3">
      <c r="B32" s="29"/>
      <c r="C32" s="30"/>
      <c r="D32" s="30"/>
      <c r="E32" s="36"/>
      <c r="F32" s="39"/>
      <c r="G32" s="26"/>
    </row>
    <row r="33" spans="2:13" ht="12.95" customHeight="1" x14ac:dyDescent="0.3">
      <c r="B33" s="14" t="s">
        <v>11</v>
      </c>
      <c r="C33" s="31"/>
      <c r="D33" s="31"/>
      <c r="E33" s="27"/>
      <c r="F33" s="27"/>
      <c r="G33" s="28">
        <f>SUM(G31)</f>
        <v>2471</v>
      </c>
    </row>
    <row r="35" spans="2:13" ht="12.95" customHeight="1" x14ac:dyDescent="0.3">
      <c r="B35" s="32" t="s">
        <v>34</v>
      </c>
      <c r="C35" s="33"/>
      <c r="D35" s="23"/>
      <c r="E35" s="34"/>
      <c r="F35" s="23"/>
      <c r="G35" s="23"/>
      <c r="M35" s="22" t="s">
        <v>28</v>
      </c>
    </row>
    <row r="36" spans="2:13" ht="12.95" customHeight="1" x14ac:dyDescent="0.3">
      <c r="B36" s="80" t="s">
        <v>2</v>
      </c>
      <c r="C36" s="82" t="s">
        <v>13</v>
      </c>
      <c r="D36" s="84" t="s">
        <v>7</v>
      </c>
      <c r="E36" s="75" t="s">
        <v>3</v>
      </c>
      <c r="F36" s="78" t="s">
        <v>24</v>
      </c>
      <c r="G36" s="79"/>
      <c r="H36" s="78" t="s">
        <v>25</v>
      </c>
      <c r="I36" s="79"/>
      <c r="J36" s="78" t="s">
        <v>26</v>
      </c>
      <c r="K36" s="79"/>
      <c r="L36" s="78" t="s">
        <v>27</v>
      </c>
      <c r="M36" s="79"/>
    </row>
    <row r="37" spans="2:13" ht="12.95" customHeight="1" x14ac:dyDescent="0.3">
      <c r="B37" s="81"/>
      <c r="C37" s="83"/>
      <c r="D37" s="85"/>
      <c r="E37" s="77"/>
      <c r="F37" s="41" t="s">
        <v>4</v>
      </c>
      <c r="G37" s="42" t="s">
        <v>5</v>
      </c>
      <c r="H37" s="41" t="s">
        <v>4</v>
      </c>
      <c r="I37" s="42" t="s">
        <v>5</v>
      </c>
      <c r="J37" s="41" t="s">
        <v>4</v>
      </c>
      <c r="K37" s="42" t="s">
        <v>5</v>
      </c>
      <c r="L37" s="41" t="s">
        <v>4</v>
      </c>
      <c r="M37" s="42" t="s">
        <v>5</v>
      </c>
    </row>
    <row r="38" spans="2:13" ht="12.95" customHeight="1" x14ac:dyDescent="0.3">
      <c r="B38" s="11" t="s">
        <v>16</v>
      </c>
      <c r="C38" s="6" t="s">
        <v>18</v>
      </c>
      <c r="D38" s="40" t="s">
        <v>12</v>
      </c>
      <c r="E38" s="12"/>
      <c r="F38" s="37">
        <v>1</v>
      </c>
      <c r="G38" s="13">
        <f>TRUNC(SUM(G41:G42)*0.03,1)</f>
        <v>3399.5</v>
      </c>
      <c r="H38" s="37">
        <v>1</v>
      </c>
      <c r="I38" s="13">
        <f>TRUNC(SUM(I41:I42)*0.03,1)</f>
        <v>3735.2</v>
      </c>
      <c r="J38" s="37">
        <v>1</v>
      </c>
      <c r="K38" s="13">
        <f>TRUNC(SUM(K41:K42)*0.03,1)</f>
        <v>4844.3999999999996</v>
      </c>
      <c r="L38" s="37">
        <v>1</v>
      </c>
      <c r="M38" s="13">
        <f>TRUNC(SUM(M41:M42)*0.03,1)</f>
        <v>5689.9</v>
      </c>
    </row>
    <row r="39" spans="2:13" ht="12.95" customHeight="1" x14ac:dyDescent="0.3">
      <c r="B39" s="18" t="s">
        <v>9</v>
      </c>
      <c r="C39" s="21"/>
      <c r="D39" s="20"/>
      <c r="E39" s="19"/>
      <c r="F39" s="25"/>
      <c r="G39" s="17">
        <f>TRUNC(SUM(G38))</f>
        <v>3399</v>
      </c>
      <c r="H39" s="25"/>
      <c r="I39" s="17">
        <f>TRUNC(SUM(I38))</f>
        <v>3735</v>
      </c>
      <c r="J39" s="25"/>
      <c r="K39" s="17">
        <f>TRUNC(SUM(K38))</f>
        <v>4844</v>
      </c>
      <c r="L39" s="25"/>
      <c r="M39" s="17">
        <f>TRUNC(SUM(M38))</f>
        <v>5689</v>
      </c>
    </row>
    <row r="40" spans="2:13" ht="12.95" customHeight="1" x14ac:dyDescent="0.3">
      <c r="B40" s="29"/>
      <c r="C40" s="30"/>
      <c r="D40" s="30"/>
      <c r="E40" s="36"/>
      <c r="F40" s="39"/>
      <c r="G40" s="26"/>
      <c r="H40" s="39"/>
      <c r="I40" s="26"/>
      <c r="J40" s="39"/>
      <c r="K40" s="26"/>
      <c r="L40" s="39"/>
      <c r="M40" s="26"/>
    </row>
    <row r="41" spans="2:13" ht="12.95" customHeight="1" x14ac:dyDescent="0.3">
      <c r="B41" s="15" t="s">
        <v>29</v>
      </c>
      <c r="C41" s="9"/>
      <c r="D41" s="3" t="s">
        <v>8</v>
      </c>
      <c r="E41" s="38">
        <v>247188</v>
      </c>
      <c r="F41" s="43">
        <v>0.39300000000000002</v>
      </c>
      <c r="G41" s="7">
        <f t="shared" ref="G41:G42" si="9">TRUNC($E41*F41,1)</f>
        <v>97144.8</v>
      </c>
      <c r="H41" s="43">
        <v>0.432</v>
      </c>
      <c r="I41" s="7">
        <f t="shared" ref="I41:I42" si="10">TRUNC($E41*H41,1)</f>
        <v>106785.2</v>
      </c>
      <c r="J41" s="43">
        <v>0.56000000000000005</v>
      </c>
      <c r="K41" s="7">
        <f t="shared" ref="K41:K42" si="11">TRUNC($E41*J41,1)</f>
        <v>138425.20000000001</v>
      </c>
      <c r="L41" s="43">
        <v>0.65800000000000003</v>
      </c>
      <c r="M41" s="7">
        <f t="shared" ref="M41:M42" si="12">TRUNC($E41*L41,1)</f>
        <v>162649.70000000001</v>
      </c>
    </row>
    <row r="42" spans="2:13" ht="12.95" customHeight="1" x14ac:dyDescent="0.3">
      <c r="B42" s="15" t="s">
        <v>0</v>
      </c>
      <c r="C42" s="9"/>
      <c r="D42" s="3" t="s">
        <v>8</v>
      </c>
      <c r="E42" s="38">
        <v>172068</v>
      </c>
      <c r="F42" s="43">
        <v>9.4E-2</v>
      </c>
      <c r="G42" s="7">
        <f t="shared" si="9"/>
        <v>16174.3</v>
      </c>
      <c r="H42" s="43">
        <v>0.10299999999999999</v>
      </c>
      <c r="I42" s="7">
        <f t="shared" si="10"/>
        <v>17723</v>
      </c>
      <c r="J42" s="43">
        <v>0.13400000000000001</v>
      </c>
      <c r="K42" s="7">
        <f t="shared" si="11"/>
        <v>23057.1</v>
      </c>
      <c r="L42" s="43">
        <v>0.157</v>
      </c>
      <c r="M42" s="7">
        <f t="shared" si="12"/>
        <v>27014.6</v>
      </c>
    </row>
    <row r="43" spans="2:13" ht="12.95" customHeight="1" x14ac:dyDescent="0.3">
      <c r="B43" s="16" t="s">
        <v>10</v>
      </c>
      <c r="C43" s="30"/>
      <c r="D43" s="30"/>
      <c r="E43" s="36"/>
      <c r="F43" s="39"/>
      <c r="G43" s="35">
        <f>TRUNC(SUM(G41:G42))</f>
        <v>113319</v>
      </c>
      <c r="H43" s="39"/>
      <c r="I43" s="35">
        <f>TRUNC(SUM(I41:I42))</f>
        <v>124508</v>
      </c>
      <c r="J43" s="39"/>
      <c r="K43" s="35">
        <f>TRUNC(SUM(K41:K42))</f>
        <v>161482</v>
      </c>
      <c r="L43" s="39"/>
      <c r="M43" s="35">
        <f>TRUNC(SUM(M41:M42))</f>
        <v>189664</v>
      </c>
    </row>
    <row r="44" spans="2:13" ht="12.95" customHeight="1" x14ac:dyDescent="0.3">
      <c r="B44" s="29"/>
      <c r="C44" s="30"/>
      <c r="D44" s="30"/>
      <c r="E44" s="36"/>
      <c r="F44" s="39"/>
      <c r="G44" s="26"/>
      <c r="H44" s="39"/>
      <c r="I44" s="26"/>
      <c r="J44" s="39"/>
      <c r="K44" s="26"/>
      <c r="L44" s="39"/>
      <c r="M44" s="26"/>
    </row>
    <row r="45" spans="2:13" ht="12.95" customHeight="1" x14ac:dyDescent="0.3">
      <c r="B45" s="14" t="s">
        <v>11</v>
      </c>
      <c r="C45" s="31"/>
      <c r="D45" s="31"/>
      <c r="E45" s="27"/>
      <c r="F45" s="27"/>
      <c r="G45" s="28">
        <f>SUM(G39+G43)</f>
        <v>116718</v>
      </c>
      <c r="H45" s="27"/>
      <c r="I45" s="28">
        <f>SUM(I39+I43)</f>
        <v>128243</v>
      </c>
      <c r="J45" s="27"/>
      <c r="K45" s="28">
        <f>SUM(K39+K43)</f>
        <v>166326</v>
      </c>
      <c r="L45" s="27"/>
      <c r="M45" s="28">
        <f>SUM(M39+M43)</f>
        <v>195353</v>
      </c>
    </row>
    <row r="47" spans="2:13" ht="12.95" customHeight="1" x14ac:dyDescent="0.3">
      <c r="B47" s="32" t="s">
        <v>37</v>
      </c>
      <c r="C47" s="33"/>
      <c r="D47" s="23"/>
      <c r="E47" s="34"/>
      <c r="F47" s="23"/>
      <c r="G47" s="23"/>
      <c r="K47" s="22" t="s">
        <v>28</v>
      </c>
    </row>
    <row r="48" spans="2:13" ht="12.95" customHeight="1" x14ac:dyDescent="0.3">
      <c r="B48" s="80" t="s">
        <v>2</v>
      </c>
      <c r="C48" s="82" t="s">
        <v>13</v>
      </c>
      <c r="D48" s="84" t="s">
        <v>7</v>
      </c>
      <c r="E48" s="75" t="s">
        <v>3</v>
      </c>
      <c r="F48" s="78" t="s">
        <v>24</v>
      </c>
      <c r="G48" s="79"/>
      <c r="H48" s="78" t="s">
        <v>25</v>
      </c>
      <c r="I48" s="79"/>
      <c r="J48" s="78" t="s">
        <v>26</v>
      </c>
      <c r="K48" s="79"/>
    </row>
    <row r="49" spans="2:11" ht="12.95" customHeight="1" x14ac:dyDescent="0.3">
      <c r="B49" s="81"/>
      <c r="C49" s="83"/>
      <c r="D49" s="85"/>
      <c r="E49" s="77"/>
      <c r="F49" s="41" t="s">
        <v>4</v>
      </c>
      <c r="G49" s="42" t="s">
        <v>5</v>
      </c>
      <c r="H49" s="41" t="s">
        <v>4</v>
      </c>
      <c r="I49" s="42" t="s">
        <v>5</v>
      </c>
      <c r="J49" s="41" t="s">
        <v>4</v>
      </c>
      <c r="K49" s="42" t="s">
        <v>5</v>
      </c>
    </row>
    <row r="50" spans="2:11" ht="12.95" customHeight="1" x14ac:dyDescent="0.3">
      <c r="B50" s="11" t="s">
        <v>16</v>
      </c>
      <c r="C50" s="6" t="s">
        <v>17</v>
      </c>
      <c r="D50" s="40" t="s">
        <v>12</v>
      </c>
      <c r="E50" s="12"/>
      <c r="F50" s="37">
        <v>1</v>
      </c>
      <c r="G50" s="13">
        <f>TRUNC(SUM(G53:G54)*0.02,1)</f>
        <v>1190</v>
      </c>
      <c r="H50" s="37">
        <v>1</v>
      </c>
      <c r="I50" s="13">
        <f>TRUNC(SUM(I53:I54)*0.02,1)</f>
        <v>1615.8</v>
      </c>
      <c r="J50" s="37">
        <v>1</v>
      </c>
      <c r="K50" s="13">
        <f>TRUNC(SUM(K53:K54)*0.02,1)</f>
        <v>2281.4</v>
      </c>
    </row>
    <row r="51" spans="2:11" ht="12.95" customHeight="1" x14ac:dyDescent="0.3">
      <c r="B51" s="18" t="s">
        <v>9</v>
      </c>
      <c r="C51" s="21"/>
      <c r="D51" s="20"/>
      <c r="E51" s="19"/>
      <c r="F51" s="25"/>
      <c r="G51" s="17">
        <f>TRUNC(SUM(G50))</f>
        <v>1190</v>
      </c>
      <c r="H51" s="25"/>
      <c r="I51" s="17">
        <f>TRUNC(SUM(I50))</f>
        <v>1615</v>
      </c>
      <c r="J51" s="25"/>
      <c r="K51" s="17">
        <f>TRUNC(SUM(K50))</f>
        <v>2281</v>
      </c>
    </row>
    <row r="52" spans="2:11" ht="12.95" customHeight="1" x14ac:dyDescent="0.3">
      <c r="B52" s="29"/>
      <c r="C52" s="30"/>
      <c r="D52" s="30"/>
      <c r="E52" s="36"/>
      <c r="F52" s="39"/>
      <c r="G52" s="26"/>
      <c r="H52" s="39"/>
      <c r="I52" s="26"/>
      <c r="J52" s="39"/>
      <c r="K52" s="26"/>
    </row>
    <row r="53" spans="2:11" ht="12.95" customHeight="1" x14ac:dyDescent="0.3">
      <c r="B53" s="15" t="s">
        <v>29</v>
      </c>
      <c r="C53" s="9"/>
      <c r="D53" s="3" t="s">
        <v>8</v>
      </c>
      <c r="E53" s="38">
        <v>247188</v>
      </c>
      <c r="F53" s="43">
        <v>0.20799999999999999</v>
      </c>
      <c r="G53" s="7">
        <f t="shared" ref="G53:G54" si="13">TRUNC($E53*F53,1)</f>
        <v>51415.1</v>
      </c>
      <c r="H53" s="43">
        <v>0.28299999999999997</v>
      </c>
      <c r="I53" s="7">
        <f t="shared" ref="I53:I54" si="14">TRUNC($E53*H53,1)</f>
        <v>69954.2</v>
      </c>
      <c r="J53" s="43">
        <v>0.40300000000000002</v>
      </c>
      <c r="K53" s="7">
        <f t="shared" ref="K53:K54" si="15">TRUNC($E53*J53,1)</f>
        <v>99616.7</v>
      </c>
    </row>
    <row r="54" spans="2:11" ht="12.95" customHeight="1" x14ac:dyDescent="0.3">
      <c r="B54" s="15" t="s">
        <v>0</v>
      </c>
      <c r="C54" s="9"/>
      <c r="D54" s="3" t="s">
        <v>8</v>
      </c>
      <c r="E54" s="38">
        <v>172068</v>
      </c>
      <c r="F54" s="43">
        <v>4.7E-2</v>
      </c>
      <c r="G54" s="7">
        <f t="shared" si="13"/>
        <v>8087.1</v>
      </c>
      <c r="H54" s="43">
        <v>6.3E-2</v>
      </c>
      <c r="I54" s="7">
        <f t="shared" si="14"/>
        <v>10840.2</v>
      </c>
      <c r="J54" s="43">
        <v>8.4000000000000005E-2</v>
      </c>
      <c r="K54" s="7">
        <f t="shared" si="15"/>
        <v>14453.7</v>
      </c>
    </row>
    <row r="55" spans="2:11" ht="12.95" customHeight="1" x14ac:dyDescent="0.3">
      <c r="B55" s="16" t="s">
        <v>10</v>
      </c>
      <c r="C55" s="30"/>
      <c r="D55" s="30"/>
      <c r="E55" s="36"/>
      <c r="F55" s="39"/>
      <c r="G55" s="35">
        <f>TRUNC(SUM(G53:G54))</f>
        <v>59502</v>
      </c>
      <c r="H55" s="39"/>
      <c r="I55" s="35">
        <f>TRUNC(SUM(I53:I54))</f>
        <v>80794</v>
      </c>
      <c r="J55" s="39"/>
      <c r="K55" s="35">
        <f>TRUNC(SUM(K53:K54))</f>
        <v>114070</v>
      </c>
    </row>
    <row r="56" spans="2:11" ht="12.95" customHeight="1" x14ac:dyDescent="0.3">
      <c r="B56" s="29"/>
      <c r="C56" s="30"/>
      <c r="D56" s="30"/>
      <c r="E56" s="36"/>
      <c r="F56" s="39"/>
      <c r="G56" s="26"/>
      <c r="H56" s="39"/>
      <c r="I56" s="26"/>
      <c r="J56" s="39"/>
      <c r="K56" s="26"/>
    </row>
    <row r="57" spans="2:11" ht="12.95" customHeight="1" x14ac:dyDescent="0.3">
      <c r="B57" s="14" t="s">
        <v>11</v>
      </c>
      <c r="C57" s="31"/>
      <c r="D57" s="31"/>
      <c r="E57" s="27"/>
      <c r="F57" s="27"/>
      <c r="G57" s="28">
        <f>SUM(G51+G55)</f>
        <v>60692</v>
      </c>
      <c r="H57" s="27"/>
      <c r="I57" s="28">
        <f>SUM(I51+I55)</f>
        <v>82409</v>
      </c>
      <c r="J57" s="27"/>
      <c r="K57" s="28">
        <f>SUM(K51+K55)</f>
        <v>116351</v>
      </c>
    </row>
    <row r="58" spans="2:11" ht="12.95" customHeight="1" x14ac:dyDescent="0.3">
      <c r="B58" s="80" t="s">
        <v>2</v>
      </c>
      <c r="C58" s="82" t="s">
        <v>13</v>
      </c>
      <c r="D58" s="84" t="s">
        <v>7</v>
      </c>
      <c r="E58" s="75" t="s">
        <v>3</v>
      </c>
      <c r="F58" s="78" t="s">
        <v>35</v>
      </c>
      <c r="G58" s="79"/>
      <c r="H58" s="78" t="s">
        <v>36</v>
      </c>
      <c r="I58" s="79"/>
    </row>
    <row r="59" spans="2:11" ht="12.95" customHeight="1" x14ac:dyDescent="0.3">
      <c r="B59" s="81"/>
      <c r="C59" s="83"/>
      <c r="D59" s="85"/>
      <c r="E59" s="77"/>
      <c r="F59" s="41" t="s">
        <v>4</v>
      </c>
      <c r="G59" s="42" t="s">
        <v>5</v>
      </c>
      <c r="H59" s="41" t="s">
        <v>4</v>
      </c>
      <c r="I59" s="42" t="s">
        <v>5</v>
      </c>
    </row>
    <row r="60" spans="2:11" ht="12.95" customHeight="1" x14ac:dyDescent="0.3">
      <c r="B60" s="11" t="s">
        <v>16</v>
      </c>
      <c r="C60" s="6" t="s">
        <v>17</v>
      </c>
      <c r="D60" s="40" t="s">
        <v>12</v>
      </c>
      <c r="E60" s="12"/>
      <c r="F60" s="37">
        <v>1</v>
      </c>
      <c r="G60" s="13">
        <f>TRUNC(SUM(G63:G64)*0.02,1)</f>
        <v>2700.1</v>
      </c>
      <c r="H60" s="37">
        <v>1</v>
      </c>
      <c r="I60" s="13">
        <f>TRUNC(SUM(I63:I64)*0.02,1)</f>
        <v>2930.4</v>
      </c>
    </row>
    <row r="61" spans="2:11" ht="12.95" customHeight="1" x14ac:dyDescent="0.3">
      <c r="B61" s="18" t="s">
        <v>9</v>
      </c>
      <c r="C61" s="21"/>
      <c r="D61" s="20"/>
      <c r="E61" s="19"/>
      <c r="F61" s="25"/>
      <c r="G61" s="17">
        <f>TRUNC(SUM(G60))</f>
        <v>2700</v>
      </c>
      <c r="H61" s="25"/>
      <c r="I61" s="17">
        <f>TRUNC(SUM(I60))</f>
        <v>2930</v>
      </c>
    </row>
    <row r="62" spans="2:11" ht="12.95" customHeight="1" x14ac:dyDescent="0.3">
      <c r="B62" s="29"/>
      <c r="C62" s="30"/>
      <c r="D62" s="30"/>
      <c r="E62" s="36"/>
      <c r="F62" s="39"/>
      <c r="G62" s="26"/>
      <c r="H62" s="39"/>
      <c r="I62" s="26"/>
    </row>
    <row r="63" spans="2:11" ht="12.95" customHeight="1" x14ac:dyDescent="0.3">
      <c r="B63" s="15" t="s">
        <v>29</v>
      </c>
      <c r="C63" s="9"/>
      <c r="D63" s="3" t="s">
        <v>8</v>
      </c>
      <c r="E63" s="38">
        <v>247188</v>
      </c>
      <c r="F63" s="43">
        <v>0.47099999999999997</v>
      </c>
      <c r="G63" s="7">
        <f t="shared" ref="G63:G64" si="16">TRUNC($E63*F63,1)</f>
        <v>116425.5</v>
      </c>
      <c r="H63" s="43">
        <v>0.51200000000000001</v>
      </c>
      <c r="I63" s="7">
        <f t="shared" ref="I63:I64" si="17">TRUNC($E63*H63,1)</f>
        <v>126560.2</v>
      </c>
    </row>
    <row r="64" spans="2:11" ht="12.95" customHeight="1" x14ac:dyDescent="0.3">
      <c r="B64" s="15" t="s">
        <v>0</v>
      </c>
      <c r="C64" s="9"/>
      <c r="D64" s="3" t="s">
        <v>8</v>
      </c>
      <c r="E64" s="38">
        <v>172068</v>
      </c>
      <c r="F64" s="43">
        <v>0.108</v>
      </c>
      <c r="G64" s="7">
        <f t="shared" si="16"/>
        <v>18583.3</v>
      </c>
      <c r="H64" s="43">
        <v>0.11600000000000001</v>
      </c>
      <c r="I64" s="7">
        <f t="shared" si="17"/>
        <v>19959.8</v>
      </c>
    </row>
    <row r="65" spans="2:23" ht="12.95" customHeight="1" x14ac:dyDescent="0.3">
      <c r="B65" s="16" t="s">
        <v>10</v>
      </c>
      <c r="C65" s="30"/>
      <c r="D65" s="30"/>
      <c r="E65" s="36"/>
      <c r="F65" s="39"/>
      <c r="G65" s="35">
        <f>TRUNC(SUM(G63:G64))</f>
        <v>135008</v>
      </c>
      <c r="H65" s="39"/>
      <c r="I65" s="35">
        <f>TRUNC(SUM(I63:I64))</f>
        <v>146520</v>
      </c>
    </row>
    <row r="66" spans="2:23" ht="12.95" customHeight="1" x14ac:dyDescent="0.3">
      <c r="B66" s="29"/>
      <c r="C66" s="30"/>
      <c r="D66" s="30"/>
      <c r="E66" s="36"/>
      <c r="F66" s="39"/>
      <c r="G66" s="26"/>
      <c r="H66" s="39"/>
      <c r="I66" s="26"/>
    </row>
    <row r="67" spans="2:23" ht="12.95" customHeight="1" x14ac:dyDescent="0.3">
      <c r="B67" s="14" t="s">
        <v>11</v>
      </c>
      <c r="C67" s="31"/>
      <c r="D67" s="31"/>
      <c r="E67" s="27"/>
      <c r="F67" s="27"/>
      <c r="G67" s="28">
        <f>SUM(G61+G65)</f>
        <v>137708</v>
      </c>
      <c r="H67" s="27"/>
      <c r="I67" s="28">
        <f>SUM(I61+I65)</f>
        <v>149450</v>
      </c>
    </row>
    <row r="69" spans="2:23" ht="12.95" customHeight="1" x14ac:dyDescent="0.3">
      <c r="B69" s="32" t="s">
        <v>72</v>
      </c>
      <c r="C69" s="33"/>
      <c r="D69" s="23"/>
      <c r="E69" s="34"/>
      <c r="F69" s="23"/>
      <c r="G69" s="22" t="s">
        <v>19</v>
      </c>
    </row>
    <row r="70" spans="2:23" ht="12.95" customHeight="1" x14ac:dyDescent="0.3">
      <c r="B70" s="80" t="s">
        <v>2</v>
      </c>
      <c r="C70" s="82" t="s">
        <v>13</v>
      </c>
      <c r="D70" s="84" t="s">
        <v>7</v>
      </c>
      <c r="E70" s="75" t="s">
        <v>3</v>
      </c>
      <c r="F70" s="89" t="s">
        <v>4</v>
      </c>
      <c r="G70" s="89" t="s">
        <v>5</v>
      </c>
    </row>
    <row r="71" spans="2:23" ht="12.95" customHeight="1" x14ac:dyDescent="0.3">
      <c r="B71" s="81"/>
      <c r="C71" s="83"/>
      <c r="D71" s="85"/>
      <c r="E71" s="77"/>
      <c r="F71" s="90"/>
      <c r="G71" s="90"/>
    </row>
    <row r="72" spans="2:23" ht="12.95" customHeight="1" x14ac:dyDescent="0.3">
      <c r="B72" s="11" t="s">
        <v>16</v>
      </c>
      <c r="C72" s="6" t="s">
        <v>17</v>
      </c>
      <c r="D72" s="40" t="s">
        <v>12</v>
      </c>
      <c r="E72" s="12"/>
      <c r="F72" s="37">
        <v>1</v>
      </c>
      <c r="G72" s="13">
        <f>TRUNC(SUM(G75:G76)*0.02,1)</f>
        <v>465.6</v>
      </c>
    </row>
    <row r="73" spans="2:23" ht="12.95" customHeight="1" x14ac:dyDescent="0.3">
      <c r="B73" s="18" t="s">
        <v>9</v>
      </c>
      <c r="C73" s="21"/>
      <c r="D73" s="20"/>
      <c r="E73" s="19"/>
      <c r="F73" s="25"/>
      <c r="G73" s="17">
        <f>TRUNC(SUM(G72))</f>
        <v>465</v>
      </c>
    </row>
    <row r="74" spans="2:23" ht="12.95" customHeight="1" x14ac:dyDescent="0.3">
      <c r="B74" s="29"/>
      <c r="C74" s="30"/>
      <c r="D74" s="30"/>
      <c r="E74" s="36"/>
      <c r="F74" s="39"/>
      <c r="G74" s="26"/>
    </row>
    <row r="75" spans="2:23" ht="12.95" customHeight="1" x14ac:dyDescent="0.3">
      <c r="B75" s="15" t="s">
        <v>29</v>
      </c>
      <c r="C75" s="9"/>
      <c r="D75" s="3" t="s">
        <v>8</v>
      </c>
      <c r="E75" s="38">
        <v>247188</v>
      </c>
      <c r="F75" s="43">
        <v>7.3999999999999996E-2</v>
      </c>
      <c r="G75" s="7">
        <f t="shared" ref="G75:G76" si="18">TRUNC($E75*F75,1)</f>
        <v>18291.900000000001</v>
      </c>
    </row>
    <row r="76" spans="2:23" ht="12.95" customHeight="1" x14ac:dyDescent="0.2">
      <c r="B76" s="15" t="s">
        <v>0</v>
      </c>
      <c r="C76" s="9"/>
      <c r="D76" s="3" t="s">
        <v>8</v>
      </c>
      <c r="E76" s="38">
        <v>172068</v>
      </c>
      <c r="F76" s="43">
        <v>2.9000000000000001E-2</v>
      </c>
      <c r="G76" s="7">
        <f t="shared" si="18"/>
        <v>4989.8999999999996</v>
      </c>
      <c r="I76" s="2" ph="1"/>
      <c r="W76" s="2" ph="1"/>
    </row>
    <row r="77" spans="2:23" ht="12.95" customHeight="1" x14ac:dyDescent="0.3">
      <c r="B77" s="16" t="s">
        <v>10</v>
      </c>
      <c r="C77" s="30"/>
      <c r="D77" s="30"/>
      <c r="E77" s="36"/>
      <c r="F77" s="39"/>
      <c r="G77" s="35">
        <f>TRUNC(SUM(G75:G76))</f>
        <v>23281</v>
      </c>
    </row>
    <row r="78" spans="2:23" ht="12.95" customHeight="1" x14ac:dyDescent="0.3">
      <c r="B78" s="29"/>
      <c r="C78" s="30"/>
      <c r="D78" s="30"/>
      <c r="E78" s="36"/>
      <c r="F78" s="39"/>
      <c r="G78" s="26"/>
    </row>
    <row r="79" spans="2:23" ht="12.95" customHeight="1" x14ac:dyDescent="0.3">
      <c r="B79" s="14" t="s">
        <v>11</v>
      </c>
      <c r="C79" s="31"/>
      <c r="D79" s="31"/>
      <c r="E79" s="27"/>
      <c r="F79" s="27"/>
      <c r="G79" s="28">
        <f>SUM(G73+G77)</f>
        <v>23746</v>
      </c>
    </row>
    <row r="81" spans="2:11" ht="12.95" customHeight="1" x14ac:dyDescent="0.3">
      <c r="B81" s="32" t="s">
        <v>70</v>
      </c>
      <c r="C81" s="33"/>
      <c r="D81" s="23"/>
      <c r="E81" s="34"/>
      <c r="F81" s="23"/>
      <c r="G81" s="23"/>
      <c r="K81" s="22" t="s">
        <v>28</v>
      </c>
    </row>
    <row r="82" spans="2:11" ht="12.95" customHeight="1" x14ac:dyDescent="0.3">
      <c r="B82" s="72" t="s">
        <v>2</v>
      </c>
      <c r="C82" s="72" t="s">
        <v>6</v>
      </c>
      <c r="D82" s="75" t="s">
        <v>7</v>
      </c>
      <c r="E82" s="75" t="s">
        <v>3</v>
      </c>
      <c r="F82" s="78" t="s">
        <v>38</v>
      </c>
      <c r="G82" s="79"/>
      <c r="H82" s="79"/>
      <c r="I82" s="79"/>
      <c r="J82" s="79"/>
      <c r="K82" s="79"/>
    </row>
    <row r="83" spans="2:11" ht="12.95" customHeight="1" x14ac:dyDescent="0.3">
      <c r="B83" s="73"/>
      <c r="C83" s="73"/>
      <c r="D83" s="76"/>
      <c r="E83" s="76"/>
      <c r="F83" s="78" t="s">
        <v>24</v>
      </c>
      <c r="G83" s="79"/>
      <c r="H83" s="78" t="s">
        <v>25</v>
      </c>
      <c r="I83" s="79"/>
      <c r="J83" s="78" t="s">
        <v>26</v>
      </c>
      <c r="K83" s="79"/>
    </row>
    <row r="84" spans="2:11" ht="12.95" customHeight="1" x14ac:dyDescent="0.3">
      <c r="B84" s="74"/>
      <c r="C84" s="74"/>
      <c r="D84" s="77"/>
      <c r="E84" s="77"/>
      <c r="F84" s="41" t="s">
        <v>4</v>
      </c>
      <c r="G84" s="42" t="s">
        <v>5</v>
      </c>
      <c r="H84" s="41" t="s">
        <v>4</v>
      </c>
      <c r="I84" s="42" t="s">
        <v>5</v>
      </c>
      <c r="J84" s="41" t="s">
        <v>4</v>
      </c>
      <c r="K84" s="42" t="s">
        <v>5</v>
      </c>
    </row>
    <row r="85" spans="2:11" ht="12.95" customHeight="1" x14ac:dyDescent="0.3">
      <c r="B85" s="11" t="s">
        <v>16</v>
      </c>
      <c r="C85" s="6" t="s">
        <v>17</v>
      </c>
      <c r="D85" s="40" t="s">
        <v>12</v>
      </c>
      <c r="E85" s="12"/>
      <c r="F85" s="37">
        <v>1</v>
      </c>
      <c r="G85" s="13">
        <f>TRUNC(SUM(G88:G89)*0.02,1)</f>
        <v>962.8</v>
      </c>
      <c r="H85" s="37">
        <v>1</v>
      </c>
      <c r="I85" s="13">
        <f>TRUNC(SUM(I88:I89)*0.02,1)</f>
        <v>1196.4000000000001</v>
      </c>
      <c r="J85" s="37">
        <v>1</v>
      </c>
      <c r="K85" s="13">
        <f>TRUNC(SUM(K88:K89)*0.02,1)</f>
        <v>1900</v>
      </c>
    </row>
    <row r="86" spans="2:11" ht="12.95" customHeight="1" x14ac:dyDescent="0.3">
      <c r="B86" s="18" t="s">
        <v>9</v>
      </c>
      <c r="C86" s="21"/>
      <c r="D86" s="20"/>
      <c r="E86" s="19"/>
      <c r="F86" s="25"/>
      <c r="G86" s="17">
        <f>TRUNC(SUM(G85))</f>
        <v>962</v>
      </c>
      <c r="H86" s="25"/>
      <c r="I86" s="17">
        <f>TRUNC(SUM(I85))</f>
        <v>1196</v>
      </c>
      <c r="J86" s="25"/>
      <c r="K86" s="17">
        <f>TRUNC(SUM(K85))</f>
        <v>1900</v>
      </c>
    </row>
    <row r="87" spans="2:11" ht="12.95" customHeight="1" x14ac:dyDescent="0.3">
      <c r="B87" s="29"/>
      <c r="C87" s="30"/>
      <c r="D87" s="30"/>
      <c r="E87" s="36"/>
      <c r="F87" s="39"/>
      <c r="G87" s="26"/>
      <c r="H87" s="39"/>
      <c r="I87" s="26"/>
      <c r="J87" s="39"/>
      <c r="K87" s="26"/>
    </row>
    <row r="88" spans="2:11" ht="12.95" customHeight="1" x14ac:dyDescent="0.3">
      <c r="B88" s="15" t="s">
        <v>29</v>
      </c>
      <c r="C88" s="9"/>
      <c r="D88" s="3" t="s">
        <v>8</v>
      </c>
      <c r="E88" s="38">
        <v>247188</v>
      </c>
      <c r="F88" s="43">
        <v>0.16900000000000001</v>
      </c>
      <c r="G88" s="7">
        <f t="shared" ref="G88:G89" si="19">TRUNC($E88*F88,1)</f>
        <v>41774.699999999997</v>
      </c>
      <c r="H88" s="43">
        <v>0.21</v>
      </c>
      <c r="I88" s="7">
        <f t="shared" ref="I88:I89" si="20">TRUNC($E88*H88,1)</f>
        <v>51909.4</v>
      </c>
      <c r="J88" s="43">
        <v>0.33700000000000002</v>
      </c>
      <c r="K88" s="7">
        <f t="shared" ref="K88:K89" si="21">TRUNC($E88*J88,1)</f>
        <v>83302.3</v>
      </c>
    </row>
    <row r="89" spans="2:11" ht="12.95" customHeight="1" x14ac:dyDescent="0.3">
      <c r="B89" s="15" t="s">
        <v>0</v>
      </c>
      <c r="C89" s="9"/>
      <c r="D89" s="3" t="s">
        <v>8</v>
      </c>
      <c r="E89" s="38">
        <v>172068</v>
      </c>
      <c r="F89" s="43">
        <v>3.6999999999999998E-2</v>
      </c>
      <c r="G89" s="7">
        <f t="shared" si="19"/>
        <v>6366.5</v>
      </c>
      <c r="H89" s="43">
        <v>4.5999999999999999E-2</v>
      </c>
      <c r="I89" s="7">
        <f t="shared" si="20"/>
        <v>7915.1</v>
      </c>
      <c r="J89" s="43">
        <v>6.8000000000000005E-2</v>
      </c>
      <c r="K89" s="7">
        <f t="shared" si="21"/>
        <v>11700.6</v>
      </c>
    </row>
    <row r="90" spans="2:11" ht="12.95" customHeight="1" x14ac:dyDescent="0.3">
      <c r="B90" s="16" t="s">
        <v>10</v>
      </c>
      <c r="C90" s="30"/>
      <c r="D90" s="30"/>
      <c r="E90" s="36"/>
      <c r="F90" s="39"/>
      <c r="G90" s="35">
        <f>TRUNC(SUM(G88:G89))</f>
        <v>48141</v>
      </c>
      <c r="H90" s="39"/>
      <c r="I90" s="35">
        <f>TRUNC(SUM(I88:I89))</f>
        <v>59824</v>
      </c>
      <c r="J90" s="39"/>
      <c r="K90" s="35">
        <f>TRUNC(SUM(K88:K89))</f>
        <v>95002</v>
      </c>
    </row>
    <row r="91" spans="2:11" ht="12.95" customHeight="1" x14ac:dyDescent="0.3">
      <c r="B91" s="29"/>
      <c r="C91" s="30"/>
      <c r="D91" s="30"/>
      <c r="E91" s="36"/>
      <c r="F91" s="39"/>
      <c r="G91" s="26"/>
      <c r="H91" s="39"/>
      <c r="I91" s="26"/>
      <c r="J91" s="39"/>
      <c r="K91" s="26"/>
    </row>
    <row r="92" spans="2:11" ht="12.95" customHeight="1" x14ac:dyDescent="0.3">
      <c r="B92" s="14" t="s">
        <v>11</v>
      </c>
      <c r="C92" s="31"/>
      <c r="D92" s="31"/>
      <c r="E92" s="27"/>
      <c r="F92" s="27"/>
      <c r="G92" s="28">
        <f>SUM(G86+G90)</f>
        <v>49103</v>
      </c>
      <c r="H92" s="27"/>
      <c r="I92" s="28">
        <f>SUM(I86+I90)</f>
        <v>61020</v>
      </c>
      <c r="J92" s="27"/>
      <c r="K92" s="28">
        <f>SUM(K86+K90)</f>
        <v>96902</v>
      </c>
    </row>
    <row r="93" spans="2:11" ht="12.95" customHeight="1" x14ac:dyDescent="0.3">
      <c r="B93" s="72" t="s">
        <v>2</v>
      </c>
      <c r="C93" s="72" t="s">
        <v>6</v>
      </c>
      <c r="D93" s="75" t="s">
        <v>7</v>
      </c>
      <c r="E93" s="75" t="s">
        <v>3</v>
      </c>
      <c r="F93" s="78" t="s">
        <v>38</v>
      </c>
      <c r="G93" s="79"/>
      <c r="H93" s="79"/>
      <c r="I93" s="79"/>
    </row>
    <row r="94" spans="2:11" ht="12.95" customHeight="1" x14ac:dyDescent="0.3">
      <c r="B94" s="73"/>
      <c r="C94" s="73"/>
      <c r="D94" s="76"/>
      <c r="E94" s="76"/>
      <c r="F94" s="78" t="s">
        <v>35</v>
      </c>
      <c r="G94" s="79"/>
      <c r="H94" s="78" t="s">
        <v>36</v>
      </c>
      <c r="I94" s="79"/>
    </row>
    <row r="95" spans="2:11" ht="12.95" customHeight="1" x14ac:dyDescent="0.3">
      <c r="B95" s="74"/>
      <c r="C95" s="74"/>
      <c r="D95" s="77"/>
      <c r="E95" s="77"/>
      <c r="F95" s="41" t="s">
        <v>4</v>
      </c>
      <c r="G95" s="42" t="s">
        <v>5</v>
      </c>
      <c r="H95" s="41" t="s">
        <v>4</v>
      </c>
      <c r="I95" s="42" t="s">
        <v>5</v>
      </c>
    </row>
    <row r="96" spans="2:11" ht="12.95" customHeight="1" x14ac:dyDescent="0.3">
      <c r="B96" s="11" t="s">
        <v>16</v>
      </c>
      <c r="C96" s="6" t="s">
        <v>17</v>
      </c>
      <c r="D96" s="40" t="s">
        <v>12</v>
      </c>
      <c r="E96" s="12"/>
      <c r="F96" s="37">
        <v>1</v>
      </c>
      <c r="G96" s="13">
        <f>TRUNC(SUM(G99:G100)*0.02,1)</f>
        <v>2354.9</v>
      </c>
      <c r="H96" s="37">
        <v>1</v>
      </c>
      <c r="I96" s="13">
        <f>TRUNC(SUM(I99:I100)*0.02,1)</f>
        <v>2671.5</v>
      </c>
    </row>
    <row r="97" spans="2:11" ht="12.95" customHeight="1" x14ac:dyDescent="0.3">
      <c r="B97" s="18" t="s">
        <v>9</v>
      </c>
      <c r="C97" s="21"/>
      <c r="D97" s="20"/>
      <c r="E97" s="19"/>
      <c r="F97" s="25"/>
      <c r="G97" s="17">
        <f>TRUNC(SUM(G96))</f>
        <v>2354</v>
      </c>
      <c r="H97" s="25"/>
      <c r="I97" s="17">
        <f>TRUNC(SUM(I96))</f>
        <v>2671</v>
      </c>
    </row>
    <row r="98" spans="2:11" ht="12.95" customHeight="1" x14ac:dyDescent="0.3">
      <c r="B98" s="29"/>
      <c r="C98" s="30"/>
      <c r="D98" s="30"/>
      <c r="E98" s="36"/>
      <c r="F98" s="39"/>
      <c r="G98" s="26"/>
      <c r="H98" s="39"/>
      <c r="I98" s="26"/>
    </row>
    <row r="99" spans="2:11" ht="12.95" customHeight="1" x14ac:dyDescent="0.3">
      <c r="B99" s="15" t="s">
        <v>29</v>
      </c>
      <c r="C99" s="9"/>
      <c r="D99" s="3" t="s">
        <v>8</v>
      </c>
      <c r="E99" s="38">
        <v>247188</v>
      </c>
      <c r="F99" s="43">
        <v>0.41299999999999998</v>
      </c>
      <c r="G99" s="7">
        <f t="shared" ref="G99:G100" si="22">TRUNC($E99*F99,1)</f>
        <v>102088.6</v>
      </c>
      <c r="H99" s="43">
        <v>0.46800000000000003</v>
      </c>
      <c r="I99" s="7">
        <f t="shared" ref="I99:I100" si="23">TRUNC($E99*H99,1)</f>
        <v>115683.9</v>
      </c>
    </row>
    <row r="100" spans="2:11" ht="12.95" customHeight="1" x14ac:dyDescent="0.3">
      <c r="B100" s="15" t="s">
        <v>0</v>
      </c>
      <c r="C100" s="9"/>
      <c r="D100" s="3" t="s">
        <v>8</v>
      </c>
      <c r="E100" s="38">
        <v>172068</v>
      </c>
      <c r="F100" s="43">
        <v>9.0999999999999998E-2</v>
      </c>
      <c r="G100" s="7">
        <f t="shared" si="22"/>
        <v>15658.1</v>
      </c>
      <c r="H100" s="43">
        <v>0.104</v>
      </c>
      <c r="I100" s="7">
        <f t="shared" si="23"/>
        <v>17895</v>
      </c>
    </row>
    <row r="101" spans="2:11" ht="12.95" customHeight="1" x14ac:dyDescent="0.3">
      <c r="B101" s="16" t="s">
        <v>10</v>
      </c>
      <c r="C101" s="30"/>
      <c r="D101" s="30"/>
      <c r="E101" s="36"/>
      <c r="F101" s="39"/>
      <c r="G101" s="35">
        <f>TRUNC(SUM(G99:G100))</f>
        <v>117746</v>
      </c>
      <c r="H101" s="39"/>
      <c r="I101" s="35">
        <f>TRUNC(SUM(I99:I100))</f>
        <v>133578</v>
      </c>
    </row>
    <row r="102" spans="2:11" ht="12.95" customHeight="1" x14ac:dyDescent="0.3">
      <c r="B102" s="29"/>
      <c r="C102" s="30"/>
      <c r="D102" s="30"/>
      <c r="E102" s="36"/>
      <c r="F102" s="39"/>
      <c r="G102" s="26"/>
      <c r="H102" s="39"/>
      <c r="I102" s="26"/>
    </row>
    <row r="103" spans="2:11" ht="12.95" customHeight="1" x14ac:dyDescent="0.3">
      <c r="B103" s="14" t="s">
        <v>11</v>
      </c>
      <c r="C103" s="31"/>
      <c r="D103" s="31"/>
      <c r="E103" s="27"/>
      <c r="F103" s="27"/>
      <c r="G103" s="28">
        <f>SUM(G97+G101)</f>
        <v>120100</v>
      </c>
      <c r="H103" s="27"/>
      <c r="I103" s="28">
        <f>SUM(I97+I101)</f>
        <v>136249</v>
      </c>
    </row>
    <row r="104" spans="2:11" ht="12.95" customHeight="1" x14ac:dyDescent="0.3">
      <c r="B104" s="72" t="s">
        <v>2</v>
      </c>
      <c r="C104" s="72" t="s">
        <v>6</v>
      </c>
      <c r="D104" s="75" t="s">
        <v>7</v>
      </c>
      <c r="E104" s="75" t="s">
        <v>3</v>
      </c>
      <c r="F104" s="78" t="s">
        <v>39</v>
      </c>
      <c r="G104" s="79"/>
      <c r="H104" s="79"/>
      <c r="I104" s="79"/>
      <c r="J104" s="79"/>
      <c r="K104" s="79"/>
    </row>
    <row r="105" spans="2:11" ht="12.95" customHeight="1" x14ac:dyDescent="0.3">
      <c r="B105" s="73"/>
      <c r="C105" s="73"/>
      <c r="D105" s="76"/>
      <c r="E105" s="76"/>
      <c r="F105" s="78" t="s">
        <v>24</v>
      </c>
      <c r="G105" s="79"/>
      <c r="H105" s="78" t="s">
        <v>25</v>
      </c>
      <c r="I105" s="79"/>
      <c r="J105" s="78" t="s">
        <v>26</v>
      </c>
      <c r="K105" s="79"/>
    </row>
    <row r="106" spans="2:11" ht="12.95" customHeight="1" x14ac:dyDescent="0.3">
      <c r="B106" s="74"/>
      <c r="C106" s="74"/>
      <c r="D106" s="77"/>
      <c r="E106" s="77"/>
      <c r="F106" s="41" t="s">
        <v>4</v>
      </c>
      <c r="G106" s="42" t="s">
        <v>5</v>
      </c>
      <c r="H106" s="41" t="s">
        <v>4</v>
      </c>
      <c r="I106" s="42" t="s">
        <v>5</v>
      </c>
      <c r="J106" s="41" t="s">
        <v>4</v>
      </c>
      <c r="K106" s="42" t="s">
        <v>5</v>
      </c>
    </row>
    <row r="107" spans="2:11" ht="12.95" customHeight="1" x14ac:dyDescent="0.3">
      <c r="B107" s="11" t="s">
        <v>16</v>
      </c>
      <c r="C107" s="6" t="s">
        <v>17</v>
      </c>
      <c r="D107" s="40" t="s">
        <v>12</v>
      </c>
      <c r="E107" s="12"/>
      <c r="F107" s="37">
        <v>1</v>
      </c>
      <c r="G107" s="13">
        <f>TRUNC(SUM(G110:G111)*0.02,1)</f>
        <v>1140.0999999999999</v>
      </c>
      <c r="H107" s="37">
        <v>1</v>
      </c>
      <c r="I107" s="13">
        <f>TRUNC(SUM(I110:I111)*0.02,1)</f>
        <v>1410.3</v>
      </c>
      <c r="J107" s="37">
        <v>1</v>
      </c>
      <c r="K107" s="13">
        <f>TRUNC(SUM(K110:K111)*0.02,1)</f>
        <v>2176</v>
      </c>
    </row>
    <row r="108" spans="2:11" ht="12.95" customHeight="1" x14ac:dyDescent="0.3">
      <c r="B108" s="18" t="s">
        <v>9</v>
      </c>
      <c r="C108" s="21"/>
      <c r="D108" s="20"/>
      <c r="E108" s="19"/>
      <c r="F108" s="25"/>
      <c r="G108" s="17">
        <f>TRUNC(SUM(G107))</f>
        <v>1140</v>
      </c>
      <c r="H108" s="25"/>
      <c r="I108" s="17">
        <f>TRUNC(SUM(I107))</f>
        <v>1410</v>
      </c>
      <c r="J108" s="25"/>
      <c r="K108" s="17">
        <f>TRUNC(SUM(K107))</f>
        <v>2176</v>
      </c>
    </row>
    <row r="109" spans="2:11" ht="12.95" customHeight="1" x14ac:dyDescent="0.3">
      <c r="B109" s="29"/>
      <c r="C109" s="30"/>
      <c r="D109" s="30"/>
      <c r="E109" s="36"/>
      <c r="F109" s="39"/>
      <c r="G109" s="26"/>
      <c r="H109" s="39"/>
      <c r="I109" s="26"/>
      <c r="J109" s="39"/>
      <c r="K109" s="26"/>
    </row>
    <row r="110" spans="2:11" ht="12.95" customHeight="1" x14ac:dyDescent="0.3">
      <c r="B110" s="15" t="s">
        <v>29</v>
      </c>
      <c r="C110" s="9"/>
      <c r="D110" s="3" t="s">
        <v>8</v>
      </c>
      <c r="E110" s="38">
        <v>247188</v>
      </c>
      <c r="F110" s="43">
        <v>0.2</v>
      </c>
      <c r="G110" s="7">
        <f t="shared" ref="G110:G111" si="24">TRUNC($E110*F110,1)</f>
        <v>49437.599999999999</v>
      </c>
      <c r="H110" s="43">
        <v>0.247</v>
      </c>
      <c r="I110" s="7">
        <f t="shared" ref="I110:I111" si="25">TRUNC($E110*H110,1)</f>
        <v>61055.4</v>
      </c>
      <c r="J110" s="43">
        <v>0.38100000000000001</v>
      </c>
      <c r="K110" s="7">
        <f t="shared" ref="K110:K111" si="26">TRUNC($E110*J110,1)</f>
        <v>94178.6</v>
      </c>
    </row>
    <row r="111" spans="2:11" ht="12.95" customHeight="1" x14ac:dyDescent="0.3">
      <c r="B111" s="15" t="s">
        <v>0</v>
      </c>
      <c r="C111" s="9"/>
      <c r="D111" s="3" t="s">
        <v>8</v>
      </c>
      <c r="E111" s="38">
        <v>172068</v>
      </c>
      <c r="F111" s="43">
        <v>4.3999999999999997E-2</v>
      </c>
      <c r="G111" s="7">
        <f t="shared" si="24"/>
        <v>7570.9</v>
      </c>
      <c r="H111" s="43">
        <v>5.5E-2</v>
      </c>
      <c r="I111" s="7">
        <f t="shared" si="25"/>
        <v>9463.7000000000007</v>
      </c>
      <c r="J111" s="43">
        <v>8.5000000000000006E-2</v>
      </c>
      <c r="K111" s="7">
        <f t="shared" si="26"/>
        <v>14625.7</v>
      </c>
    </row>
    <row r="112" spans="2:11" ht="12.95" customHeight="1" x14ac:dyDescent="0.3">
      <c r="B112" s="16" t="s">
        <v>10</v>
      </c>
      <c r="C112" s="30"/>
      <c r="D112" s="30"/>
      <c r="E112" s="36"/>
      <c r="F112" s="39"/>
      <c r="G112" s="35">
        <f>TRUNC(SUM(G110:G111))</f>
        <v>57008</v>
      </c>
      <c r="H112" s="39"/>
      <c r="I112" s="35">
        <f>TRUNC(SUM(I110:I111))</f>
        <v>70519</v>
      </c>
      <c r="J112" s="39"/>
      <c r="K112" s="35">
        <f>TRUNC(SUM(K110:K111))</f>
        <v>108804</v>
      </c>
    </row>
    <row r="113" spans="2:11" ht="12.95" customHeight="1" x14ac:dyDescent="0.3">
      <c r="B113" s="29"/>
      <c r="C113" s="30"/>
      <c r="D113" s="30"/>
      <c r="E113" s="36"/>
      <c r="F113" s="39"/>
      <c r="G113" s="26"/>
      <c r="H113" s="39"/>
      <c r="I113" s="26"/>
      <c r="J113" s="39"/>
      <c r="K113" s="26"/>
    </row>
    <row r="114" spans="2:11" ht="12.95" customHeight="1" x14ac:dyDescent="0.3">
      <c r="B114" s="14" t="s">
        <v>11</v>
      </c>
      <c r="C114" s="31"/>
      <c r="D114" s="31"/>
      <c r="E114" s="27"/>
      <c r="F114" s="27"/>
      <c r="G114" s="28">
        <f>SUM(G108+G112)</f>
        <v>58148</v>
      </c>
      <c r="H114" s="27"/>
      <c r="I114" s="28">
        <f>SUM(I108+I112)</f>
        <v>71929</v>
      </c>
      <c r="J114" s="27"/>
      <c r="K114" s="28">
        <f>SUM(K108+K112)</f>
        <v>110980</v>
      </c>
    </row>
    <row r="115" spans="2:11" ht="12.95" customHeight="1" x14ac:dyDescent="0.3">
      <c r="B115" s="72" t="s">
        <v>2</v>
      </c>
      <c r="C115" s="72" t="s">
        <v>6</v>
      </c>
      <c r="D115" s="75" t="s">
        <v>7</v>
      </c>
      <c r="E115" s="75" t="s">
        <v>3</v>
      </c>
      <c r="F115" s="78" t="s">
        <v>39</v>
      </c>
      <c r="G115" s="79"/>
      <c r="H115" s="79"/>
      <c r="I115" s="79"/>
    </row>
    <row r="116" spans="2:11" ht="12.95" customHeight="1" x14ac:dyDescent="0.3">
      <c r="B116" s="73"/>
      <c r="C116" s="73"/>
      <c r="D116" s="76"/>
      <c r="E116" s="76"/>
      <c r="F116" s="78" t="s">
        <v>35</v>
      </c>
      <c r="G116" s="79"/>
      <c r="H116" s="78" t="s">
        <v>36</v>
      </c>
      <c r="I116" s="79"/>
    </row>
    <row r="117" spans="2:11" ht="12.95" customHeight="1" x14ac:dyDescent="0.3">
      <c r="B117" s="74"/>
      <c r="C117" s="74"/>
      <c r="D117" s="77"/>
      <c r="E117" s="77"/>
      <c r="F117" s="41" t="s">
        <v>4</v>
      </c>
      <c r="G117" s="42" t="s">
        <v>5</v>
      </c>
      <c r="H117" s="41" t="s">
        <v>4</v>
      </c>
      <c r="I117" s="42" t="s">
        <v>5</v>
      </c>
    </row>
    <row r="118" spans="2:11" ht="12.95" customHeight="1" x14ac:dyDescent="0.3">
      <c r="B118" s="11" t="s">
        <v>16</v>
      </c>
      <c r="C118" s="6" t="s">
        <v>17</v>
      </c>
      <c r="D118" s="40" t="s">
        <v>12</v>
      </c>
      <c r="E118" s="12"/>
      <c r="F118" s="37">
        <v>1</v>
      </c>
      <c r="G118" s="13">
        <f>TRUNC(SUM(G121:G122)*0.02,1)</f>
        <v>2718</v>
      </c>
      <c r="H118" s="37">
        <v>1</v>
      </c>
      <c r="I118" s="13">
        <f>TRUNC(SUM(I121:I122)*0.02,1)</f>
        <v>3095.9</v>
      </c>
    </row>
    <row r="119" spans="2:11" ht="12.95" customHeight="1" x14ac:dyDescent="0.3">
      <c r="B119" s="18" t="s">
        <v>9</v>
      </c>
      <c r="C119" s="21"/>
      <c r="D119" s="20"/>
      <c r="E119" s="19"/>
      <c r="F119" s="25"/>
      <c r="G119" s="17">
        <f>TRUNC(SUM(G118))</f>
        <v>2718</v>
      </c>
      <c r="H119" s="25"/>
      <c r="I119" s="17">
        <f>TRUNC(SUM(I118))</f>
        <v>3095</v>
      </c>
    </row>
    <row r="120" spans="2:11" ht="12.95" customHeight="1" x14ac:dyDescent="0.3">
      <c r="B120" s="29"/>
      <c r="C120" s="30"/>
      <c r="D120" s="30"/>
      <c r="E120" s="36"/>
      <c r="F120" s="39"/>
      <c r="G120" s="26"/>
      <c r="H120" s="39"/>
      <c r="I120" s="26"/>
    </row>
    <row r="121" spans="2:11" ht="12.95" customHeight="1" x14ac:dyDescent="0.3">
      <c r="B121" s="15" t="s">
        <v>29</v>
      </c>
      <c r="C121" s="9"/>
      <c r="D121" s="3" t="s">
        <v>8</v>
      </c>
      <c r="E121" s="38">
        <v>247188</v>
      </c>
      <c r="F121" s="43">
        <v>0.47599999999999998</v>
      </c>
      <c r="G121" s="7">
        <f t="shared" ref="G121:G122" si="27">TRUNC($E121*F121,1)</f>
        <v>117661.4</v>
      </c>
      <c r="H121" s="43">
        <v>0.54200000000000004</v>
      </c>
      <c r="I121" s="7">
        <f t="shared" ref="I121:I122" si="28">TRUNC($E121*H121,1)</f>
        <v>133975.79999999999</v>
      </c>
    </row>
    <row r="122" spans="2:11" ht="12.95" customHeight="1" x14ac:dyDescent="0.3">
      <c r="B122" s="15" t="s">
        <v>0</v>
      </c>
      <c r="C122" s="9"/>
      <c r="D122" s="3" t="s">
        <v>8</v>
      </c>
      <c r="E122" s="38">
        <v>172068</v>
      </c>
      <c r="F122" s="43">
        <v>0.106</v>
      </c>
      <c r="G122" s="7">
        <f t="shared" si="27"/>
        <v>18239.2</v>
      </c>
      <c r="H122" s="43">
        <v>0.121</v>
      </c>
      <c r="I122" s="7">
        <f t="shared" si="28"/>
        <v>20820.2</v>
      </c>
    </row>
    <row r="123" spans="2:11" ht="12.95" customHeight="1" x14ac:dyDescent="0.3">
      <c r="B123" s="16" t="s">
        <v>10</v>
      </c>
      <c r="C123" s="30"/>
      <c r="D123" s="30"/>
      <c r="E123" s="36"/>
      <c r="F123" s="39"/>
      <c r="G123" s="35">
        <f>TRUNC(SUM(G121:G122))</f>
        <v>135900</v>
      </c>
      <c r="H123" s="39"/>
      <c r="I123" s="35">
        <f>TRUNC(SUM(I121:I122))</f>
        <v>154796</v>
      </c>
    </row>
    <row r="124" spans="2:11" ht="12.95" customHeight="1" x14ac:dyDescent="0.3">
      <c r="B124" s="29"/>
      <c r="C124" s="30"/>
      <c r="D124" s="30"/>
      <c r="E124" s="36"/>
      <c r="F124" s="39"/>
      <c r="G124" s="26"/>
      <c r="H124" s="39"/>
      <c r="I124" s="26"/>
    </row>
    <row r="125" spans="2:11" ht="12.95" customHeight="1" x14ac:dyDescent="0.3">
      <c r="B125" s="14" t="s">
        <v>11</v>
      </c>
      <c r="C125" s="31"/>
      <c r="D125" s="31"/>
      <c r="E125" s="27"/>
      <c r="F125" s="27"/>
      <c r="G125" s="28">
        <f>SUM(G119+G123)</f>
        <v>138618</v>
      </c>
      <c r="H125" s="27"/>
      <c r="I125" s="28">
        <f>SUM(I119+I123)</f>
        <v>157891</v>
      </c>
    </row>
    <row r="127" spans="2:11" ht="12.95" customHeight="1" x14ac:dyDescent="0.3">
      <c r="B127" s="32" t="s">
        <v>71</v>
      </c>
      <c r="C127" s="33"/>
      <c r="D127" s="23"/>
      <c r="E127" s="34"/>
      <c r="F127" s="23"/>
      <c r="G127" s="23"/>
      <c r="K127" s="22" t="s">
        <v>28</v>
      </c>
    </row>
    <row r="128" spans="2:11" ht="12.95" customHeight="1" x14ac:dyDescent="0.3">
      <c r="B128" s="80" t="s">
        <v>2</v>
      </c>
      <c r="C128" s="82" t="s">
        <v>13</v>
      </c>
      <c r="D128" s="84" t="s">
        <v>7</v>
      </c>
      <c r="E128" s="75" t="s">
        <v>3</v>
      </c>
      <c r="F128" s="78" t="s">
        <v>40</v>
      </c>
      <c r="G128" s="79"/>
      <c r="H128" s="78" t="s">
        <v>41</v>
      </c>
      <c r="I128" s="79"/>
      <c r="J128" s="78" t="s">
        <v>42</v>
      </c>
      <c r="K128" s="79"/>
    </row>
    <row r="129" spans="2:11" ht="12.95" customHeight="1" x14ac:dyDescent="0.3">
      <c r="B129" s="81"/>
      <c r="C129" s="83"/>
      <c r="D129" s="85"/>
      <c r="E129" s="77"/>
      <c r="F129" s="41" t="s">
        <v>4</v>
      </c>
      <c r="G129" s="42" t="s">
        <v>5</v>
      </c>
      <c r="H129" s="41" t="s">
        <v>4</v>
      </c>
      <c r="I129" s="42" t="s">
        <v>5</v>
      </c>
      <c r="J129" s="41" t="s">
        <v>4</v>
      </c>
      <c r="K129" s="42" t="s">
        <v>5</v>
      </c>
    </row>
    <row r="130" spans="2:11" ht="12.95" customHeight="1" x14ac:dyDescent="0.3">
      <c r="B130" s="11" t="s">
        <v>16</v>
      </c>
      <c r="C130" s="6" t="s">
        <v>17</v>
      </c>
      <c r="D130" s="40" t="s">
        <v>12</v>
      </c>
      <c r="E130" s="12"/>
      <c r="F130" s="37">
        <v>1</v>
      </c>
      <c r="G130" s="13">
        <f>TRUNC(SUM(G133:G134)*0.02,1)</f>
        <v>14336.5</v>
      </c>
      <c r="H130" s="37">
        <v>1</v>
      </c>
      <c r="I130" s="13">
        <f>TRUNC(SUM(I133:I134)*0.02,1)</f>
        <v>17941.599999999999</v>
      </c>
      <c r="J130" s="37">
        <v>1</v>
      </c>
      <c r="K130" s="13">
        <f>TRUNC(SUM(K133:K134)*0.02,1)</f>
        <v>21546.6</v>
      </c>
    </row>
    <row r="131" spans="2:11" ht="12.95" customHeight="1" x14ac:dyDescent="0.3">
      <c r="B131" s="18" t="s">
        <v>9</v>
      </c>
      <c r="C131" s="21"/>
      <c r="D131" s="20"/>
      <c r="E131" s="19"/>
      <c r="F131" s="25"/>
      <c r="G131" s="17">
        <f>TRUNC(SUM(G130))</f>
        <v>14336</v>
      </c>
      <c r="H131" s="25"/>
      <c r="I131" s="17">
        <f>TRUNC(SUM(I130))</f>
        <v>17941</v>
      </c>
      <c r="J131" s="25"/>
      <c r="K131" s="17">
        <f>TRUNC(SUM(K130))</f>
        <v>21546</v>
      </c>
    </row>
    <row r="132" spans="2:11" ht="12.95" customHeight="1" x14ac:dyDescent="0.3">
      <c r="B132" s="29"/>
      <c r="C132" s="30"/>
      <c r="D132" s="30"/>
      <c r="E132" s="36"/>
      <c r="F132" s="39"/>
      <c r="G132" s="26"/>
      <c r="H132" s="39"/>
      <c r="I132" s="26"/>
      <c r="J132" s="39"/>
      <c r="K132" s="26"/>
    </row>
    <row r="133" spans="2:11" ht="12.95" customHeight="1" x14ac:dyDescent="0.3">
      <c r="B133" s="15" t="s">
        <v>29</v>
      </c>
      <c r="C133" s="9"/>
      <c r="D133" s="3" t="s">
        <v>8</v>
      </c>
      <c r="E133" s="38">
        <v>247188</v>
      </c>
      <c r="F133" s="25">
        <v>2.35</v>
      </c>
      <c r="G133" s="7">
        <f t="shared" ref="G133:G134" si="29">TRUNC($E133*F133,1)</f>
        <v>580891.80000000005</v>
      </c>
      <c r="H133" s="25">
        <v>2.94</v>
      </c>
      <c r="I133" s="7">
        <f t="shared" ref="I133:I134" si="30">TRUNC($E133*H133,1)</f>
        <v>726732.7</v>
      </c>
      <c r="J133" s="25">
        <v>3.53</v>
      </c>
      <c r="K133" s="7">
        <f t="shared" ref="K133:K134" si="31">TRUNC($E133*J133,1)</f>
        <v>872573.6</v>
      </c>
    </row>
    <row r="134" spans="2:11" ht="12.95" customHeight="1" x14ac:dyDescent="0.3">
      <c r="B134" s="15" t="s">
        <v>0</v>
      </c>
      <c r="C134" s="9"/>
      <c r="D134" s="3" t="s">
        <v>8</v>
      </c>
      <c r="E134" s="38">
        <v>172068</v>
      </c>
      <c r="F134" s="25">
        <v>0.79</v>
      </c>
      <c r="G134" s="7">
        <f t="shared" si="29"/>
        <v>135933.70000000001</v>
      </c>
      <c r="H134" s="25">
        <v>0.99</v>
      </c>
      <c r="I134" s="7">
        <f t="shared" si="30"/>
        <v>170347.3</v>
      </c>
      <c r="J134" s="25">
        <v>1.19</v>
      </c>
      <c r="K134" s="7">
        <f t="shared" si="31"/>
        <v>204760.9</v>
      </c>
    </row>
    <row r="135" spans="2:11" ht="12.95" customHeight="1" x14ac:dyDescent="0.3">
      <c r="B135" s="16" t="s">
        <v>10</v>
      </c>
      <c r="C135" s="30"/>
      <c r="D135" s="30"/>
      <c r="E135" s="36"/>
      <c r="F135" s="39"/>
      <c r="G135" s="35">
        <f>TRUNC(SUM(G133:G134))</f>
        <v>716825</v>
      </c>
      <c r="H135" s="39"/>
      <c r="I135" s="35">
        <f>TRUNC(SUM(I133:I134))</f>
        <v>897080</v>
      </c>
      <c r="J135" s="39"/>
      <c r="K135" s="35">
        <f>TRUNC(SUM(K133:K134))</f>
        <v>1077334</v>
      </c>
    </row>
    <row r="136" spans="2:11" ht="12.95" customHeight="1" x14ac:dyDescent="0.3">
      <c r="B136" s="29"/>
      <c r="C136" s="30"/>
      <c r="D136" s="30"/>
      <c r="E136" s="36"/>
      <c r="F136" s="39"/>
      <c r="G136" s="26"/>
      <c r="H136" s="39"/>
      <c r="I136" s="26"/>
      <c r="J136" s="39"/>
      <c r="K136" s="26"/>
    </row>
    <row r="137" spans="2:11" ht="12.95" customHeight="1" x14ac:dyDescent="0.3">
      <c r="B137" s="14" t="s">
        <v>11</v>
      </c>
      <c r="C137" s="31"/>
      <c r="D137" s="31"/>
      <c r="E137" s="27"/>
      <c r="F137" s="27"/>
      <c r="G137" s="28">
        <f>SUM(G131+G135)</f>
        <v>731161</v>
      </c>
      <c r="H137" s="27"/>
      <c r="I137" s="28">
        <f>SUM(I131+I135)</f>
        <v>915021</v>
      </c>
      <c r="J137" s="27"/>
      <c r="K137" s="28">
        <f>SUM(K131+K135)</f>
        <v>1098880</v>
      </c>
    </row>
    <row r="138" spans="2:11" ht="12.95" customHeight="1" x14ac:dyDescent="0.3">
      <c r="B138" s="80" t="s">
        <v>2</v>
      </c>
      <c r="C138" s="82" t="s">
        <v>13</v>
      </c>
      <c r="D138" s="84" t="s">
        <v>7</v>
      </c>
      <c r="E138" s="75" t="s">
        <v>3</v>
      </c>
      <c r="F138" s="78" t="s">
        <v>43</v>
      </c>
      <c r="G138" s="79"/>
      <c r="H138" s="78" t="s">
        <v>44</v>
      </c>
      <c r="I138" s="79"/>
    </row>
    <row r="139" spans="2:11" ht="12.95" customHeight="1" x14ac:dyDescent="0.3">
      <c r="B139" s="81"/>
      <c r="C139" s="83"/>
      <c r="D139" s="85"/>
      <c r="E139" s="77"/>
      <c r="F139" s="41" t="s">
        <v>4</v>
      </c>
      <c r="G139" s="42" t="s">
        <v>5</v>
      </c>
      <c r="H139" s="41" t="s">
        <v>4</v>
      </c>
      <c r="I139" s="42" t="s">
        <v>5</v>
      </c>
    </row>
    <row r="140" spans="2:11" ht="12.95" customHeight="1" x14ac:dyDescent="0.3">
      <c r="B140" s="11" t="s">
        <v>16</v>
      </c>
      <c r="C140" s="6" t="s">
        <v>17</v>
      </c>
      <c r="D140" s="40" t="s">
        <v>12</v>
      </c>
      <c r="E140" s="12"/>
      <c r="F140" s="37">
        <v>1</v>
      </c>
      <c r="G140" s="13">
        <f>TRUNC(SUM(G143:G144)*0.02,1)</f>
        <v>25151.7</v>
      </c>
      <c r="H140" s="37">
        <v>1</v>
      </c>
      <c r="I140" s="13">
        <f>TRUNC(SUM(I143:I144)*0.02,1)</f>
        <v>28722.400000000001</v>
      </c>
    </row>
    <row r="141" spans="2:11" ht="12.95" customHeight="1" x14ac:dyDescent="0.3">
      <c r="B141" s="18" t="s">
        <v>9</v>
      </c>
      <c r="C141" s="21"/>
      <c r="D141" s="20"/>
      <c r="E141" s="19"/>
      <c r="F141" s="25"/>
      <c r="G141" s="17">
        <f>TRUNC(SUM(G140))</f>
        <v>25151</v>
      </c>
      <c r="H141" s="25"/>
      <c r="I141" s="17">
        <f>TRUNC(SUM(I140))</f>
        <v>28722</v>
      </c>
    </row>
    <row r="142" spans="2:11" ht="12.95" customHeight="1" x14ac:dyDescent="0.3">
      <c r="B142" s="29"/>
      <c r="C142" s="30"/>
      <c r="D142" s="30"/>
      <c r="E142" s="36"/>
      <c r="F142" s="39"/>
      <c r="G142" s="26"/>
      <c r="H142" s="39"/>
      <c r="I142" s="26"/>
    </row>
    <row r="143" spans="2:11" ht="12.95" customHeight="1" x14ac:dyDescent="0.3">
      <c r="B143" s="15" t="s">
        <v>29</v>
      </c>
      <c r="C143" s="9"/>
      <c r="D143" s="3" t="s">
        <v>8</v>
      </c>
      <c r="E143" s="38">
        <v>247188</v>
      </c>
      <c r="F143" s="25">
        <v>4.12</v>
      </c>
      <c r="G143" s="7">
        <f t="shared" ref="G143:G144" si="32">TRUNC($E143*F143,1)</f>
        <v>1018414.5</v>
      </c>
      <c r="H143" s="25">
        <v>4.71</v>
      </c>
      <c r="I143" s="7">
        <f t="shared" ref="I143:I144" si="33">TRUNC($E143*H143,1)</f>
        <v>1164255.3999999999</v>
      </c>
    </row>
    <row r="144" spans="2:11" ht="12.95" customHeight="1" x14ac:dyDescent="0.3">
      <c r="B144" s="15" t="s">
        <v>0</v>
      </c>
      <c r="C144" s="9"/>
      <c r="D144" s="3" t="s">
        <v>8</v>
      </c>
      <c r="E144" s="38">
        <v>172068</v>
      </c>
      <c r="F144" s="25">
        <v>1.39</v>
      </c>
      <c r="G144" s="7">
        <f t="shared" si="32"/>
        <v>239174.5</v>
      </c>
      <c r="H144" s="25">
        <v>1.58</v>
      </c>
      <c r="I144" s="7">
        <f t="shared" si="33"/>
        <v>271867.40000000002</v>
      </c>
    </row>
    <row r="145" spans="2:23" ht="12.95" customHeight="1" x14ac:dyDescent="0.3">
      <c r="B145" s="16" t="s">
        <v>10</v>
      </c>
      <c r="C145" s="30"/>
      <c r="D145" s="30"/>
      <c r="E145" s="36"/>
      <c r="F145" s="39"/>
      <c r="G145" s="35">
        <f>TRUNC(SUM(G143:G144))</f>
        <v>1257589</v>
      </c>
      <c r="H145" s="39"/>
      <c r="I145" s="35">
        <f>TRUNC(SUM(I143:I144))</f>
        <v>1436122</v>
      </c>
    </row>
    <row r="146" spans="2:23" ht="12.95" customHeight="1" x14ac:dyDescent="0.3">
      <c r="B146" s="29"/>
      <c r="C146" s="30"/>
      <c r="D146" s="30"/>
      <c r="E146" s="36"/>
      <c r="F146" s="39"/>
      <c r="G146" s="26"/>
      <c r="H146" s="39"/>
      <c r="I146" s="26"/>
    </row>
    <row r="147" spans="2:23" ht="12.95" customHeight="1" x14ac:dyDescent="0.3">
      <c r="B147" s="14" t="s">
        <v>11</v>
      </c>
      <c r="C147" s="31"/>
      <c r="D147" s="31"/>
      <c r="E147" s="27"/>
      <c r="F147" s="27"/>
      <c r="G147" s="28">
        <f>SUM(G141+G145)</f>
        <v>1282740</v>
      </c>
      <c r="H147" s="27"/>
      <c r="I147" s="28">
        <f>SUM(I141+I145)</f>
        <v>1464844</v>
      </c>
    </row>
    <row r="149" spans="2:23" ht="12.95" customHeight="1" x14ac:dyDescent="0.3">
      <c r="B149" s="32" t="s">
        <v>73</v>
      </c>
      <c r="C149" s="33"/>
      <c r="D149" s="23"/>
      <c r="E149" s="34"/>
      <c r="F149" s="23"/>
      <c r="G149" s="22" t="s">
        <v>28</v>
      </c>
    </row>
    <row r="150" spans="2:23" ht="12.95" customHeight="1" x14ac:dyDescent="0.3">
      <c r="B150" s="80" t="s">
        <v>2</v>
      </c>
      <c r="C150" s="82" t="s">
        <v>13</v>
      </c>
      <c r="D150" s="84" t="s">
        <v>7</v>
      </c>
      <c r="E150" s="75" t="s">
        <v>3</v>
      </c>
      <c r="F150" s="89" t="s">
        <v>4</v>
      </c>
      <c r="G150" s="89" t="s">
        <v>5</v>
      </c>
    </row>
    <row r="151" spans="2:23" ht="12.95" customHeight="1" x14ac:dyDescent="0.3">
      <c r="B151" s="81"/>
      <c r="C151" s="83"/>
      <c r="D151" s="85"/>
      <c r="E151" s="77"/>
      <c r="F151" s="90"/>
      <c r="G151" s="90"/>
    </row>
    <row r="152" spans="2:23" ht="12.95" customHeight="1" x14ac:dyDescent="0.3">
      <c r="B152" s="11" t="s">
        <v>16</v>
      </c>
      <c r="C152" s="6" t="s">
        <v>17</v>
      </c>
      <c r="D152" s="40" t="s">
        <v>12</v>
      </c>
      <c r="E152" s="12"/>
      <c r="F152" s="37">
        <v>1</v>
      </c>
      <c r="G152" s="13">
        <f>TRUNC(SUM(G155:G157)*0.02,1)</f>
        <v>9445.1</v>
      </c>
    </row>
    <row r="153" spans="2:23" ht="12.95" customHeight="1" x14ac:dyDescent="0.3">
      <c r="B153" s="18" t="s">
        <v>9</v>
      </c>
      <c r="C153" s="21"/>
      <c r="D153" s="20"/>
      <c r="E153" s="19"/>
      <c r="F153" s="25"/>
      <c r="G153" s="17">
        <f>TRUNC(SUM(G152))</f>
        <v>9445</v>
      </c>
    </row>
    <row r="154" spans="2:23" ht="12.95" customHeight="1" x14ac:dyDescent="0.3">
      <c r="B154" s="29"/>
      <c r="C154" s="30"/>
      <c r="D154" s="30"/>
      <c r="E154" s="36"/>
      <c r="F154" s="39"/>
      <c r="G154" s="26"/>
    </row>
    <row r="155" spans="2:23" ht="12.95" customHeight="1" x14ac:dyDescent="0.3">
      <c r="B155" s="15" t="s">
        <v>29</v>
      </c>
      <c r="C155" s="9"/>
      <c r="D155" s="3" t="s">
        <v>8</v>
      </c>
      <c r="E155" s="38">
        <v>247188</v>
      </c>
      <c r="F155" s="25">
        <v>0.85</v>
      </c>
      <c r="G155" s="7">
        <f t="shared" ref="G155:G157" si="34">TRUNC($E155*F155,1)</f>
        <v>210109.8</v>
      </c>
    </row>
    <row r="156" spans="2:23" ht="12.95" customHeight="1" x14ac:dyDescent="0.2">
      <c r="B156" s="15" t="s">
        <v>69</v>
      </c>
      <c r="C156" s="9"/>
      <c r="D156" s="3" t="s">
        <v>8</v>
      </c>
      <c r="E156" s="38">
        <v>241698</v>
      </c>
      <c r="F156" s="25">
        <v>0.75</v>
      </c>
      <c r="G156" s="7">
        <f t="shared" ref="G156" si="35">TRUNC($E156*F156,1)</f>
        <v>181273.5</v>
      </c>
      <c r="I156" s="2" ph="1"/>
      <c r="W156" s="2" ph="1"/>
    </row>
    <row r="157" spans="2:23" ht="12.95" customHeight="1" x14ac:dyDescent="0.2">
      <c r="B157" s="15" t="s">
        <v>0</v>
      </c>
      <c r="C157" s="9"/>
      <c r="D157" s="3" t="s">
        <v>8</v>
      </c>
      <c r="E157" s="38">
        <v>172068</v>
      </c>
      <c r="F157" s="25">
        <v>0.47</v>
      </c>
      <c r="G157" s="7">
        <f t="shared" si="34"/>
        <v>80871.899999999994</v>
      </c>
      <c r="I157" s="2" ph="1"/>
      <c r="W157" s="2" ph="1"/>
    </row>
    <row r="158" spans="2:23" ht="12.95" customHeight="1" x14ac:dyDescent="0.3">
      <c r="B158" s="16" t="s">
        <v>10</v>
      </c>
      <c r="C158" s="30"/>
      <c r="D158" s="30"/>
      <c r="E158" s="36"/>
      <c r="F158" s="39"/>
      <c r="G158" s="35">
        <f>TRUNC(SUM(G155:G157))</f>
        <v>472255</v>
      </c>
    </row>
    <row r="159" spans="2:23" ht="12.95" customHeight="1" x14ac:dyDescent="0.3">
      <c r="B159" s="29"/>
      <c r="C159" s="30"/>
      <c r="D159" s="30"/>
      <c r="E159" s="36"/>
      <c r="F159" s="39"/>
      <c r="G159" s="26"/>
    </row>
    <row r="160" spans="2:23" ht="12.95" customHeight="1" x14ac:dyDescent="0.3">
      <c r="B160" s="14" t="s">
        <v>11</v>
      </c>
      <c r="C160" s="31"/>
      <c r="D160" s="31"/>
      <c r="E160" s="27"/>
      <c r="F160" s="27"/>
      <c r="G160" s="28">
        <f>SUM(G153+G158)</f>
        <v>481700</v>
      </c>
    </row>
    <row r="162" spans="2:11" ht="12.95" customHeight="1" x14ac:dyDescent="0.3">
      <c r="B162" s="49" t="s">
        <v>80</v>
      </c>
      <c r="C162" s="50"/>
      <c r="D162" s="51"/>
      <c r="E162" s="52"/>
      <c r="F162" s="10"/>
      <c r="G162" s="10"/>
      <c r="H162" s="10"/>
      <c r="I162" s="53" t="s">
        <v>79</v>
      </c>
    </row>
    <row r="163" spans="2:11" ht="12.95" customHeight="1" x14ac:dyDescent="0.3">
      <c r="B163" s="72" t="s">
        <v>2</v>
      </c>
      <c r="C163" s="72" t="s">
        <v>6</v>
      </c>
      <c r="D163" s="75" t="s">
        <v>7</v>
      </c>
      <c r="E163" s="75" t="s">
        <v>3</v>
      </c>
      <c r="F163" s="91" t="s">
        <v>81</v>
      </c>
      <c r="G163" s="92"/>
      <c r="H163" s="91" t="s">
        <v>82</v>
      </c>
      <c r="I163" s="92"/>
    </row>
    <row r="164" spans="2:11" ht="12.95" customHeight="1" x14ac:dyDescent="0.3">
      <c r="B164" s="73"/>
      <c r="C164" s="73"/>
      <c r="D164" s="76"/>
      <c r="E164" s="76"/>
      <c r="F164" s="54" t="s">
        <v>83</v>
      </c>
      <c r="G164" s="55">
        <v>130</v>
      </c>
      <c r="H164" s="54" t="s">
        <v>83</v>
      </c>
      <c r="I164" s="55">
        <v>150</v>
      </c>
    </row>
    <row r="165" spans="2:11" ht="12.95" customHeight="1" x14ac:dyDescent="0.3">
      <c r="B165" s="74"/>
      <c r="C165" s="74"/>
      <c r="D165" s="77"/>
      <c r="E165" s="77"/>
      <c r="F165" s="47" t="s">
        <v>14</v>
      </c>
      <c r="G165" s="48" t="s">
        <v>15</v>
      </c>
      <c r="H165" s="47" t="s">
        <v>14</v>
      </c>
      <c r="I165" s="48" t="s">
        <v>15</v>
      </c>
    </row>
    <row r="166" spans="2:11" ht="12.95" customHeight="1" x14ac:dyDescent="0.3">
      <c r="B166" s="11" t="s">
        <v>16</v>
      </c>
      <c r="C166" s="6" t="s">
        <v>18</v>
      </c>
      <c r="D166" s="40" t="s">
        <v>12</v>
      </c>
      <c r="E166" s="12"/>
      <c r="F166" s="37">
        <v>1</v>
      </c>
      <c r="G166" s="13">
        <f>TRUNC(SUM(G169:G170)*0.03,1)</f>
        <v>27408.9</v>
      </c>
      <c r="H166" s="37">
        <v>1</v>
      </c>
      <c r="I166" s="13">
        <f>TRUNC(SUM(I169:I170)*0.03,1)</f>
        <v>27408.9</v>
      </c>
      <c r="J166" s="24"/>
      <c r="K166" s="24"/>
    </row>
    <row r="167" spans="2:11" ht="12.95" customHeight="1" x14ac:dyDescent="0.3">
      <c r="B167" s="18" t="s">
        <v>9</v>
      </c>
      <c r="C167" s="21"/>
      <c r="D167" s="20"/>
      <c r="E167" s="19"/>
      <c r="F167" s="19"/>
      <c r="G167" s="17">
        <f>TRUNC(SUM(G166:G166))</f>
        <v>27408</v>
      </c>
      <c r="H167" s="19"/>
      <c r="I167" s="17">
        <f>TRUNC(SUM(I166:I166))</f>
        <v>27408</v>
      </c>
    </row>
    <row r="168" spans="2:11" ht="12.95" customHeight="1" x14ac:dyDescent="0.3">
      <c r="B168" s="56"/>
      <c r="C168" s="56"/>
      <c r="D168" s="40"/>
      <c r="E168" s="57"/>
      <c r="F168" s="57"/>
      <c r="G168" s="58"/>
      <c r="H168" s="57"/>
      <c r="I168" s="58"/>
    </row>
    <row r="169" spans="2:11" ht="12.95" customHeight="1" x14ac:dyDescent="0.3">
      <c r="B169" s="15" t="s">
        <v>29</v>
      </c>
      <c r="C169" s="9"/>
      <c r="D169" s="3" t="s">
        <v>8</v>
      </c>
      <c r="E169" s="38">
        <v>247188</v>
      </c>
      <c r="F169" s="37">
        <v>3</v>
      </c>
      <c r="G169" s="7">
        <f t="shared" ref="G169:G170" si="36">TRUNC($E169*F169,1)</f>
        <v>741564</v>
      </c>
      <c r="H169" s="37">
        <v>3</v>
      </c>
      <c r="I169" s="7">
        <f t="shared" ref="I169:I170" si="37">TRUNC($E169*H169,1)</f>
        <v>741564</v>
      </c>
    </row>
    <row r="170" spans="2:11" ht="12.95" customHeight="1" x14ac:dyDescent="0.3">
      <c r="B170" s="15" t="s">
        <v>0</v>
      </c>
      <c r="C170" s="9"/>
      <c r="D170" s="3" t="s">
        <v>8</v>
      </c>
      <c r="E170" s="59">
        <v>172068</v>
      </c>
      <c r="F170" s="37">
        <v>1</v>
      </c>
      <c r="G170" s="7">
        <f t="shared" si="36"/>
        <v>172068</v>
      </c>
      <c r="H170" s="37">
        <v>1</v>
      </c>
      <c r="I170" s="7">
        <f t="shared" si="37"/>
        <v>172068</v>
      </c>
    </row>
    <row r="171" spans="2:11" ht="12.95" customHeight="1" x14ac:dyDescent="0.3">
      <c r="B171" s="16" t="s">
        <v>10</v>
      </c>
      <c r="C171" s="21"/>
      <c r="D171" s="20"/>
      <c r="E171" s="60"/>
      <c r="F171" s="61"/>
      <c r="G171" s="17">
        <f>TRUNC(SUM(G169:G170))</f>
        <v>913632</v>
      </c>
      <c r="H171" s="61"/>
      <c r="I171" s="17">
        <f>TRUNC(SUM(I169:I170))</f>
        <v>913632</v>
      </c>
    </row>
    <row r="172" spans="2:11" ht="12.95" customHeight="1" x14ac:dyDescent="0.3">
      <c r="B172" s="56"/>
      <c r="C172" s="56"/>
      <c r="D172" s="40"/>
      <c r="E172" s="57"/>
      <c r="F172" s="62"/>
      <c r="G172" s="58"/>
      <c r="H172" s="62"/>
      <c r="I172" s="58"/>
    </row>
    <row r="173" spans="2:11" ht="12.95" customHeight="1" x14ac:dyDescent="0.3">
      <c r="B173" s="63" t="s">
        <v>11</v>
      </c>
      <c r="C173" s="56"/>
      <c r="D173" s="40"/>
      <c r="E173" s="64"/>
      <c r="F173" s="65"/>
      <c r="G173" s="66">
        <f>SUM(G167+G171)</f>
        <v>941040</v>
      </c>
      <c r="H173" s="65"/>
      <c r="I173" s="66">
        <f>SUM(I167+I171)</f>
        <v>941040</v>
      </c>
    </row>
    <row r="174" spans="2:11" ht="12.95" customHeight="1" x14ac:dyDescent="0.3">
      <c r="B174" s="14" t="s">
        <v>84</v>
      </c>
      <c r="C174" s="67"/>
      <c r="D174" s="68"/>
      <c r="E174" s="69"/>
      <c r="F174" s="70"/>
      <c r="G174" s="71">
        <f>TRUNC((G173/G164)*10)</f>
        <v>72387</v>
      </c>
      <c r="H174" s="70"/>
      <c r="I174" s="71">
        <f>TRUNC((I173/I164)*10)</f>
        <v>62736</v>
      </c>
    </row>
    <row r="176" spans="2:11" ht="12.95" customHeight="1" x14ac:dyDescent="0.3">
      <c r="B176" s="1" t="s">
        <v>45</v>
      </c>
    </row>
    <row r="177" spans="2:7" ht="12.95" customHeight="1" x14ac:dyDescent="0.3">
      <c r="B177" s="32" t="s">
        <v>46</v>
      </c>
      <c r="C177" s="33"/>
      <c r="D177" s="23"/>
      <c r="E177" s="34"/>
      <c r="F177" s="23"/>
      <c r="G177" s="22" t="s">
        <v>47</v>
      </c>
    </row>
    <row r="178" spans="2:7" ht="12.95" customHeight="1" x14ac:dyDescent="0.3">
      <c r="B178" s="80" t="s">
        <v>2</v>
      </c>
      <c r="C178" s="82" t="s">
        <v>13</v>
      </c>
      <c r="D178" s="84" t="s">
        <v>7</v>
      </c>
      <c r="E178" s="75" t="s">
        <v>3</v>
      </c>
      <c r="F178" s="86" t="s">
        <v>14</v>
      </c>
      <c r="G178" s="87" t="s">
        <v>15</v>
      </c>
    </row>
    <row r="179" spans="2:7" ht="12.95" customHeight="1" x14ac:dyDescent="0.3">
      <c r="B179" s="81"/>
      <c r="C179" s="83"/>
      <c r="D179" s="85"/>
      <c r="E179" s="77"/>
      <c r="F179" s="86"/>
      <c r="G179" s="88"/>
    </row>
    <row r="180" spans="2:7" ht="12.95" customHeight="1" x14ac:dyDescent="0.3">
      <c r="B180" s="11" t="s">
        <v>16</v>
      </c>
      <c r="C180" s="6" t="s">
        <v>17</v>
      </c>
      <c r="D180" s="40" t="s">
        <v>12</v>
      </c>
      <c r="E180" s="12"/>
      <c r="F180" s="37">
        <v>1</v>
      </c>
      <c r="G180" s="13">
        <f>TRUNC(SUM(G183:G184)*0.02,1)</f>
        <v>4131.8999999999996</v>
      </c>
    </row>
    <row r="181" spans="2:7" ht="12.95" customHeight="1" x14ac:dyDescent="0.3">
      <c r="B181" s="18" t="s">
        <v>9</v>
      </c>
      <c r="C181" s="21"/>
      <c r="D181" s="20"/>
      <c r="E181" s="19"/>
      <c r="F181" s="25"/>
      <c r="G181" s="17">
        <f>TRUNC(SUM(G180))</f>
        <v>4131</v>
      </c>
    </row>
    <row r="182" spans="2:7" ht="12.95" customHeight="1" x14ac:dyDescent="0.3">
      <c r="B182" s="29"/>
      <c r="C182" s="30"/>
      <c r="D182" s="30"/>
      <c r="E182" s="36"/>
      <c r="F182" s="39"/>
      <c r="G182" s="26"/>
    </row>
    <row r="183" spans="2:7" ht="12.95" customHeight="1" x14ac:dyDescent="0.3">
      <c r="B183" s="15" t="s">
        <v>29</v>
      </c>
      <c r="C183" s="9"/>
      <c r="D183" s="3" t="s">
        <v>8</v>
      </c>
      <c r="E183" s="38">
        <v>247188</v>
      </c>
      <c r="F183" s="25">
        <v>0.62</v>
      </c>
      <c r="G183" s="7">
        <f t="shared" ref="G183:G184" si="38">TRUNC($E183*F183,1)</f>
        <v>153256.5</v>
      </c>
    </row>
    <row r="184" spans="2:7" ht="12.95" customHeight="1" x14ac:dyDescent="0.3">
      <c r="B184" s="15" t="s">
        <v>0</v>
      </c>
      <c r="C184" s="9"/>
      <c r="D184" s="3" t="s">
        <v>8</v>
      </c>
      <c r="E184" s="38">
        <v>172068</v>
      </c>
      <c r="F184" s="25">
        <v>0.31</v>
      </c>
      <c r="G184" s="7">
        <f t="shared" si="38"/>
        <v>53341</v>
      </c>
    </row>
    <row r="185" spans="2:7" ht="12.95" customHeight="1" x14ac:dyDescent="0.3">
      <c r="B185" s="16" t="s">
        <v>10</v>
      </c>
      <c r="C185" s="30"/>
      <c r="D185" s="30"/>
      <c r="E185" s="36"/>
      <c r="F185" s="39"/>
      <c r="G185" s="35">
        <f>TRUNC(SUM(G183:G184))</f>
        <v>206597</v>
      </c>
    </row>
    <row r="186" spans="2:7" ht="12.95" customHeight="1" x14ac:dyDescent="0.3">
      <c r="B186" s="29"/>
      <c r="C186" s="30"/>
      <c r="D186" s="30"/>
      <c r="E186" s="36"/>
      <c r="F186" s="39"/>
      <c r="G186" s="26"/>
    </row>
    <row r="187" spans="2:7" ht="12.95" customHeight="1" x14ac:dyDescent="0.3">
      <c r="B187" s="14" t="s">
        <v>11</v>
      </c>
      <c r="C187" s="31"/>
      <c r="D187" s="31"/>
      <c r="E187" s="27"/>
      <c r="F187" s="27"/>
      <c r="G187" s="28">
        <f>SUM(G181+G185)</f>
        <v>210728</v>
      </c>
    </row>
    <row r="189" spans="2:7" ht="12.95" customHeight="1" x14ac:dyDescent="0.3">
      <c r="B189" s="32" t="s">
        <v>48</v>
      </c>
      <c r="C189" s="33"/>
      <c r="D189" s="23"/>
      <c r="E189" s="34"/>
      <c r="F189" s="23"/>
      <c r="G189" s="22" t="s">
        <v>47</v>
      </c>
    </row>
    <row r="190" spans="2:7" ht="12.95" customHeight="1" x14ac:dyDescent="0.3">
      <c r="B190" s="80" t="s">
        <v>2</v>
      </c>
      <c r="C190" s="82" t="s">
        <v>13</v>
      </c>
      <c r="D190" s="84" t="s">
        <v>7</v>
      </c>
      <c r="E190" s="75" t="s">
        <v>3</v>
      </c>
      <c r="F190" s="86" t="s">
        <v>14</v>
      </c>
      <c r="G190" s="87" t="s">
        <v>15</v>
      </c>
    </row>
    <row r="191" spans="2:7" ht="12.95" customHeight="1" x14ac:dyDescent="0.3">
      <c r="B191" s="81"/>
      <c r="C191" s="83"/>
      <c r="D191" s="85"/>
      <c r="E191" s="77"/>
      <c r="F191" s="86"/>
      <c r="G191" s="88"/>
    </row>
    <row r="192" spans="2:7" ht="12.95" customHeight="1" x14ac:dyDescent="0.3">
      <c r="B192" s="11" t="s">
        <v>16</v>
      </c>
      <c r="C192" s="6" t="s">
        <v>17</v>
      </c>
      <c r="D192" s="40" t="s">
        <v>12</v>
      </c>
      <c r="E192" s="12"/>
      <c r="F192" s="37">
        <v>1</v>
      </c>
      <c r="G192" s="13">
        <f>TRUNC(SUM(G195:G196)*0.02,1)</f>
        <v>6397.8</v>
      </c>
    </row>
    <row r="193" spans="2:11" ht="12.95" customHeight="1" x14ac:dyDescent="0.3">
      <c r="B193" s="18" t="s">
        <v>9</v>
      </c>
      <c r="C193" s="21"/>
      <c r="D193" s="20"/>
      <c r="E193" s="19"/>
      <c r="F193" s="25"/>
      <c r="G193" s="17">
        <f>TRUNC(SUM(G192))</f>
        <v>6397</v>
      </c>
    </row>
    <row r="194" spans="2:11" ht="12.95" customHeight="1" x14ac:dyDescent="0.3">
      <c r="B194" s="29"/>
      <c r="C194" s="30"/>
      <c r="D194" s="30"/>
      <c r="E194" s="36"/>
      <c r="F194" s="39"/>
      <c r="G194" s="26"/>
    </row>
    <row r="195" spans="2:11" ht="12.95" customHeight="1" x14ac:dyDescent="0.3">
      <c r="B195" s="15" t="s">
        <v>29</v>
      </c>
      <c r="C195" s="9"/>
      <c r="D195" s="3" t="s">
        <v>8</v>
      </c>
      <c r="E195" s="38">
        <v>247188</v>
      </c>
      <c r="F195" s="25">
        <v>0.96</v>
      </c>
      <c r="G195" s="7">
        <f t="shared" ref="G195:G196" si="39">TRUNC($E195*F195,1)</f>
        <v>237300.4</v>
      </c>
    </row>
    <row r="196" spans="2:11" ht="12.95" customHeight="1" x14ac:dyDescent="0.3">
      <c r="B196" s="15" t="s">
        <v>0</v>
      </c>
      <c r="C196" s="9"/>
      <c r="D196" s="3" t="s">
        <v>8</v>
      </c>
      <c r="E196" s="38">
        <v>172068</v>
      </c>
      <c r="F196" s="25">
        <v>0.48</v>
      </c>
      <c r="G196" s="7">
        <f t="shared" si="39"/>
        <v>82592.600000000006</v>
      </c>
    </row>
    <row r="197" spans="2:11" ht="12.95" customHeight="1" x14ac:dyDescent="0.3">
      <c r="B197" s="16" t="s">
        <v>10</v>
      </c>
      <c r="C197" s="30"/>
      <c r="D197" s="30"/>
      <c r="E197" s="36"/>
      <c r="F197" s="39"/>
      <c r="G197" s="35">
        <f>TRUNC(SUM(G195:G196))</f>
        <v>319893</v>
      </c>
    </row>
    <row r="198" spans="2:11" ht="12.95" customHeight="1" x14ac:dyDescent="0.3">
      <c r="B198" s="29"/>
      <c r="C198" s="30"/>
      <c r="D198" s="30"/>
      <c r="E198" s="36"/>
      <c r="F198" s="39"/>
      <c r="G198" s="26"/>
    </row>
    <row r="199" spans="2:11" ht="12.95" customHeight="1" x14ac:dyDescent="0.3">
      <c r="B199" s="14" t="s">
        <v>11</v>
      </c>
      <c r="C199" s="31"/>
      <c r="D199" s="31"/>
      <c r="E199" s="27"/>
      <c r="F199" s="27"/>
      <c r="G199" s="28">
        <f>SUM(G193+G197)</f>
        <v>326290</v>
      </c>
    </row>
    <row r="201" spans="2:11" ht="12.95" customHeight="1" x14ac:dyDescent="0.3">
      <c r="B201" s="32" t="s">
        <v>53</v>
      </c>
      <c r="C201" s="33"/>
      <c r="D201" s="23"/>
      <c r="E201" s="34"/>
      <c r="F201" s="23"/>
      <c r="G201" s="23"/>
      <c r="K201" s="22" t="s">
        <v>47</v>
      </c>
    </row>
    <row r="202" spans="2:11" ht="12.95" customHeight="1" x14ac:dyDescent="0.3">
      <c r="B202" s="72" t="s">
        <v>2</v>
      </c>
      <c r="C202" s="72" t="s">
        <v>6</v>
      </c>
      <c r="D202" s="75" t="s">
        <v>7</v>
      </c>
      <c r="E202" s="75" t="s">
        <v>3</v>
      </c>
      <c r="F202" s="78" t="s">
        <v>49</v>
      </c>
      <c r="G202" s="79"/>
      <c r="H202" s="79"/>
      <c r="I202" s="79"/>
      <c r="J202" s="78" t="s">
        <v>50</v>
      </c>
      <c r="K202" s="79"/>
    </row>
    <row r="203" spans="2:11" ht="12.95" customHeight="1" x14ac:dyDescent="0.3">
      <c r="B203" s="73"/>
      <c r="C203" s="73"/>
      <c r="D203" s="76"/>
      <c r="E203" s="76"/>
      <c r="F203" s="78" t="s">
        <v>51</v>
      </c>
      <c r="G203" s="79"/>
      <c r="H203" s="78" t="s">
        <v>52</v>
      </c>
      <c r="I203" s="79"/>
      <c r="J203" s="78" t="s">
        <v>52</v>
      </c>
      <c r="K203" s="79"/>
    </row>
    <row r="204" spans="2:11" ht="12.95" customHeight="1" x14ac:dyDescent="0.3">
      <c r="B204" s="74"/>
      <c r="C204" s="74"/>
      <c r="D204" s="77"/>
      <c r="E204" s="77"/>
      <c r="F204" s="41" t="s">
        <v>4</v>
      </c>
      <c r="G204" s="42" t="s">
        <v>5</v>
      </c>
      <c r="H204" s="41" t="s">
        <v>4</v>
      </c>
      <c r="I204" s="42" t="s">
        <v>5</v>
      </c>
      <c r="J204" s="41" t="s">
        <v>4</v>
      </c>
      <c r="K204" s="42" t="s">
        <v>5</v>
      </c>
    </row>
    <row r="205" spans="2:11" ht="12.95" customHeight="1" x14ac:dyDescent="0.3">
      <c r="B205" s="11" t="s">
        <v>16</v>
      </c>
      <c r="C205" s="6" t="s">
        <v>21</v>
      </c>
      <c r="D205" s="40" t="s">
        <v>20</v>
      </c>
      <c r="E205" s="12"/>
      <c r="F205" s="37">
        <v>4</v>
      </c>
      <c r="G205" s="13">
        <f>TRUNC(SUM(G208:G208)*F205*0.01,1)</f>
        <v>3065.1</v>
      </c>
      <c r="H205" s="37">
        <v>2</v>
      </c>
      <c r="I205" s="13">
        <f>TRUNC(SUM(I208:I208)*H205*0.01,1)</f>
        <v>1186.5</v>
      </c>
      <c r="J205" s="37">
        <v>2</v>
      </c>
      <c r="K205" s="13">
        <f>TRUNC(SUM(K208:K208)*J205*0.01,1)</f>
        <v>2125.8000000000002</v>
      </c>
    </row>
    <row r="206" spans="2:11" ht="12.95" customHeight="1" x14ac:dyDescent="0.3">
      <c r="B206" s="18" t="s">
        <v>9</v>
      </c>
      <c r="C206" s="21"/>
      <c r="D206" s="20"/>
      <c r="E206" s="19"/>
      <c r="F206" s="25"/>
      <c r="G206" s="17">
        <f>TRUNC(SUM(G205))</f>
        <v>3065</v>
      </c>
      <c r="H206" s="25"/>
      <c r="I206" s="17">
        <f>TRUNC(SUM(I205))</f>
        <v>1186</v>
      </c>
      <c r="J206" s="25"/>
      <c r="K206" s="17">
        <f>TRUNC(SUM(K205))</f>
        <v>2125</v>
      </c>
    </row>
    <row r="207" spans="2:11" ht="12.95" customHeight="1" x14ac:dyDescent="0.3">
      <c r="B207" s="29"/>
      <c r="C207" s="30"/>
      <c r="D207" s="30"/>
      <c r="E207" s="36"/>
      <c r="F207" s="39"/>
      <c r="G207" s="26"/>
      <c r="H207" s="39"/>
      <c r="I207" s="26"/>
      <c r="J207" s="39"/>
      <c r="K207" s="26"/>
    </row>
    <row r="208" spans="2:11" ht="12.95" customHeight="1" x14ac:dyDescent="0.3">
      <c r="B208" s="15" t="s">
        <v>29</v>
      </c>
      <c r="C208" s="9"/>
      <c r="D208" s="3" t="s">
        <v>8</v>
      </c>
      <c r="E208" s="38">
        <v>247188</v>
      </c>
      <c r="F208" s="25">
        <v>0.31</v>
      </c>
      <c r="G208" s="7">
        <f t="shared" ref="G208" si="40">TRUNC($E208*F208,1)</f>
        <v>76628.2</v>
      </c>
      <c r="H208" s="25">
        <v>0.24</v>
      </c>
      <c r="I208" s="7">
        <f t="shared" ref="I208" si="41">TRUNC($E208*H208,1)</f>
        <v>59325.1</v>
      </c>
      <c r="J208" s="25">
        <v>0.43</v>
      </c>
      <c r="K208" s="7">
        <f t="shared" ref="K208" si="42">TRUNC($E208*J208,1)</f>
        <v>106290.8</v>
      </c>
    </row>
    <row r="209" spans="2:13" ht="12.95" customHeight="1" x14ac:dyDescent="0.3">
      <c r="B209" s="16" t="s">
        <v>10</v>
      </c>
      <c r="C209" s="30"/>
      <c r="D209" s="30"/>
      <c r="E209" s="36"/>
      <c r="F209" s="39"/>
      <c r="G209" s="35">
        <f>TRUNC(SUM(G208:G208))</f>
        <v>76628</v>
      </c>
      <c r="H209" s="39"/>
      <c r="I209" s="35">
        <f>TRUNC(SUM(I208:I208))</f>
        <v>59325</v>
      </c>
      <c r="J209" s="39"/>
      <c r="K209" s="35">
        <f>TRUNC(SUM(K208:K208))</f>
        <v>106290</v>
      </c>
    </row>
    <row r="210" spans="2:13" ht="12.95" customHeight="1" x14ac:dyDescent="0.3">
      <c r="B210" s="29"/>
      <c r="C210" s="30"/>
      <c r="D210" s="30"/>
      <c r="E210" s="36"/>
      <c r="F210" s="39"/>
      <c r="G210" s="26"/>
      <c r="H210" s="39"/>
      <c r="I210" s="26"/>
      <c r="J210" s="39"/>
      <c r="K210" s="26"/>
    </row>
    <row r="211" spans="2:13" ht="12.95" customHeight="1" x14ac:dyDescent="0.3">
      <c r="B211" s="14" t="s">
        <v>11</v>
      </c>
      <c r="C211" s="31"/>
      <c r="D211" s="31"/>
      <c r="E211" s="27"/>
      <c r="F211" s="27"/>
      <c r="G211" s="28">
        <f>SUM(G206+G209)</f>
        <v>79693</v>
      </c>
      <c r="H211" s="27"/>
      <c r="I211" s="28">
        <f>SUM(I206+I209)</f>
        <v>60511</v>
      </c>
      <c r="J211" s="27"/>
      <c r="K211" s="28">
        <f>SUM(K206+K209)</f>
        <v>108415</v>
      </c>
    </row>
    <row r="213" spans="2:13" ht="12.95" customHeight="1" x14ac:dyDescent="0.3">
      <c r="B213" s="1" t="s">
        <v>54</v>
      </c>
    </row>
    <row r="214" spans="2:13" ht="12.95" customHeight="1" x14ac:dyDescent="0.3">
      <c r="B214" s="32" t="s">
        <v>55</v>
      </c>
      <c r="C214" s="33"/>
      <c r="D214" s="23"/>
      <c r="E214" s="34"/>
      <c r="F214" s="23"/>
      <c r="G214" s="23"/>
      <c r="M214" s="22" t="s">
        <v>19</v>
      </c>
    </row>
    <row r="215" spans="2:13" ht="12.95" customHeight="1" x14ac:dyDescent="0.3">
      <c r="B215" s="72" t="s">
        <v>2</v>
      </c>
      <c r="C215" s="72" t="s">
        <v>6</v>
      </c>
      <c r="D215" s="75" t="s">
        <v>7</v>
      </c>
      <c r="E215" s="75" t="s">
        <v>3</v>
      </c>
      <c r="F215" s="78" t="s">
        <v>56</v>
      </c>
      <c r="G215" s="79"/>
      <c r="H215" s="79"/>
      <c r="I215" s="79"/>
      <c r="J215" s="79"/>
      <c r="K215" s="79"/>
      <c r="L215" s="79"/>
      <c r="M215" s="79"/>
    </row>
    <row r="216" spans="2:13" ht="12.95" customHeight="1" x14ac:dyDescent="0.3">
      <c r="B216" s="73"/>
      <c r="C216" s="73"/>
      <c r="D216" s="76"/>
      <c r="E216" s="76"/>
      <c r="F216" s="78" t="s">
        <v>58</v>
      </c>
      <c r="G216" s="79"/>
      <c r="H216" s="78" t="s">
        <v>59</v>
      </c>
      <c r="I216" s="79"/>
      <c r="J216" s="78" t="s">
        <v>60</v>
      </c>
      <c r="K216" s="79"/>
      <c r="L216" s="78" t="s">
        <v>61</v>
      </c>
      <c r="M216" s="79"/>
    </row>
    <row r="217" spans="2:13" ht="12.95" customHeight="1" x14ac:dyDescent="0.3">
      <c r="B217" s="74"/>
      <c r="C217" s="74"/>
      <c r="D217" s="77"/>
      <c r="E217" s="77"/>
      <c r="F217" s="41" t="s">
        <v>4</v>
      </c>
      <c r="G217" s="42" t="s">
        <v>5</v>
      </c>
      <c r="H217" s="41" t="s">
        <v>4</v>
      </c>
      <c r="I217" s="42" t="s">
        <v>5</v>
      </c>
      <c r="J217" s="41" t="s">
        <v>4</v>
      </c>
      <c r="K217" s="42" t="s">
        <v>5</v>
      </c>
      <c r="L217" s="41" t="s">
        <v>4</v>
      </c>
      <c r="M217" s="42" t="s">
        <v>5</v>
      </c>
    </row>
    <row r="218" spans="2:13" ht="12.95" customHeight="1" x14ac:dyDescent="0.3">
      <c r="B218" s="15" t="s">
        <v>1</v>
      </c>
      <c r="C218" s="9"/>
      <c r="D218" s="3" t="s">
        <v>8</v>
      </c>
      <c r="E218" s="44">
        <v>253539</v>
      </c>
      <c r="F218" s="43">
        <v>7.1999999999999995E-2</v>
      </c>
      <c r="G218" s="7">
        <f t="shared" ref="G218:K219" si="43">TRUNC($E218*F218,1)</f>
        <v>18254.8</v>
      </c>
      <c r="H218" s="43">
        <v>8.3000000000000004E-2</v>
      </c>
      <c r="I218" s="7">
        <f t="shared" si="43"/>
        <v>21043.7</v>
      </c>
      <c r="J218" s="43">
        <v>9.5000000000000001E-2</v>
      </c>
      <c r="K218" s="7">
        <f t="shared" si="43"/>
        <v>24086.2</v>
      </c>
      <c r="L218" s="43">
        <v>0.124</v>
      </c>
      <c r="M218" s="7">
        <f t="shared" ref="M218:M219" si="44">TRUNC($E218*L218,1)</f>
        <v>31438.799999999999</v>
      </c>
    </row>
    <row r="219" spans="2:13" ht="12.95" customHeight="1" x14ac:dyDescent="0.3">
      <c r="B219" s="15" t="s">
        <v>0</v>
      </c>
      <c r="C219" s="9"/>
      <c r="D219" s="3" t="s">
        <v>8</v>
      </c>
      <c r="E219" s="38">
        <v>172068</v>
      </c>
      <c r="F219" s="43">
        <v>1.0999999999999999E-2</v>
      </c>
      <c r="G219" s="7">
        <f t="shared" si="43"/>
        <v>1892.7</v>
      </c>
      <c r="H219" s="43">
        <v>1.2999999999999999E-2</v>
      </c>
      <c r="I219" s="7">
        <f t="shared" si="43"/>
        <v>2236.8000000000002</v>
      </c>
      <c r="J219" s="43">
        <v>1.4999999999999999E-2</v>
      </c>
      <c r="K219" s="7">
        <f t="shared" si="43"/>
        <v>2581</v>
      </c>
      <c r="L219" s="43">
        <v>1.7000000000000001E-2</v>
      </c>
      <c r="M219" s="7">
        <f t="shared" si="44"/>
        <v>2925.1</v>
      </c>
    </row>
    <row r="220" spans="2:13" ht="12.95" customHeight="1" x14ac:dyDescent="0.3">
      <c r="B220" s="16" t="s">
        <v>10</v>
      </c>
      <c r="C220" s="30"/>
      <c r="D220" s="30"/>
      <c r="E220" s="36"/>
      <c r="F220" s="39"/>
      <c r="G220" s="35">
        <f>TRUNC(SUM(G218:G219))</f>
        <v>20147</v>
      </c>
      <c r="H220" s="39"/>
      <c r="I220" s="35">
        <f>TRUNC(SUM(I218:I219))</f>
        <v>23280</v>
      </c>
      <c r="J220" s="39"/>
      <c r="K220" s="35">
        <f>TRUNC(SUM(K218:K219))</f>
        <v>26667</v>
      </c>
      <c r="L220" s="39"/>
      <c r="M220" s="35">
        <f>TRUNC(SUM(M218:M219))</f>
        <v>34363</v>
      </c>
    </row>
    <row r="221" spans="2:13" ht="12.95" customHeight="1" x14ac:dyDescent="0.3">
      <c r="B221" s="29"/>
      <c r="C221" s="30"/>
      <c r="D221" s="30"/>
      <c r="E221" s="36"/>
      <c r="F221" s="39"/>
      <c r="G221" s="26"/>
      <c r="H221" s="39"/>
      <c r="I221" s="26"/>
      <c r="J221" s="39"/>
      <c r="K221" s="26"/>
      <c r="L221" s="39"/>
      <c r="M221" s="26"/>
    </row>
    <row r="222" spans="2:13" ht="12.95" customHeight="1" x14ac:dyDescent="0.3">
      <c r="B222" s="14" t="s">
        <v>11</v>
      </c>
      <c r="C222" s="31"/>
      <c r="D222" s="31"/>
      <c r="E222" s="27"/>
      <c r="F222" s="27"/>
      <c r="G222" s="28">
        <f>SUM(G220)</f>
        <v>20147</v>
      </c>
      <c r="H222" s="27"/>
      <c r="I222" s="28">
        <f>SUM(I220)</f>
        <v>23280</v>
      </c>
      <c r="J222" s="27"/>
      <c r="K222" s="28">
        <f>SUM(K220)</f>
        <v>26667</v>
      </c>
      <c r="L222" s="27"/>
      <c r="M222" s="28">
        <f>SUM(M220)</f>
        <v>34363</v>
      </c>
    </row>
    <row r="223" spans="2:13" ht="12.95" customHeight="1" x14ac:dyDescent="0.3">
      <c r="B223" s="72" t="s">
        <v>2</v>
      </c>
      <c r="C223" s="72" t="s">
        <v>6</v>
      </c>
      <c r="D223" s="75" t="s">
        <v>7</v>
      </c>
      <c r="E223" s="75" t="s">
        <v>3</v>
      </c>
      <c r="F223" s="78" t="s">
        <v>57</v>
      </c>
      <c r="G223" s="79"/>
      <c r="H223" s="79"/>
      <c r="I223" s="79"/>
      <c r="J223" s="79"/>
      <c r="K223" s="79"/>
      <c r="L223" s="79"/>
      <c r="M223" s="79"/>
    </row>
    <row r="224" spans="2:13" ht="12.95" customHeight="1" x14ac:dyDescent="0.3">
      <c r="B224" s="73"/>
      <c r="C224" s="73"/>
      <c r="D224" s="76"/>
      <c r="E224" s="76"/>
      <c r="F224" s="78" t="s">
        <v>61</v>
      </c>
      <c r="G224" s="79"/>
      <c r="H224" s="78" t="s">
        <v>62</v>
      </c>
      <c r="I224" s="79"/>
      <c r="J224" s="78" t="s">
        <v>63</v>
      </c>
      <c r="K224" s="79"/>
      <c r="L224" s="78" t="s">
        <v>64</v>
      </c>
      <c r="M224" s="79"/>
    </row>
    <row r="225" spans="2:13" ht="12.95" customHeight="1" x14ac:dyDescent="0.3">
      <c r="B225" s="74"/>
      <c r="C225" s="74"/>
      <c r="D225" s="77"/>
      <c r="E225" s="77"/>
      <c r="F225" s="41" t="s">
        <v>4</v>
      </c>
      <c r="G225" s="42" t="s">
        <v>5</v>
      </c>
      <c r="H225" s="41" t="s">
        <v>4</v>
      </c>
      <c r="I225" s="42" t="s">
        <v>5</v>
      </c>
      <c r="J225" s="41" t="s">
        <v>4</v>
      </c>
      <c r="K225" s="42" t="s">
        <v>5</v>
      </c>
      <c r="L225" s="41" t="s">
        <v>4</v>
      </c>
      <c r="M225" s="42" t="s">
        <v>5</v>
      </c>
    </row>
    <row r="226" spans="2:13" ht="12.95" customHeight="1" x14ac:dyDescent="0.3">
      <c r="B226" s="15" t="s">
        <v>1</v>
      </c>
      <c r="C226" s="9"/>
      <c r="D226" s="3" t="s">
        <v>8</v>
      </c>
      <c r="E226" s="44">
        <v>253539</v>
      </c>
      <c r="F226" s="43">
        <v>0.10299999999999999</v>
      </c>
      <c r="G226" s="7">
        <f t="shared" ref="G226:G227" si="45">TRUNC($E226*F226,1)</f>
        <v>26114.5</v>
      </c>
      <c r="H226" s="43">
        <v>0.113</v>
      </c>
      <c r="I226" s="7">
        <f t="shared" ref="I226:I227" si="46">TRUNC($E226*H226,1)</f>
        <v>28649.9</v>
      </c>
      <c r="J226" s="43">
        <v>0.11799999999999999</v>
      </c>
      <c r="K226" s="7">
        <f t="shared" ref="K226:K227" si="47">TRUNC($E226*J226,1)</f>
        <v>29917.599999999999</v>
      </c>
      <c r="L226" s="43">
        <v>0.12</v>
      </c>
      <c r="M226" s="7">
        <f t="shared" ref="M226:M227" si="48">TRUNC($E226*L226,1)</f>
        <v>30424.6</v>
      </c>
    </row>
    <row r="227" spans="2:13" ht="12.95" customHeight="1" x14ac:dyDescent="0.3">
      <c r="B227" s="15" t="s">
        <v>0</v>
      </c>
      <c r="C227" s="9"/>
      <c r="D227" s="3" t="s">
        <v>8</v>
      </c>
      <c r="E227" s="38">
        <v>172068</v>
      </c>
      <c r="F227" s="43">
        <v>1.6E-2</v>
      </c>
      <c r="G227" s="7">
        <f t="shared" si="45"/>
        <v>2753</v>
      </c>
      <c r="H227" s="43">
        <v>1.7000000000000001E-2</v>
      </c>
      <c r="I227" s="7">
        <f t="shared" si="46"/>
        <v>2925.1</v>
      </c>
      <c r="J227" s="43">
        <v>1.7999999999999999E-2</v>
      </c>
      <c r="K227" s="7">
        <f t="shared" si="47"/>
        <v>3097.2</v>
      </c>
      <c r="L227" s="43">
        <v>1.9E-2</v>
      </c>
      <c r="M227" s="7">
        <f t="shared" si="48"/>
        <v>3269.2</v>
      </c>
    </row>
    <row r="228" spans="2:13" ht="12.95" customHeight="1" x14ac:dyDescent="0.3">
      <c r="B228" s="16" t="s">
        <v>10</v>
      </c>
      <c r="C228" s="30"/>
      <c r="D228" s="30"/>
      <c r="E228" s="36"/>
      <c r="F228" s="39"/>
      <c r="G228" s="35">
        <f>TRUNC(SUM(G226:G227))</f>
        <v>28867</v>
      </c>
      <c r="H228" s="39"/>
      <c r="I228" s="35">
        <f>TRUNC(SUM(I226:I227))</f>
        <v>31575</v>
      </c>
      <c r="J228" s="39"/>
      <c r="K228" s="35">
        <f>TRUNC(SUM(K226:K227))</f>
        <v>33014</v>
      </c>
      <c r="L228" s="39"/>
      <c r="M228" s="35">
        <f>TRUNC(SUM(M226:M227))</f>
        <v>33693</v>
      </c>
    </row>
    <row r="229" spans="2:13" ht="12.95" customHeight="1" x14ac:dyDescent="0.3">
      <c r="B229" s="29"/>
      <c r="C229" s="30"/>
      <c r="D229" s="30"/>
      <c r="E229" s="36"/>
      <c r="F229" s="39"/>
      <c r="G229" s="26"/>
      <c r="H229" s="39"/>
      <c r="I229" s="26"/>
      <c r="J229" s="39"/>
      <c r="K229" s="26"/>
      <c r="L229" s="39"/>
      <c r="M229" s="26"/>
    </row>
    <row r="230" spans="2:13" ht="12.95" customHeight="1" x14ac:dyDescent="0.3">
      <c r="B230" s="14" t="s">
        <v>11</v>
      </c>
      <c r="C230" s="31"/>
      <c r="D230" s="31"/>
      <c r="E230" s="27"/>
      <c r="F230" s="27"/>
      <c r="G230" s="28">
        <f>SUM(G228)</f>
        <v>28867</v>
      </c>
      <c r="H230" s="27"/>
      <c r="I230" s="28">
        <f>SUM(I228)</f>
        <v>31575</v>
      </c>
      <c r="J230" s="27"/>
      <c r="K230" s="28">
        <f>SUM(K228)</f>
        <v>33014</v>
      </c>
      <c r="L230" s="27"/>
      <c r="M230" s="28">
        <f>SUM(M228)</f>
        <v>33693</v>
      </c>
    </row>
    <row r="231" spans="2:13" ht="12.95" customHeight="1" x14ac:dyDescent="0.3">
      <c r="B231" s="72" t="s">
        <v>2</v>
      </c>
      <c r="C231" s="72" t="s">
        <v>6</v>
      </c>
      <c r="D231" s="75" t="s">
        <v>7</v>
      </c>
      <c r="E231" s="75" t="s">
        <v>3</v>
      </c>
      <c r="F231" s="78" t="s">
        <v>57</v>
      </c>
      <c r="G231" s="79"/>
      <c r="H231" s="79"/>
      <c r="I231" s="79"/>
      <c r="J231" s="79"/>
      <c r="K231" s="79"/>
      <c r="L231" s="79"/>
      <c r="M231" s="79"/>
    </row>
    <row r="232" spans="2:13" ht="12.95" customHeight="1" x14ac:dyDescent="0.3">
      <c r="B232" s="73"/>
      <c r="C232" s="73"/>
      <c r="D232" s="76"/>
      <c r="E232" s="76"/>
      <c r="F232" s="78" t="s">
        <v>65</v>
      </c>
      <c r="G232" s="79"/>
      <c r="H232" s="78" t="s">
        <v>66</v>
      </c>
      <c r="I232" s="79"/>
      <c r="J232" s="78" t="s">
        <v>74</v>
      </c>
      <c r="K232" s="79"/>
      <c r="L232" s="78" t="s">
        <v>75</v>
      </c>
      <c r="M232" s="79"/>
    </row>
    <row r="233" spans="2:13" ht="12.95" customHeight="1" x14ac:dyDescent="0.3">
      <c r="B233" s="74"/>
      <c r="C233" s="74"/>
      <c r="D233" s="77"/>
      <c r="E233" s="77"/>
      <c r="F233" s="41" t="s">
        <v>4</v>
      </c>
      <c r="G233" s="42" t="s">
        <v>5</v>
      </c>
      <c r="H233" s="41" t="s">
        <v>4</v>
      </c>
      <c r="I233" s="42" t="s">
        <v>5</v>
      </c>
      <c r="J233" s="41" t="s">
        <v>4</v>
      </c>
      <c r="K233" s="42" t="s">
        <v>5</v>
      </c>
      <c r="L233" s="41" t="s">
        <v>4</v>
      </c>
      <c r="M233" s="42" t="s">
        <v>5</v>
      </c>
    </row>
    <row r="234" spans="2:13" ht="12.95" customHeight="1" x14ac:dyDescent="0.3">
      <c r="B234" s="15" t="s">
        <v>1</v>
      </c>
      <c r="C234" s="9"/>
      <c r="D234" s="3" t="s">
        <v>8</v>
      </c>
      <c r="E234" s="44">
        <v>253539</v>
      </c>
      <c r="F234" s="43">
        <v>0.124</v>
      </c>
      <c r="G234" s="7">
        <f t="shared" ref="G234:G235" si="49">TRUNC($E234*F234,1)</f>
        <v>31438.799999999999</v>
      </c>
      <c r="H234" s="43">
        <v>0.13300000000000001</v>
      </c>
      <c r="I234" s="7">
        <f t="shared" ref="I234:I235" si="50">TRUNC($E234*H234,1)</f>
        <v>33720.6</v>
      </c>
      <c r="J234" s="43">
        <v>0.13500000000000001</v>
      </c>
      <c r="K234" s="7">
        <f t="shared" ref="K234:K235" si="51">TRUNC($E234*J234,1)</f>
        <v>34227.699999999997</v>
      </c>
      <c r="L234" s="43">
        <v>0.14099999999999999</v>
      </c>
      <c r="M234" s="7">
        <f t="shared" ref="M234:M235" si="52">TRUNC($E234*L234,1)</f>
        <v>35748.9</v>
      </c>
    </row>
    <row r="235" spans="2:13" ht="12.95" customHeight="1" x14ac:dyDescent="0.3">
      <c r="B235" s="15" t="s">
        <v>0</v>
      </c>
      <c r="C235" s="9"/>
      <c r="D235" s="3" t="s">
        <v>8</v>
      </c>
      <c r="E235" s="38">
        <v>172068</v>
      </c>
      <c r="F235" s="43">
        <v>0.02</v>
      </c>
      <c r="G235" s="7">
        <f t="shared" si="49"/>
        <v>3441.3</v>
      </c>
      <c r="H235" s="43">
        <v>2.1000000000000001E-2</v>
      </c>
      <c r="I235" s="7">
        <f t="shared" si="50"/>
        <v>3613.4</v>
      </c>
      <c r="J235" s="43">
        <v>2.3E-2</v>
      </c>
      <c r="K235" s="7">
        <f t="shared" si="51"/>
        <v>3957.5</v>
      </c>
      <c r="L235" s="43">
        <v>2.4E-2</v>
      </c>
      <c r="M235" s="7">
        <f t="shared" si="52"/>
        <v>4129.6000000000004</v>
      </c>
    </row>
    <row r="236" spans="2:13" ht="12.95" customHeight="1" x14ac:dyDescent="0.3">
      <c r="B236" s="16" t="s">
        <v>10</v>
      </c>
      <c r="C236" s="30"/>
      <c r="D236" s="30"/>
      <c r="E236" s="36"/>
      <c r="F236" s="39"/>
      <c r="G236" s="35">
        <f>TRUNC(SUM(G234:G235))</f>
        <v>34880</v>
      </c>
      <c r="H236" s="39"/>
      <c r="I236" s="35">
        <f>TRUNC(SUM(I234:I235))</f>
        <v>37334</v>
      </c>
      <c r="J236" s="39"/>
      <c r="K236" s="35">
        <f>TRUNC(SUM(K234:K235))</f>
        <v>38185</v>
      </c>
      <c r="L236" s="39"/>
      <c r="M236" s="35">
        <f>TRUNC(SUM(M234:M235))</f>
        <v>39878</v>
      </c>
    </row>
    <row r="237" spans="2:13" ht="12.95" customHeight="1" x14ac:dyDescent="0.3">
      <c r="B237" s="29"/>
      <c r="C237" s="30"/>
      <c r="D237" s="30"/>
      <c r="E237" s="36"/>
      <c r="F237" s="39"/>
      <c r="G237" s="26"/>
      <c r="H237" s="39"/>
      <c r="I237" s="26"/>
      <c r="J237" s="39"/>
      <c r="K237" s="26"/>
      <c r="L237" s="39"/>
      <c r="M237" s="26"/>
    </row>
    <row r="238" spans="2:13" ht="12.95" customHeight="1" x14ac:dyDescent="0.3">
      <c r="B238" s="14" t="s">
        <v>11</v>
      </c>
      <c r="C238" s="31"/>
      <c r="D238" s="31"/>
      <c r="E238" s="27"/>
      <c r="F238" s="27"/>
      <c r="G238" s="28">
        <f>SUM(G236)</f>
        <v>34880</v>
      </c>
      <c r="H238" s="27"/>
      <c r="I238" s="28">
        <f>SUM(I236)</f>
        <v>37334</v>
      </c>
      <c r="J238" s="27"/>
      <c r="K238" s="28">
        <f>SUM(K236)</f>
        <v>38185</v>
      </c>
      <c r="L238" s="27"/>
      <c r="M238" s="28">
        <f>SUM(M236)</f>
        <v>39878</v>
      </c>
    </row>
    <row r="239" spans="2:13" ht="12.95" customHeight="1" x14ac:dyDescent="0.3">
      <c r="B239" s="72" t="s">
        <v>2</v>
      </c>
      <c r="C239" s="72" t="s">
        <v>6</v>
      </c>
      <c r="D239" s="75" t="s">
        <v>7</v>
      </c>
      <c r="E239" s="75" t="s">
        <v>3</v>
      </c>
      <c r="F239" s="78" t="s">
        <v>57</v>
      </c>
      <c r="G239" s="79"/>
      <c r="H239" s="79"/>
      <c r="I239" s="79"/>
      <c r="J239" s="79"/>
      <c r="K239" s="79"/>
    </row>
    <row r="240" spans="2:13" ht="12.95" customHeight="1" x14ac:dyDescent="0.3">
      <c r="B240" s="73"/>
      <c r="C240" s="73"/>
      <c r="D240" s="76"/>
      <c r="E240" s="76"/>
      <c r="F240" s="78" t="s">
        <v>76</v>
      </c>
      <c r="G240" s="79"/>
      <c r="H240" s="78" t="s">
        <v>77</v>
      </c>
      <c r="I240" s="79"/>
      <c r="J240" s="78" t="s">
        <v>78</v>
      </c>
      <c r="K240" s="79"/>
    </row>
    <row r="241" spans="2:11" ht="12.95" customHeight="1" x14ac:dyDescent="0.3">
      <c r="B241" s="74"/>
      <c r="C241" s="74"/>
      <c r="D241" s="77"/>
      <c r="E241" s="77"/>
      <c r="F241" s="41" t="s">
        <v>4</v>
      </c>
      <c r="G241" s="42" t="s">
        <v>5</v>
      </c>
      <c r="H241" s="41" t="s">
        <v>4</v>
      </c>
      <c r="I241" s="42" t="s">
        <v>5</v>
      </c>
      <c r="J241" s="41" t="s">
        <v>4</v>
      </c>
      <c r="K241" s="42" t="s">
        <v>5</v>
      </c>
    </row>
    <row r="242" spans="2:11" ht="12.95" customHeight="1" x14ac:dyDescent="0.3">
      <c r="B242" s="15" t="s">
        <v>1</v>
      </c>
      <c r="C242" s="9"/>
      <c r="D242" s="3" t="s">
        <v>8</v>
      </c>
      <c r="E242" s="44">
        <v>253539</v>
      </c>
      <c r="F242" s="43">
        <v>0.14499999999999999</v>
      </c>
      <c r="G242" s="7">
        <f t="shared" ref="G242:G243" si="53">TRUNC($E242*F242,1)</f>
        <v>36763.1</v>
      </c>
      <c r="H242" s="43">
        <v>0.14799999999999999</v>
      </c>
      <c r="I242" s="7">
        <f t="shared" ref="I242:I243" si="54">TRUNC($E242*H242,1)</f>
        <v>37523.699999999997</v>
      </c>
      <c r="J242" s="43">
        <v>0.154</v>
      </c>
      <c r="K242" s="7">
        <f t="shared" ref="K242:K243" si="55">TRUNC($E242*J242,1)</f>
        <v>39045</v>
      </c>
    </row>
    <row r="243" spans="2:11" ht="12.95" customHeight="1" x14ac:dyDescent="0.3">
      <c r="B243" s="15" t="s">
        <v>0</v>
      </c>
      <c r="C243" s="9"/>
      <c r="D243" s="3" t="s">
        <v>8</v>
      </c>
      <c r="E243" s="38">
        <v>172068</v>
      </c>
      <c r="F243" s="43">
        <v>2.5000000000000001E-2</v>
      </c>
      <c r="G243" s="7">
        <f t="shared" si="53"/>
        <v>4301.7</v>
      </c>
      <c r="H243" s="43">
        <v>2.5999999999999999E-2</v>
      </c>
      <c r="I243" s="7">
        <f t="shared" si="54"/>
        <v>4473.7</v>
      </c>
      <c r="J243" s="43">
        <v>2.5999999999999999E-2</v>
      </c>
      <c r="K243" s="7">
        <f t="shared" si="55"/>
        <v>4473.7</v>
      </c>
    </row>
    <row r="244" spans="2:11" ht="12.95" customHeight="1" x14ac:dyDescent="0.3">
      <c r="B244" s="16" t="s">
        <v>10</v>
      </c>
      <c r="C244" s="30"/>
      <c r="D244" s="30"/>
      <c r="E244" s="36"/>
      <c r="F244" s="39"/>
      <c r="G244" s="35">
        <f>TRUNC(SUM(G242:G243))</f>
        <v>41064</v>
      </c>
      <c r="H244" s="39"/>
      <c r="I244" s="35">
        <f>TRUNC(SUM(I242:I243))</f>
        <v>41997</v>
      </c>
      <c r="J244" s="39"/>
      <c r="K244" s="35">
        <f>TRUNC(SUM(K242:K243))</f>
        <v>43518</v>
      </c>
    </row>
    <row r="245" spans="2:11" ht="12.95" customHeight="1" x14ac:dyDescent="0.3">
      <c r="B245" s="29"/>
      <c r="C245" s="30"/>
      <c r="D245" s="30"/>
      <c r="E245" s="36"/>
      <c r="F245" s="39"/>
      <c r="G245" s="26"/>
      <c r="H245" s="39"/>
      <c r="I245" s="26"/>
      <c r="J245" s="39"/>
      <c r="K245" s="26"/>
    </row>
    <row r="246" spans="2:11" ht="12.95" customHeight="1" x14ac:dyDescent="0.3">
      <c r="B246" s="14" t="s">
        <v>11</v>
      </c>
      <c r="C246" s="31"/>
      <c r="D246" s="31"/>
      <c r="E246" s="27"/>
      <c r="F246" s="27"/>
      <c r="G246" s="28">
        <f>SUM(G244)</f>
        <v>41064</v>
      </c>
      <c r="H246" s="27"/>
      <c r="I246" s="28">
        <f>SUM(I244)</f>
        <v>41997</v>
      </c>
      <c r="J246" s="27"/>
      <c r="K246" s="28">
        <f>SUM(K244)</f>
        <v>43518</v>
      </c>
    </row>
    <row r="248" spans="2:11" ht="12.95" customHeight="1" x14ac:dyDescent="0.3">
      <c r="B248" s="32" t="s">
        <v>67</v>
      </c>
      <c r="C248" s="33"/>
      <c r="D248" s="23"/>
      <c r="E248" s="34"/>
      <c r="F248" s="23"/>
      <c r="G248" s="23"/>
      <c r="K248" s="22" t="s">
        <v>19</v>
      </c>
    </row>
    <row r="249" spans="2:11" ht="12.95" customHeight="1" x14ac:dyDescent="0.3">
      <c r="B249" s="80" t="s">
        <v>2</v>
      </c>
      <c r="C249" s="82" t="s">
        <v>13</v>
      </c>
      <c r="D249" s="84" t="s">
        <v>7</v>
      </c>
      <c r="E249" s="75" t="s">
        <v>3</v>
      </c>
      <c r="F249" s="78" t="s">
        <v>61</v>
      </c>
      <c r="G249" s="79"/>
      <c r="H249" s="78" t="s">
        <v>62</v>
      </c>
      <c r="I249" s="79"/>
      <c r="J249" s="78" t="s">
        <v>63</v>
      </c>
      <c r="K249" s="79"/>
    </row>
    <row r="250" spans="2:11" ht="12.95" customHeight="1" x14ac:dyDescent="0.3">
      <c r="B250" s="81"/>
      <c r="C250" s="83"/>
      <c r="D250" s="85"/>
      <c r="E250" s="77"/>
      <c r="F250" s="41" t="s">
        <v>4</v>
      </c>
      <c r="G250" s="42" t="s">
        <v>5</v>
      </c>
      <c r="H250" s="41" t="s">
        <v>4</v>
      </c>
      <c r="I250" s="42" t="s">
        <v>5</v>
      </c>
      <c r="J250" s="41" t="s">
        <v>4</v>
      </c>
      <c r="K250" s="42" t="s">
        <v>5</v>
      </c>
    </row>
    <row r="251" spans="2:11" ht="12.95" customHeight="1" x14ac:dyDescent="0.3">
      <c r="B251" s="15" t="s">
        <v>1</v>
      </c>
      <c r="C251" s="9"/>
      <c r="D251" s="3" t="s">
        <v>8</v>
      </c>
      <c r="E251" s="44">
        <v>253539</v>
      </c>
      <c r="F251" s="43">
        <v>0.12</v>
      </c>
      <c r="G251" s="7">
        <f t="shared" ref="G251:G252" si="56">TRUNC($E251*F251,1)</f>
        <v>30424.6</v>
      </c>
      <c r="H251" s="43">
        <v>0.13100000000000001</v>
      </c>
      <c r="I251" s="7">
        <f t="shared" ref="I251:I252" si="57">TRUNC($E251*H251,1)</f>
        <v>33213.599999999999</v>
      </c>
      <c r="J251" s="43">
        <v>0.13700000000000001</v>
      </c>
      <c r="K251" s="7">
        <f t="shared" ref="K251:K252" si="58">TRUNC($E251*J251,1)</f>
        <v>34734.800000000003</v>
      </c>
    </row>
    <row r="252" spans="2:11" ht="12.95" customHeight="1" x14ac:dyDescent="0.3">
      <c r="B252" s="15" t="s">
        <v>0</v>
      </c>
      <c r="C252" s="9"/>
      <c r="D252" s="3" t="s">
        <v>8</v>
      </c>
      <c r="E252" s="38">
        <v>172068</v>
      </c>
      <c r="F252" s="43">
        <v>0.02</v>
      </c>
      <c r="G252" s="7">
        <f t="shared" si="56"/>
        <v>3441.3</v>
      </c>
      <c r="H252" s="43">
        <v>2.1000000000000001E-2</v>
      </c>
      <c r="I252" s="7">
        <f t="shared" si="57"/>
        <v>3613.4</v>
      </c>
      <c r="J252" s="43">
        <v>2.1999999999999999E-2</v>
      </c>
      <c r="K252" s="7">
        <f t="shared" si="58"/>
        <v>3785.4</v>
      </c>
    </row>
    <row r="253" spans="2:11" ht="12.95" customHeight="1" x14ac:dyDescent="0.3">
      <c r="B253" s="16" t="s">
        <v>10</v>
      </c>
      <c r="C253" s="30"/>
      <c r="D253" s="30"/>
      <c r="E253" s="36"/>
      <c r="F253" s="39"/>
      <c r="G253" s="35">
        <f>TRUNC(SUM(G251:G252))</f>
        <v>33865</v>
      </c>
      <c r="H253" s="39"/>
      <c r="I253" s="35">
        <f>TRUNC(SUM(I251:I252))</f>
        <v>36827</v>
      </c>
      <c r="J253" s="39"/>
      <c r="K253" s="35">
        <f>TRUNC(SUM(K251:K252))</f>
        <v>38520</v>
      </c>
    </row>
    <row r="254" spans="2:11" ht="12.95" customHeight="1" x14ac:dyDescent="0.3">
      <c r="B254" s="29"/>
      <c r="C254" s="30"/>
      <c r="D254" s="30"/>
      <c r="E254" s="36"/>
      <c r="F254" s="39"/>
      <c r="G254" s="26"/>
      <c r="H254" s="39"/>
      <c r="I254" s="26"/>
      <c r="J254" s="39"/>
      <c r="K254" s="26"/>
    </row>
    <row r="255" spans="2:11" ht="12.95" customHeight="1" x14ac:dyDescent="0.3">
      <c r="B255" s="14" t="s">
        <v>11</v>
      </c>
      <c r="C255" s="31"/>
      <c r="D255" s="31"/>
      <c r="E255" s="27"/>
      <c r="F255" s="27"/>
      <c r="G255" s="28">
        <f>SUM(G253)</f>
        <v>33865</v>
      </c>
      <c r="H255" s="27"/>
      <c r="I255" s="28">
        <f>SUM(I253)</f>
        <v>36827</v>
      </c>
      <c r="J255" s="27"/>
      <c r="K255" s="28">
        <f>SUM(K253)</f>
        <v>38520</v>
      </c>
    </row>
    <row r="256" spans="2:11" ht="12.95" customHeight="1" x14ac:dyDescent="0.3">
      <c r="B256" s="80" t="s">
        <v>2</v>
      </c>
      <c r="C256" s="82" t="s">
        <v>13</v>
      </c>
      <c r="D256" s="84" t="s">
        <v>7</v>
      </c>
      <c r="E256" s="75" t="s">
        <v>3</v>
      </c>
      <c r="F256" s="78" t="s">
        <v>64</v>
      </c>
      <c r="G256" s="79"/>
      <c r="H256" s="78" t="s">
        <v>65</v>
      </c>
      <c r="I256" s="79"/>
      <c r="J256" s="78" t="s">
        <v>66</v>
      </c>
      <c r="K256" s="79"/>
    </row>
    <row r="257" spans="2:11" ht="12.95" customHeight="1" x14ac:dyDescent="0.3">
      <c r="B257" s="81"/>
      <c r="C257" s="83"/>
      <c r="D257" s="85"/>
      <c r="E257" s="77"/>
      <c r="F257" s="41" t="s">
        <v>4</v>
      </c>
      <c r="G257" s="42" t="s">
        <v>5</v>
      </c>
      <c r="H257" s="41" t="s">
        <v>4</v>
      </c>
      <c r="I257" s="42" t="s">
        <v>5</v>
      </c>
      <c r="J257" s="41" t="s">
        <v>4</v>
      </c>
      <c r="K257" s="42" t="s">
        <v>5</v>
      </c>
    </row>
    <row r="258" spans="2:11" ht="12.95" customHeight="1" x14ac:dyDescent="0.3">
      <c r="B258" s="15" t="s">
        <v>1</v>
      </c>
      <c r="C258" s="9"/>
      <c r="D258" s="3" t="s">
        <v>8</v>
      </c>
      <c r="E258" s="44">
        <v>253539</v>
      </c>
      <c r="F258" s="43">
        <v>0.13900000000000001</v>
      </c>
      <c r="G258" s="7">
        <f t="shared" ref="G258:G259" si="59">TRUNC($E258*F258,1)</f>
        <v>35241.9</v>
      </c>
      <c r="H258" s="43">
        <v>0.14499999999999999</v>
      </c>
      <c r="I258" s="7">
        <f t="shared" ref="I258:I259" si="60">TRUNC($E258*H258,1)</f>
        <v>36763.1</v>
      </c>
      <c r="J258" s="43">
        <v>0.155</v>
      </c>
      <c r="K258" s="7">
        <f t="shared" ref="K258:K259" si="61">TRUNC($E258*J258,1)</f>
        <v>39298.5</v>
      </c>
    </row>
    <row r="259" spans="2:11" ht="12.95" customHeight="1" x14ac:dyDescent="0.3">
      <c r="B259" s="15" t="s">
        <v>0</v>
      </c>
      <c r="C259" s="9"/>
      <c r="D259" s="3" t="s">
        <v>8</v>
      </c>
      <c r="E259" s="38">
        <v>172068</v>
      </c>
      <c r="F259" s="43">
        <v>2.3E-2</v>
      </c>
      <c r="G259" s="7">
        <f t="shared" si="59"/>
        <v>3957.5</v>
      </c>
      <c r="H259" s="43">
        <v>2.4E-2</v>
      </c>
      <c r="I259" s="7">
        <f t="shared" si="60"/>
        <v>4129.6000000000004</v>
      </c>
      <c r="J259" s="43">
        <v>2.5000000000000001E-2</v>
      </c>
      <c r="K259" s="7">
        <f t="shared" si="61"/>
        <v>4301.7</v>
      </c>
    </row>
    <row r="260" spans="2:11" ht="12.95" customHeight="1" x14ac:dyDescent="0.3">
      <c r="B260" s="16" t="s">
        <v>10</v>
      </c>
      <c r="C260" s="30"/>
      <c r="D260" s="30"/>
      <c r="E260" s="36"/>
      <c r="F260" s="39"/>
      <c r="G260" s="35">
        <f>TRUNC(SUM(G258:G259))</f>
        <v>39199</v>
      </c>
      <c r="H260" s="39"/>
      <c r="I260" s="35">
        <f>TRUNC(SUM(I258:I259))</f>
        <v>40892</v>
      </c>
      <c r="J260" s="39"/>
      <c r="K260" s="35">
        <f>TRUNC(SUM(K258:K259))</f>
        <v>43600</v>
      </c>
    </row>
    <row r="261" spans="2:11" ht="12.95" customHeight="1" x14ac:dyDescent="0.3">
      <c r="B261" s="29"/>
      <c r="C261" s="30"/>
      <c r="D261" s="30"/>
      <c r="E261" s="36"/>
      <c r="F261" s="39"/>
      <c r="G261" s="26"/>
      <c r="H261" s="39"/>
      <c r="I261" s="26"/>
      <c r="J261" s="39"/>
      <c r="K261" s="26"/>
    </row>
    <row r="262" spans="2:11" ht="12.95" customHeight="1" x14ac:dyDescent="0.3">
      <c r="B262" s="14" t="s">
        <v>11</v>
      </c>
      <c r="C262" s="31"/>
      <c r="D262" s="31"/>
      <c r="E262" s="27"/>
      <c r="F262" s="27"/>
      <c r="G262" s="28">
        <f>SUM(G260)</f>
        <v>39199</v>
      </c>
      <c r="H262" s="27"/>
      <c r="I262" s="28">
        <f>SUM(I260)</f>
        <v>40892</v>
      </c>
      <c r="J262" s="27"/>
      <c r="K262" s="28">
        <f>SUM(K260)</f>
        <v>43600</v>
      </c>
    </row>
    <row r="291" spans="14:15" ht="12.95" customHeight="1" x14ac:dyDescent="0.3">
      <c r="O291" s="10"/>
    </row>
    <row r="292" spans="14:15" ht="12.95" customHeight="1" x14ac:dyDescent="0.3">
      <c r="N292" s="10"/>
      <c r="O292" s="10"/>
    </row>
    <row r="293" spans="14:15" ht="12.95" customHeight="1" x14ac:dyDescent="0.3">
      <c r="N293" s="10"/>
      <c r="O293" s="10"/>
    </row>
    <row r="294" spans="14:15" ht="12.95" customHeight="1" x14ac:dyDescent="0.3">
      <c r="N294" s="10"/>
      <c r="O294" s="10"/>
    </row>
    <row r="295" spans="14:15" ht="12.95" customHeight="1" x14ac:dyDescent="0.3">
      <c r="N295" s="10"/>
      <c r="O295" s="10"/>
    </row>
    <row r="296" spans="14:15" ht="12.95" customHeight="1" x14ac:dyDescent="0.3">
      <c r="N296" s="10"/>
      <c r="O296" s="10"/>
    </row>
    <row r="297" spans="14:15" ht="12.95" customHeight="1" x14ac:dyDescent="0.3">
      <c r="N297" s="10"/>
      <c r="O297" s="10"/>
    </row>
    <row r="298" spans="14:15" ht="12.95" customHeight="1" x14ac:dyDescent="0.3">
      <c r="N298" s="10"/>
      <c r="O298" s="10"/>
    </row>
    <row r="299" spans="14:15" ht="12.95" customHeight="1" x14ac:dyDescent="0.3">
      <c r="N299" s="10"/>
      <c r="O299" s="10"/>
    </row>
    <row r="300" spans="14:15" ht="12.95" customHeight="1" x14ac:dyDescent="0.3">
      <c r="N300" s="10"/>
      <c r="O300" s="10"/>
    </row>
    <row r="301" spans="14:15" ht="12.95" customHeight="1" x14ac:dyDescent="0.3">
      <c r="N301" s="10"/>
      <c r="O301" s="10"/>
    </row>
    <row r="302" spans="14:15" ht="12.95" customHeight="1" x14ac:dyDescent="0.3">
      <c r="N302" s="10"/>
      <c r="O302" s="10"/>
    </row>
    <row r="303" spans="14:15" ht="12.95" customHeight="1" x14ac:dyDescent="0.3">
      <c r="N303" s="10"/>
      <c r="O303" s="10"/>
    </row>
    <row r="304" spans="14:15" ht="12.95" customHeight="1" x14ac:dyDescent="0.3">
      <c r="N304" s="10"/>
      <c r="O304" s="10"/>
    </row>
    <row r="305" spans="14:15" ht="12.95" customHeight="1" x14ac:dyDescent="0.3">
      <c r="N305" s="10"/>
      <c r="O305" s="10"/>
    </row>
    <row r="306" spans="14:15" ht="12.95" customHeight="1" x14ac:dyDescent="0.3">
      <c r="N306" s="10"/>
      <c r="O306" s="10"/>
    </row>
    <row r="307" spans="14:15" ht="12.95" customHeight="1" x14ac:dyDescent="0.3">
      <c r="N307" s="10"/>
      <c r="O307" s="10"/>
    </row>
    <row r="308" spans="14:15" ht="12.95" customHeight="1" x14ac:dyDescent="0.3">
      <c r="N308" s="10"/>
    </row>
  </sheetData>
  <mergeCells count="176">
    <mergeCell ref="E239:E241"/>
    <mergeCell ref="F240:G240"/>
    <mergeCell ref="H240:I240"/>
    <mergeCell ref="J240:K240"/>
    <mergeCell ref="F231:M231"/>
    <mergeCell ref="F239:K239"/>
    <mergeCell ref="B231:B233"/>
    <mergeCell ref="C231:C233"/>
    <mergeCell ref="D231:D233"/>
    <mergeCell ref="E231:E233"/>
    <mergeCell ref="F232:G232"/>
    <mergeCell ref="H232:I232"/>
    <mergeCell ref="J232:K232"/>
    <mergeCell ref="B150:B151"/>
    <mergeCell ref="C150:C151"/>
    <mergeCell ref="D150:D151"/>
    <mergeCell ref="E150:E151"/>
    <mergeCell ref="F150:F151"/>
    <mergeCell ref="G150:G151"/>
    <mergeCell ref="L224:M224"/>
    <mergeCell ref="F223:M223"/>
    <mergeCell ref="L232:M232"/>
    <mergeCell ref="B163:B165"/>
    <mergeCell ref="C163:C165"/>
    <mergeCell ref="D163:D165"/>
    <mergeCell ref="E163:E165"/>
    <mergeCell ref="F163:G163"/>
    <mergeCell ref="H163:I163"/>
    <mergeCell ref="B190:B191"/>
    <mergeCell ref="C190:C191"/>
    <mergeCell ref="D190:D191"/>
    <mergeCell ref="E190:E191"/>
    <mergeCell ref="F190:F191"/>
    <mergeCell ref="G190:G191"/>
    <mergeCell ref="B178:B179"/>
    <mergeCell ref="C178:C179"/>
    <mergeCell ref="D178:D179"/>
    <mergeCell ref="B28:B29"/>
    <mergeCell ref="C28:C29"/>
    <mergeCell ref="D28:D29"/>
    <mergeCell ref="E28:E29"/>
    <mergeCell ref="F28:F29"/>
    <mergeCell ref="G28:G29"/>
    <mergeCell ref="B15:B17"/>
    <mergeCell ref="C15:C17"/>
    <mergeCell ref="D15:D17"/>
    <mergeCell ref="B4:B6"/>
    <mergeCell ref="C4:C6"/>
    <mergeCell ref="D4:D6"/>
    <mergeCell ref="E4:E6"/>
    <mergeCell ref="F4:M4"/>
    <mergeCell ref="F5:G5"/>
    <mergeCell ref="H5:I5"/>
    <mergeCell ref="J5:K5"/>
    <mergeCell ref="L5:M5"/>
    <mergeCell ref="E15:E17"/>
    <mergeCell ref="F15:M15"/>
    <mergeCell ref="F16:G16"/>
    <mergeCell ref="H16:I16"/>
    <mergeCell ref="J16:K16"/>
    <mergeCell ref="L16:M16"/>
    <mergeCell ref="B58:B59"/>
    <mergeCell ref="C58:C59"/>
    <mergeCell ref="D58:D59"/>
    <mergeCell ref="E58:E59"/>
    <mergeCell ref="F58:G58"/>
    <mergeCell ref="H58:I58"/>
    <mergeCell ref="J36:K36"/>
    <mergeCell ref="L36:M36"/>
    <mergeCell ref="B48:B49"/>
    <mergeCell ref="C48:C49"/>
    <mergeCell ref="D48:D49"/>
    <mergeCell ref="E48:E49"/>
    <mergeCell ref="F48:G48"/>
    <mergeCell ref="H48:I48"/>
    <mergeCell ref="J48:K48"/>
    <mergeCell ref="B36:B37"/>
    <mergeCell ref="C36:C37"/>
    <mergeCell ref="D36:D37"/>
    <mergeCell ref="E36:E37"/>
    <mergeCell ref="F36:G36"/>
    <mergeCell ref="H36:I36"/>
    <mergeCell ref="B93:B95"/>
    <mergeCell ref="C93:C95"/>
    <mergeCell ref="D93:D95"/>
    <mergeCell ref="E93:E95"/>
    <mergeCell ref="F93:I93"/>
    <mergeCell ref="F94:G94"/>
    <mergeCell ref="H94:I94"/>
    <mergeCell ref="B82:B84"/>
    <mergeCell ref="C82:C84"/>
    <mergeCell ref="D82:D84"/>
    <mergeCell ref="E82:E84"/>
    <mergeCell ref="F82:K82"/>
    <mergeCell ref="F83:G83"/>
    <mergeCell ref="H83:I83"/>
    <mergeCell ref="J83:K83"/>
    <mergeCell ref="B70:B71"/>
    <mergeCell ref="C70:C71"/>
    <mergeCell ref="D70:D71"/>
    <mergeCell ref="E70:E71"/>
    <mergeCell ref="F70:F71"/>
    <mergeCell ref="G70:G71"/>
    <mergeCell ref="B115:B117"/>
    <mergeCell ref="C115:C117"/>
    <mergeCell ref="D115:D117"/>
    <mergeCell ref="E115:E117"/>
    <mergeCell ref="F115:I115"/>
    <mergeCell ref="F116:G116"/>
    <mergeCell ref="H116:I116"/>
    <mergeCell ref="B104:B106"/>
    <mergeCell ref="C104:C106"/>
    <mergeCell ref="D104:D106"/>
    <mergeCell ref="E104:E106"/>
    <mergeCell ref="F104:K104"/>
    <mergeCell ref="F105:G105"/>
    <mergeCell ref="H105:I105"/>
    <mergeCell ref="J105:K105"/>
    <mergeCell ref="J128:K128"/>
    <mergeCell ref="B138:B139"/>
    <mergeCell ref="C138:C139"/>
    <mergeCell ref="D138:D139"/>
    <mergeCell ref="E138:E139"/>
    <mergeCell ref="F138:G138"/>
    <mergeCell ref="H138:I138"/>
    <mergeCell ref="B128:B129"/>
    <mergeCell ref="C128:C129"/>
    <mergeCell ref="D128:D129"/>
    <mergeCell ref="E128:E129"/>
    <mergeCell ref="F128:G128"/>
    <mergeCell ref="H128:I128"/>
    <mergeCell ref="E178:E179"/>
    <mergeCell ref="F178:F179"/>
    <mergeCell ref="G178:G179"/>
    <mergeCell ref="B202:B204"/>
    <mergeCell ref="C202:C204"/>
    <mergeCell ref="D202:D204"/>
    <mergeCell ref="E202:E204"/>
    <mergeCell ref="F202:I202"/>
    <mergeCell ref="J202:K202"/>
    <mergeCell ref="F203:G203"/>
    <mergeCell ref="H203:I203"/>
    <mergeCell ref="J203:K203"/>
    <mergeCell ref="B215:B217"/>
    <mergeCell ref="C215:C217"/>
    <mergeCell ref="D215:D217"/>
    <mergeCell ref="E215:E217"/>
    <mergeCell ref="F215:M215"/>
    <mergeCell ref="F216:G216"/>
    <mergeCell ref="H216:I216"/>
    <mergeCell ref="J216:K216"/>
    <mergeCell ref="L216:M216"/>
    <mergeCell ref="B223:B225"/>
    <mergeCell ref="C223:C225"/>
    <mergeCell ref="D223:D225"/>
    <mergeCell ref="E223:E225"/>
    <mergeCell ref="F224:G224"/>
    <mergeCell ref="H224:I224"/>
    <mergeCell ref="J224:K224"/>
    <mergeCell ref="J249:K249"/>
    <mergeCell ref="B256:B257"/>
    <mergeCell ref="C256:C257"/>
    <mergeCell ref="D256:D257"/>
    <mergeCell ref="E256:E257"/>
    <mergeCell ref="F256:G256"/>
    <mergeCell ref="H256:I256"/>
    <mergeCell ref="J256:K256"/>
    <mergeCell ref="B249:B250"/>
    <mergeCell ref="C249:C250"/>
    <mergeCell ref="D249:D250"/>
    <mergeCell ref="E249:E250"/>
    <mergeCell ref="F249:G249"/>
    <mergeCell ref="H249:I249"/>
    <mergeCell ref="B239:B241"/>
    <mergeCell ref="C239:C241"/>
    <mergeCell ref="D239:D241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창호 및 유리공사(상반기)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2026-01-01T08:03:08Z</dcterms:modified>
</cp:coreProperties>
</file>