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미매칭20건" sheetId="1" state="visible" r:id="rId1"/>
    <sheet xmlns:r="http://schemas.openxmlformats.org/officeDocument/2006/relationships" name="요약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#,##0.##"/>
    <numFmt numFmtId="166" formatCode="#,##0.000"/>
  </numFmts>
  <fonts count="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1" fontId="2" fillId="0" borderId="0" applyAlignment="1">
      <alignment vertical="center"/>
    </xf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164" fontId="0" fillId="0" borderId="0" pivotButton="0" quotePrefix="0" xfId="1"/>
    <xf numFmtId="165" fontId="1" fillId="2" borderId="0" applyAlignment="1" pivotButton="0" quotePrefix="0" xfId="0">
      <alignment horizontal="center" wrapText="1"/>
    </xf>
    <xf numFmtId="166" fontId="1" fillId="2" borderId="0" applyAlignment="1" pivotButton="0" quotePrefix="0" xfId="1">
      <alignment horizontal="center" wrapText="1"/>
    </xf>
    <xf numFmtId="3" fontId="1" fillId="2" borderId="0" applyAlignment="1" pivotButton="0" quotePrefix="0" xfId="1">
      <alignment horizontal="center" wrapText="1"/>
    </xf>
    <xf numFmtId="165" fontId="0" fillId="0" borderId="0" pivotButton="0" quotePrefix="0" xfId="0"/>
    <xf numFmtId="166" fontId="0" fillId="0" borderId="0" pivotButton="0" quotePrefix="0" xfId="1"/>
    <xf numFmtId="3" fontId="0" fillId="0" borderId="0" pivotButton="0" quotePrefix="0" xfId="1"/>
    <xf numFmtId="0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  <xf numFmtId="3" fontId="4" fillId="3" borderId="0" pivotButton="0" quotePrefix="0" xfId="0"/>
    <xf numFmtId="3" fontId="0" fillId="0" borderId="0" pivotButton="0" quotePrefix="0" xfId="0"/>
    <xf numFmtId="164" fontId="0" fillId="0" borderId="0" pivotButton="0" quotePrefix="0" xfId="1"/>
    <xf numFmtId="165" fontId="1" fillId="2" borderId="0" applyAlignment="1" pivotButton="0" quotePrefix="0" xfId="0">
      <alignment horizontal="center" wrapText="1"/>
    </xf>
    <xf numFmtId="166" fontId="1" fillId="2" borderId="0" applyAlignment="1" pivotButton="0" quotePrefix="0" xfId="1">
      <alignment horizontal="center" wrapText="1"/>
    </xf>
    <xf numFmtId="165" fontId="0" fillId="0" borderId="0" pivotButton="0" quotePrefix="0" xfId="0"/>
    <xf numFmtId="166" fontId="0" fillId="0" borderId="0" pivotButton="0" quotePrefix="0" xfId="1"/>
    <xf numFmtId="0" fontId="5" fillId="4" borderId="0" pivotButton="0" quotePrefix="0" xfId="0"/>
    <xf numFmtId="165" fontId="5" fillId="4" borderId="0" pivotButton="0" quotePrefix="0" xfId="0"/>
    <xf numFmtId="166" fontId="5" fillId="4" borderId="0" pivotButton="0" quotePrefix="0" xfId="0"/>
    <xf numFmtId="3" fontId="5" fillId="4" borderId="0" pivotButton="0" quotePrefix="0" xfId="0"/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tabSelected="1" workbookViewId="0">
      <selection activeCell="I36" sqref="I36"/>
    </sheetView>
  </sheetViews>
  <sheetFormatPr baseColWidth="8" defaultRowHeight="16.5"/>
  <cols>
    <col width="4.375" bestFit="1" customWidth="1" min="1" max="1"/>
    <col width="7.375" bestFit="1" customWidth="1" min="2" max="2"/>
    <col width="11.5" bestFit="1" customWidth="1" min="3" max="3"/>
    <col width="22" bestFit="1" customWidth="1" min="4" max="4"/>
    <col width="18" bestFit="1" customWidth="1" min="5" max="5"/>
    <col width="5.5" bestFit="1" customWidth="1" min="6" max="7"/>
    <col width="13.5" bestFit="1" customWidth="1" min="8" max="8"/>
    <col width="9.875" bestFit="1" customWidth="1" style="14" min="9" max="9"/>
    <col width="12.625" bestFit="1" customWidth="1" style="14" min="10" max="17"/>
    <col width="13.25" bestFit="1" customWidth="1" min="18" max="18"/>
    <col width="36" bestFit="1" customWidth="1" min="19" max="19"/>
  </cols>
  <sheetData>
    <row r="1" ht="33" customHeight="1">
      <c r="A1" s="1" t="inlineStr">
        <is>
          <t>No</t>
        </is>
      </c>
      <c r="B1" s="1" t="inlineStr">
        <is>
          <t>원본행</t>
        </is>
      </c>
      <c r="C1" s="1" t="inlineStr">
        <is>
          <t>공종</t>
        </is>
      </c>
      <c r="D1" s="1" t="inlineStr">
        <is>
          <t>품명</t>
        </is>
      </c>
      <c r="E1" s="1" t="inlineStr">
        <is>
          <t>규격</t>
        </is>
      </c>
      <c r="F1" s="15" t="inlineStr">
        <is>
          <t>수량</t>
        </is>
      </c>
      <c r="G1" s="1" t="inlineStr">
        <is>
          <t>단위</t>
        </is>
      </c>
      <c r="H1" s="1" t="inlineStr">
        <is>
          <t>분류</t>
        </is>
      </c>
      <c r="I1" s="16" t="inlineStr">
        <is>
          <t>매칭점수</t>
        </is>
      </c>
      <c r="J1" s="5" t="inlineStr">
        <is>
          <t>재단가</t>
        </is>
      </c>
      <c r="K1" s="5" t="inlineStr">
        <is>
          <t>노단가</t>
        </is>
      </c>
      <c r="L1" s="5" t="inlineStr">
        <is>
          <t>경단가</t>
        </is>
      </c>
      <c r="M1" s="5" t="inlineStr">
        <is>
          <t>합단가</t>
        </is>
      </c>
      <c r="N1" s="5" t="inlineStr">
        <is>
          <t>재</t>
        </is>
      </c>
      <c r="O1" s="5" t="inlineStr">
        <is>
          <t>노</t>
        </is>
      </c>
      <c r="P1" s="5" t="inlineStr">
        <is>
          <t>경</t>
        </is>
      </c>
      <c r="Q1" s="5" t="inlineStr">
        <is>
          <t>합계</t>
        </is>
      </c>
      <c r="R1" s="1" t="inlineStr">
        <is>
          <t>쇼핑몰검색어</t>
        </is>
      </c>
      <c r="S1" s="1" t="inlineStr">
        <is>
          <t>비고</t>
        </is>
      </c>
    </row>
    <row r="2">
      <c r="A2" t="n">
        <v>1</v>
      </c>
      <c r="B2" t="n">
        <v>21</v>
      </c>
      <c r="C2" t="inlineStr">
        <is>
          <t>10. 조 경 공</t>
        </is>
      </c>
      <c r="D2" t="inlineStr">
        <is>
          <t>가). 생활체육시설A</t>
        </is>
      </c>
      <c r="E2" t="inlineStr">
        <is>
          <t>1850*840*H1760</t>
        </is>
      </c>
      <c r="F2" s="17" t="n">
        <v>1</v>
      </c>
      <c r="G2" t="inlineStr">
        <is>
          <t>EA</t>
        </is>
      </c>
      <c r="H2" t="inlineStr">
        <is>
          <t>운동·체육시설</t>
        </is>
      </c>
      <c r="I2" s="18" t="n">
        <v>0.438</v>
      </c>
      <c r="J2" s="8" t="n">
        <v>4200000</v>
      </c>
      <c r="K2" s="8" t="n">
        <v>250000</v>
      </c>
      <c r="L2" s="8" t="n">
        <v>0</v>
      </c>
      <c r="M2" s="8">
        <f>J2+K2+L2</f>
        <v/>
      </c>
      <c r="N2" s="8">
        <f>F2*J2</f>
        <v/>
      </c>
      <c r="O2" s="8">
        <f>F2*K2</f>
        <v/>
      </c>
      <c r="P2" s="8">
        <f>F2*L2</f>
        <v/>
      </c>
      <c r="Q2" s="8">
        <f>N2+O2+P2</f>
        <v/>
      </c>
      <c r="R2" t="inlineStr">
        <is>
          <t>운동기구</t>
        </is>
      </c>
      <c r="S2" t="inlineStr">
        <is>
          <t>푸른조경</t>
        </is>
      </c>
    </row>
    <row r="3">
      <c r="A3" t="n">
        <v>2</v>
      </c>
      <c r="B3" t="n">
        <v>22</v>
      </c>
      <c r="C3" t="inlineStr">
        <is>
          <t>10. 조 경 공</t>
        </is>
      </c>
      <c r="D3" t="inlineStr">
        <is>
          <t>나). 생활체육시설B</t>
        </is>
      </c>
      <c r="E3" t="inlineStr">
        <is>
          <t>2836*600*H1760</t>
        </is>
      </c>
      <c r="F3" s="17" t="n">
        <v>1</v>
      </c>
      <c r="G3" t="inlineStr">
        <is>
          <t>EA</t>
        </is>
      </c>
      <c r="H3" t="inlineStr">
        <is>
          <t>운동·체육시설</t>
        </is>
      </c>
      <c r="I3" s="18" t="n">
        <v>0.438</v>
      </c>
      <c r="J3" s="8" t="n">
        <v>4450000</v>
      </c>
      <c r="K3" s="8" t="n">
        <v>250000</v>
      </c>
      <c r="L3" s="8" t="n">
        <v>0</v>
      </c>
      <c r="M3" s="8">
        <f>J3+K3+L3</f>
        <v/>
      </c>
      <c r="N3" s="8">
        <f>F3*J3</f>
        <v/>
      </c>
      <c r="O3" s="8">
        <f>F3*K3</f>
        <v/>
      </c>
      <c r="P3" s="8">
        <f>F3*L3</f>
        <v/>
      </c>
      <c r="Q3" s="8">
        <f>N3+O3+P3</f>
        <v/>
      </c>
      <c r="R3" t="inlineStr">
        <is>
          <t>운동기구</t>
        </is>
      </c>
      <c r="S3" t="inlineStr">
        <is>
          <t>푸른조경</t>
        </is>
      </c>
    </row>
    <row r="4">
      <c r="A4" t="n">
        <v>3</v>
      </c>
      <c r="B4" t="n">
        <v>23</v>
      </c>
      <c r="C4" t="inlineStr">
        <is>
          <t>10. 조 경 공</t>
        </is>
      </c>
      <c r="D4" t="inlineStr">
        <is>
          <t>다). 생활체육시설C</t>
        </is>
      </c>
      <c r="E4" t="inlineStr">
        <is>
          <t>2200*750*H1760</t>
        </is>
      </c>
      <c r="F4" s="17" t="n">
        <v>1</v>
      </c>
      <c r="G4" t="inlineStr">
        <is>
          <t>EA</t>
        </is>
      </c>
      <c r="H4" t="inlineStr">
        <is>
          <t>운동·체육시설</t>
        </is>
      </c>
      <c r="I4" s="18" t="n">
        <v>0.438</v>
      </c>
      <c r="J4" s="8" t="n">
        <v>4200000</v>
      </c>
      <c r="K4" s="8" t="n">
        <v>250000</v>
      </c>
      <c r="L4" s="8" t="n">
        <v>0</v>
      </c>
      <c r="M4" s="8">
        <f>J4+K4+L4</f>
        <v/>
      </c>
      <c r="N4" s="8">
        <f>F4*J4</f>
        <v/>
      </c>
      <c r="O4" s="8">
        <f>F4*K4</f>
        <v/>
      </c>
      <c r="P4" s="8">
        <f>F4*L4</f>
        <v/>
      </c>
      <c r="Q4" s="8">
        <f>N4+O4+P4</f>
        <v/>
      </c>
      <c r="R4" t="inlineStr">
        <is>
          <t>운동기구</t>
        </is>
      </c>
      <c r="S4" t="inlineStr">
        <is>
          <t>푸른조경</t>
        </is>
      </c>
    </row>
    <row r="5">
      <c r="A5" t="n">
        <v>4</v>
      </c>
      <c r="B5" t="n">
        <v>24</v>
      </c>
      <c r="C5" t="inlineStr">
        <is>
          <t>10. 조 경 공</t>
        </is>
      </c>
      <c r="D5" t="inlineStr">
        <is>
          <t>라). 생활체육시설D</t>
        </is>
      </c>
      <c r="E5" t="inlineStr">
        <is>
          <t>2470*750*H1760</t>
        </is>
      </c>
      <c r="F5" s="17" t="n">
        <v>1</v>
      </c>
      <c r="G5" t="inlineStr">
        <is>
          <t>EA</t>
        </is>
      </c>
      <c r="H5" t="inlineStr">
        <is>
          <t>운동·체육시설</t>
        </is>
      </c>
      <c r="I5" s="18" t="n">
        <v>0.438</v>
      </c>
      <c r="J5" s="8" t="n">
        <v>4400000</v>
      </c>
      <c r="K5" s="8" t="n">
        <v>250000</v>
      </c>
      <c r="L5" s="8" t="n">
        <v>0</v>
      </c>
      <c r="M5" s="8">
        <f>J5+K5+L5</f>
        <v/>
      </c>
      <c r="N5" s="8">
        <f>F5*J5</f>
        <v/>
      </c>
      <c r="O5" s="8">
        <f>F5*K5</f>
        <v/>
      </c>
      <c r="P5" s="8">
        <f>F5*L5</f>
        <v/>
      </c>
      <c r="Q5" s="8">
        <f>N5+O5+P5</f>
        <v/>
      </c>
      <c r="R5" t="inlineStr">
        <is>
          <t>운동기구</t>
        </is>
      </c>
      <c r="S5" t="inlineStr">
        <is>
          <t>푸른조경</t>
        </is>
      </c>
    </row>
    <row r="6">
      <c r="A6" t="n">
        <v>5</v>
      </c>
      <c r="B6" t="n">
        <v>25</v>
      </c>
      <c r="C6" t="inlineStr">
        <is>
          <t>10. 조 경 공</t>
        </is>
      </c>
      <c r="D6" t="inlineStr">
        <is>
          <t>마). 파고라A</t>
        </is>
      </c>
      <c r="E6" t="inlineStr">
        <is>
          <t>5000*3200*H2700</t>
        </is>
      </c>
      <c r="F6" s="17" t="n">
        <v>1</v>
      </c>
      <c r="G6" t="inlineStr">
        <is>
          <t>개소</t>
        </is>
      </c>
      <c r="H6" t="inlineStr">
        <is>
          <t>휴게·그늘</t>
        </is>
      </c>
      <c r="I6" s="18" t="n">
        <v>0.404</v>
      </c>
      <c r="J6" s="8" t="n">
        <v>18000000</v>
      </c>
      <c r="K6" s="8" t="n">
        <v>250000</v>
      </c>
      <c r="L6" s="8" t="n">
        <v>0</v>
      </c>
      <c r="M6" s="8">
        <f>J6+K6+L6</f>
        <v/>
      </c>
      <c r="N6" s="8">
        <f>F6*J6</f>
        <v/>
      </c>
      <c r="O6" s="8">
        <f>F6*K6</f>
        <v/>
      </c>
      <c r="P6" s="8">
        <f>F6*L6</f>
        <v/>
      </c>
      <c r="Q6" s="8">
        <f>N6+O6+P6</f>
        <v/>
      </c>
      <c r="R6" t="inlineStr">
        <is>
          <t>퍼걸러</t>
        </is>
      </c>
      <c r="S6" t="inlineStr">
        <is>
          <t>푸른조경</t>
        </is>
      </c>
    </row>
    <row r="7">
      <c r="A7" t="n">
        <v>6</v>
      </c>
      <c r="B7" t="n">
        <v>26</v>
      </c>
      <c r="C7" t="inlineStr">
        <is>
          <t>10. 조 경 공</t>
        </is>
      </c>
      <c r="D7" t="inlineStr">
        <is>
          <t>바). 등의자</t>
        </is>
      </c>
      <c r="E7" t="inlineStr">
        <is>
          <t>1600*533*H766</t>
        </is>
      </c>
      <c r="F7" s="17" t="n">
        <v>9</v>
      </c>
      <c r="G7" t="inlineStr">
        <is>
          <t>EA</t>
        </is>
      </c>
      <c r="H7" t="inlineStr">
        <is>
          <t>의자·벤치</t>
        </is>
      </c>
      <c r="I7" s="18" t="n">
        <v>0.421</v>
      </c>
      <c r="J7" s="8" t="n">
        <v>750000</v>
      </c>
      <c r="K7" s="8" t="n">
        <v>0</v>
      </c>
      <c r="L7" s="8" t="n">
        <v>0</v>
      </c>
      <c r="M7" s="8">
        <f>J7+K7+L7</f>
        <v/>
      </c>
      <c r="N7" s="8">
        <f>F7*J7</f>
        <v/>
      </c>
      <c r="O7" s="8">
        <f>F7*K7</f>
        <v/>
      </c>
      <c r="P7" s="8">
        <f>F7*L7</f>
        <v/>
      </c>
      <c r="Q7" s="8">
        <f>N7+O7+P7</f>
        <v/>
      </c>
      <c r="R7" t="inlineStr">
        <is>
          <t>벤치</t>
        </is>
      </c>
      <c r="S7" t="inlineStr">
        <is>
          <t>푸른조경</t>
        </is>
      </c>
    </row>
    <row r="8">
      <c r="A8" t="n">
        <v>7</v>
      </c>
      <c r="B8" t="n">
        <v>27</v>
      </c>
      <c r="C8" t="inlineStr">
        <is>
          <t>10. 조 경 공</t>
        </is>
      </c>
      <c r="D8" t="inlineStr">
        <is>
          <t>사). 플랜터형의자</t>
        </is>
      </c>
      <c r="E8" t="inlineStr">
        <is>
          <t>2200*2200*H700</t>
        </is>
      </c>
      <c r="F8" s="17" t="n">
        <v>3</v>
      </c>
      <c r="G8" t="inlineStr">
        <is>
          <t>EA</t>
        </is>
      </c>
      <c r="H8" t="inlineStr">
        <is>
          <t>의자·벤치</t>
        </is>
      </c>
      <c r="I8" s="18" t="n">
        <v>0.514</v>
      </c>
      <c r="J8" s="8" t="n">
        <v>3200000</v>
      </c>
      <c r="K8" s="8" t="n">
        <v>200000</v>
      </c>
      <c r="L8" s="8" t="n">
        <v>0</v>
      </c>
      <c r="M8" s="8">
        <f>J8+K8+L8</f>
        <v/>
      </c>
      <c r="N8" s="8">
        <f>F8*J8</f>
        <v/>
      </c>
      <c r="O8" s="8">
        <f>F8*K8</f>
        <v/>
      </c>
      <c r="P8" s="8">
        <f>F8*L8</f>
        <v/>
      </c>
      <c r="Q8" s="8">
        <f>N8+O8+P8</f>
        <v/>
      </c>
      <c r="R8" t="inlineStr">
        <is>
          <t>벤치</t>
        </is>
      </c>
      <c r="S8" t="inlineStr">
        <is>
          <t>푸른조경</t>
        </is>
      </c>
    </row>
    <row r="9">
      <c r="A9" t="n">
        <v>8</v>
      </c>
      <c r="B9" t="n">
        <v>30</v>
      </c>
      <c r="C9" t="inlineStr">
        <is>
          <t>10. 조 경 공</t>
        </is>
      </c>
      <c r="D9" t="inlineStr">
        <is>
          <t>나). 투수블럭포장 B</t>
        </is>
      </c>
      <c r="E9" t="inlineStr">
        <is>
          <t>T80</t>
        </is>
      </c>
      <c r="F9" s="17" t="n">
        <v>143</v>
      </c>
      <c r="G9" t="inlineStr">
        <is>
          <t>m2</t>
        </is>
      </c>
      <c r="H9" t="inlineStr">
        <is>
          <t>포장</t>
        </is>
      </c>
      <c r="I9" s="18" t="n">
        <v>0.546</v>
      </c>
      <c r="J9" s="8" t="n">
        <v>65000</v>
      </c>
      <c r="K9" s="8" t="n">
        <v>18000</v>
      </c>
      <c r="L9" s="8" t="n">
        <v>0</v>
      </c>
      <c r="M9" s="8">
        <f>J9+K9+L9</f>
        <v/>
      </c>
      <c r="N9" s="8">
        <f>F9*J9</f>
        <v/>
      </c>
      <c r="O9" s="8">
        <f>F9*K9</f>
        <v/>
      </c>
      <c r="P9" s="8">
        <f>F9*L9</f>
        <v/>
      </c>
      <c r="Q9" s="8">
        <f>N9+O9+P9</f>
        <v/>
      </c>
      <c r="R9" t="inlineStr">
        <is>
          <t>투수블럭</t>
        </is>
      </c>
      <c r="S9" t="inlineStr">
        <is>
          <t>푸른조경</t>
        </is>
      </c>
    </row>
    <row r="10">
      <c r="A10" t="n">
        <v>9</v>
      </c>
      <c r="B10" t="n">
        <v>37</v>
      </c>
      <c r="C10" t="inlineStr">
        <is>
          <t>10. 조 경 공</t>
        </is>
      </c>
      <c r="D10" t="inlineStr">
        <is>
          <t>가). 집수정</t>
        </is>
      </c>
      <c r="E10" t="inlineStr">
        <is>
          <t>600*600*H900</t>
        </is>
      </c>
      <c r="F10" s="17" t="n">
        <v>4</v>
      </c>
      <c r="G10" t="inlineStr">
        <is>
          <t>EA</t>
        </is>
      </c>
      <c r="H10" t="inlineStr">
        <is>
          <t>배수</t>
        </is>
      </c>
      <c r="I10" s="18" t="n">
        <v>0.527</v>
      </c>
      <c r="J10" s="8" t="n">
        <v>600000</v>
      </c>
      <c r="K10" s="8" t="n">
        <v>100000</v>
      </c>
      <c r="L10" s="8" t="n">
        <v>0</v>
      </c>
      <c r="M10" s="8">
        <f>J10+K10+L10</f>
        <v/>
      </c>
      <c r="N10" s="8">
        <f>F10*J10</f>
        <v/>
      </c>
      <c r="O10" s="8">
        <f>F10*K10</f>
        <v/>
      </c>
      <c r="P10" s="8">
        <f>F10*L10</f>
        <v/>
      </c>
      <c r="Q10" s="8">
        <f>N10+O10+P10</f>
        <v/>
      </c>
      <c r="R10" t="inlineStr">
        <is>
          <t>집수정</t>
        </is>
      </c>
      <c r="S10" t="inlineStr">
        <is>
          <t>푸른조경</t>
        </is>
      </c>
    </row>
    <row r="11">
      <c r="A11" t="n">
        <v>10</v>
      </c>
      <c r="B11" t="n">
        <v>61</v>
      </c>
      <c r="C11" t="inlineStr">
        <is>
          <t>10. 조 경 공</t>
        </is>
      </c>
      <c r="D11" t="inlineStr">
        <is>
          <t>가). 생활체육시설E</t>
        </is>
      </c>
      <c r="E11" t="inlineStr">
        <is>
          <t>1860*1730*H1760</t>
        </is>
      </c>
      <c r="F11" s="17" t="n">
        <v>1</v>
      </c>
      <c r="G11" t="inlineStr">
        <is>
          <t>EA</t>
        </is>
      </c>
      <c r="H11" t="inlineStr">
        <is>
          <t>운동·체육시설</t>
        </is>
      </c>
      <c r="I11" s="18" t="n">
        <v>0.434</v>
      </c>
      <c r="J11" s="8" t="n">
        <v>4300000</v>
      </c>
      <c r="K11" s="8" t="n">
        <v>250000</v>
      </c>
      <c r="L11" s="8" t="n">
        <v>0</v>
      </c>
      <c r="M11" s="8">
        <f>J11+K11+L11</f>
        <v/>
      </c>
      <c r="N11" s="8">
        <f>F11*J11</f>
        <v/>
      </c>
      <c r="O11" s="8">
        <f>F11*K11</f>
        <v/>
      </c>
      <c r="P11" s="8">
        <f>F11*L11</f>
        <v/>
      </c>
      <c r="Q11" s="8">
        <f>N11+O11+P11</f>
        <v/>
      </c>
      <c r="R11" t="inlineStr">
        <is>
          <t>운동기구</t>
        </is>
      </c>
      <c r="S11" t="inlineStr">
        <is>
          <t>푸른조경</t>
        </is>
      </c>
    </row>
    <row r="12">
      <c r="A12" t="n">
        <v>11</v>
      </c>
      <c r="B12" t="n">
        <v>62</v>
      </c>
      <c r="C12" t="inlineStr">
        <is>
          <t>10. 조 경 공</t>
        </is>
      </c>
      <c r="D12" t="inlineStr">
        <is>
          <t>나). 생활체육시설F</t>
        </is>
      </c>
      <c r="E12" t="inlineStr">
        <is>
          <t>2870*860*H1760</t>
        </is>
      </c>
      <c r="F12" s="17" t="n">
        <v>1</v>
      </c>
      <c r="G12" t="inlineStr">
        <is>
          <t>EA</t>
        </is>
      </c>
      <c r="H12" t="inlineStr">
        <is>
          <t>운동·체육시설</t>
        </is>
      </c>
      <c r="I12" s="18" t="n">
        <v>0.438</v>
      </c>
      <c r="J12" s="8" t="n">
        <v>4500000</v>
      </c>
      <c r="K12" s="8" t="n">
        <v>250000</v>
      </c>
      <c r="L12" s="8" t="n">
        <v>0</v>
      </c>
      <c r="M12" s="8">
        <f>J12+K12+L12</f>
        <v/>
      </c>
      <c r="N12" s="8">
        <f>F12*J12</f>
        <v/>
      </c>
      <c r="O12" s="8">
        <f>F12*K12</f>
        <v/>
      </c>
      <c r="P12" s="8">
        <f>F12*L12</f>
        <v/>
      </c>
      <c r="Q12" s="8">
        <f>N12+O12+P12</f>
        <v/>
      </c>
      <c r="R12" t="inlineStr">
        <is>
          <t>운동기구</t>
        </is>
      </c>
      <c r="S12" t="inlineStr">
        <is>
          <t>푸른조경</t>
        </is>
      </c>
    </row>
    <row r="13">
      <c r="A13" t="n">
        <v>12</v>
      </c>
      <c r="B13" t="n">
        <v>63</v>
      </c>
      <c r="C13" t="inlineStr">
        <is>
          <t>10. 조 경 공</t>
        </is>
      </c>
      <c r="D13" t="inlineStr">
        <is>
          <t>다). 생활체육시설G</t>
        </is>
      </c>
      <c r="E13" t="inlineStr">
        <is>
          <t>1850*560*H1760</t>
        </is>
      </c>
      <c r="F13" s="17" t="n">
        <v>1</v>
      </c>
      <c r="G13" t="inlineStr">
        <is>
          <t>EA</t>
        </is>
      </c>
      <c r="H13" t="inlineStr">
        <is>
          <t>운동·체육시설</t>
        </is>
      </c>
      <c r="I13" s="18" t="n">
        <v>0.441</v>
      </c>
      <c r="J13" s="8" t="n">
        <v>4100000</v>
      </c>
      <c r="K13" s="8" t="n">
        <v>250000</v>
      </c>
      <c r="L13" s="8" t="n">
        <v>0</v>
      </c>
      <c r="M13" s="8">
        <f>J13+K13+L13</f>
        <v/>
      </c>
      <c r="N13" s="8">
        <f>F13*J13</f>
        <v/>
      </c>
      <c r="O13" s="8">
        <f>F13*K13</f>
        <v/>
      </c>
      <c r="P13" s="8">
        <f>F13*L13</f>
        <v/>
      </c>
      <c r="Q13" s="8">
        <f>N13+O13+P13</f>
        <v/>
      </c>
      <c r="R13" t="inlineStr">
        <is>
          <t>운동기구</t>
        </is>
      </c>
      <c r="S13" t="inlineStr">
        <is>
          <t>푸른조경</t>
        </is>
      </c>
    </row>
    <row r="14">
      <c r="A14" t="n">
        <v>13</v>
      </c>
      <c r="B14" t="n">
        <v>64</v>
      </c>
      <c r="C14" t="inlineStr">
        <is>
          <t>10. 조 경 공</t>
        </is>
      </c>
      <c r="D14" t="inlineStr">
        <is>
          <t>라). 파고라B</t>
        </is>
      </c>
      <c r="E14" t="inlineStr">
        <is>
          <t>4000*4000*H3200</t>
        </is>
      </c>
      <c r="F14" s="17" t="n">
        <v>1</v>
      </c>
      <c r="G14" t="inlineStr">
        <is>
          <t>개소</t>
        </is>
      </c>
      <c r="H14" t="inlineStr">
        <is>
          <t>휴게·그늘</t>
        </is>
      </c>
      <c r="I14" s="18" t="n">
        <v>0.402</v>
      </c>
      <c r="J14" s="8" t="n">
        <v>15000000</v>
      </c>
      <c r="K14" s="8" t="n">
        <v>600000</v>
      </c>
      <c r="L14" s="8" t="n">
        <v>0</v>
      </c>
      <c r="M14" s="8">
        <f>J14+K14+L14</f>
        <v/>
      </c>
      <c r="N14" s="8">
        <f>F14*J14</f>
        <v/>
      </c>
      <c r="O14" s="8">
        <f>F14*K14</f>
        <v/>
      </c>
      <c r="P14" s="8">
        <f>F14*L14</f>
        <v/>
      </c>
      <c r="Q14" s="8">
        <f>N14+O14+P14</f>
        <v/>
      </c>
      <c r="R14" t="inlineStr">
        <is>
          <t>퍼걸러</t>
        </is>
      </c>
      <c r="S14" t="inlineStr">
        <is>
          <t>푸른조경</t>
        </is>
      </c>
    </row>
    <row r="15">
      <c r="A15" t="n">
        <v>14</v>
      </c>
      <c r="B15" t="n">
        <v>65</v>
      </c>
      <c r="C15" t="inlineStr">
        <is>
          <t>10. 조 경 공</t>
        </is>
      </c>
      <c r="D15" t="inlineStr">
        <is>
          <t>마). 평의자</t>
        </is>
      </c>
      <c r="E15" t="inlineStr">
        <is>
          <t>1600*440*H430</t>
        </is>
      </c>
      <c r="F15" s="17" t="n">
        <v>3</v>
      </c>
      <c r="G15" t="inlineStr">
        <is>
          <t>EA</t>
        </is>
      </c>
      <c r="H15" t="inlineStr">
        <is>
          <t>의자·벤치</t>
        </is>
      </c>
      <c r="I15" s="18" t="n">
        <v>0.421</v>
      </c>
      <c r="J15" s="8" t="n">
        <v>500000</v>
      </c>
      <c r="K15" s="8" t="n">
        <v>0</v>
      </c>
      <c r="L15" s="8" t="n">
        <v>0</v>
      </c>
      <c r="M15" s="8">
        <f>J15+K15+L15</f>
        <v/>
      </c>
      <c r="N15" s="8">
        <f>F15*J15</f>
        <v/>
      </c>
      <c r="O15" s="8">
        <f>F15*K15</f>
        <v/>
      </c>
      <c r="P15" s="8">
        <f>F15*L15</f>
        <v/>
      </c>
      <c r="Q15" s="8">
        <f>N15+O15+P15</f>
        <v/>
      </c>
      <c r="R15" t="inlineStr">
        <is>
          <t>벤치</t>
        </is>
      </c>
      <c r="S15" t="inlineStr">
        <is>
          <t>푸른조경</t>
        </is>
      </c>
    </row>
    <row r="16">
      <c r="A16" t="n">
        <v>15</v>
      </c>
      <c r="B16" t="n">
        <v>66</v>
      </c>
      <c r="C16" t="inlineStr">
        <is>
          <t>10. 조 경 공</t>
        </is>
      </c>
      <c r="D16" t="inlineStr">
        <is>
          <t>바). 등의자</t>
        </is>
      </c>
      <c r="E16" t="inlineStr">
        <is>
          <t>1600*533*H766</t>
        </is>
      </c>
      <c r="F16" s="17" t="n">
        <v>4</v>
      </c>
      <c r="G16" t="inlineStr">
        <is>
          <t>EA</t>
        </is>
      </c>
      <c r="H16" t="inlineStr">
        <is>
          <t>의자·벤치</t>
        </is>
      </c>
      <c r="I16" s="18" t="n">
        <v>0.421</v>
      </c>
      <c r="J16" s="8" t="n">
        <v>750000</v>
      </c>
      <c r="K16" s="8" t="n">
        <v>0</v>
      </c>
      <c r="L16" s="8" t="n">
        <v>0</v>
      </c>
      <c r="M16" s="8">
        <f>J16+K16+L16</f>
        <v/>
      </c>
      <c r="N16" s="8">
        <f>F16*J16</f>
        <v/>
      </c>
      <c r="O16" s="8">
        <f>F16*K16</f>
        <v/>
      </c>
      <c r="P16" s="8">
        <f>F16*L16</f>
        <v/>
      </c>
      <c r="Q16" s="8">
        <f>N16+O16+P16</f>
        <v/>
      </c>
      <c r="R16" t="inlineStr">
        <is>
          <t>벤치</t>
        </is>
      </c>
      <c r="S16" t="inlineStr">
        <is>
          <t>푸른조경</t>
        </is>
      </c>
    </row>
    <row r="17">
      <c r="A17" t="n">
        <v>16</v>
      </c>
      <c r="B17" t="n">
        <v>67</v>
      </c>
      <c r="C17" t="inlineStr">
        <is>
          <t>10. 조 경 공</t>
        </is>
      </c>
      <c r="D17" t="inlineStr">
        <is>
          <t>사). 플랜터형의자</t>
        </is>
      </c>
      <c r="E17" t="inlineStr">
        <is>
          <t>2200*2200*H700</t>
        </is>
      </c>
      <c r="F17" s="17" t="n">
        <v>3</v>
      </c>
      <c r="G17" t="inlineStr">
        <is>
          <t>EA</t>
        </is>
      </c>
      <c r="H17" t="inlineStr">
        <is>
          <t>의자·벤치</t>
        </is>
      </c>
      <c r="I17" s="18" t="n">
        <v>0.514</v>
      </c>
      <c r="J17" s="8" t="n">
        <v>3200000</v>
      </c>
      <c r="K17" s="8" t="n">
        <v>200000</v>
      </c>
      <c r="L17" s="8" t="n">
        <v>0</v>
      </c>
      <c r="M17" s="8">
        <f>J17+K17+L17</f>
        <v/>
      </c>
      <c r="N17" s="8">
        <f>F17*J17</f>
        <v/>
      </c>
      <c r="O17" s="8">
        <f>F17*K17</f>
        <v/>
      </c>
      <c r="P17" s="8">
        <f>F17*L17</f>
        <v/>
      </c>
      <c r="Q17" s="8">
        <f>N17+O17+P17</f>
        <v/>
      </c>
      <c r="R17" t="inlineStr">
        <is>
          <t>벤치</t>
        </is>
      </c>
      <c r="S17" t="inlineStr">
        <is>
          <t>푸른조경</t>
        </is>
      </c>
    </row>
    <row r="18">
      <c r="A18" t="n">
        <v>17</v>
      </c>
      <c r="B18" t="n">
        <v>68</v>
      </c>
      <c r="C18" t="inlineStr">
        <is>
          <t>10. 조 경 공</t>
        </is>
      </c>
      <c r="D18" t="inlineStr">
        <is>
          <t>아). 안전휀스</t>
        </is>
      </c>
      <c r="E18" t="inlineStr">
        <is>
          <t>2200*2200*H700</t>
        </is>
      </c>
      <c r="F18" s="17" t="n">
        <v>23</v>
      </c>
      <c r="G18" t="inlineStr">
        <is>
          <t>경간</t>
        </is>
      </c>
      <c r="H18" t="inlineStr">
        <is>
          <t>울타리·펜스</t>
        </is>
      </c>
      <c r="I18" s="18" t="n">
        <v>0.495</v>
      </c>
      <c r="J18" s="8" t="n">
        <v>220000</v>
      </c>
      <c r="K18" s="8" t="n">
        <v>5000</v>
      </c>
      <c r="L18" s="8" t="n">
        <v>0</v>
      </c>
      <c r="M18" s="8">
        <f>J18+K18+L18</f>
        <v/>
      </c>
      <c r="N18" s="8">
        <f>F18*J18</f>
        <v/>
      </c>
      <c r="O18" s="8">
        <f>F18*K18</f>
        <v/>
      </c>
      <c r="P18" s="8">
        <f>F18*L18</f>
        <v/>
      </c>
      <c r="Q18" s="8">
        <f>N18+O18+P18</f>
        <v/>
      </c>
      <c r="R18" t="inlineStr">
        <is>
          <t>울타리</t>
        </is>
      </c>
      <c r="S18" t="inlineStr">
        <is>
          <t>푸른조경</t>
        </is>
      </c>
    </row>
    <row r="19">
      <c r="A19" t="n">
        <v>18</v>
      </c>
      <c r="B19" t="n">
        <v>71</v>
      </c>
      <c r="C19" t="inlineStr">
        <is>
          <t>10. 조 경 공</t>
        </is>
      </c>
      <c r="D19" t="inlineStr">
        <is>
          <t>나). 투수블럭포장 B</t>
        </is>
      </c>
      <c r="E19" t="inlineStr">
        <is>
          <t>T80</t>
        </is>
      </c>
      <c r="F19" s="17" t="n">
        <v>21</v>
      </c>
      <c r="G19" t="inlineStr">
        <is>
          <t>m2</t>
        </is>
      </c>
      <c r="H19" t="inlineStr">
        <is>
          <t>포장</t>
        </is>
      </c>
      <c r="I19" s="18" t="n">
        <v>0.546</v>
      </c>
      <c r="J19" s="8" t="n">
        <v>65000</v>
      </c>
      <c r="K19" s="8" t="n">
        <v>18000</v>
      </c>
      <c r="L19" s="8" t="n">
        <v>0</v>
      </c>
      <c r="M19" s="8">
        <f>J19+K19+L19</f>
        <v/>
      </c>
      <c r="N19" s="8">
        <f>F19*J19</f>
        <v/>
      </c>
      <c r="O19" s="8">
        <f>F19*K19</f>
        <v/>
      </c>
      <c r="P19" s="8">
        <f>F19*L19</f>
        <v/>
      </c>
      <c r="Q19" s="8">
        <f>N19+O19+P19</f>
        <v/>
      </c>
      <c r="R19" t="inlineStr">
        <is>
          <t>투수블럭</t>
        </is>
      </c>
      <c r="S19" t="inlineStr">
        <is>
          <t>푸른조경</t>
        </is>
      </c>
    </row>
    <row r="20">
      <c r="A20" t="n">
        <v>19</v>
      </c>
      <c r="B20" t="n">
        <v>77</v>
      </c>
      <c r="C20" t="inlineStr">
        <is>
          <t>10. 조 경 공</t>
        </is>
      </c>
      <c r="D20" t="inlineStr">
        <is>
          <t>가). 집수정</t>
        </is>
      </c>
      <c r="E20" t="inlineStr">
        <is>
          <t>600*600*H900</t>
        </is>
      </c>
      <c r="F20" s="17" t="n">
        <v>8</v>
      </c>
      <c r="G20" t="inlineStr">
        <is>
          <t>EA</t>
        </is>
      </c>
      <c r="H20" t="inlineStr">
        <is>
          <t>배수</t>
        </is>
      </c>
      <c r="I20" s="18" t="n">
        <v>0.527</v>
      </c>
      <c r="J20" s="8" t="n">
        <v>600000</v>
      </c>
      <c r="K20" s="8" t="n">
        <v>100000</v>
      </c>
      <c r="L20" s="8" t="n">
        <v>0</v>
      </c>
      <c r="M20" s="8">
        <f>J20+K20+L20</f>
        <v/>
      </c>
      <c r="N20" s="8">
        <f>F20*J20</f>
        <v/>
      </c>
      <c r="O20" s="8">
        <f>F20*K20</f>
        <v/>
      </c>
      <c r="P20" s="8">
        <f>F20*L20</f>
        <v/>
      </c>
      <c r="Q20" s="8">
        <f>N20+O20+P20</f>
        <v/>
      </c>
      <c r="R20" t="inlineStr">
        <is>
          <t>집수정</t>
        </is>
      </c>
      <c r="S20" t="inlineStr">
        <is>
          <t>푸른조경</t>
        </is>
      </c>
    </row>
    <row r="21">
      <c r="A21" t="n">
        <v>20</v>
      </c>
      <c r="B21" t="n">
        <v>107</v>
      </c>
      <c r="C21" t="inlineStr">
        <is>
          <t>10. 조 경 공</t>
        </is>
      </c>
      <c r="D21" t="inlineStr">
        <is>
          <t>가). 수목보호판</t>
        </is>
      </c>
      <c r="E21" t="inlineStr">
        <is>
          <t>800*800</t>
        </is>
      </c>
      <c r="F21" s="17" t="n">
        <v>144</v>
      </c>
      <c r="G21" t="inlineStr">
        <is>
          <t>EA</t>
        </is>
      </c>
      <c r="H21" t="inlineStr">
        <is>
          <t>수목보호</t>
        </is>
      </c>
      <c r="I21" s="18" t="n">
        <v>0.499</v>
      </c>
      <c r="J21" s="8" t="n">
        <v>290000</v>
      </c>
      <c r="K21" s="8" t="n">
        <v>20000</v>
      </c>
      <c r="L21" s="8" t="n">
        <v>3000</v>
      </c>
      <c r="M21" s="8">
        <f>J21+K21+L21</f>
        <v/>
      </c>
      <c r="N21" s="8">
        <f>F21*J21</f>
        <v/>
      </c>
      <c r="O21" s="8">
        <f>F21*K21</f>
        <v/>
      </c>
      <c r="P21" s="8">
        <f>F21*L21</f>
        <v/>
      </c>
      <c r="Q21" s="8">
        <f>N21+O21+P21</f>
        <v/>
      </c>
      <c r="R21" t="inlineStr">
        <is>
          <t>수목보호</t>
        </is>
      </c>
      <c r="S21" t="inlineStr">
        <is>
          <t>푸른조경</t>
        </is>
      </c>
    </row>
    <row r="22">
      <c r="A22" s="19" t="n"/>
      <c r="B22" s="19" t="n"/>
      <c r="C22" s="19" t="n"/>
      <c r="D22" s="19" t="inlineStr">
        <is>
          <t>★ 합계</t>
        </is>
      </c>
      <c r="E22" s="19" t="n"/>
      <c r="F22" s="20" t="n"/>
      <c r="G22" s="19" t="n"/>
      <c r="H22" s="19" t="n"/>
      <c r="I22" s="21" t="n"/>
      <c r="J22" s="22" t="n"/>
      <c r="K22" s="22" t="n"/>
      <c r="L22" s="22" t="n"/>
      <c r="M22" s="22" t="n"/>
      <c r="N22" s="22">
        <f>SUM(N2:N21)</f>
        <v/>
      </c>
      <c r="O22" s="22">
        <f>SUM(O2:O21)</f>
        <v/>
      </c>
      <c r="P22" s="22">
        <f>SUM(P2:P21)</f>
        <v/>
      </c>
      <c r="Q22" s="22">
        <f>SUM(Q2:Q21)</f>
        <v/>
      </c>
      <c r="R22" s="19" t="n"/>
      <c r="S22" s="1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6.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대상</t>
        </is>
      </c>
      <c r="B2" t="inlineStr">
        <is>
          <t>01 조경 — 표준DB hybrid 산출 시 미매칭 20건</t>
        </is>
      </c>
    </row>
    <row r="3">
      <c r="A3" t="inlineStr">
        <is>
          <t>현재 통합 산출</t>
        </is>
      </c>
      <c r="B3" t="inlineStr">
        <is>
          <t>푸른조경(260620) 원본 금액 반영 → 80/80 매칭</t>
        </is>
      </c>
    </row>
    <row r="4">
      <c r="A4" t="inlineStr">
        <is>
          <t>합계(20건)</t>
        </is>
      </c>
      <c r="B4" s="13">
        <f>'미매칭20건'!Q22</f>
        <v/>
      </c>
    </row>
    <row r="5"/>
    <row r="6">
      <c r="A6" t="inlineStr">
        <is>
          <t>분류</t>
        </is>
      </c>
      <c r="B6" t="inlineStr">
        <is>
          <t>건수</t>
        </is>
      </c>
      <c r="C6" t="inlineStr">
        <is>
          <t>푸른조경 합계</t>
        </is>
      </c>
    </row>
    <row r="7">
      <c r="A7" t="inlineStr">
        <is>
          <t>배수</t>
        </is>
      </c>
      <c r="B7" t="n">
        <v>2</v>
      </c>
      <c r="C7" s="13">
        <f>SUMIF('미매칭20건'!$H$2:$H$21,"배수",'미매칭20건'!$Q$2:$Q$21)</f>
        <v/>
      </c>
    </row>
    <row r="8">
      <c r="A8" t="inlineStr">
        <is>
          <t>수목보호</t>
        </is>
      </c>
      <c r="B8" t="n">
        <v>1</v>
      </c>
      <c r="C8" s="13">
        <f>SUMIF('미매칭20건'!$H$2:$H$21,"수목보호",'미매칭20건'!$Q$2:$Q$21)</f>
        <v/>
      </c>
    </row>
    <row r="9">
      <c r="A9" t="inlineStr">
        <is>
          <t>운동·체육시설</t>
        </is>
      </c>
      <c r="B9" t="n">
        <v>7</v>
      </c>
      <c r="C9" s="13">
        <f>SUMIF('미매칭20건'!$H$2:$H$21,"운동·체육시설",'미매칭20건'!$Q$2:$Q$21)</f>
        <v/>
      </c>
    </row>
    <row r="10">
      <c r="A10" t="inlineStr">
        <is>
          <t>울타리·펜스</t>
        </is>
      </c>
      <c r="B10" t="n">
        <v>1</v>
      </c>
      <c r="C10" s="13">
        <f>SUMIF('미매칭20건'!$H$2:$H$21,"울타리·펜스",'미매칭20건'!$Q$2:$Q$21)</f>
        <v/>
      </c>
    </row>
    <row r="11">
      <c r="A11" t="inlineStr">
        <is>
          <t>의자·벤치</t>
        </is>
      </c>
      <c r="B11" t="n">
        <v>5</v>
      </c>
      <c r="C11" s="13">
        <f>SUMIF('미매칭20건'!$H$2:$H$21,"의자·벤치",'미매칭20건'!$Q$2:$Q$21)</f>
        <v/>
      </c>
    </row>
    <row r="12">
      <c r="A12" t="inlineStr">
        <is>
          <t>포장</t>
        </is>
      </c>
      <c r="B12" t="n">
        <v>2</v>
      </c>
      <c r="C12" s="13">
        <f>SUMIF('미매칭20건'!$H$2:$H$21,"포장",'미매칭20건'!$Q$2:$Q$21)</f>
        <v/>
      </c>
    </row>
    <row r="13">
      <c r="A13" t="inlineStr">
        <is>
          <t>휴게·그늘</t>
        </is>
      </c>
      <c r="B13" t="n">
        <v>2</v>
      </c>
      <c r="C13" s="13">
        <f>SUMIF('미매칭20건'!$H$2:$H$21,"휴게·그늘",'미매칭20건'!$Q$2:$Q$21)</f>
        <v/>
      </c>
    </row>
    <row r="14">
      <c r="A14" s="9" t="inlineStr">
        <is>
          <t>합계</t>
        </is>
      </c>
      <c r="B14" s="9">
        <f>COUNTA('미매칭20건'!A2:A21)</f>
        <v/>
      </c>
      <c r="C14" s="12">
        <f>'미매칭20건'!Q22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2026-06-29T00:33:05Z</dcterms:created>
  <dcterms:modified xmlns:dcterms="http://purl.org/dc/terms/" xmlns:xsi="http://www.w3.org/2001/XMLSchema-instance" xsi:type="dcterms:W3CDTF">2026-06-29T00:37:53Z</dcterms:modified>
  <cp:lastModifiedBy>김찬식 초록마을</cp:lastModifiedBy>
</cp:coreProperties>
</file>