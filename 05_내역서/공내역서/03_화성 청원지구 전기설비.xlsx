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251688e3d9c1650/Cursor/청원산단(화성)/04_내역서/공내역서/"/>
    </mc:Choice>
  </mc:AlternateContent>
  <xr:revisionPtr revIDLastSave="1" documentId="11_24FC8AF50F0371DC2E1C448FDD7FD854A3699AF2" xr6:coauthVersionLast="47" xr6:coauthVersionMax="47" xr10:uidLastSave="{AE8089D3-5CF4-4B8C-B1E3-BB1858899739}"/>
  <bookViews>
    <workbookView xWindow="-120" yWindow="-120" windowWidth="38640" windowHeight="21120" tabRatio="724" activeTab="2" xr2:uid="{00000000-000D-0000-FFFF-FFFF00000000}"/>
  </bookViews>
  <sheets>
    <sheet name="원가" sheetId="3" r:id="rId1"/>
    <sheet name="총괄표" sheetId="11" r:id="rId2"/>
    <sheet name="내역서" sheetId="10" r:id="rId3"/>
    <sheet name="한전인입공사비 (지구내)" sheetId="17" r:id="rId4"/>
    <sheet name="사용전검사비 (지구내)" sheetId="18" r:id="rId5"/>
    <sheet name="일대목차" sheetId="12" r:id="rId6"/>
    <sheet name="일위대가" sheetId="9" r:id="rId7"/>
    <sheet name="일위노임" sheetId="15" r:id="rId8"/>
    <sheet name="단가조사" sheetId="7" r:id="rId9"/>
    <sheet name="이후출력안함" sheetId="16" r:id="rId10"/>
    <sheet name="옵션" sheetId="5" r:id="rId11"/>
    <sheet name="사용설명" sheetId="14" r:id="rId12"/>
    <sheet name="겉표지" sheetId="1" r:id="rId13"/>
    <sheet name="표지" sheetId="2" r:id="rId14"/>
    <sheet name="합산자재" sheetId="6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" hidden="1">[1]Sheet3!#REF!</definedName>
    <definedName name="_________ju8" hidden="1">{"'광피스표'!$A$3:$N$54"}</definedName>
    <definedName name="_________LGT2" hidden="1">{#N/A,#N/A,FALSE,"3가";#N/A,#N/A,FALSE,"3나";#N/A,#N/A,FALSE,"3다"}</definedName>
    <definedName name="_______ju8" hidden="1">{"'광피스표'!$A$3:$N$54"}</definedName>
    <definedName name="_______LGT2" hidden="1">{#N/A,#N/A,FALSE,"3가";#N/A,#N/A,FALSE,"3나";#N/A,#N/A,FALSE,"3다"}</definedName>
    <definedName name="_______SW2" hidden="1">{#N/A,#N/A,FALSE,"전력간선"}</definedName>
    <definedName name="______ju8" hidden="1">{"'광피스표'!$A$3:$N$54"}</definedName>
    <definedName name="______LGT2" hidden="1">{#N/A,#N/A,FALSE,"3가";#N/A,#N/A,FALSE,"3나";#N/A,#N/A,FALSE,"3다"}</definedName>
    <definedName name="______SW2" hidden="1">{#N/A,#N/A,FALSE,"전력간선"}</definedName>
    <definedName name="_____ju8" hidden="1">{"'광피스표'!$A$3:$N$54"}</definedName>
    <definedName name="_____LGT2" hidden="1">{#N/A,#N/A,FALSE,"3가";#N/A,#N/A,FALSE,"3나";#N/A,#N/A,FALSE,"3다"}</definedName>
    <definedName name="_____SW2" hidden="1">{#N/A,#N/A,FALSE,"전력간선"}</definedName>
    <definedName name="____SW2" hidden="1">{#N/A,#N/A,FALSE,"전력간선"}</definedName>
    <definedName name="___ju8" hidden="1">{"'광피스표'!$A$3:$N$54"}</definedName>
    <definedName name="___LGT2" hidden="1">{#N/A,#N/A,FALSE,"3가";#N/A,#N/A,FALSE,"3나";#N/A,#N/A,FALSE,"3다"}</definedName>
    <definedName name="___SW2" hidden="1">{#N/A,#N/A,FALSE,"전력간선"}</definedName>
    <definedName name="__123Graph_A" hidden="1">'[2]1TL종점(1)'!#REF!</definedName>
    <definedName name="__123Graph_X" hidden="1">'[2]1TL종점(1)'!#REF!</definedName>
    <definedName name="__IntlFixup" hidden="1">TRUE</definedName>
    <definedName name="_1S" hidden="1">'[3]6PILE  (돌출)'!#REF!</definedName>
    <definedName name="_2_0_S" hidden="1">'[3]6PILE  (돌출)'!#REF!</definedName>
    <definedName name="_Dist_Bin" hidden="1">#REF!</definedName>
    <definedName name="_Dist_Values" hidden="1">#REF!</definedName>
    <definedName name="_EE1" hidden="1">{#N/A,#N/A,FALSE,"단가표지"}</definedName>
    <definedName name="_Fill" hidden="1">#REF!</definedName>
    <definedName name="_xlnm._FilterDatabase" hidden="1">#REF!</definedName>
    <definedName name="_ju8" hidden="1">{"'광피스표'!$A$3:$N$54"}</definedName>
    <definedName name="_KD2" hidden="1">#REF!</definedName>
    <definedName name="_KD3" hidden="1">#REF!</definedName>
    <definedName name="_Key1" hidden="1">#REF!</definedName>
    <definedName name="_Key2" hidden="1">#REF!</definedName>
    <definedName name="_KK2" hidden="1">#REF!</definedName>
    <definedName name="_KK3" hidden="1">#REF!</definedName>
    <definedName name="_LGT2" hidden="1">{#N/A,#N/A,FALSE,"3가";#N/A,#N/A,FALSE,"3나";#N/A,#N/A,FALSE,"3다"}</definedName>
    <definedName name="_MatInverse_In" hidden="1">#REF!</definedName>
    <definedName name="_MatMult_A" hidden="1">#REF!</definedName>
    <definedName name="_MatMult_AxB" hidden="1">#REF!</definedName>
    <definedName name="_MatMult_B" hidden="1">#REF!</definedName>
    <definedName name="_Order1" hidden="1">255</definedName>
    <definedName name="_Order2" hidden="1">255</definedName>
    <definedName name="_Parse_Out" hidden="1">#REF!</definedName>
    <definedName name="_QQ1" hidden="1">{#N/A,#N/A,FALSE,"단가표지"}</definedName>
    <definedName name="_QW1" hidden="1">{#N/A,#N/A,FALSE,"단가표지"}</definedName>
    <definedName name="_Regression_Int" hidden="1">1</definedName>
    <definedName name="_Sort" hidden="1">#REF!</definedName>
    <definedName name="_SS1" hidden="1">{#N/A,#N/A,FALSE,"운반시간"}</definedName>
    <definedName name="_SW2" hidden="1">{#N/A,#N/A,FALSE,"전력간선"}</definedName>
    <definedName name="_Table1_In1" hidden="1">#REF!</definedName>
    <definedName name="_Table1_Out" hidden="1">#REF!</definedName>
    <definedName name="abc" hidden="1">{"'자리배치도'!$AG$1:$CI$28"}</definedName>
    <definedName name="abcd" hidden="1">{"'자리배치도'!$AG$1:$CI$28"}</definedName>
    <definedName name="Access_Button" hidden="1">"KT과금거리_지역좌표_970827_거리계산표_List"</definedName>
    <definedName name="AccessDatabase" hidden="1">"E:\내 문서\요금\KT과금거리 지역좌표_970827.mdb"</definedName>
    <definedName name="AJH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KT" hidden="1">{#N/A,#N/A,FALSE,"3가";#N/A,#N/A,FALSE,"3나";#N/A,#N/A,FALSE,"3다"}</definedName>
    <definedName name="anscount" hidden="1">1</definedName>
    <definedName name="as" hidden="1">#REF!</definedName>
    <definedName name="BG" hidden="1">{"'광피스표'!$A$3:$N$54"}</definedName>
    <definedName name="CC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CTV" hidden="1">{#N/A,#N/A,FALSE,"전력간선"}</definedName>
    <definedName name="CF요인" hidden="1">#REF!</definedName>
    <definedName name="CV" hidden="1">{"'광피스표'!$A$3:$N$54"}</definedName>
    <definedName name="DCGRE" hidden="1">{#N/A,#N/A,TRUE,"토적및재료집계";#N/A,#N/A,TRUE,"토적및재료집계";#N/A,#N/A,TRUE,"단위량"}</definedName>
    <definedName name="ddddd" hidden="1">#REF!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dfd" hidden="1">{#N/A,#N/A,FALSE,"운반시간"}</definedName>
    <definedName name="dfghfghjhjky" hidden="1">#N/A</definedName>
    <definedName name="dfgjkyufdts" hidden="1">'[3]6PILE  (돌출)'!#REF!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ghb" hidden="1">'[3]6PILE  (돌출)'!#REF!</definedName>
    <definedName name="dn" hidden="1">{#N/A,#N/A,FALSE,"혼합골재"}</definedName>
    <definedName name="dsfs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DWD" hidden="1">{#N/A,#N/A,FALSE,"전력간선"}</definedName>
    <definedName name="ee" hidden="1">{#N/A,#N/A,FALSE,"단가표지"}</definedName>
    <definedName name="EE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.송운" hidden="1">{#N/A,#N/A,FALSE,"운반시간"}</definedName>
    <definedName name="eeeeeee" hidden="1">{"'자리배치도'!$AG$1:$CI$28"}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rt" hidden="1">{#N/A,#N/A,FALSE,"부대1"}</definedName>
    <definedName name="ewrertr4" hidden="1">{"'자리배치도'!$AG$1:$CI$28"}</definedName>
    <definedName name="f" hidden="1">[4]BID!#REF!</definedName>
    <definedName name="fff" hidden="1">{#N/A,#N/A,FALSE,"3가";#N/A,#N/A,FALSE,"3나";#N/A,#N/A,FALSE,"3다"}</definedName>
    <definedName name="fffff" hidden="1">#REF!</definedName>
    <definedName name="fg" hidden="1">{"'광피스표'!$A$3:$N$54"}</definedName>
    <definedName name="fgbvh" hidden="1">'[3]6PILE  (돌출)'!#REF!</definedName>
    <definedName name="fgf" hidden="1">{#N/A,#N/A,FALSE,"부대1"}</definedName>
    <definedName name="fghh" hidden="1">{#N/A,#N/A,FALSE,"부대2"}</definedName>
    <definedName name="fv" hidden="1">{#N/A,#N/A,FALSE,"전력간선"}</definedName>
    <definedName name="GEMCO" hidden="1">#REF!</definedName>
    <definedName name="gfgdfg" hidden="1">[4]BID!#REF!</definedName>
    <definedName name="gfhgdtdjgh" hidden="1">'[3]6PILE  (돌출)'!#REF!</definedName>
    <definedName name="gg" hidden="1">{#N/A,#N/A,FALSE,"운반시간"}</definedName>
    <definedName name="GG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JJ" hidden="1">{"'광피스표'!$A$3:$N$54"}</definedName>
    <definedName name="ghtjs" hidden="1">{"'자리배치도'!$AG$1:$CI$28"}</definedName>
    <definedName name="gkkhlgy" hidden="1">'[3]6PILE  (돌출)'!#REF!</definedName>
    <definedName name="grew" hidden="1">[4]BID!$C$1:$H$533</definedName>
    <definedName name="gukgkf" hidden="1">'[3]6PILE  (돌출)'!#REF!</definedName>
    <definedName name="han" hidden="1">[4]BID!$A$1:$A$1714</definedName>
    <definedName name="hardwar" hidden="1">#REF!</definedName>
    <definedName name="HGHV" hidden="1">{#N/A,#N/A,TRUE,"토적및재료집계";#N/A,#N/A,TRUE,"토적및재료집계";#N/A,#N/A,TRUE,"단위량"}</definedName>
    <definedName name="hgjghhj" hidden="1">'[3]6PILE  (돌출)'!#REF!</definedName>
    <definedName name="hgjnjgh" hidden="1">'[3]6PILE  (돌출)'!#REF!</definedName>
    <definedName name="HHHH" hidden="1">{#N/A,#N/A,FALSE,"CCTV"}</definedName>
    <definedName name="hj" hidden="1">{#N/A,#N/A,FALSE,"구조1"}</definedName>
    <definedName name="HTML_CodePage" hidden="1">949</definedName>
    <definedName name="HTML_Control" hidden="1">{"'자리배치도'!$AG$1:$CI$28"}</definedName>
    <definedName name="HTML_Description" hidden="1">""</definedName>
    <definedName name="HTML_Email" hidden="1">""</definedName>
    <definedName name="HTML_Header" hidden="1">"자리배치도"</definedName>
    <definedName name="HTML_LastUpdate" hidden="1">"98-04-21"</definedName>
    <definedName name="HTML_LineAfter" hidden="1">FALSE</definedName>
    <definedName name="HTML_LineBefore" hidden="1">FALSE</definedName>
    <definedName name="HTML_Name" hidden="1">"김회진"</definedName>
    <definedName name="HTML_OBDlg2" hidden="1">TRUE</definedName>
    <definedName name="HTML_OBDlg4" hidden="1">TRUE</definedName>
    <definedName name="HTML_OS" hidden="1">0</definedName>
    <definedName name="HTML_PathFile" hidden="1">"E:\업무분장\DESK.htm"</definedName>
    <definedName name="HTML_Title" hidden="1">"좌석배치"</definedName>
    <definedName name="hyhk" hidden="1">{#N/A,#N/A,FALSE,"배수1"}</definedName>
    <definedName name="iiiii" hidden="1">{"'자리배치도'!$AG$1:$CI$28"}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J" hidden="1">{"'광피스표'!$A$3:$N$54"}</definedName>
    <definedName name="j" hidden="1">[4]BID!$A$1:$A$734</definedName>
    <definedName name="JH" hidden="1">{"'광피스표'!$A$3:$N$54"}</definedName>
    <definedName name="jj" hidden="1">'[3]6PILE  (돌출)'!#REF!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JJ" hidden="1">[4]BID!$A$1:$A$524</definedName>
    <definedName name="jjk" hidden="1">{#N/A,#N/A,FALSE,"구조2"}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uy" hidden="1">{"'광피스표'!$A$3:$N$54"}</definedName>
    <definedName name="KB" hidden="1">{"'광피스표'!$A$3:$N$54"}</definedName>
    <definedName name="kfgfhf" hidden="1">'[3]6PILE  (돌출)'!#REF!</definedName>
    <definedName name="kgjf" hidden="1">{#N/A,#N/A,FALSE,"이정표"}</definedName>
    <definedName name="kk" hidden="1">{#N/A,#N/A,FALSE,"3가";#N/A,#N/A,FALSE,"3나";#N/A,#N/A,FALSE,"3다"}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o" hidden="1">{"'광피스표'!$A$3:$N$54"}</definedName>
    <definedName name="mm" hidden="1">{#N/A,#N/A,TRUE,"토적및재료집계";#N/A,#N/A,TRUE,"토적및재료집계";#N/A,#N/A,TRUE,"단위량"}</definedName>
    <definedName name="MMM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" hidden="1">[4]BID!$A$1:$A$4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WNAME" hidden="1">{#N/A,#N/A,FALSE,"CCTV"}</definedName>
    <definedName name="nn" hidden="1">{#N/A,#N/A,FALSE,"구조2"}</definedName>
    <definedName name="ocf" hidden="1">#REF!</definedName>
    <definedName name="ONP" hidden="1">'[5]전체내역 (2)'!#REF!</definedName>
    <definedName name="OO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oooooo" hidden="1">{"'자리배치도'!$AG$1:$CI$28"}</definedName>
    <definedName name="opo" hidden="1">{#N/A,#N/A,FALSE,"지침";#N/A,#N/A,FALSE,"환경분석";#N/A,#N/A,FALSE,"Sheet16"}</definedName>
    <definedName name="order2" hidden="1">0</definedName>
    <definedName name="pico검토" hidden="1">{#N/A,#N/A,FALSE,"3가";#N/A,#N/A,FALSE,"3나";#N/A,#N/A,FALSE,"3다"}</definedName>
    <definedName name="PP" hidden="1">{#N/A,#N/A,TRUE,"토적및재료집계";#N/A,#N/A,TRUE,"토적및재료집계";#N/A,#N/A,TRUE,"단위량"}</definedName>
    <definedName name="PPP" hidden="1">{#N/A,#N/A,TRUE,"토적및재료집계";#N/A,#N/A,TRUE,"토적및재료집계";#N/A,#N/A,TRUE,"단위량"}</definedName>
    <definedName name="ppppp" hidden="1">{"'자리배치도'!$AG$1:$CI$28"}</definedName>
    <definedName name="_xlnm.Print_Area" localSheetId="12">겉표지!$A$1:$I$49</definedName>
    <definedName name="_xlnm.Print_Area" localSheetId="2">내역서!$A$1:$Q$341</definedName>
    <definedName name="_xlnm.Print_Area" localSheetId="8">단가조사!$A$1:$T$153</definedName>
    <definedName name="_xlnm.Print_Area" localSheetId="4">'사용전검사비 (지구내)'!$A$1:$L$23</definedName>
    <definedName name="_xlnm.Print_Area" localSheetId="0">원가!$A$1:$E$35</definedName>
    <definedName name="_xlnm.Print_Area" localSheetId="7">일위노임!$A$1:$T$289</definedName>
    <definedName name="_xlnm.Print_Area" localSheetId="6">일위대가!$A$1:$Q$497</definedName>
    <definedName name="_xlnm.Print_Area" localSheetId="1">총괄표!$A$1:$Q$81</definedName>
    <definedName name="_xlnm.Print_Area" localSheetId="13">표지!$A$1:$K$45</definedName>
    <definedName name="_xlnm.Print_Area" localSheetId="3">'한전인입공사비 (지구내)'!$A$1:$L$47</definedName>
    <definedName name="_xlnm.Print_Titles" localSheetId="2">내역서!$1:$3</definedName>
    <definedName name="_xlnm.Print_Titles" localSheetId="8">단가조사!$1:$3</definedName>
    <definedName name="_xlnm.Print_Titles" localSheetId="5">일대목차!$1:$3</definedName>
    <definedName name="_xlnm.Print_Titles" localSheetId="7">일위노임!$1:$3</definedName>
    <definedName name="_xlnm.Print_Titles" localSheetId="6">일위대가!$1:$3</definedName>
    <definedName name="_xlnm.Print_Titles" localSheetId="1">총괄표!$1:$3</definedName>
    <definedName name="_xlnm.Print_Titles" localSheetId="14">합산자재!$1:$3</definedName>
    <definedName name="q" hidden="1">[4]BID!$C$1:$H$533</definedName>
    <definedName name="qk" hidden="1">{"'자리배치도'!$AG$1:$CI$28"}</definedName>
    <definedName name="qor" hidden="1">[4]BID!$A$1:$A$4</definedName>
    <definedName name="qq" hidden="1">{#N/A,#N/A,FALSE,"단가표지"}</definedName>
    <definedName name="qqq" hidden="1">#REF!</definedName>
    <definedName name="qw" hidden="1">{#N/A,#N/A,FALSE,"단가표지"}</definedName>
    <definedName name="QWS" hidden="1">#REF!</definedName>
    <definedName name="RR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rrr" hidden="1">{"'자리배치도'!$AG$1:$CI$28"}</definedName>
    <definedName name="SDA" hidden="1">{"'광피스표'!$A$3:$N$54"}</definedName>
    <definedName name="sdg" hidden="1">[4]BID!$A$1:$A$1714</definedName>
    <definedName name="sdsd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SHEET100" hidden="1">#REF!</definedName>
    <definedName name="SKT" hidden="1">{#N/A,#N/A,FALSE,"3가";#N/A,#N/A,FALSE,"3나";#N/A,#N/A,FALSE,"3다"}</definedName>
    <definedName name="soc투자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sss" hidden="1">{#N/A,#N/A,FALSE,"전력간선"}</definedName>
    <definedName name="SSSS" hidden="1">{#N/A,#N/A,FALSE,"전력간선"}</definedName>
    <definedName name="tbv" hidden="1">{#N/A,#N/A,FALSE,"구조1"}</definedName>
    <definedName name="tr" hidden="1">[4]BID!$A$1:$A$1714</definedName>
    <definedName name="TREV" hidden="1">{#N/A,#N/A,TRUE,"토적및재료집계";#N/A,#N/A,TRUE,"토적및재료집계";#N/A,#N/A,TRUE,"단위량"}</definedName>
    <definedName name="tt" hidden="1">{#N/A,#N/A,FALSE,"전력간선"}</definedName>
    <definedName name="ttt" hidden="1">{#N/A,#N/A,FALSE,"혼합골재"}</definedName>
    <definedName name="ttttt" hidden="1">{#N/A,#N/A,FALSE,"지침";#N/A,#N/A,FALSE,"환경분석";#N/A,#N/A,FALSE,"Sheet16"}</definedName>
    <definedName name="tttttt" hidden="1">{"'자리배치도'!$AG$1:$CI$28"}</definedName>
    <definedName name="ty" hidden="1">{#N/A,#N/A,FALSE,"부대2"}</definedName>
    <definedName name="uity" hidden="1">{#N/A,#N/A,FALSE,"전력간선"}</definedName>
    <definedName name="up" hidden="1">{#N/A,#N/A,FALSE,"지침";#N/A,#N/A,FALSE,"환경분석";#N/A,#N/A,FALSE,"Sheet16"}</definedName>
    <definedName name="uuuu" hidden="1">{#N/A,#N/A,FALSE,"단가표지"}</definedName>
    <definedName name="uuuuuu" hidden="1">{"'자리배치도'!$AG$1:$CI$28"}</definedName>
    <definedName name="VV" hidden="1">{"'자리배치도'!$AG$1:$CI$28"}</definedName>
    <definedName name="W" hidden="1">{#N/A,#N/A,TRUE,"토적및재료집계";#N/A,#N/A,TRUE,"토적및재료집계";#N/A,#N/A,TRUE,"단위량"}</definedName>
    <definedName name="w2e3" hidden="1">{"'광피스표'!$A$3:$N$54"}</definedName>
    <definedName name="WER" hidden="1">{"'광피스표'!$A$3:$N$54"}</definedName>
    <definedName name="WIS단가비교" hidden="1">{#N/A,#N/A,TRUE,"토적및재료집계";#N/A,#N/A,TRUE,"토적및재료집계";#N/A,#N/A,TRUE,"단위량"}</definedName>
    <definedName name="wlqrp" hidden="1">0</definedName>
    <definedName name="wm.조골재1" hidden="1">{#N/A,#N/A,FALSE,"조골재"}</definedName>
    <definedName name="wr" hidden="1">{#N/A,#N/A,FALSE,"전력간선"}</definedName>
    <definedName name="WRITE" hidden="1">{#N/A,#N/A,FALSE,"CCTV"}</definedName>
    <definedName name="wrn.2번." hidden="1">{#N/A,#N/A,FALSE,"2~8번"}</definedName>
    <definedName name="wrn.97." hidden="1">{#N/A,#N/A,FALSE,"지침";#N/A,#N/A,FALSE,"환경분석";#N/A,#N/A,FALSE,"Sheet16"}</definedName>
    <definedName name="wrn.97년._.사업계획._.및._.예산지침." hidden="1">{#N/A,#N/A,TRUE,"1";#N/A,#N/A,TRUE,"2";#N/A,#N/A,TRUE,"3";#N/A,#N/A,TRUE,"4";#N/A,#N/A,TRUE,"5";#N/A,#N/A,TRUE,"6";#N/A,#N/A,TRUE,"7"}</definedName>
    <definedName name="WRN.98." hidden="1">{#N/A,#N/A,FALSE,"지침";#N/A,#N/A,FALSE,"환경분석";#N/A,#N/A,FALSE,"Sheet16"}</definedName>
    <definedName name="wrn.BM." hidden="1">{#N/A,#N/A,FALSE,"CCTV"}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TEST." hidden="1">{#N/A,#N/A,FALSE,"3가";#N/A,#N/A,FALSE,"3나";#N/A,#N/A,FALSE,"3다"}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골재소요량." hidden="1">{#N/A,#N/A,FALSE,"골재소요량";#N/A,#N/A,FALSE,"골재소요량"}</definedName>
    <definedName name="wrn.교대수량." hidden="1">{#N/A,#N/A,FALSE,"집계";#N/A,#N/A,FALSE,"철근";#N/A,#N/A,FALSE,"보천3교(교대A1-녹동방향)";#N/A,#N/A,FALSE,"보천3교(교대A1-고흥방향)";#N/A,#N/A,FALSE,"보천3교(교대A2-녹동방향)";#N/A,#N/A,FALSE,"보천3교(교대A2-고흥방향)"}</definedName>
    <definedName name="wrn.교육청." hidden="1">{#N/A,#N/A,FALSE,"전력간선"}</definedName>
    <definedName name="wrn.구조2." hidden="1">{#N/A,#N/A,FALSE,"구조2"}</definedName>
    <definedName name="wrn.단가표지." hidden="1">{#N/A,#N/A,FALSE,"단가표지"}</definedName>
    <definedName name="wrn.배수1." hidden="1">{#N/A,#N/A,FALSE,"배수1"}</definedName>
    <definedName name="wrn.배수2." hidden="1">{#N/A,#N/A,FALSE,"배수2"}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속도." hidden="1">{#N/A,#N/A,FALSE,"속도"}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신용찬." hidden="1">{#N/A,#N/A,TRUE,"토적및재료집계";#N/A,#N/A,TRUE,"토적및재료집계";#N/A,#N/A,TRUE,"단위량"}</definedName>
    <definedName name="wrn.옹벽." hidden="1">{#N/A,#N/A,FALSE,"유전1교-집계";#N/A,#N/A,FALSE,"유전1교-철근";#N/A,#N/A,FALSE,"유전1교";#N/A,#N/A,FALSE,"유전2교-집계";#N/A,#N/A,FALSE,"유전3교-집계";#N/A,#N/A,FALSE,"덕흥육교-집계";#N/A,#N/A,FALSE,"덕흥1교-집계";#N/A,#N/A,FALSE,"덕흥1교-철근";#N/A,#N/A,FALSE,"덕흥1교";#N/A,#N/A,FALSE,"덕흥2교-집계";#N/A,#N/A,FALSE,"덕흥3교-집계";#N/A,#N/A,FALSE,"외봉교-집계";#N/A,#N/A,FALSE,"외봉교-철근";#N/A,#N/A,FALSE,"외봉교";#N/A,#N/A,FALSE,"신양육교-집계";#N/A,#N/A,FALSE,"신양교-집계";#N/A,#N/A,FALSE,"신양교-철근";#N/A,#N/A,FALSE,"신양교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현장._.NCR._.분석." hidden="1">{#N/A,#N/A,FALSE,"현장 NCR 분석";#N/A,#N/A,FALSE,"현장품질감사";#N/A,#N/A,FALSE,"현장품질감사"}</definedName>
    <definedName name="wrn.혼합골재." hidden="1">{#N/A,#N/A,FALSE,"혼합골재"}</definedName>
    <definedName name="ww" hidden="1">{#N/A,#N/A,FALSE,"3가";#N/A,#N/A,FALSE,"3나";#N/A,#N/A,FALSE,"3다"}</definedName>
    <definedName name="wwww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www" hidden="1">{"'자리배치도'!$AG$1:$CI$28"}</definedName>
    <definedName name="XC" hidden="1">{"'광피스표'!$A$3:$N$54"}</definedName>
    <definedName name="XCCFD" hidden="1">{"'광피스표'!$A$3:$N$54"}</definedName>
    <definedName name="xmrrlwhrjs" hidden="1">{#N/A,#N/A,FALSE,"현장 NCR 분석";#N/A,#N/A,FALSE,"현장품질감사";#N/A,#N/A,FALSE,"현장품질감사"}</definedName>
    <definedName name="YY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yyyyy" hidden="1">{"'자리배치도'!$AG$1:$CI$28"}</definedName>
    <definedName name="ZA" hidden="1">{"'광피스표'!$A$3:$N$54"}</definedName>
    <definedName name="ZZZ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" hidden="1">{#N/A,#N/A,TRUE,"토적및재료집계";#N/A,#N/A,TRUE,"토적및재료집계";#N/A,#N/A,TRUE,"단위량"}</definedName>
    <definedName name="ㄱㄱㄱ" hidden="1">{#N/A,#N/A,FALSE,"표지목차"}</definedName>
    <definedName name="ㄱㄱㄱㄱ" hidden="1">{#N/A,#N/A,FALSE,"지침";#N/A,#N/A,FALSE,"환경분석";#N/A,#N/A,FALSE,"Sheet16"}</definedName>
    <definedName name="ㄱ송ㄹ호" hidden="1">'[3]6PILE  (돌출)'!#REF!</definedName>
    <definedName name="ㄱㅈㅎ" hidden="1">[4]BID!$A$1:$A$1714</definedName>
    <definedName name="가" hidden="1">{"'자리배치도'!$AG$1:$CI$28"}</definedName>
    <definedName name="가나다" hidden="1">{#N/A,#N/A,FALSE,"3가";#N/A,#N/A,FALSE,"3나";#N/A,#N/A,FALSE,"3다"}</definedName>
    <definedName name="가입자" hidden="1">{#N/A,#N/A,FALSE,"3가";#N/A,#N/A,FALSE,"3나";#N/A,#N/A,FALSE,"3다"}</definedName>
    <definedName name="가입자광" hidden="1">{#N/A,#N/A,FALSE,"3가";#N/A,#N/A,FALSE,"3나";#N/A,#N/A,FALSE,"3다"}</definedName>
    <definedName name="각" hidden="1">{#N/A,#N/A,FALSE,"부대2"}</definedName>
    <definedName name="감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감리상주" hidden="1">{#N/A,#N/A,FALSE,"지침";#N/A,#N/A,FALSE,"환경분석";#N/A,#N/A,FALSE,"Sheet16"}</definedName>
    <definedName name="강" hidden="1">{#N/A,#N/A,FALSE,"부대2"}</definedName>
    <definedName name="거" hidden="1">{"'자리배치도'!$AG$1:$CI$28"}</definedName>
    <definedName name="건축" hidden="1">{#N/A,#N/A,TRUE,"토적및재료집계";#N/A,#N/A,TRUE,"토적및재료집계";#N/A,#N/A,TRUE,"단위량"}</definedName>
    <definedName name="건축팀별" hidden="1">{#N/A,#N/A,FALSE,"지침";#N/A,#N/A,FALSE,"환경분석";#N/A,#N/A,FALSE,"Sheet16"}</definedName>
    <definedName name="게" hidden="1">{#N/A,#N/A,TRUE,"토적및재료집계";#N/A,#N/A,TRUE,"토적및재료집계";#N/A,#N/A,TRUE,"단위량"}</definedName>
    <definedName name="겨" hidden="1">{#N/A,#N/A,FALSE,"부대2"}</definedName>
    <definedName name="계수" hidden="1">{#N/A,#N/A,FALSE,"지침";#N/A,#N/A,FALSE,"환경분석";#N/A,#N/A,FALSE,"Sheet16"}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원가계산서" hidden="1">{#N/A,#N/A,TRUE,"토적및재료집계";#N/A,#N/A,TRUE,"토적및재료집계";#N/A,#N/A,TRUE,"단위량"}</definedName>
    <definedName name="곸" hidden="1">{#N/A,#N/A,FALSE,"현장 NCR 분석";#N/A,#N/A,FALSE,"현장품질감사";#N/A,#N/A,FALSE,"현장품질감사"}</definedName>
    <definedName name="관로" hidden="1">{#N/A,#N/A,TRUE,"토적및재료집계";#N/A,#N/A,TRUE,"토적및재료집계";#N/A,#N/A,TRUE,"단위량"}</definedName>
    <definedName name="관로공정집계표" hidden="1">{#N/A,#N/A,TRUE,"토적및재료집계";#N/A,#N/A,TRUE,"토적및재료집계";#N/A,#N/A,TRUE,"단위량"}</definedName>
    <definedName name="관산" hidden="1">{"'광피스표'!$A$3:$N$54"}</definedName>
    <definedName name="광" hidden="1">{#N/A,#N/A,TRUE,"토적및재료집계";#N/A,#N/A,TRUE,"토적및재료집계";#N/A,#N/A,TRUE,"단위량"}</definedName>
    <definedName name="교" hidden="1">{#N/A,#N/A,FALSE,"현장 NCR 분석";#N/A,#N/A,FALSE,"현장품질감사";#N/A,#N/A,FALSE,"현장품질감사"}</definedName>
    <definedName name="굑ㄷ" hidden="1">{#N/A,#N/A,FALSE,"이정표"}</definedName>
    <definedName name="굡" hidden="1">{#N/A,#N/A,FALSE,"현장 NCR 분석";#N/A,#N/A,FALSE,"현장품질감사";#N/A,#N/A,FALSE,"현장품질감사"}</definedName>
    <definedName name="굥" hidden="1">{#N/A,#N/A,FALSE,"현장 NCR 분석";#N/A,#N/A,FALSE,"현장품질감사";#N/A,#N/A,FALSE,"현장품질감사"}</definedName>
    <definedName name="구" hidden="1">{#N/A,#N/A,FALSE,"부대2"}</definedName>
    <definedName name="구산갑지" hidden="1">'[6]전 기'!#REF!</definedName>
    <definedName name="궁" hidden="1">{#N/A,#N/A,FALSE,"현장 NCR 분석";#N/A,#N/A,FALSE,"현장품질감사";#N/A,#N/A,FALSE,"현장품질감사"}</definedName>
    <definedName name="규" hidden="1">{#N/A,#N/A,FALSE,"전력간선"}</definedName>
    <definedName name="귱" hidden="1">{#N/A,#N/A,FALSE,"현장 NCR 분석";#N/A,#N/A,FALSE,"현장품질감사";#N/A,#N/A,FALSE,"현장품질감사"}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입" hidden="1">{#N/A,#N/A,FALSE,"3가";#N/A,#N/A,FALSE,"3나";#N/A,#N/A,FALSE,"3다"}</definedName>
    <definedName name="기타경비1" hidden="1">{#N/A,#N/A,TRUE,"토적및재료집계";#N/A,#N/A,TRUE,"토적및재료집계";#N/A,#N/A,TRUE,"단위량"}</definedName>
    <definedName name="긴급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긴급전화" hidden="1">{#N/A,#N/A,TRUE,"토적및재료집계";#N/A,#N/A,TRUE,"토적및재료집계";#N/A,#N/A,TRUE,"단위량"}</definedName>
    <definedName name="깡" hidden="1">{#N/A,#N/A,FALSE,"현장 NCR 분석";#N/A,#N/A,FALSE,"현장품질감사";#N/A,#N/A,FALSE,"현장품질감사"}</definedName>
    <definedName name="ㄳㄱ" hidden="1">{#N/A,#N/A,FALSE,"배수2"}</definedName>
    <definedName name="ㄴㄱㄹ" hidden="1">[4]BID!$A$1:$A$734</definedName>
    <definedName name="ㄴㄺㄷ" hidden="1">{#N/A,#N/A,FALSE,"현장 NCR 분석";#N/A,#N/A,FALSE,"현장품질감사";#N/A,#N/A,FALSE,"현장품질감사"}</definedName>
    <definedName name="ㄴㅁ" hidden="1">[4]BID!$A$1:$A$4</definedName>
    <definedName name="ㄴㅇㄹ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ㄴㅇㅁㄴㅇ" hidden="1">{#N/A,#N/A,TRUE,"토적및재료집계";#N/A,#N/A,TRUE,"토적및재료집계";#N/A,#N/A,TRUE,"단위량"}</definedName>
    <definedName name="ㄴㅇㅎㅇㅎ" hidden="1">{#N/A,#N/A,FALSE,"구조2"}</definedName>
    <definedName name="나" hidden="1">{"'자리배치도'!$AG$1:$CI$28"}</definedName>
    <definedName name="나다가" hidden="1">{#N/A,#N/A,FALSE,"3가";#N/A,#N/A,FALSE,"3나";#N/A,#N/A,FALSE,"3다"}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남남" hidden="1">#REF!</definedName>
    <definedName name="낭" hidden="1">{#N/A,#N/A,FALSE,"현장 NCR 분석";#N/A,#N/A,FALSE,"현장품질감사";#N/A,#N/A,FALSE,"현장품질감사"}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" hidden="1">{"'자리배치도'!$AG$1:$CI$28"}</definedName>
    <definedName name="넝" hidden="1">{#N/A,#N/A,FALSE,"현장 NCR 분석";#N/A,#N/A,FALSE,"현장품질감사";#N/A,#N/A,FALSE,"현장품질감사"}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{#N/A,#N/A,TRUE,"토적및재료집계";#N/A,#N/A,TRUE,"토적및재료집계";#N/A,#N/A,TRUE,"단위량"}</definedName>
    <definedName name="ㄷ5ㅅ" hidden="1">{#N/A,#N/A,FALSE,"현장 NCR 분석";#N/A,#N/A,FALSE,"현장품질감사";#N/A,#N/A,FALSE,"현장품질감사"}</definedName>
    <definedName name="ㄷㄱㄷ" hidden="1">{#N/A,#N/A,FALSE,"전력간선"}</definedName>
    <definedName name="ㄷㄱ슢" hidden="1">{#N/A,#N/A,FALSE,"지침";#N/A,#N/A,FALSE,"환경분석";#N/A,#N/A,FALSE,"Sheet16"}</definedName>
    <definedName name="ㄷㄳㄱㄷㅅㄱㄷ" hidden="1">'[3]6PILE  (돌출)'!#REF!</definedName>
    <definedName name="ㄷㄳㄳ" hidden="1">'[3]6PILE  (돌출)'!#REF!</definedName>
    <definedName name="ㄷㄷㄷㄷ" hidden="1">{#N/A,#N/A,FALSE,"구조2"}</definedName>
    <definedName name="다" hidden="1">{"'자리배치도'!$AG$1:$CI$28"}</definedName>
    <definedName name="다라" hidden="1">{#N/A,#N/A,FALSE,"표지목차"}</definedName>
    <definedName name="단ㄱ" hidden="1">{#N/A,#N/A,FALSE,"전력간선"}</definedName>
    <definedName name="단가조사자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당" hidden="1">{#N/A,#N/A,FALSE,"현장 NCR 분석";#N/A,#N/A,FALSE,"현장품질감사";#N/A,#N/A,FALSE,"현장품질감사"}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댜" hidden="1">{#N/A,#N/A,FALSE,"토공2"}</definedName>
    <definedName name="더" hidden="1">{"'자리배치도'!$AG$1:$CI$28"}</definedName>
    <definedName name="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" hidden="1">{#N/A,#N/A,FALSE,"구조2"}</definedName>
    <definedName name="ㄹ" hidden="1">{#N/A,#N/A,TRUE,"토적및재료집계";#N/A,#N/A,TRUE,"토적및재료집계";#N/A,#N/A,TRUE,"단위량"}</definedName>
    <definedName name="ㄹㄴㅇㄹㄴㅇㄹㄴㄱㄴㅇ" hidden="1">{#N/A,#N/A,FALSE,"지침";#N/A,#N/A,FALSE,"환경분석";#N/A,#N/A,FALSE,"Sheet16"}</definedName>
    <definedName name="ㄹㄹ" hidden="1">{#N/A,#N/A,TRUE,"토적및재료집계";#N/A,#N/A,TRUE,"토적및재료집계";#N/A,#N/A,TRUE,"단위량"}</definedName>
    <definedName name="ㄹㄹ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ㄹㄹ" hidden="1">{#N/A,#N/A,FALSE,"단가표지"}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ㄶ" hidden="1">#REF!</definedName>
    <definedName name="ㄹ호" hidden="1">[4]BID!$C$1:$H$533</definedName>
    <definedName name="ㄹ훑ㅍㅊㅌㅊ" hidden="1">#N/A</definedName>
    <definedName name="라" hidden="1">{"'자리배치도'!$AG$1:$CI$28"}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" hidden="1">{"'자리배치도'!$AG$1:$CI$28"}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ㅛ" hidden="1">{#N/A,#N/A,FALSE,"현장 NCR 분석";#N/A,#N/A,FALSE,"현장품질감사";#N/A,#N/A,FALSE,"현장품질감사"}</definedName>
    <definedName name="ㄻ" hidden="1">'[7]5사남'!#REF!</definedName>
    <definedName name="ㅁ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ㅁㄴ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ㅁㄴㅇ" hidden="1">{#N/A,#N/A,FALSE,"포장1";#N/A,#N/A,FALSE,"포장1"}</definedName>
    <definedName name="ㅁㄴㅇㄴ" hidden="1">{#N/A,#N/A,TRUE,"토적및재료집계";#N/A,#N/A,TRUE,"토적및재료집계";#N/A,#N/A,TRUE,"단위량"}</definedName>
    <definedName name="ㅁㄴㅇㄹ" hidden="1">{#N/A,#N/A,TRUE,"토적및재료집계";#N/A,#N/A,TRUE,"토적및재료집계";#N/A,#N/A,TRUE,"단위량"}</definedName>
    <definedName name="ㅁㄴㅌㄴ" hidden="1">{"'자리배치도'!$AG$1:$CI$28"}</definedName>
    <definedName name="ㅁㅁ" hidden="1">{#N/A,#N/A,TRUE,"토적및재료집계";#N/A,#N/A,TRUE,"토적및재료집계";#N/A,#N/A,TRUE,"단위량"}</definedName>
    <definedName name="ㅁㅁㅁ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ㅁㅁㅁㅁㅁㅁ" hidden="1">[4]BID!$A$1:$A$2353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ㅎ" hidden="1">{#N/A,#N/A,FALSE,"부대2"}</definedName>
    <definedName name="만" hidden="1">{"'자리배치도'!$AG$1:$CI$28"}</definedName>
    <definedName name="망" hidden="1">{#N/A,#N/A,FALSE,"부대2"}</definedName>
    <definedName name="머" hidden="1">{"'자리배치도'!$AG$1:$CI$28"}</definedName>
    <definedName name="물가변동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뭐지" hidden="1">{#N/A,#N/A,FALSE,"CCTV"}</definedName>
    <definedName name="뮻" hidden="1">{"'자리배치도'!$AG$1:$CI$28"}</definedName>
    <definedName name="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" hidden="1">{"'자리배치도'!$AG$1:$CI$28"}</definedName>
    <definedName name="ㅂㅂ" hidden="1">#REF!</definedName>
    <definedName name="ㅂㅂㅂ" hidden="1">{#N/A,#N/A,TRUE,"토적및재료집계";#N/A,#N/A,TRUE,"토적및재료집계";#N/A,#N/A,TRUE,"단위량"}</definedName>
    <definedName name="ㅂㅂㅂㅂ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바" hidden="1">{"'자리배치도'!$AG$1:$CI$28"}</definedName>
    <definedName name="바붕" hidden="1">{#N/A,#N/A,FALSE,"전력간선"}</definedName>
    <definedName name="배관및굴착" hidden="1">{"'자리배치도'!$AG$1:$CI$28"}</definedName>
    <definedName name="변경내역" hidden="1">{#N/A,#N/A,FALSE,"3가";#N/A,#N/A,FALSE,"3나";#N/A,#N/A,FALSE,"3다"}</definedName>
    <definedName name="병" hidden="1">{#N/A,#N/A,FALSE,"이정표"}</definedName>
    <definedName name="보" hidden="1">{#N/A,#N/A,FALSE,"3가";#N/A,#N/A,FALSE,"3나";#N/A,#N/A,FALSE,"3다"}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증일반환산" hidden="1">[8]수리결과!#REF!</definedName>
    <definedName name="뵹" hidden="1">{#N/A,#N/A,FALSE,"구조1"}</definedName>
    <definedName name="부" hidden="1">{#N/A,#N/A,FALSE,"부대2"}</definedName>
    <definedName name="부대구조" hidden="1">{#N/A,#N/A,FALSE,"골재소요량";#N/A,#N/A,FALSE,"골재소요량"}</definedName>
    <definedName name="부대방안" hidden="1">{#N/A,#N/A,FALSE,"단가표지"}</definedName>
    <definedName name="부대원본" hidden="1">{#N/A,#N/A,FALSE,"토공2"}</definedName>
    <definedName name="부대토공2" hidden="1">{#N/A,#N/A,FALSE,"구조2"}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손익" hidden="1">{#N/A,#N/A,FALSE,"현장 NCR 분석";#N/A,#N/A,FALSE,"현장품질감사";#N/A,#N/A,FALSE,"현장품질감사"}</definedName>
    <definedName name="부실확정자산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붕" hidden="1">{#N/A,#N/A,FALSE,"현장 NCR 분석";#N/A,#N/A,FALSE,"현장품질감사";#N/A,#N/A,FALSE,"현장품질감사"}</definedName>
    <definedName name="빔제작단가개정표준도적용" hidden="1">{"'자리배치도'!$AG$1:$CI$28"}</definedName>
    <definedName name="뿅" hidden="1">{#N/A,#N/A,FALSE,"구조1"}</definedName>
    <definedName name="쁑" hidden="1">{#N/A,#N/A,FALSE,"배수1"}</definedName>
    <definedName name="ㅅ" hidden="1">{#N/A,#N/A,TRUE,"토적및재료집계";#N/A,#N/A,TRUE,"토적및재료집계";#N/A,#N/A,TRUE,"단위량"}</definedName>
    <definedName name="ㅅㄱ" hidden="1">{#N/A,#N/A,FALSE,"부대2"}</definedName>
    <definedName name="ㅅㄱㄱ" hidden="1">{#N/A,#N/A,FALSE,"현장 NCR 분석";#N/A,#N/A,FALSE,"현장품질감사";#N/A,#N/A,FALSE,"현장품질감사"}</definedName>
    <definedName name="ㅅㄷㄱ" hidden="1">{#N/A,#N/A,FALSE,"현장 NCR 분석";#N/A,#N/A,FALSE,"현장품질감사";#N/A,#N/A,FALSE,"현장품질감사"}</definedName>
    <definedName name="ㅅㅅ" hidden="1">{#N/A,#N/A,TRUE,"토적및재료집계";#N/A,#N/A,TRUE,"토적및재료집계";#N/A,#N/A,TRUE,"단위량"}</definedName>
    <definedName name="사" hidden="1">{"'자리배치도'!$AG$1:$CI$28"}</definedName>
    <definedName name="사1" hidden="1">{#N/A,#N/A,FALSE,"지침";#N/A,#N/A,FALSE,"환경분석";#N/A,#N/A,FALSE,"Sheet16"}</definedName>
    <definedName name="사진대지1" hidden="1">#REF!</definedName>
    <definedName name="상주" hidden="1">{#N/A,#N/A,FALSE,"지침";#N/A,#N/A,FALSE,"환경분석";#N/A,#N/A,FALSE,"Sheet16"}</definedName>
    <definedName name="상주감리" hidden="1">{#N/A,#N/A,FALSE,"지침";#N/A,#N/A,FALSE,"환경분석";#N/A,#N/A,FALSE,"Sheet16"}</definedName>
    <definedName name="석" hidden="1">{#N/A,#N/A,FALSE,"지침";#N/A,#N/A,FALSE,"환경분석";#N/A,#N/A,FALSE,"Sheet16"}</definedName>
    <definedName name="석재받은의뢰업체" hidden="1">255</definedName>
    <definedName name="설문지" hidden="1">#REF!</definedName>
    <definedName name="설비" hidden="1">{#N/A,#N/A,TRUE,"토적및재료집계";#N/A,#N/A,TRUE,"토적및재료집계";#N/A,#N/A,TRUE,"단위량"}</definedName>
    <definedName name="세부내역서_박" hidden="1">{"'자리배치도'!$AG$1:$CI$28"}</definedName>
    <definedName name="세전익익" hidden="1">{#N/A,#N/A,FALSE,"지침";#N/A,#N/A,FALSE,"환경분석";#N/A,#N/A,FALSE,"Sheet16"}</definedName>
    <definedName name="셩" hidden="1">{#N/A,#N/A,FALSE,"구조1"}</definedName>
    <definedName name="소" hidden="1">{#N/A,#N/A,FALSE,"현장 NCR 분석";#N/A,#N/A,FALSE,"현장품질감사";#N/A,#N/A,FALSE,"현장품질감사"}</definedName>
    <definedName name="손익변경" hidden="1">{#N/A,#N/A,FALSE,"지침";#N/A,#N/A,FALSE,"환경분석";#N/A,#N/A,FALSE,"Sheet16"}</definedName>
    <definedName name="손익추정목표" hidden="1">{#N/A,#N/A,FALSE,"전력간선"}</definedName>
    <definedName name="송" hidden="1">{#N/A,#N/A,FALSE,"부대1"}</definedName>
    <definedName name="쇼" hidden="1">{#N/A,#N/A,FALSE,"단가표지"}</definedName>
    <definedName name="쇽" hidden="1">{#N/A,#N/A,FALSE,"구조1"}</definedName>
    <definedName name="수2" hidden="1">{#N/A,#N/A,TRUE,"토적및재료집계";#N/A,#N/A,TRUE,"토적및재료집계";#N/A,#N/A,TRUE,"단위량"}</definedName>
    <definedName name="수3" hidden="1">{#N/A,#N/A,TRUE,"토적및재료집계";#N/A,#N/A,TRUE,"토적및재료집계";#N/A,#N/A,TRUE,"단위량"}</definedName>
    <definedName name="수금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수량산출" hidden="1">#REF!</definedName>
    <definedName name="수량총합" hidden="1">{#N/A,#N/A,TRUE,"토적및재료집계";#N/A,#N/A,TRUE,"토적및재료집계";#N/A,#N/A,TRUE,"단위량"}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승" hidden="1">{#N/A,#N/A,FALSE,"지침";#N/A,#N/A,FALSE,"환경분석";#N/A,#N/A,FALSE,"Sheet16"}</definedName>
    <definedName name="시" hidden="1">{#N/A,#N/A,FALSE,"조골재"}</definedName>
    <definedName name="시시싯" hidden="1">{#N/A,#N/A,TRUE,"토적및재료집계";#N/A,#N/A,TRUE,"토적및재료집계";#N/A,#N/A,TRUE,"단위량"}</definedName>
    <definedName name="신설리스트" hidden="1">{#N/A,#N/A,FALSE,"3가";#N/A,#N/A,FALSE,"3나";#N/A,#N/A,FALSE,"3다"}</definedName>
    <definedName name="신설추가" hidden="1">{#N/A,#N/A,FALSE,"3가";#N/A,#N/A,FALSE,"3나";#N/A,#N/A,FALSE,"3다"}</definedName>
    <definedName name="ㅇㄴㅁ" hidden="1">[4]BID!$A$1:$A$4</definedName>
    <definedName name="ㅇㄴㅇ" hidden="1">{"'자리배치도'!$AG$1:$CI$28"}</definedName>
    <definedName name="ㅇㄹㅇㄴ" hidden="1">{#N/A,#N/A,FALSE,"3가";#N/A,#N/A,FALSE,"3나";#N/A,#N/A,FALSE,"3다"}</definedName>
    <definedName name="ㅇㄹ호ㅠㅜㅠ" hidden="1">'[3]6PILE  (돌출)'!#REF!</definedName>
    <definedName name="ㅇㄹ혻소" hidden="1">'[3]6PILE  (돌출)'!#REF!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ㅀㅇㅁㄹ" hidden="1">{#N/A,#N/A,FALSE,"3가";#N/A,#N/A,FALSE,"3나";#N/A,#N/A,FALSE,"3다"}</definedName>
    <definedName name="ㅇㅁㄴㄹ" hidden="1">{#N/A,#N/A,TRUE,"토적및재료집계";#N/A,#N/A,TRUE,"토적및재료집계";#N/A,#N/A,TRUE,"단위량"}</definedName>
    <definedName name="ㅇㅇㄹ" hidden="1">{#N/A,#N/A,TRUE,"토적및재료집계";#N/A,#N/A,TRUE,"토적및재료집계";#N/A,#N/A,TRUE,"단위량"}</definedName>
    <definedName name="ㅇㅇㅇ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ㅇㅇㅇㅂㅈㄷㄱ" hidden="1">{#N/A,#N/A,FALSE,"3가";#N/A,#N/A,FALSE,"3나";#N/A,#N/A,FALSE,"3다"}</definedName>
    <definedName name="ㅇㅇㅇ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ㅇㅇㅇㅇㅇ" hidden="1">{#N/A,#N/A,FALSE,"지침";#N/A,#N/A,FALSE,"환경분석";#N/A,#N/A,FALSE,"Sheet16"}</definedName>
    <definedName name="ㅇㅎㅅ" hidden="1">{#N/A,#N/A,FALSE,"포장1";#N/A,#N/A,FALSE,"포장1"}</definedName>
    <definedName name="아" hidden="1">{"'자리배치도'!$AG$1:$CI$28"}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" hidden="1">{#N/A,#N/A,FALSE,"부대2"}</definedName>
    <definedName name="앙아앙ㅇ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야간" hidden="1">{#N/A,#N/A,FALSE,"지침";#N/A,#N/A,FALSE,"환경분석";#N/A,#N/A,FALSE,"Sheet16"}</definedName>
    <definedName name="양식" hidden="1">{#N/A,#N/A,FALSE,"전력간선"}</definedName>
    <definedName name="어" hidden="1">{#N/A,#N/A,FALSE,"3가";#N/A,#N/A,FALSE,"3나";#N/A,#N/A,FALSE,"3다"}</definedName>
    <definedName name="어떤거죠" hidden="1">#REF!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억이상" hidden="1">{#N/A,#N/A,FALSE,"2~8번"}</definedName>
    <definedName name="업체" hidden="1">[4]BID!$A$1:$A$734</definedName>
    <definedName name="엉" hidden="1">{#N/A,#N/A,FALSE,"부대2"}</definedName>
    <definedName name="연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영업" hidden="1">{#N/A,#N/A,FALSE,"지침";#N/A,#N/A,FALSE,"환경분석";#N/A,#N/A,FALSE,"Sheet16"}</definedName>
    <definedName name="영업현금" hidden="1">{#N/A,#N/A,FALSE,"지침";#N/A,#N/A,FALSE,"환경분석";#N/A,#N/A,FALSE,"Sheet16"}</definedName>
    <definedName name="오" hidden="1">[4]BID!$A$1:$A$4</definedName>
    <definedName name="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용" hidden="1">{#N/A,#N/A,FALSE,"구조1"}</definedName>
    <definedName name="우리" hidden="1">{#N/A,#N/A,FALSE,"3가";#N/A,#N/A,FALSE,"3나";#N/A,#N/A,FALSE,"3다"}</definedName>
    <definedName name="원가" hidden="1">{#N/A,#N/A,FALSE,"운반시간"}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남내역" hidden="1">[4]BID!$A$1:$A$4</definedName>
    <definedName name="월별투입" hidden="1">{#N/A,#N/A,FALSE,"지침";#N/A,#N/A,FALSE,"환경분석";#N/A,#N/A,FALSE,"Sheet16"}</definedName>
    <definedName name="융" hidden="1">{#N/A,#N/A,FALSE,"현장 NCR 분석";#N/A,#N/A,FALSE,"현장품질감사";#N/A,#N/A,FALSE,"현장품질감사"}</definedName>
    <definedName name="의" hidden="1">{#N/A,#N/A,FALSE,"운반시간"}</definedName>
    <definedName name="이" hidden="1">{#N/A,#N/A,TRUE,"토적및재료집계";#N/A,#N/A,TRUE,"토적및재료집계";#N/A,#N/A,TRUE,"단위량"}</definedName>
    <definedName name="이슈" hidden="1">{#N/A,#N/A,FALSE,"지침";#N/A,#N/A,FALSE,"환경분석";#N/A,#N/A,FALSE,"Sheet16"}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" hidden="1">[4]BID!$A$1:$A$4</definedName>
    <definedName name="일정97" hidden="1">#REF!</definedName>
    <definedName name="입찰금액안" hidden="1">[4]BID!#REF!</definedName>
    <definedName name="ㅈ" hidden="1">{#N/A,#N/A,TRUE,"토적및재료집계";#N/A,#N/A,TRUE,"토적및재료집계";#N/A,#N/A,TRUE,"단위량"}</definedName>
    <definedName name="ㅈ4" hidden="1">{#N/A,#N/A,FALSE,"현장 NCR 분석";#N/A,#N/A,FALSE,"현장품질감사";#N/A,#N/A,FALSE,"현장품질감사"}</definedName>
    <definedName name="ㅈㄷㄱ" hidden="1">{#N/A,#N/A,FALSE,"2~8번"}</definedName>
    <definedName name="ㅈㅂㄱㄷㅈ" hidden="1">{#N/A,#N/A,FALSE,"단가표지"}</definedName>
    <definedName name="ㅈㅈㅈ" hidden="1">{#N/A,#N/A,TRUE,"토적및재료집계";#N/A,#N/A,TRUE,"토적및재료집계";#N/A,#N/A,TRUE,"단위량"}</definedName>
    <definedName name="자" hidden="1">{"'자리배치도'!$AG$1:$CI$28"}</definedName>
    <definedName name="쟝" hidden="1">{#N/A,#N/A,FALSE,"이정표"}</definedName>
    <definedName name="전원" hidden="1">{#N/A,#N/A,TRUE,"토적및재료집계";#N/A,#N/A,TRUE,"토적및재료집계";#N/A,#N/A,TRUE,"단위량"}</definedName>
    <definedName name="전원케이블피스표" hidden="1">{#N/A,#N/A,TRUE,"토적및재료집계";#N/A,#N/A,TRUE,"토적및재료집계";#N/A,#N/A,TRUE,"단위량"}</definedName>
    <definedName name="전자CF" hidden="1">{#N/A,#N/A,FALSE,"지침";#N/A,#N/A,FALSE,"환경분석";#N/A,#N/A,FALSE,"Sheet16"}</definedName>
    <definedName name="정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정웅하" hidden="1">{"'광피스표'!$A$3:$N$54"}</definedName>
    <definedName name="제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주추가종합수정안" hidden="1">{#N/A,#N/A,FALSE,"3가";#N/A,#N/A,FALSE,"3나";#N/A,#N/A,FALSE,"3다"}</definedName>
    <definedName name="졍" hidden="1">{#N/A,#N/A,FALSE,"구조1"}</definedName>
    <definedName name="조사가" hidden="1">[9]입찰안!#REF!</definedName>
    <definedName name="종" hidden="1">{#N/A,#N/A,FALSE,"현장 NCR 분석";#N/A,#N/A,FALSE,"현장품질감사";#N/A,#N/A,FALSE,"현장품질감사"}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쥽" hidden="1">{#N/A,#N/A,FALSE,"부대1"}</definedName>
    <definedName name="즁" hidden="1">{#N/A,#N/A,FALSE,"구조1"}</definedName>
    <definedName name="직매54P" hidden="1">{#N/A,#N/A,TRUE,"토적및재료집계";#N/A,#N/A,TRUE,"토적및재료집계";#N/A,#N/A,TRUE,"단위량"}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짱" hidden="1">{#N/A,#N/A,FALSE,"이정표"}</definedName>
    <definedName name="ㅊㅊ" hidden="1">{#N/A,#N/A,FALSE,"유전1교-집계";#N/A,#N/A,FALSE,"유전1교-철근";#N/A,#N/A,FALSE,"유전1교";#N/A,#N/A,FALSE,"유전2교-집계";#N/A,#N/A,FALSE,"유전3교-집계";#N/A,#N/A,FALSE,"덕흥육교-집계";#N/A,#N/A,FALSE,"덕흥1교-집계";#N/A,#N/A,FALSE,"덕흥1교-철근";#N/A,#N/A,FALSE,"덕흥1교";#N/A,#N/A,FALSE,"덕흥2교-집계";#N/A,#N/A,FALSE,"덕흥3교-집계";#N/A,#N/A,FALSE,"외봉교-집계";#N/A,#N/A,FALSE,"외봉교-철근";#N/A,#N/A,FALSE,"외봉교";#N/A,#N/A,FALSE,"신양육교-집계";#N/A,#N/A,FALSE,"신양교-집계";#N/A,#N/A,FALSE,"신양교-철근";#N/A,#N/A,FALSE,"신양교"}</definedName>
    <definedName name="ㅊㅊㅊㅊ" hidden="1">{#N/A,#N/A,FALSE,"단가표지"}</definedName>
    <definedName name="차" hidden="1">{"'자리배치도'!$AG$1:$CI$28"}</definedName>
    <definedName name="참석자" hidden="1">{#N/A,#N/A,FALSE,"현장 NCR 분석";#N/A,#N/A,FALSE,"현장품질감사";#N/A,#N/A,FALSE,"현장품질감사"}</definedName>
    <definedName name="철근자료" hidden="1">#REF!</definedName>
    <definedName name="총공" hidden="1">{#N/A,#N/A,FALSE,"운반시간"}</definedName>
    <definedName name="출판" hidden="1">{#N/A,#N/A,FALSE,"지침";#N/A,#N/A,FALSE,"환경분석";#N/A,#N/A,FALSE,"Sheet16"}</definedName>
    <definedName name="ㅋ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ㅋㅋㅋ" hidden="1">{#N/A,#N/A,FALSE,"전력간선"}</definedName>
    <definedName name="카" hidden="1">{"'자리배치도'!$AG$1:$CI$28"}</definedName>
    <definedName name="카메라" hidden="1">{#N/A,#N/A,FALSE,"지침";#N/A,#N/A,FALSE,"환경분석";#N/A,#N/A,FALSE,"Sheet16"}</definedName>
    <definedName name="카메라11" hidden="1">{#N/A,#N/A,FALSE,"지침";#N/A,#N/A,FALSE,"환경분석";#N/A,#N/A,FALSE,"Sheet16"}</definedName>
    <definedName name="카메라1212" hidden="1">{#N/A,#N/A,FALSE,"지침";#N/A,#N/A,FALSE,"환경분석";#N/A,#N/A,FALSE,"Sheet16"}</definedName>
    <definedName name="캐쉬" hidden="1">{#N/A,#N/A,FALSE,"지침";#N/A,#N/A,FALSE,"환경분석";#N/A,#N/A,FALSE,"Sheet16"}</definedName>
    <definedName name="케이블간지" hidden="1">{#N/A,#N/A,TRUE,"토적및재료집계";#N/A,#N/A,TRUE,"토적및재료집계";#N/A,#N/A,TRUE,"단위량"}</definedName>
    <definedName name="콩" hidden="1">{#N/A,#N/A,FALSE,"구조1"}</definedName>
    <definedName name="쿙" hidden="1">{#N/A,#N/A,FALSE,"현장 NCR 분석";#N/A,#N/A,FALSE,"현장품질감사";#N/A,#N/A,FALSE,"현장품질감사"}</definedName>
    <definedName name="큥" hidden="1">{#N/A,#N/A,FALSE,"현장 NCR 분석";#N/A,#N/A,FALSE,"현장품질감사";#N/A,#N/A,FALSE,"현장품질감사"}</definedName>
    <definedName name="ㅌㅊ" hidden="1">'[7]5사남'!#REF!</definedName>
    <definedName name="ㅌㅌ" hidden="1">{#N/A,#N/A,FALSE,"단가표지"}</definedName>
    <definedName name="타" hidden="1">{"'자리배치도'!$AG$1:$CI$28"}</definedName>
    <definedName name="토" hidden="1">{#N/A,#N/A,TRUE,"토적및재료집계";#N/A,#N/A,TRUE,"토적및재료집계";#N/A,#N/A,TRUE,"단위량"}</definedName>
    <definedName name="토목견적" hidden="1">{#N/A,#N/A,FALSE,"골재소요량";#N/A,#N/A,FALSE,"골재소요량"}</definedName>
    <definedName name="토목설계" hidden="1">{#N/A,#N/A,FALSE,"골재소요량";#N/A,#N/A,FALSE,"골재소요량"}</definedName>
    <definedName name="토목실행" hidden="1">{#N/A,#N/A,FALSE,"골재소요량";#N/A,#N/A,FALSE,"골재소요량"}</definedName>
    <definedName name="토적" hidden="1">{#N/A,#N/A,TRUE,"토적및재료집계";#N/A,#N/A,TRUE,"토적및재료집계";#N/A,#N/A,TRUE,"단위량"}</definedName>
    <definedName name="토적집계1" hidden="1">{#N/A,#N/A,TRUE,"토적및재료집계";#N/A,#N/A,TRUE,"토적및재료집계";#N/A,#N/A,TRUE,"단위량"}</definedName>
    <definedName name="ㅍ" hidden="1">{#N/A,#N/A,FALSE,"골재소요량";#N/A,#N/A,FALSE,"골재소요량"}</definedName>
    <definedName name="ㅍㅍ" hidden="1">{#N/A,#N/A,TRUE,"토적및재료집계";#N/A,#N/A,TRUE,"토적및재료집계";#N/A,#N/A,TRUE,"단위량"}</definedName>
    <definedName name="파" hidden="1">{"'자리배치도'!$AG$1:$CI$28"}</definedName>
    <definedName name="팔" hidden="1">[4]BID!$A$1:$A$1714</definedName>
    <definedName name="포" hidden="1">{#N/A,#N/A,FALSE,"부대2"}</definedName>
    <definedName name="포장2월ocf" hidden="1">{#N/A,#N/A,FALSE,"지침";#N/A,#N/A,FALSE,"환경분석";#N/A,#N/A,FALSE,"Sheet16"}</definedName>
    <definedName name="포장ocf" hidden="1">{#N/A,#N/A,FALSE,"지침";#N/A,#N/A,FALSE,"환경분석";#N/A,#N/A,FALSE,"Sheet16"}</definedName>
    <definedName name="표지" hidden="1">#REF!</definedName>
    <definedName name="표지2" hidden="1">#REF!</definedName>
    <definedName name="푸" hidden="1">{#N/A,#N/A,FALSE,"전력간선"}</definedName>
    <definedName name="퓨" hidden="1">{#N/A,#N/A,FALSE,"현장 NCR 분석";#N/A,#N/A,FALSE,"현장품질감사";#N/A,#N/A,FALSE,"현장품질감사"}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ㅅㄱ" hidden="1">{#N/A,#N/A,FALSE,"지침";#N/A,#N/A,FALSE,"환경분석";#N/A,#N/A,FALSE,"Sheet16"}</definedName>
    <definedName name="ㅎㅅㄺ" hidden="1">{#N/A,#N/A,FALSE,"속도"}</definedName>
    <definedName name="ㅎㅎ" hidden="1">'[7]5사남'!#REF!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ㅎ" hidden="1">{#N/A,#N/A,TRUE,"토적및재료집계";#N/A,#N/A,TRUE,"토적및재료집계";#N/A,#N/A,TRUE,"단위량"}</definedName>
    <definedName name="하" hidden="1">{"'자리배치도'!$AG$1:$CI$28"}</definedName>
    <definedName name="하늘1" hidden="1">{#N/A,#N/A,FALSE,"전력간선"}</definedName>
    <definedName name="하도대상" hidden="1">{#N/A,#N/A,FALSE,"골재소요량";#N/A,#N/A,FALSE,"골재소요량"}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글" hidden="1">{#N/A,#N/A,FALSE,"3가";#N/A,#N/A,FALSE,"3나";#N/A,#N/A,FALSE,"3다"}</definedName>
    <definedName name="항" hidden="1">{#N/A,#N/A,FALSE,"현장 NCR 분석";#N/A,#N/A,FALSE,"현장품질감사";#N/A,#N/A,FALSE,"현장품질감사"}</definedName>
    <definedName name="햐ㅓㅈ바허ㅏㅣ농하ㅗㅎ" hidden="1">{#N/A,#N/A,FALSE,"CCTV"}</definedName>
    <definedName name="현장설명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호선" hidden="1">{"'자리배치도'!$AG$1:$CI$28"}</definedName>
    <definedName name="호ㅓㅕㅏ6ㅅ서ㅛㅓ" hidden="1">[4]BID!#REF!</definedName>
    <definedName name="홍ㄹㄴ" hidden="1">{#N/A,#N/A,FALSE,"부대2"}</definedName>
    <definedName name="효" hidden="1">{#N/A,#N/A,FALSE,"현장 NCR 분석";#N/A,#N/A,FALSE,"현장품질감사";#N/A,#N/A,FALSE,"현장품질감사"}</definedName>
    <definedName name="ㅏ" hidden="1">{#N/A,#N/A,FALSE,"현장 NCR 분석";#N/A,#N/A,FALSE,"현장품질감사";#N/A,#N/A,FALSE,"현장품질감사"}</definedName>
    <definedName name="ㅏ1" hidden="1">#REF!</definedName>
    <definedName name="ㅏㅏ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ㅕ" hidden="1">{#N/A,#N/A,FALSE,"포장1";#N/A,#N/A,FALSE,"포장1"}</definedName>
    <definedName name="ㅐㅐㅐ" hidden="1">{#N/A,#N/A,FALSE,"지침";#N/A,#N/A,FALSE,"환경분석";#N/A,#N/A,FALSE,"Sheet16"}</definedName>
    <definedName name="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ㅕㅑ" hidden="1">{#N/A,#N/A,FALSE,"전력간선"}</definedName>
    <definedName name="ㅓㄴㄱ" hidden="1">[4]BID!$A$1:$A$4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ㄹㄹ" hidden="1">{#N/A,#N/A,FALSE,"현장 NCR 분석";#N/A,#N/A,FALSE,"현장품질감사";#N/A,#N/A,FALSE,"현장품질감사"}</definedName>
    <definedName name="ㅓㅏㅕㅓ" hidden="1">{#N/A,#N/A,FALSE,"지침";#N/A,#N/A,FALSE,"환경분석";#N/A,#N/A,FALSE,"Sheet16"}</definedName>
    <definedName name="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" hidden="1">{#N/A,#N/A,FALSE,"전력간선"}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ㅔㅔ" hidden="1">[4]BID!#REF!</definedName>
    <definedName name="ㅔㅔㅔ" hidden="1">{#N/A,#N/A,TRUE,"토적및재료집계";#N/A,#N/A,TRUE,"토적및재료집계";#N/A,#N/A,TRUE,"단위량"}</definedName>
    <definedName name="ㅕㅅ" hidden="1">'[7]5사남'!#REF!</definedName>
    <definedName name="ㅕㅛ" hidden="1">{#N/A,#N/A,FALSE,"골재소요량";#N/A,#N/A,FALSE,"골재소요량"}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ㅅ" hidden="1">{#N/A,#N/A,FALSE,"현장 NCR 분석";#N/A,#N/A,FALSE,"현장품질감사";#N/A,#N/A,FALSE,"현장품질감사"}</definedName>
    <definedName name="ㅗㅅㄱ" hidden="1">{#N/A,#N/A,TRUE,"토적및재료집계";#N/A,#N/A,TRUE,"토적및재료집계";#N/A,#N/A,TRUE,"단위량"}</definedName>
    <definedName name="ㅗ하ㅣㄴ어ㅗ뢔ㅑㅇㅈ" hidden="1">{#N/A,#N/A,FALSE,"CCTV"}</definedName>
    <definedName name="ㅗㅓ" hidden="1">{#N/A,#N/A,FALSE,"부대2"}</definedName>
    <definedName name="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" hidden="1">{#N/A,#N/A,TRUE,"토적및재료집계";#N/A,#N/A,TRUE,"토적및재료집계";#N/A,#N/A,TRUE,"단위량"}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ㅠㅍ" hidden="1">{#N/A,#N/A,FALSE,"전력간선"}</definedName>
    <definedName name="ㅠㄳ" hidden="1">{#N/A,#N/A,FALSE,"현장 NCR 분석";#N/A,#N/A,FALSE,"현장품질감사";#N/A,#N/A,FALSE,"현장품질감사"}</definedName>
    <definedName name="ㅠㅠㅠ" hidden="1">{#N/A,#N/A,FALSE,"지침";#N/A,#N/A,FALSE,"환경분석";#N/A,#N/A,FALSE,"Sheet16"}</definedName>
    <definedName name="ㅡㅓㅛ" hidden="1">{#N/A,#N/A,FALSE,"현장 NCR 분석";#N/A,#N/A,FALSE,"현장품질감사";#N/A,#N/A,FALSE,"현장품질감사"}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ㅑㅑ" hidden="1">{#N/A,#N/A,FALSE,"단가표지"}</definedName>
    <definedName name="ㅣㅣ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8" l="1"/>
  <c r="E23" i="18"/>
  <c r="E19" i="18"/>
  <c r="D19" i="18"/>
  <c r="H19" i="18" s="1"/>
  <c r="K19" i="18" s="1"/>
  <c r="E18" i="18"/>
  <c r="D18" i="18"/>
  <c r="H18" i="18" s="1"/>
  <c r="K18" i="18" s="1"/>
  <c r="E17" i="18"/>
  <c r="D17" i="18"/>
  <c r="H17" i="18" s="1"/>
  <c r="K17" i="18" s="1"/>
  <c r="O16" i="18"/>
  <c r="O15" i="18"/>
  <c r="O14" i="18"/>
  <c r="O13" i="18"/>
  <c r="J41" i="17"/>
  <c r="G41" i="17"/>
  <c r="H41" i="17" s="1"/>
  <c r="I41" i="17" s="1"/>
  <c r="F41" i="17"/>
  <c r="E41" i="17"/>
  <c r="J40" i="17"/>
  <c r="F40" i="17"/>
  <c r="E40" i="17"/>
  <c r="J37" i="17"/>
  <c r="F37" i="17"/>
  <c r="E37" i="17"/>
  <c r="J34" i="17"/>
  <c r="F34" i="17"/>
  <c r="E34" i="17"/>
  <c r="J33" i="17"/>
  <c r="F33" i="17"/>
  <c r="E33" i="17"/>
  <c r="J32" i="17"/>
  <c r="F32" i="17"/>
  <c r="E32" i="17"/>
  <c r="J31" i="17"/>
  <c r="F31" i="17"/>
  <c r="E31" i="17"/>
  <c r="H20" i="17"/>
  <c r="K41" i="17" l="1"/>
  <c r="O23" i="18"/>
  <c r="K21" i="18"/>
  <c r="K22" i="18" s="1"/>
  <c r="K23" i="18" s="1"/>
  <c r="G37" i="17"/>
  <c r="H37" i="17" s="1"/>
  <c r="I37" i="17" s="1"/>
  <c r="K37" i="17" s="1"/>
  <c r="G33" i="17"/>
  <c r="H33" i="17" s="1"/>
  <c r="I33" i="17" s="1"/>
  <c r="K33" i="17" s="1"/>
  <c r="G31" i="17"/>
  <c r="H31" i="17" s="1"/>
  <c r="I31" i="17" s="1"/>
  <c r="K31" i="17" s="1"/>
  <c r="G32" i="17"/>
  <c r="H32" i="17" s="1"/>
  <c r="I32" i="17" s="1"/>
  <c r="K32" i="17" s="1"/>
  <c r="G40" i="17"/>
  <c r="H40" i="17" s="1"/>
  <c r="I40" i="17" s="1"/>
  <c r="K40" i="17" s="1"/>
  <c r="G34" i="17"/>
  <c r="H34" i="17" s="1"/>
  <c r="I34" i="17" s="1"/>
  <c r="K34" i="17" s="1"/>
  <c r="N21" i="18" l="1"/>
  <c r="K43" i="17"/>
  <c r="N23" i="18"/>
  <c r="H22" i="17"/>
  <c r="K44" i="17" l="1"/>
  <c r="K45" i="17" s="1"/>
  <c r="K57" i="17" l="1"/>
  <c r="H21" i="17"/>
  <c r="H24" i="17" s="1"/>
  <c r="H25" i="17" s="1"/>
  <c r="D31" i="3" s="1"/>
  <c r="K31" i="3" s="1"/>
  <c r="M241" i="10" l="1"/>
  <c r="K241" i="10"/>
  <c r="H241" i="10"/>
  <c r="G76" i="7"/>
  <c r="J62" i="7"/>
  <c r="G62" i="7" s="1"/>
  <c r="J61" i="7"/>
  <c r="G74" i="7"/>
  <c r="G13" i="7"/>
  <c r="G42" i="7"/>
  <c r="G68" i="7"/>
  <c r="G58" i="7"/>
  <c r="G85" i="7"/>
  <c r="G84" i="7"/>
  <c r="G80" i="7"/>
  <c r="G79" i="7"/>
  <c r="G83" i="7"/>
  <c r="G82" i="7"/>
  <c r="G81" i="7"/>
  <c r="G78" i="7"/>
  <c r="G75" i="7"/>
  <c r="G73" i="7"/>
  <c r="G67" i="7"/>
  <c r="G45" i="7"/>
  <c r="N112" i="7" l="1"/>
  <c r="L112" i="7"/>
  <c r="J112" i="7"/>
  <c r="N111" i="7"/>
  <c r="L111" i="7"/>
  <c r="J111" i="7"/>
  <c r="N110" i="7"/>
  <c r="L110" i="7"/>
  <c r="J110" i="7"/>
  <c r="N109" i="7"/>
  <c r="L109" i="7"/>
  <c r="J109" i="7"/>
  <c r="N108" i="7"/>
  <c r="L108" i="7"/>
  <c r="J108" i="7"/>
  <c r="N107" i="7"/>
  <c r="L107" i="7"/>
  <c r="J107" i="7"/>
  <c r="N106" i="7"/>
  <c r="L106" i="7"/>
  <c r="J106" i="7"/>
  <c r="N105" i="7"/>
  <c r="L105" i="7"/>
  <c r="J105" i="7"/>
  <c r="N104" i="7"/>
  <c r="L104" i="7"/>
  <c r="J104" i="7"/>
  <c r="N103" i="7"/>
  <c r="L103" i="7"/>
  <c r="J103" i="7"/>
  <c r="N102" i="7"/>
  <c r="L102" i="7"/>
  <c r="J102" i="7"/>
  <c r="N101" i="7"/>
  <c r="L101" i="7"/>
  <c r="J101" i="7"/>
  <c r="N100" i="7"/>
  <c r="L100" i="7"/>
  <c r="J100" i="7"/>
  <c r="N99" i="7"/>
  <c r="L99" i="7"/>
  <c r="J99" i="7"/>
  <c r="N98" i="7"/>
  <c r="L98" i="7"/>
  <c r="J98" i="7"/>
  <c r="N97" i="7"/>
  <c r="L97" i="7"/>
  <c r="J97" i="7"/>
  <c r="N96" i="7"/>
  <c r="L96" i="7"/>
  <c r="J96" i="7"/>
  <c r="N95" i="7"/>
  <c r="L95" i="7"/>
  <c r="J95" i="7"/>
  <c r="N94" i="7"/>
  <c r="L94" i="7"/>
  <c r="J94" i="7"/>
  <c r="N93" i="7"/>
  <c r="L93" i="7"/>
  <c r="J93" i="7"/>
  <c r="N92" i="7"/>
  <c r="L92" i="7"/>
  <c r="J92" i="7"/>
  <c r="N91" i="7"/>
  <c r="L91" i="7"/>
  <c r="J91" i="7"/>
  <c r="N90" i="7"/>
  <c r="L90" i="7"/>
  <c r="J90" i="7"/>
  <c r="N89" i="7"/>
  <c r="L89" i="7"/>
  <c r="J89" i="7"/>
  <c r="G88" i="7"/>
  <c r="G87" i="7"/>
  <c r="G86" i="7"/>
  <c r="G70" i="7"/>
  <c r="G69" i="7"/>
  <c r="G66" i="7"/>
  <c r="G65" i="7"/>
  <c r="G64" i="7"/>
  <c r="G63" i="7"/>
  <c r="G61" i="7"/>
  <c r="G60" i="7"/>
  <c r="G59" i="7"/>
  <c r="G57" i="7"/>
  <c r="G56" i="7"/>
  <c r="G47" i="7"/>
  <c r="G46" i="7"/>
  <c r="G43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2" i="7"/>
  <c r="G11" i="7"/>
  <c r="G9" i="7"/>
  <c r="G10" i="7"/>
  <c r="G8" i="7"/>
  <c r="G7" i="7"/>
  <c r="G6" i="7"/>
  <c r="G5" i="7"/>
  <c r="G4" i="7"/>
  <c r="I7" i="11" l="1"/>
  <c r="L7" i="11"/>
  <c r="N7" i="11"/>
  <c r="P7" i="11"/>
  <c r="I8" i="11"/>
  <c r="L8" i="11"/>
  <c r="N8" i="11"/>
  <c r="I9" i="11"/>
  <c r="L9" i="11"/>
  <c r="N9" i="11"/>
  <c r="P9" i="11" s="1"/>
  <c r="I10" i="11"/>
  <c r="L10" i="11"/>
  <c r="N10" i="11"/>
  <c r="I11" i="11"/>
  <c r="L11" i="11"/>
  <c r="N11" i="11"/>
  <c r="I12" i="11"/>
  <c r="L12" i="11"/>
  <c r="N12" i="11"/>
  <c r="I13" i="11"/>
  <c r="L13" i="11"/>
  <c r="N13" i="11"/>
  <c r="P13" i="11"/>
  <c r="I14" i="11"/>
  <c r="L14" i="11"/>
  <c r="N14" i="11"/>
  <c r="P14" i="11"/>
  <c r="I15" i="11"/>
  <c r="L15" i="11"/>
  <c r="N15" i="11"/>
  <c r="I16" i="11"/>
  <c r="L16" i="11"/>
  <c r="N16" i="11"/>
  <c r="I17" i="11"/>
  <c r="P17" i="11" s="1"/>
  <c r="L17" i="11"/>
  <c r="N17" i="11"/>
  <c r="I18" i="11"/>
  <c r="L18" i="11"/>
  <c r="N18" i="11"/>
  <c r="P18" i="11"/>
  <c r="I19" i="11"/>
  <c r="L19" i="11"/>
  <c r="N19" i="11"/>
  <c r="I20" i="11"/>
  <c r="L20" i="11"/>
  <c r="N20" i="11"/>
  <c r="I21" i="11"/>
  <c r="L21" i="11"/>
  <c r="N21" i="11"/>
  <c r="P21" i="11" s="1"/>
  <c r="I22" i="11"/>
  <c r="L22" i="11"/>
  <c r="N22" i="11"/>
  <c r="P22" i="11"/>
  <c r="I23" i="11"/>
  <c r="L23" i="11"/>
  <c r="N23" i="11"/>
  <c r="I24" i="11"/>
  <c r="L24" i="11"/>
  <c r="N24" i="11"/>
  <c r="I25" i="11"/>
  <c r="L25" i="11"/>
  <c r="N25" i="11"/>
  <c r="I26" i="11"/>
  <c r="L26" i="11"/>
  <c r="N26" i="11"/>
  <c r="P26" i="11"/>
  <c r="I27" i="11"/>
  <c r="L27" i="11"/>
  <c r="N27" i="11"/>
  <c r="I28" i="11"/>
  <c r="L28" i="11"/>
  <c r="N28" i="11"/>
  <c r="I36" i="11"/>
  <c r="L36" i="11"/>
  <c r="N36" i="11"/>
  <c r="I37" i="11"/>
  <c r="L37" i="11"/>
  <c r="N37" i="11"/>
  <c r="I38" i="11"/>
  <c r="L38" i="11"/>
  <c r="N38" i="11"/>
  <c r="P38" i="11"/>
  <c r="I39" i="11"/>
  <c r="L39" i="11"/>
  <c r="N39" i="11"/>
  <c r="I40" i="11"/>
  <c r="L40" i="11"/>
  <c r="N40" i="11"/>
  <c r="I41" i="11"/>
  <c r="L41" i="11"/>
  <c r="N41" i="11"/>
  <c r="P41" i="11"/>
  <c r="I42" i="11"/>
  <c r="P42" i="11" s="1"/>
  <c r="L42" i="11"/>
  <c r="N42" i="11"/>
  <c r="I43" i="11"/>
  <c r="L43" i="11"/>
  <c r="N43" i="11"/>
  <c r="I44" i="11"/>
  <c r="L44" i="11"/>
  <c r="N44" i="11"/>
  <c r="I45" i="11"/>
  <c r="L45" i="11"/>
  <c r="N45" i="11"/>
  <c r="I46" i="11"/>
  <c r="P46" i="11" s="1"/>
  <c r="L46" i="11"/>
  <c r="N46" i="11"/>
  <c r="I47" i="11"/>
  <c r="L47" i="11"/>
  <c r="N47" i="11"/>
  <c r="I48" i="11"/>
  <c r="L48" i="11"/>
  <c r="N48" i="11"/>
  <c r="P48" i="11"/>
  <c r="I49" i="11"/>
  <c r="L49" i="11"/>
  <c r="N49" i="11"/>
  <c r="I50" i="11"/>
  <c r="L50" i="11"/>
  <c r="N50" i="11"/>
  <c r="I51" i="11"/>
  <c r="L51" i="11"/>
  <c r="N51" i="11"/>
  <c r="I52" i="11"/>
  <c r="L52" i="11"/>
  <c r="N52" i="11"/>
  <c r="P52" i="11"/>
  <c r="I53" i="11"/>
  <c r="L53" i="11"/>
  <c r="N53" i="11"/>
  <c r="I54" i="11"/>
  <c r="L54" i="11"/>
  <c r="N54" i="11"/>
  <c r="P54" i="11" s="1"/>
  <c r="I60" i="11"/>
  <c r="L60" i="11"/>
  <c r="N60" i="11"/>
  <c r="I61" i="11"/>
  <c r="L61" i="11"/>
  <c r="N61" i="11"/>
  <c r="I62" i="11"/>
  <c r="P62" i="11" s="1"/>
  <c r="L62" i="11"/>
  <c r="N62" i="11"/>
  <c r="I63" i="11"/>
  <c r="L63" i="11"/>
  <c r="N63" i="11"/>
  <c r="I64" i="11"/>
  <c r="L64" i="11"/>
  <c r="N64" i="11"/>
  <c r="I65" i="11"/>
  <c r="L65" i="11"/>
  <c r="N65" i="11"/>
  <c r="I66" i="11"/>
  <c r="L66" i="11"/>
  <c r="N66" i="11"/>
  <c r="I67" i="11"/>
  <c r="L67" i="11"/>
  <c r="N67" i="11"/>
  <c r="I68" i="11"/>
  <c r="L68" i="11"/>
  <c r="N68" i="11"/>
  <c r="I69" i="11"/>
  <c r="L69" i="11"/>
  <c r="N69" i="11"/>
  <c r="P69" i="11"/>
  <c r="I70" i="11"/>
  <c r="L70" i="11"/>
  <c r="N70" i="11"/>
  <c r="I71" i="11"/>
  <c r="L71" i="11"/>
  <c r="N71" i="11"/>
  <c r="I72" i="11"/>
  <c r="L72" i="11"/>
  <c r="N72" i="11"/>
  <c r="I73" i="11"/>
  <c r="P73" i="11" s="1"/>
  <c r="L73" i="11"/>
  <c r="N73" i="11"/>
  <c r="I74" i="11"/>
  <c r="L74" i="11"/>
  <c r="N74" i="11"/>
  <c r="I75" i="11"/>
  <c r="L75" i="11"/>
  <c r="N75" i="11"/>
  <c r="I76" i="11"/>
  <c r="L76" i="11"/>
  <c r="N76" i="11"/>
  <c r="I77" i="11"/>
  <c r="P77" i="11" s="1"/>
  <c r="L77" i="11"/>
  <c r="N77" i="11"/>
  <c r="I78" i="11"/>
  <c r="L78" i="11"/>
  <c r="N78" i="11"/>
  <c r="I79" i="11"/>
  <c r="L79" i="11"/>
  <c r="N79" i="11"/>
  <c r="I80" i="11"/>
  <c r="L80" i="11"/>
  <c r="N80" i="11"/>
  <c r="AE318" i="10"/>
  <c r="AE302" i="10"/>
  <c r="AE245" i="10"/>
  <c r="AE188" i="10"/>
  <c r="AE178" i="10"/>
  <c r="AE133" i="10"/>
  <c r="AE89" i="10"/>
  <c r="AE44" i="10"/>
  <c r="I188" i="10"/>
  <c r="L188" i="10"/>
  <c r="N188" i="10"/>
  <c r="I189" i="10"/>
  <c r="L189" i="10"/>
  <c r="P189" i="10" s="1"/>
  <c r="N189" i="10"/>
  <c r="I190" i="10"/>
  <c r="L190" i="10"/>
  <c r="N190" i="10"/>
  <c r="P190" i="10" s="1"/>
  <c r="I191" i="10"/>
  <c r="L191" i="10"/>
  <c r="N191" i="10"/>
  <c r="I192" i="10"/>
  <c r="P192" i="10" s="1"/>
  <c r="L192" i="10"/>
  <c r="N192" i="10"/>
  <c r="I193" i="10"/>
  <c r="L193" i="10"/>
  <c r="N193" i="10"/>
  <c r="I194" i="10"/>
  <c r="L194" i="10"/>
  <c r="N194" i="10"/>
  <c r="I195" i="10"/>
  <c r="L195" i="10"/>
  <c r="N195" i="10"/>
  <c r="I196" i="10"/>
  <c r="L196" i="10"/>
  <c r="N196" i="10"/>
  <c r="I197" i="10"/>
  <c r="L197" i="10"/>
  <c r="N197" i="10"/>
  <c r="I198" i="10"/>
  <c r="L198" i="10"/>
  <c r="N198" i="10"/>
  <c r="I199" i="10"/>
  <c r="L199" i="10"/>
  <c r="N199" i="10"/>
  <c r="I200" i="10"/>
  <c r="L200" i="10"/>
  <c r="N200" i="10"/>
  <c r="P200" i="10" s="1"/>
  <c r="I201" i="10"/>
  <c r="L201" i="10"/>
  <c r="N201" i="10"/>
  <c r="P201" i="10"/>
  <c r="I202" i="10"/>
  <c r="L202" i="10"/>
  <c r="N202" i="10"/>
  <c r="I203" i="10"/>
  <c r="L203" i="10"/>
  <c r="N203" i="10"/>
  <c r="I204" i="10"/>
  <c r="P204" i="10" s="1"/>
  <c r="L204" i="10"/>
  <c r="N204" i="10"/>
  <c r="I205" i="10"/>
  <c r="L205" i="10"/>
  <c r="N205" i="10"/>
  <c r="P205" i="10"/>
  <c r="I206" i="10"/>
  <c r="L206" i="10"/>
  <c r="N206" i="10"/>
  <c r="I207" i="10"/>
  <c r="L207" i="10"/>
  <c r="N207" i="10"/>
  <c r="I208" i="10"/>
  <c r="P208" i="10" s="1"/>
  <c r="L208" i="10"/>
  <c r="N208" i="10"/>
  <c r="I209" i="10"/>
  <c r="L209" i="10"/>
  <c r="N209" i="10"/>
  <c r="I210" i="10"/>
  <c r="L210" i="10"/>
  <c r="N210" i="10"/>
  <c r="K218" i="10"/>
  <c r="L218" i="10" s="1"/>
  <c r="M218" i="10"/>
  <c r="N218" i="10" s="1"/>
  <c r="K219" i="10"/>
  <c r="L219" i="10" s="1"/>
  <c r="M219" i="10"/>
  <c r="N219" i="10" s="1"/>
  <c r="K220" i="10"/>
  <c r="L220" i="10" s="1"/>
  <c r="M220" i="10"/>
  <c r="N220" i="10" s="1"/>
  <c r="K230" i="10"/>
  <c r="L230" i="10" s="1"/>
  <c r="M230" i="10"/>
  <c r="N230" i="10" s="1"/>
  <c r="K237" i="10"/>
  <c r="L237" i="10" s="1"/>
  <c r="M237" i="10"/>
  <c r="N237" i="10" s="1"/>
  <c r="K240" i="10"/>
  <c r="L240" i="10" s="1"/>
  <c r="M240" i="10"/>
  <c r="N240" i="10" s="1"/>
  <c r="L241" i="10"/>
  <c r="N241" i="10"/>
  <c r="K244" i="10"/>
  <c r="L244" i="10" s="1"/>
  <c r="M244" i="10"/>
  <c r="N244" i="10" s="1"/>
  <c r="I245" i="10"/>
  <c r="L245" i="10"/>
  <c r="N245" i="10"/>
  <c r="I246" i="10"/>
  <c r="L246" i="10"/>
  <c r="N246" i="10"/>
  <c r="I247" i="10"/>
  <c r="L247" i="10"/>
  <c r="N247" i="10"/>
  <c r="I248" i="10"/>
  <c r="L248" i="10"/>
  <c r="N248" i="10"/>
  <c r="I249" i="10"/>
  <c r="L249" i="10"/>
  <c r="N249" i="10"/>
  <c r="I250" i="10"/>
  <c r="L250" i="10"/>
  <c r="P250" i="10" s="1"/>
  <c r="N250" i="10"/>
  <c r="I251" i="10"/>
  <c r="L251" i="10"/>
  <c r="N251" i="10"/>
  <c r="I252" i="10"/>
  <c r="L252" i="10"/>
  <c r="N252" i="10"/>
  <c r="I253" i="10"/>
  <c r="L253" i="10"/>
  <c r="N253" i="10"/>
  <c r="I254" i="10"/>
  <c r="L254" i="10"/>
  <c r="N254" i="10"/>
  <c r="I255" i="10"/>
  <c r="L255" i="10"/>
  <c r="N255" i="10"/>
  <c r="I256" i="10"/>
  <c r="L256" i="10"/>
  <c r="N256" i="10"/>
  <c r="I257" i="10"/>
  <c r="L257" i="10"/>
  <c r="N257" i="10"/>
  <c r="I258" i="10"/>
  <c r="L258" i="10"/>
  <c r="N258" i="10"/>
  <c r="I259" i="10"/>
  <c r="L259" i="10"/>
  <c r="N259" i="10"/>
  <c r="I260" i="10"/>
  <c r="L260" i="10"/>
  <c r="N260" i="10"/>
  <c r="I261" i="10"/>
  <c r="L261" i="10"/>
  <c r="N261" i="10"/>
  <c r="P261" i="10" s="1"/>
  <c r="I262" i="10"/>
  <c r="L262" i="10"/>
  <c r="N262" i="10"/>
  <c r="K270" i="10"/>
  <c r="L270" i="10"/>
  <c r="M270" i="10"/>
  <c r="N270" i="10" s="1"/>
  <c r="K274" i="10"/>
  <c r="L274" i="10" s="1"/>
  <c r="M274" i="10"/>
  <c r="N274" i="10" s="1"/>
  <c r="K280" i="10"/>
  <c r="L280" i="10" s="1"/>
  <c r="M280" i="10"/>
  <c r="N280" i="10" s="1"/>
  <c r="K284" i="10"/>
  <c r="L284" i="10"/>
  <c r="M284" i="10"/>
  <c r="N284" i="10" s="1"/>
  <c r="K285" i="10"/>
  <c r="L285" i="10" s="1"/>
  <c r="M285" i="10"/>
  <c r="N285" i="10" s="1"/>
  <c r="K290" i="10"/>
  <c r="L290" i="10" s="1"/>
  <c r="M290" i="10"/>
  <c r="N290" i="10" s="1"/>
  <c r="K294" i="10"/>
  <c r="L294" i="10" s="1"/>
  <c r="M294" i="10"/>
  <c r="N294" i="10" s="1"/>
  <c r="K295" i="10"/>
  <c r="L295" i="10" s="1"/>
  <c r="M295" i="10"/>
  <c r="N295" i="10" s="1"/>
  <c r="K296" i="10"/>
  <c r="L296" i="10" s="1"/>
  <c r="M296" i="10"/>
  <c r="N296" i="10" s="1"/>
  <c r="K299" i="10"/>
  <c r="L299" i="10"/>
  <c r="M299" i="10"/>
  <c r="N299" i="10" s="1"/>
  <c r="I301" i="10"/>
  <c r="L301" i="10"/>
  <c r="N301" i="10"/>
  <c r="I302" i="10"/>
  <c r="P302" i="10" s="1"/>
  <c r="L302" i="10"/>
  <c r="N302" i="10"/>
  <c r="I303" i="10"/>
  <c r="L303" i="10"/>
  <c r="N303" i="10"/>
  <c r="I304" i="10"/>
  <c r="L304" i="10"/>
  <c r="N304" i="10"/>
  <c r="I305" i="10"/>
  <c r="L305" i="10"/>
  <c r="N305" i="10"/>
  <c r="I306" i="10"/>
  <c r="L306" i="10"/>
  <c r="N306" i="10"/>
  <c r="I307" i="10"/>
  <c r="L307" i="10"/>
  <c r="N307" i="10"/>
  <c r="P307" i="10" s="1"/>
  <c r="I308" i="10"/>
  <c r="L308" i="10"/>
  <c r="N308" i="10"/>
  <c r="I309" i="10"/>
  <c r="L309" i="10"/>
  <c r="N309" i="10"/>
  <c r="I310" i="10"/>
  <c r="P310" i="10" s="1"/>
  <c r="L310" i="10"/>
  <c r="N310" i="10"/>
  <c r="I311" i="10"/>
  <c r="L311" i="10"/>
  <c r="N311" i="10"/>
  <c r="I312" i="10"/>
  <c r="L312" i="10"/>
  <c r="N312" i="10"/>
  <c r="I313" i="10"/>
  <c r="L313" i="10"/>
  <c r="N313" i="10"/>
  <c r="I314" i="10"/>
  <c r="L314" i="10"/>
  <c r="N314" i="10"/>
  <c r="K317" i="10"/>
  <c r="L317" i="10"/>
  <c r="M317" i="10"/>
  <c r="N317" i="10" s="1"/>
  <c r="I318" i="10"/>
  <c r="L318" i="10"/>
  <c r="N318" i="10"/>
  <c r="I319" i="10"/>
  <c r="P319" i="10" s="1"/>
  <c r="L319" i="10"/>
  <c r="N319" i="10"/>
  <c r="I320" i="10"/>
  <c r="L320" i="10"/>
  <c r="N320" i="10"/>
  <c r="I321" i="10"/>
  <c r="L321" i="10"/>
  <c r="N321" i="10"/>
  <c r="I322" i="10"/>
  <c r="L322" i="10"/>
  <c r="N322" i="10"/>
  <c r="I323" i="10"/>
  <c r="L323" i="10"/>
  <c r="N323" i="10"/>
  <c r="I324" i="10"/>
  <c r="L324" i="10"/>
  <c r="N324" i="10"/>
  <c r="I325" i="10"/>
  <c r="L325" i="10"/>
  <c r="N325" i="10"/>
  <c r="I326" i="10"/>
  <c r="L326" i="10"/>
  <c r="N326" i="10"/>
  <c r="I327" i="10"/>
  <c r="L327" i="10"/>
  <c r="N327" i="10"/>
  <c r="I328" i="10"/>
  <c r="L328" i="10"/>
  <c r="N328" i="10"/>
  <c r="I329" i="10"/>
  <c r="L329" i="10"/>
  <c r="N329" i="10"/>
  <c r="I330" i="10"/>
  <c r="L330" i="10"/>
  <c r="N330" i="10"/>
  <c r="I331" i="10"/>
  <c r="L331" i="10"/>
  <c r="N331" i="10"/>
  <c r="I332" i="10"/>
  <c r="L332" i="10"/>
  <c r="N332" i="10"/>
  <c r="I333" i="10"/>
  <c r="L333" i="10"/>
  <c r="N333" i="10"/>
  <c r="I334" i="10"/>
  <c r="L334" i="10"/>
  <c r="N334" i="10"/>
  <c r="I335" i="10"/>
  <c r="L335" i="10"/>
  <c r="N335" i="10"/>
  <c r="I336" i="10"/>
  <c r="L336" i="10"/>
  <c r="N336" i="10"/>
  <c r="I337" i="10"/>
  <c r="L337" i="10"/>
  <c r="N337" i="10"/>
  <c r="I338" i="10"/>
  <c r="L338" i="10"/>
  <c r="N338" i="10"/>
  <c r="I339" i="10"/>
  <c r="P339" i="10" s="1"/>
  <c r="L339" i="10"/>
  <c r="N339" i="10"/>
  <c r="I340" i="10"/>
  <c r="L340" i="10"/>
  <c r="N340" i="10"/>
  <c r="AE12" i="9"/>
  <c r="AE7" i="9"/>
  <c r="I8" i="9"/>
  <c r="L8" i="9"/>
  <c r="N8" i="9"/>
  <c r="I13" i="9"/>
  <c r="L13" i="9"/>
  <c r="N13" i="9"/>
  <c r="H15" i="9"/>
  <c r="M15" i="9"/>
  <c r="L16" i="9"/>
  <c r="N16" i="9"/>
  <c r="I18" i="9"/>
  <c r="L18" i="9"/>
  <c r="N18" i="9"/>
  <c r="H20" i="9"/>
  <c r="M20" i="9"/>
  <c r="H21" i="9"/>
  <c r="M21" i="9"/>
  <c r="L22" i="9"/>
  <c r="N22" i="9"/>
  <c r="I24" i="9"/>
  <c r="L24" i="9"/>
  <c r="N24" i="9"/>
  <c r="K26" i="9"/>
  <c r="L26" i="9" s="1"/>
  <c r="M26" i="9"/>
  <c r="N26" i="9"/>
  <c r="K27" i="9"/>
  <c r="L27" i="9"/>
  <c r="M27" i="9"/>
  <c r="N27" i="9"/>
  <c r="K28" i="9"/>
  <c r="L28" i="9" s="1"/>
  <c r="M28" i="9"/>
  <c r="N28" i="9" s="1"/>
  <c r="H29" i="9"/>
  <c r="M29" i="9"/>
  <c r="H30" i="9"/>
  <c r="M30" i="9"/>
  <c r="L31" i="9"/>
  <c r="N31" i="9"/>
  <c r="I33" i="9"/>
  <c r="L33" i="9"/>
  <c r="N33" i="9"/>
  <c r="H36" i="9"/>
  <c r="M36" i="9"/>
  <c r="L37" i="9"/>
  <c r="N37" i="9"/>
  <c r="I39" i="9"/>
  <c r="P39" i="9" s="1"/>
  <c r="L39" i="9"/>
  <c r="N39" i="9"/>
  <c r="H42" i="9"/>
  <c r="M42" i="9"/>
  <c r="L43" i="9"/>
  <c r="N43" i="9"/>
  <c r="I45" i="9"/>
  <c r="L45" i="9"/>
  <c r="N45" i="9"/>
  <c r="H47" i="9"/>
  <c r="M47" i="9"/>
  <c r="L48" i="9"/>
  <c r="N48" i="9"/>
  <c r="I50" i="9"/>
  <c r="L50" i="9"/>
  <c r="N50" i="9"/>
  <c r="H52" i="9"/>
  <c r="M52" i="9"/>
  <c r="L53" i="9"/>
  <c r="N53" i="9"/>
  <c r="I55" i="9"/>
  <c r="L55" i="9"/>
  <c r="N55" i="9"/>
  <c r="P55" i="9"/>
  <c r="K57" i="9"/>
  <c r="L57" i="9" s="1"/>
  <c r="M57" i="9"/>
  <c r="N57" i="9" s="1"/>
  <c r="K58" i="9"/>
  <c r="L58" i="9"/>
  <c r="M58" i="9"/>
  <c r="N58" i="9" s="1"/>
  <c r="L59" i="9"/>
  <c r="N59" i="9"/>
  <c r="L60" i="9"/>
  <c r="N60" i="9"/>
  <c r="H61" i="9"/>
  <c r="M61" i="9"/>
  <c r="H62" i="9"/>
  <c r="M62" i="9"/>
  <c r="L63" i="9"/>
  <c r="N63" i="9"/>
  <c r="I65" i="9"/>
  <c r="P65" i="9" s="1"/>
  <c r="L65" i="9"/>
  <c r="N65" i="9"/>
  <c r="K67" i="9"/>
  <c r="L67" i="9" s="1"/>
  <c r="M67" i="9"/>
  <c r="N67" i="9"/>
  <c r="K68" i="9"/>
  <c r="L68" i="9"/>
  <c r="M68" i="9"/>
  <c r="N68" i="9" s="1"/>
  <c r="L69" i="9"/>
  <c r="N69" i="9"/>
  <c r="L70" i="9"/>
  <c r="N70" i="9"/>
  <c r="H71" i="9"/>
  <c r="M71" i="9"/>
  <c r="H72" i="9"/>
  <c r="M72" i="9"/>
  <c r="L73" i="9"/>
  <c r="N73" i="9"/>
  <c r="I75" i="9"/>
  <c r="P75" i="9" s="1"/>
  <c r="L75" i="9"/>
  <c r="N75" i="9"/>
  <c r="K77" i="9"/>
  <c r="L77" i="9"/>
  <c r="M77" i="9"/>
  <c r="N77" i="9" s="1"/>
  <c r="K78" i="9"/>
  <c r="L78" i="9" s="1"/>
  <c r="M78" i="9"/>
  <c r="N78" i="9" s="1"/>
  <c r="L79" i="9"/>
  <c r="N79" i="9"/>
  <c r="L80" i="9"/>
  <c r="N80" i="9"/>
  <c r="H81" i="9"/>
  <c r="M81" i="9"/>
  <c r="H82" i="9"/>
  <c r="M82" i="9"/>
  <c r="L83" i="9"/>
  <c r="N83" i="9"/>
  <c r="I85" i="9"/>
  <c r="L85" i="9"/>
  <c r="N85" i="9"/>
  <c r="K87" i="9"/>
  <c r="L87" i="9" s="1"/>
  <c r="M87" i="9"/>
  <c r="N87" i="9" s="1"/>
  <c r="K88" i="9"/>
  <c r="L88" i="9" s="1"/>
  <c r="M88" i="9"/>
  <c r="N88" i="9" s="1"/>
  <c r="L89" i="9"/>
  <c r="N89" i="9"/>
  <c r="L90" i="9"/>
  <c r="N90" i="9"/>
  <c r="H91" i="9"/>
  <c r="M91" i="9"/>
  <c r="H92" i="9"/>
  <c r="M92" i="9"/>
  <c r="L93" i="9"/>
  <c r="N93" i="9"/>
  <c r="I95" i="9"/>
  <c r="L95" i="9"/>
  <c r="N95" i="9"/>
  <c r="K97" i="9"/>
  <c r="L97" i="9" s="1"/>
  <c r="M97" i="9"/>
  <c r="N97" i="9" s="1"/>
  <c r="K98" i="9"/>
  <c r="L98" i="9" s="1"/>
  <c r="M98" i="9"/>
  <c r="N98" i="9" s="1"/>
  <c r="L99" i="9"/>
  <c r="N99" i="9"/>
  <c r="L100" i="9"/>
  <c r="N100" i="9"/>
  <c r="H101" i="9"/>
  <c r="M101" i="9"/>
  <c r="H102" i="9"/>
  <c r="M102" i="9"/>
  <c r="L103" i="9"/>
  <c r="N103" i="9"/>
  <c r="I105" i="9"/>
  <c r="L105" i="9"/>
  <c r="N105" i="9"/>
  <c r="K107" i="9"/>
  <c r="L107" i="9" s="1"/>
  <c r="M107" i="9"/>
  <c r="N107" i="9" s="1"/>
  <c r="K108" i="9"/>
  <c r="L108" i="9" s="1"/>
  <c r="M108" i="9"/>
  <c r="N108" i="9" s="1"/>
  <c r="L109" i="9"/>
  <c r="N109" i="9"/>
  <c r="L110" i="9"/>
  <c r="N110" i="9"/>
  <c r="H111" i="9"/>
  <c r="M111" i="9"/>
  <c r="H112" i="9"/>
  <c r="M112" i="9"/>
  <c r="L113" i="9"/>
  <c r="N113" i="9"/>
  <c r="I115" i="9"/>
  <c r="P115" i="9" s="1"/>
  <c r="L115" i="9"/>
  <c r="N115" i="9"/>
  <c r="K117" i="9"/>
  <c r="L117" i="9"/>
  <c r="M117" i="9"/>
  <c r="N117" i="9"/>
  <c r="K118" i="9"/>
  <c r="L118" i="9" s="1"/>
  <c r="M118" i="9"/>
  <c r="N118" i="9" s="1"/>
  <c r="L119" i="9"/>
  <c r="N119" i="9"/>
  <c r="L120" i="9"/>
  <c r="N120" i="9"/>
  <c r="H121" i="9"/>
  <c r="M121" i="9"/>
  <c r="H122" i="9"/>
  <c r="M122" i="9"/>
  <c r="L123" i="9"/>
  <c r="N123" i="9"/>
  <c r="I125" i="9"/>
  <c r="L125" i="9"/>
  <c r="N125" i="9"/>
  <c r="K127" i="9"/>
  <c r="L127" i="9" s="1"/>
  <c r="M127" i="9"/>
  <c r="N127" i="9" s="1"/>
  <c r="K128" i="9"/>
  <c r="L128" i="9" s="1"/>
  <c r="M128" i="9"/>
  <c r="N128" i="9" s="1"/>
  <c r="L129" i="9"/>
  <c r="N129" i="9"/>
  <c r="L130" i="9"/>
  <c r="N130" i="9"/>
  <c r="H131" i="9"/>
  <c r="M131" i="9"/>
  <c r="H132" i="9"/>
  <c r="M132" i="9"/>
  <c r="L133" i="9"/>
  <c r="N133" i="9"/>
  <c r="I135" i="9"/>
  <c r="L135" i="9"/>
  <c r="N135" i="9"/>
  <c r="K137" i="9"/>
  <c r="L137" i="9" s="1"/>
  <c r="M137" i="9"/>
  <c r="N137" i="9" s="1"/>
  <c r="K138" i="9"/>
  <c r="L138" i="9" s="1"/>
  <c r="M138" i="9"/>
  <c r="N138" i="9" s="1"/>
  <c r="L139" i="9"/>
  <c r="N139" i="9"/>
  <c r="H140" i="9"/>
  <c r="M140" i="9"/>
  <c r="L141" i="9"/>
  <c r="N141" i="9"/>
  <c r="I143" i="9"/>
  <c r="L143" i="9"/>
  <c r="N143" i="9"/>
  <c r="K145" i="9"/>
  <c r="L145" i="9"/>
  <c r="M145" i="9"/>
  <c r="N145" i="9"/>
  <c r="K146" i="9"/>
  <c r="L146" i="9"/>
  <c r="M146" i="9"/>
  <c r="N146" i="9" s="1"/>
  <c r="L147" i="9"/>
  <c r="N147" i="9"/>
  <c r="H148" i="9"/>
  <c r="M148" i="9"/>
  <c r="L149" i="9"/>
  <c r="N149" i="9"/>
  <c r="I151" i="9"/>
  <c r="L151" i="9"/>
  <c r="N151" i="9"/>
  <c r="K153" i="9"/>
  <c r="L153" i="9" s="1"/>
  <c r="M153" i="9"/>
  <c r="N153" i="9" s="1"/>
  <c r="K154" i="9"/>
  <c r="L154" i="9" s="1"/>
  <c r="M154" i="9"/>
  <c r="N154" i="9" s="1"/>
  <c r="L155" i="9"/>
  <c r="N155" i="9"/>
  <c r="H156" i="9"/>
  <c r="M156" i="9"/>
  <c r="L157" i="9"/>
  <c r="N157" i="9"/>
  <c r="I159" i="9"/>
  <c r="L159" i="9"/>
  <c r="N159" i="9"/>
  <c r="K161" i="9"/>
  <c r="L161" i="9" s="1"/>
  <c r="M161" i="9"/>
  <c r="N161" i="9" s="1"/>
  <c r="K162" i="9"/>
  <c r="L162" i="9" s="1"/>
  <c r="M162" i="9"/>
  <c r="N162" i="9" s="1"/>
  <c r="L163" i="9"/>
  <c r="N163" i="9"/>
  <c r="H164" i="9"/>
  <c r="M164" i="9"/>
  <c r="L165" i="9"/>
  <c r="N165" i="9"/>
  <c r="I167" i="9"/>
  <c r="L167" i="9"/>
  <c r="N167" i="9"/>
  <c r="K169" i="9"/>
  <c r="L169" i="9"/>
  <c r="M169" i="9"/>
  <c r="N169" i="9" s="1"/>
  <c r="K170" i="9"/>
  <c r="L170" i="9" s="1"/>
  <c r="M170" i="9"/>
  <c r="N170" i="9" s="1"/>
  <c r="L171" i="9"/>
  <c r="N171" i="9"/>
  <c r="H172" i="9"/>
  <c r="M172" i="9"/>
  <c r="L173" i="9"/>
  <c r="N173" i="9"/>
  <c r="I175" i="9"/>
  <c r="L175" i="9"/>
  <c r="N175" i="9"/>
  <c r="P175" i="9" s="1"/>
  <c r="K177" i="9"/>
  <c r="L177" i="9" s="1"/>
  <c r="M177" i="9"/>
  <c r="N177" i="9" s="1"/>
  <c r="K178" i="9"/>
  <c r="L178" i="9" s="1"/>
  <c r="M178" i="9"/>
  <c r="N178" i="9" s="1"/>
  <c r="L179" i="9"/>
  <c r="N179" i="9"/>
  <c r="H180" i="9"/>
  <c r="M180" i="9"/>
  <c r="L181" i="9"/>
  <c r="N181" i="9"/>
  <c r="I183" i="9"/>
  <c r="L183" i="9"/>
  <c r="N183" i="9"/>
  <c r="K185" i="9"/>
  <c r="L185" i="9" s="1"/>
  <c r="M185" i="9"/>
  <c r="N185" i="9"/>
  <c r="K186" i="9"/>
  <c r="L186" i="9" s="1"/>
  <c r="M186" i="9"/>
  <c r="N186" i="9" s="1"/>
  <c r="L187" i="9"/>
  <c r="N187" i="9"/>
  <c r="H188" i="9"/>
  <c r="M188" i="9"/>
  <c r="H189" i="9"/>
  <c r="M189" i="9"/>
  <c r="L190" i="9"/>
  <c r="N190" i="9"/>
  <c r="I192" i="9"/>
  <c r="L192" i="9"/>
  <c r="N192" i="9"/>
  <c r="K194" i="9"/>
  <c r="L194" i="9" s="1"/>
  <c r="M194" i="9"/>
  <c r="N194" i="9" s="1"/>
  <c r="H195" i="9"/>
  <c r="M195" i="9"/>
  <c r="H196" i="9"/>
  <c r="M196" i="9"/>
  <c r="L197" i="9"/>
  <c r="N197" i="9"/>
  <c r="I199" i="9"/>
  <c r="L199" i="9"/>
  <c r="N199" i="9"/>
  <c r="K201" i="9"/>
  <c r="L201" i="9" s="1"/>
  <c r="M201" i="9"/>
  <c r="N201" i="9" s="1"/>
  <c r="H202" i="9"/>
  <c r="M202" i="9"/>
  <c r="H203" i="9"/>
  <c r="M203" i="9"/>
  <c r="L204" i="9"/>
  <c r="N204" i="9"/>
  <c r="I206" i="9"/>
  <c r="L206" i="9"/>
  <c r="N206" i="9"/>
  <c r="K208" i="9"/>
  <c r="L208" i="9"/>
  <c r="M208" i="9"/>
  <c r="N208" i="9" s="1"/>
  <c r="H209" i="9"/>
  <c r="M209" i="9"/>
  <c r="L210" i="9"/>
  <c r="N210" i="9"/>
  <c r="I212" i="9"/>
  <c r="L212" i="9"/>
  <c r="N212" i="9"/>
  <c r="P212" i="9"/>
  <c r="K214" i="9"/>
  <c r="L214" i="9" s="1"/>
  <c r="M214" i="9"/>
  <c r="N214" i="9" s="1"/>
  <c r="H215" i="9"/>
  <c r="M215" i="9"/>
  <c r="H216" i="9"/>
  <c r="M216" i="9"/>
  <c r="L217" i="9"/>
  <c r="N217" i="9"/>
  <c r="I219" i="9"/>
  <c r="P219" i="9" s="1"/>
  <c r="L219" i="9"/>
  <c r="N219" i="9"/>
  <c r="K221" i="9"/>
  <c r="L221" i="9" s="1"/>
  <c r="M221" i="9"/>
  <c r="N221" i="9" s="1"/>
  <c r="H222" i="9"/>
  <c r="M222" i="9"/>
  <c r="L223" i="9"/>
  <c r="N223" i="9"/>
  <c r="I225" i="9"/>
  <c r="L225" i="9"/>
  <c r="N225" i="9"/>
  <c r="K227" i="9"/>
  <c r="L227" i="9" s="1"/>
  <c r="M227" i="9"/>
  <c r="N227" i="9"/>
  <c r="H228" i="9"/>
  <c r="M228" i="9"/>
  <c r="L229" i="9"/>
  <c r="N229" i="9"/>
  <c r="I231" i="9"/>
  <c r="L231" i="9"/>
  <c r="N231" i="9"/>
  <c r="P231" i="9" s="1"/>
  <c r="K233" i="9"/>
  <c r="L233" i="9" s="1"/>
  <c r="M233" i="9"/>
  <c r="N233" i="9" s="1"/>
  <c r="H234" i="9"/>
  <c r="M234" i="9"/>
  <c r="L235" i="9"/>
  <c r="N235" i="9"/>
  <c r="I237" i="9"/>
  <c r="L237" i="9"/>
  <c r="N237" i="9"/>
  <c r="K239" i="9"/>
  <c r="L239" i="9" s="1"/>
  <c r="M239" i="9"/>
  <c r="N239" i="9" s="1"/>
  <c r="H240" i="9"/>
  <c r="M240" i="9"/>
  <c r="H241" i="9"/>
  <c r="M241" i="9"/>
  <c r="H242" i="9"/>
  <c r="M242" i="9"/>
  <c r="H243" i="9"/>
  <c r="M243" i="9"/>
  <c r="L244" i="9"/>
  <c r="N244" i="9"/>
  <c r="I246" i="9"/>
  <c r="L246" i="9"/>
  <c r="N246" i="9"/>
  <c r="K248" i="9"/>
  <c r="L248" i="9" s="1"/>
  <c r="M248" i="9"/>
  <c r="N248" i="9" s="1"/>
  <c r="H249" i="9"/>
  <c r="M249" i="9"/>
  <c r="H250" i="9"/>
  <c r="M250" i="9"/>
  <c r="L251" i="9"/>
  <c r="N251" i="9"/>
  <c r="I253" i="9"/>
  <c r="P253" i="9" s="1"/>
  <c r="L253" i="9"/>
  <c r="N253" i="9"/>
  <c r="K255" i="9"/>
  <c r="L255" i="9" s="1"/>
  <c r="M255" i="9"/>
  <c r="N255" i="9"/>
  <c r="H256" i="9"/>
  <c r="M256" i="9"/>
  <c r="H257" i="9"/>
  <c r="M257" i="9"/>
  <c r="L258" i="9"/>
  <c r="N258" i="9"/>
  <c r="I260" i="9"/>
  <c r="L260" i="9"/>
  <c r="P260" i="9" s="1"/>
  <c r="N260" i="9"/>
  <c r="K262" i="9"/>
  <c r="L262" i="9"/>
  <c r="M262" i="9"/>
  <c r="N262" i="9" s="1"/>
  <c r="H263" i="9"/>
  <c r="M263" i="9"/>
  <c r="L264" i="9"/>
  <c r="N264" i="9"/>
  <c r="I266" i="9"/>
  <c r="L266" i="9"/>
  <c r="N266" i="9"/>
  <c r="K268" i="9"/>
  <c r="L268" i="9" s="1"/>
  <c r="M268" i="9"/>
  <c r="N268" i="9" s="1"/>
  <c r="H269" i="9"/>
  <c r="M269" i="9"/>
  <c r="H270" i="9"/>
  <c r="M270" i="9"/>
  <c r="L271" i="9"/>
  <c r="N271" i="9"/>
  <c r="I273" i="9"/>
  <c r="L273" i="9"/>
  <c r="N273" i="9"/>
  <c r="K275" i="9"/>
  <c r="L275" i="9" s="1"/>
  <c r="M275" i="9"/>
  <c r="N275" i="9" s="1"/>
  <c r="H276" i="9"/>
  <c r="M276" i="9"/>
  <c r="H277" i="9"/>
  <c r="M277" i="9"/>
  <c r="H278" i="9"/>
  <c r="M278" i="9"/>
  <c r="H279" i="9"/>
  <c r="M279" i="9"/>
  <c r="H280" i="9"/>
  <c r="M280" i="9"/>
  <c r="L281" i="9"/>
  <c r="N281" i="9"/>
  <c r="I283" i="9"/>
  <c r="L283" i="9"/>
  <c r="N283" i="9"/>
  <c r="K285" i="9"/>
  <c r="L285" i="9" s="1"/>
  <c r="M285" i="9"/>
  <c r="N285" i="9" s="1"/>
  <c r="H286" i="9"/>
  <c r="M286" i="9"/>
  <c r="H287" i="9"/>
  <c r="M287" i="9"/>
  <c r="L288" i="9"/>
  <c r="N288" i="9"/>
  <c r="I290" i="9"/>
  <c r="L290" i="9"/>
  <c r="N290" i="9"/>
  <c r="K292" i="9"/>
  <c r="L292" i="9"/>
  <c r="M292" i="9"/>
  <c r="N292" i="9" s="1"/>
  <c r="H293" i="9"/>
  <c r="M293" i="9"/>
  <c r="H294" i="9"/>
  <c r="M294" i="9"/>
  <c r="L295" i="9"/>
  <c r="N295" i="9"/>
  <c r="I297" i="9"/>
  <c r="L297" i="9"/>
  <c r="N297" i="9"/>
  <c r="K299" i="9"/>
  <c r="L299" i="9" s="1"/>
  <c r="M299" i="9"/>
  <c r="N299" i="9" s="1"/>
  <c r="H300" i="9"/>
  <c r="M300" i="9"/>
  <c r="H301" i="9"/>
  <c r="M301" i="9"/>
  <c r="L302" i="9"/>
  <c r="N302" i="9"/>
  <c r="I304" i="9"/>
  <c r="L304" i="9"/>
  <c r="N304" i="9"/>
  <c r="K306" i="9"/>
  <c r="L306" i="9" s="1"/>
  <c r="M306" i="9"/>
  <c r="N306" i="9" s="1"/>
  <c r="H307" i="9"/>
  <c r="M307" i="9"/>
  <c r="H308" i="9"/>
  <c r="M308" i="9"/>
  <c r="L309" i="9"/>
  <c r="N309" i="9"/>
  <c r="I311" i="9"/>
  <c r="L311" i="9"/>
  <c r="N311" i="9"/>
  <c r="K313" i="9"/>
  <c r="L313" i="9" s="1"/>
  <c r="M313" i="9"/>
  <c r="N313" i="9"/>
  <c r="H314" i="9"/>
  <c r="M314" i="9"/>
  <c r="H315" i="9"/>
  <c r="M315" i="9"/>
  <c r="L316" i="9"/>
  <c r="N316" i="9"/>
  <c r="I318" i="9"/>
  <c r="L318" i="9"/>
  <c r="N318" i="9"/>
  <c r="K320" i="9"/>
  <c r="L320" i="9" s="1"/>
  <c r="M320" i="9"/>
  <c r="N320" i="9" s="1"/>
  <c r="H321" i="9"/>
  <c r="M321" i="9"/>
  <c r="H322" i="9"/>
  <c r="M322" i="9"/>
  <c r="L323" i="9"/>
  <c r="N323" i="9"/>
  <c r="I325" i="9"/>
  <c r="L325" i="9"/>
  <c r="N325" i="9"/>
  <c r="K327" i="9"/>
  <c r="L327" i="9" s="1"/>
  <c r="M327" i="9"/>
  <c r="N327" i="9" s="1"/>
  <c r="H328" i="9"/>
  <c r="M328" i="9"/>
  <c r="H329" i="9"/>
  <c r="M329" i="9"/>
  <c r="L330" i="9"/>
  <c r="N330" i="9"/>
  <c r="I332" i="9"/>
  <c r="L332" i="9"/>
  <c r="N332" i="9"/>
  <c r="K334" i="9"/>
  <c r="L334" i="9" s="1"/>
  <c r="M334" i="9"/>
  <c r="N334" i="9" s="1"/>
  <c r="H335" i="9"/>
  <c r="M335" i="9"/>
  <c r="H336" i="9"/>
  <c r="M336" i="9"/>
  <c r="L337" i="9"/>
  <c r="N337" i="9"/>
  <c r="I339" i="9"/>
  <c r="L339" i="9"/>
  <c r="N339" i="9"/>
  <c r="K341" i="9"/>
  <c r="L341" i="9" s="1"/>
  <c r="M341" i="9"/>
  <c r="N341" i="9" s="1"/>
  <c r="H342" i="9"/>
  <c r="M342" i="9"/>
  <c r="H343" i="9"/>
  <c r="M343" i="9"/>
  <c r="L344" i="9"/>
  <c r="N344" i="9"/>
  <c r="I346" i="9"/>
  <c r="L346" i="9"/>
  <c r="N346" i="9"/>
  <c r="K348" i="9"/>
  <c r="L348" i="9" s="1"/>
  <c r="M348" i="9"/>
  <c r="N348" i="9" s="1"/>
  <c r="H349" i="9"/>
  <c r="M349" i="9"/>
  <c r="L350" i="9"/>
  <c r="N350" i="9"/>
  <c r="I352" i="9"/>
  <c r="L352" i="9"/>
  <c r="N352" i="9"/>
  <c r="K354" i="9"/>
  <c r="L354" i="9"/>
  <c r="M354" i="9"/>
  <c r="N354" i="9"/>
  <c r="H355" i="9"/>
  <c r="M355" i="9"/>
  <c r="L356" i="9"/>
  <c r="N356" i="9"/>
  <c r="I358" i="9"/>
  <c r="P358" i="9" s="1"/>
  <c r="L358" i="9"/>
  <c r="N358" i="9"/>
  <c r="K360" i="9"/>
  <c r="L360" i="9" s="1"/>
  <c r="M360" i="9"/>
  <c r="N360" i="9"/>
  <c r="H361" i="9"/>
  <c r="M361" i="9"/>
  <c r="H362" i="9"/>
  <c r="M362" i="9"/>
  <c r="L363" i="9"/>
  <c r="N363" i="9"/>
  <c r="I365" i="9"/>
  <c r="L365" i="9"/>
  <c r="N365" i="9"/>
  <c r="K367" i="9"/>
  <c r="L367" i="9" s="1"/>
  <c r="M367" i="9"/>
  <c r="N367" i="9" s="1"/>
  <c r="H368" i="9"/>
  <c r="M368" i="9"/>
  <c r="H369" i="9"/>
  <c r="M369" i="9"/>
  <c r="L370" i="9"/>
  <c r="N370" i="9"/>
  <c r="I372" i="9"/>
  <c r="L372" i="9"/>
  <c r="N372" i="9"/>
  <c r="K374" i="9"/>
  <c r="L374" i="9" s="1"/>
  <c r="M374" i="9"/>
  <c r="N374" i="9" s="1"/>
  <c r="H375" i="9"/>
  <c r="M375" i="9"/>
  <c r="L376" i="9"/>
  <c r="N376" i="9"/>
  <c r="I378" i="9"/>
  <c r="L378" i="9"/>
  <c r="P378" i="9" s="1"/>
  <c r="N378" i="9"/>
  <c r="K380" i="9"/>
  <c r="L380" i="9" s="1"/>
  <c r="M380" i="9"/>
  <c r="N380" i="9" s="1"/>
  <c r="H381" i="9"/>
  <c r="M381" i="9"/>
  <c r="L382" i="9"/>
  <c r="N382" i="9"/>
  <c r="I384" i="9"/>
  <c r="L384" i="9"/>
  <c r="N384" i="9"/>
  <c r="K386" i="9"/>
  <c r="L386" i="9" s="1"/>
  <c r="M386" i="9"/>
  <c r="N386" i="9" s="1"/>
  <c r="H387" i="9"/>
  <c r="M387" i="9"/>
  <c r="L388" i="9"/>
  <c r="N388" i="9"/>
  <c r="I390" i="9"/>
  <c r="L390" i="9"/>
  <c r="N390" i="9"/>
  <c r="K392" i="9"/>
  <c r="L392" i="9" s="1"/>
  <c r="M392" i="9"/>
  <c r="N392" i="9" s="1"/>
  <c r="H393" i="9"/>
  <c r="M393" i="9"/>
  <c r="L394" i="9"/>
  <c r="N394" i="9"/>
  <c r="I396" i="9"/>
  <c r="L396" i="9"/>
  <c r="N396" i="9"/>
  <c r="K398" i="9"/>
  <c r="L398" i="9" s="1"/>
  <c r="M398" i="9"/>
  <c r="N398" i="9" s="1"/>
  <c r="H399" i="9"/>
  <c r="M399" i="9"/>
  <c r="H400" i="9"/>
  <c r="M400" i="9"/>
  <c r="L401" i="9"/>
  <c r="N401" i="9"/>
  <c r="I403" i="9"/>
  <c r="P403" i="9" s="1"/>
  <c r="L403" i="9"/>
  <c r="N403" i="9"/>
  <c r="K405" i="9"/>
  <c r="L405" i="9" s="1"/>
  <c r="M405" i="9"/>
  <c r="N405" i="9" s="1"/>
  <c r="H406" i="9"/>
  <c r="M406" i="9"/>
  <c r="H407" i="9"/>
  <c r="M407" i="9"/>
  <c r="L408" i="9"/>
  <c r="N408" i="9"/>
  <c r="I410" i="9"/>
  <c r="P410" i="9" s="1"/>
  <c r="L410" i="9"/>
  <c r="N410" i="9"/>
  <c r="K412" i="9"/>
  <c r="L412" i="9" s="1"/>
  <c r="M412" i="9"/>
  <c r="N412" i="9" s="1"/>
  <c r="H413" i="9"/>
  <c r="M413" i="9"/>
  <c r="L414" i="9"/>
  <c r="N414" i="9"/>
  <c r="I416" i="9"/>
  <c r="L416" i="9"/>
  <c r="N416" i="9"/>
  <c r="K418" i="9"/>
  <c r="L418" i="9" s="1"/>
  <c r="M418" i="9"/>
  <c r="N418" i="9" s="1"/>
  <c r="H419" i="9"/>
  <c r="M419" i="9"/>
  <c r="H420" i="9"/>
  <c r="M420" i="9"/>
  <c r="L421" i="9"/>
  <c r="N421" i="9"/>
  <c r="I423" i="9"/>
  <c r="L423" i="9"/>
  <c r="N423" i="9"/>
  <c r="K425" i="9"/>
  <c r="L425" i="9" s="1"/>
  <c r="M425" i="9"/>
  <c r="N425" i="9" s="1"/>
  <c r="H426" i="9"/>
  <c r="M426" i="9"/>
  <c r="H427" i="9"/>
  <c r="M427" i="9"/>
  <c r="L428" i="9"/>
  <c r="N428" i="9"/>
  <c r="I430" i="9"/>
  <c r="L430" i="9"/>
  <c r="N430" i="9"/>
  <c r="K432" i="9"/>
  <c r="L432" i="9" s="1"/>
  <c r="M432" i="9"/>
  <c r="N432" i="9" s="1"/>
  <c r="H433" i="9"/>
  <c r="M433" i="9"/>
  <c r="H434" i="9"/>
  <c r="M434" i="9"/>
  <c r="L435" i="9"/>
  <c r="N435" i="9"/>
  <c r="I437" i="9"/>
  <c r="L437" i="9"/>
  <c r="N437" i="9"/>
  <c r="P437" i="9" s="1"/>
  <c r="K439" i="9"/>
  <c r="L439" i="9" s="1"/>
  <c r="M439" i="9"/>
  <c r="N439" i="9" s="1"/>
  <c r="H440" i="9"/>
  <c r="M440" i="9"/>
  <c r="H441" i="9"/>
  <c r="M441" i="9"/>
  <c r="L442" i="9"/>
  <c r="N442" i="9"/>
  <c r="I444" i="9"/>
  <c r="P444" i="9" s="1"/>
  <c r="L444" i="9"/>
  <c r="N444" i="9"/>
  <c r="K446" i="9"/>
  <c r="L446" i="9" s="1"/>
  <c r="M446" i="9"/>
  <c r="N446" i="9" s="1"/>
  <c r="H447" i="9"/>
  <c r="M447" i="9"/>
  <c r="H448" i="9"/>
  <c r="M448" i="9"/>
  <c r="L449" i="9"/>
  <c r="N449" i="9"/>
  <c r="I451" i="9"/>
  <c r="L451" i="9"/>
  <c r="N451" i="9"/>
  <c r="K453" i="9"/>
  <c r="L453" i="9" s="1"/>
  <c r="M453" i="9"/>
  <c r="N453" i="9" s="1"/>
  <c r="H454" i="9"/>
  <c r="M454" i="9"/>
  <c r="H455" i="9"/>
  <c r="M455" i="9"/>
  <c r="L456" i="9"/>
  <c r="N456" i="9"/>
  <c r="I458" i="9"/>
  <c r="L458" i="9"/>
  <c r="N458" i="9"/>
  <c r="K460" i="9"/>
  <c r="L460" i="9" s="1"/>
  <c r="M460" i="9"/>
  <c r="N460" i="9" s="1"/>
  <c r="H461" i="9"/>
  <c r="M461" i="9"/>
  <c r="H462" i="9"/>
  <c r="M462" i="9"/>
  <c r="L463" i="9"/>
  <c r="N463" i="9"/>
  <c r="I465" i="9"/>
  <c r="L465" i="9"/>
  <c r="N465" i="9"/>
  <c r="P465" i="9" s="1"/>
  <c r="K467" i="9"/>
  <c r="L467" i="9" s="1"/>
  <c r="M467" i="9"/>
  <c r="N467" i="9" s="1"/>
  <c r="H468" i="9"/>
  <c r="M468" i="9"/>
  <c r="H469" i="9"/>
  <c r="M469" i="9"/>
  <c r="L470" i="9"/>
  <c r="N470" i="9"/>
  <c r="I472" i="9"/>
  <c r="L472" i="9"/>
  <c r="N472" i="9"/>
  <c r="K474" i="9"/>
  <c r="L474" i="9" s="1"/>
  <c r="M474" i="9"/>
  <c r="N474" i="9" s="1"/>
  <c r="H475" i="9"/>
  <c r="M475" i="9"/>
  <c r="H476" i="9"/>
  <c r="M476" i="9"/>
  <c r="L477" i="9"/>
  <c r="N477" i="9"/>
  <c r="H5" i="15"/>
  <c r="O5" i="15"/>
  <c r="AJ5" i="15" s="1"/>
  <c r="I6" i="15" s="1"/>
  <c r="O6" i="15" s="1"/>
  <c r="H6" i="15"/>
  <c r="G6" i="15" s="1"/>
  <c r="G15" i="9" s="1"/>
  <c r="H8" i="15"/>
  <c r="O8" i="15"/>
  <c r="AO8" i="15" s="1"/>
  <c r="AO10" i="15" s="1"/>
  <c r="H9" i="15"/>
  <c r="O9" i="15"/>
  <c r="H10" i="15"/>
  <c r="H11" i="15"/>
  <c r="H13" i="15"/>
  <c r="O13" i="15"/>
  <c r="AM13" i="15" s="1"/>
  <c r="I16" i="15" s="1"/>
  <c r="H14" i="15"/>
  <c r="O14" i="15"/>
  <c r="AJ14" i="15" s="1"/>
  <c r="I15" i="15" s="1"/>
  <c r="O15" i="15" s="1"/>
  <c r="H15" i="15"/>
  <c r="H16" i="15"/>
  <c r="H18" i="15"/>
  <c r="O18" i="15"/>
  <c r="AA18" i="15" s="1"/>
  <c r="AA19" i="15" s="1"/>
  <c r="H19" i="15"/>
  <c r="H21" i="15"/>
  <c r="O21" i="15"/>
  <c r="AA21" i="15" s="1"/>
  <c r="AA22" i="15" s="1"/>
  <c r="H22" i="15"/>
  <c r="H24" i="15"/>
  <c r="O24" i="15"/>
  <c r="AJ24" i="15" s="1"/>
  <c r="H25" i="15"/>
  <c r="H27" i="15"/>
  <c r="O27" i="15"/>
  <c r="AJ27" i="15" s="1"/>
  <c r="I28" i="15" s="1"/>
  <c r="O28" i="15" s="1"/>
  <c r="H28" i="15"/>
  <c r="H30" i="15"/>
  <c r="O30" i="15"/>
  <c r="AD30" i="15" s="1"/>
  <c r="H31" i="15"/>
  <c r="O31" i="15"/>
  <c r="AJ31" i="15" s="1"/>
  <c r="H32" i="15"/>
  <c r="H33" i="15"/>
  <c r="H35" i="15"/>
  <c r="O35" i="15"/>
  <c r="AD35" i="15" s="1"/>
  <c r="H36" i="15"/>
  <c r="O36" i="15"/>
  <c r="AJ36" i="15" s="1"/>
  <c r="H37" i="15"/>
  <c r="I37" i="15"/>
  <c r="O37" i="15" s="1"/>
  <c r="H38" i="15"/>
  <c r="I38" i="15"/>
  <c r="O38" i="15" s="1"/>
  <c r="H40" i="15"/>
  <c r="O40" i="15"/>
  <c r="H41" i="15"/>
  <c r="O41" i="15"/>
  <c r="AJ41" i="15" s="1"/>
  <c r="I43" i="15" s="1"/>
  <c r="O43" i="15" s="1"/>
  <c r="H42" i="15"/>
  <c r="H43" i="15"/>
  <c r="H45" i="15"/>
  <c r="O45" i="15"/>
  <c r="AD45" i="15" s="1"/>
  <c r="H46" i="15"/>
  <c r="O46" i="15"/>
  <c r="AJ46" i="15" s="1"/>
  <c r="H47" i="15"/>
  <c r="H48" i="15"/>
  <c r="H50" i="15"/>
  <c r="O50" i="15"/>
  <c r="AD50" i="15" s="1"/>
  <c r="H51" i="15"/>
  <c r="O51" i="15"/>
  <c r="H52" i="15"/>
  <c r="H53" i="15"/>
  <c r="H55" i="15"/>
  <c r="O55" i="15"/>
  <c r="AD55" i="15" s="1"/>
  <c r="AD57" i="15" s="1"/>
  <c r="H56" i="15"/>
  <c r="O56" i="15"/>
  <c r="AJ56" i="15" s="1"/>
  <c r="I58" i="15" s="1"/>
  <c r="H57" i="15"/>
  <c r="I57" i="15"/>
  <c r="O57" i="15" s="1"/>
  <c r="H58" i="15"/>
  <c r="H60" i="15"/>
  <c r="O60" i="15"/>
  <c r="AD60" i="15" s="1"/>
  <c r="H61" i="15"/>
  <c r="O61" i="15"/>
  <c r="AJ61" i="15" s="1"/>
  <c r="H62" i="15"/>
  <c r="H63" i="15"/>
  <c r="H65" i="15"/>
  <c r="O65" i="15"/>
  <c r="AG65" i="15" s="1"/>
  <c r="H66" i="15"/>
  <c r="O66" i="15"/>
  <c r="AJ66" i="15" s="1"/>
  <c r="I68" i="15" s="1"/>
  <c r="O68" i="15" s="1"/>
  <c r="H67" i="15"/>
  <c r="H68" i="15"/>
  <c r="H70" i="15"/>
  <c r="O70" i="15"/>
  <c r="H71" i="15"/>
  <c r="H73" i="15"/>
  <c r="O73" i="15"/>
  <c r="AA73" i="15" s="1"/>
  <c r="AA74" i="15" s="1"/>
  <c r="H74" i="15"/>
  <c r="H76" i="15"/>
  <c r="O76" i="15"/>
  <c r="AA76" i="15" s="1"/>
  <c r="AA77" i="15" s="1"/>
  <c r="H77" i="15"/>
  <c r="H79" i="15"/>
  <c r="O79" i="15"/>
  <c r="AB79" i="15" s="1"/>
  <c r="AB80" i="15" s="1"/>
  <c r="H80" i="15"/>
  <c r="H82" i="15"/>
  <c r="O82" i="15"/>
  <c r="H83" i="15"/>
  <c r="H85" i="15"/>
  <c r="O85" i="15"/>
  <c r="AB85" i="15" s="1"/>
  <c r="H86" i="15"/>
  <c r="H88" i="15"/>
  <c r="O88" i="15"/>
  <c r="AI88" i="15" s="1"/>
  <c r="H89" i="15"/>
  <c r="O89" i="15"/>
  <c r="AK89" i="15" s="1"/>
  <c r="I91" i="15" s="1"/>
  <c r="O91" i="15" s="1"/>
  <c r="H90" i="15"/>
  <c r="H91" i="15"/>
  <c r="H93" i="15"/>
  <c r="O93" i="15"/>
  <c r="H94" i="15"/>
  <c r="O94" i="15"/>
  <c r="AJ94" i="15" s="1"/>
  <c r="H95" i="15"/>
  <c r="H96" i="15"/>
  <c r="H98" i="15"/>
  <c r="O98" i="15"/>
  <c r="AA98" i="15" s="1"/>
  <c r="I100" i="15" s="1"/>
  <c r="O100" i="15" s="1"/>
  <c r="H99" i="15"/>
  <c r="O99" i="15"/>
  <c r="AJ99" i="15" s="1"/>
  <c r="I101" i="15" s="1"/>
  <c r="H100" i="15"/>
  <c r="H101" i="15"/>
  <c r="H103" i="15"/>
  <c r="O103" i="15"/>
  <c r="AA103" i="15" s="1"/>
  <c r="AA104" i="15" s="1"/>
  <c r="H104" i="15"/>
  <c r="H106" i="15"/>
  <c r="O106" i="15"/>
  <c r="H107" i="15"/>
  <c r="O107" i="15"/>
  <c r="AJ107" i="15" s="1"/>
  <c r="H108" i="15"/>
  <c r="H109" i="15"/>
  <c r="H111" i="15"/>
  <c r="O111" i="15"/>
  <c r="AB111" i="15" s="1"/>
  <c r="AB112" i="15" s="1"/>
  <c r="H112" i="15"/>
  <c r="H114" i="15"/>
  <c r="O114" i="15"/>
  <c r="AB114" i="15" s="1"/>
  <c r="AB115" i="15" s="1"/>
  <c r="H115" i="15"/>
  <c r="H117" i="15"/>
  <c r="O117" i="15"/>
  <c r="H118" i="15"/>
  <c r="H120" i="15"/>
  <c r="O120" i="15"/>
  <c r="AL120" i="15" s="1"/>
  <c r="I125" i="15" s="1"/>
  <c r="G125" i="15" s="1"/>
  <c r="G241" i="9" s="1"/>
  <c r="I241" i="9" s="1"/>
  <c r="H121" i="15"/>
  <c r="O121" i="15"/>
  <c r="AK121" i="15" s="1"/>
  <c r="H122" i="15"/>
  <c r="O122" i="15"/>
  <c r="AQ122" i="15" s="1"/>
  <c r="I127" i="15" s="1"/>
  <c r="O127" i="15" s="1"/>
  <c r="H123" i="15"/>
  <c r="O123" i="15"/>
  <c r="AN123" i="15" s="1"/>
  <c r="H124" i="15"/>
  <c r="H125" i="15"/>
  <c r="H126" i="15"/>
  <c r="H127" i="15"/>
  <c r="H129" i="15"/>
  <c r="O129" i="15"/>
  <c r="AG129" i="15" s="1"/>
  <c r="H130" i="15"/>
  <c r="O130" i="15"/>
  <c r="AJ130" i="15" s="1"/>
  <c r="H131" i="15"/>
  <c r="H132" i="15"/>
  <c r="H134" i="15"/>
  <c r="O134" i="15"/>
  <c r="AD134" i="15" s="1"/>
  <c r="H135" i="15"/>
  <c r="O135" i="15"/>
  <c r="AJ135" i="15" s="1"/>
  <c r="H136" i="15"/>
  <c r="H137" i="15"/>
  <c r="H139" i="15"/>
  <c r="O139" i="15"/>
  <c r="AA139" i="15" s="1"/>
  <c r="H140" i="15"/>
  <c r="H142" i="15"/>
  <c r="O142" i="15"/>
  <c r="H143" i="15"/>
  <c r="O143" i="15"/>
  <c r="AJ143" i="15" s="1"/>
  <c r="H144" i="15"/>
  <c r="G144" i="15" s="1"/>
  <c r="G269" i="9" s="1"/>
  <c r="H145" i="15"/>
  <c r="H147" i="15"/>
  <c r="O147" i="15"/>
  <c r="H148" i="15"/>
  <c r="O148" i="15"/>
  <c r="H149" i="15"/>
  <c r="O149" i="15"/>
  <c r="H150" i="15"/>
  <c r="O150" i="15"/>
  <c r="AJ150" i="15" s="1"/>
  <c r="H151" i="15"/>
  <c r="O151" i="15"/>
  <c r="AP151" i="15" s="1"/>
  <c r="H152" i="15"/>
  <c r="H153" i="15"/>
  <c r="H154" i="15"/>
  <c r="H155" i="15"/>
  <c r="I155" i="15"/>
  <c r="O155" i="15" s="1"/>
  <c r="H156" i="15"/>
  <c r="H158" i="15"/>
  <c r="O158" i="15"/>
  <c r="AB158" i="15" s="1"/>
  <c r="H159" i="15"/>
  <c r="O159" i="15"/>
  <c r="AJ159" i="15" s="1"/>
  <c r="I161" i="15" s="1"/>
  <c r="O161" i="15" s="1"/>
  <c r="H160" i="15"/>
  <c r="I160" i="15"/>
  <c r="O160" i="15" s="1"/>
  <c r="H161" i="15"/>
  <c r="H163" i="15"/>
  <c r="O163" i="15"/>
  <c r="H164" i="15"/>
  <c r="O164" i="15"/>
  <c r="AJ164" i="15" s="1"/>
  <c r="AJ165" i="15" s="1"/>
  <c r="H165" i="15"/>
  <c r="H166" i="15"/>
  <c r="H168" i="15"/>
  <c r="O168" i="15"/>
  <c r="AB168" i="15" s="1"/>
  <c r="H169" i="15"/>
  <c r="O169" i="15"/>
  <c r="AJ169" i="15" s="1"/>
  <c r="I171" i="15" s="1"/>
  <c r="O171" i="15" s="1"/>
  <c r="H170" i="15"/>
  <c r="H171" i="15"/>
  <c r="H173" i="15"/>
  <c r="O173" i="15"/>
  <c r="H174" i="15"/>
  <c r="O174" i="15"/>
  <c r="AJ174" i="15" s="1"/>
  <c r="H175" i="15"/>
  <c r="H176" i="15"/>
  <c r="H178" i="15"/>
  <c r="O178" i="15"/>
  <c r="AB178" i="15" s="1"/>
  <c r="H179" i="15"/>
  <c r="O179" i="15"/>
  <c r="AJ179" i="15" s="1"/>
  <c r="H180" i="15"/>
  <c r="H181" i="15"/>
  <c r="H183" i="15"/>
  <c r="O183" i="15"/>
  <c r="AB183" i="15" s="1"/>
  <c r="H184" i="15"/>
  <c r="O184" i="15"/>
  <c r="H185" i="15"/>
  <c r="H186" i="15"/>
  <c r="H188" i="15"/>
  <c r="O188" i="15"/>
  <c r="H189" i="15"/>
  <c r="O189" i="15"/>
  <c r="AJ189" i="15" s="1"/>
  <c r="AJ190" i="15" s="1"/>
  <c r="H190" i="15"/>
  <c r="H191" i="15"/>
  <c r="H193" i="15"/>
  <c r="O193" i="15"/>
  <c r="AB193" i="15" s="1"/>
  <c r="AB195" i="15" s="1"/>
  <c r="H194" i="15"/>
  <c r="O194" i="15"/>
  <c r="AJ194" i="15" s="1"/>
  <c r="H195" i="15"/>
  <c r="H196" i="15"/>
  <c r="H198" i="15"/>
  <c r="O198" i="15"/>
  <c r="AA198" i="15" s="1"/>
  <c r="H199" i="15"/>
  <c r="O199" i="15"/>
  <c r="AJ199" i="15" s="1"/>
  <c r="H200" i="15"/>
  <c r="H201" i="15"/>
  <c r="H203" i="15"/>
  <c r="O203" i="15"/>
  <c r="H204" i="15"/>
  <c r="H206" i="15"/>
  <c r="O206" i="15"/>
  <c r="AA206" i="15" s="1"/>
  <c r="I207" i="15" s="1"/>
  <c r="O207" i="15" s="1"/>
  <c r="H207" i="15"/>
  <c r="H209" i="15"/>
  <c r="O209" i="15"/>
  <c r="AA209" i="15" s="1"/>
  <c r="H210" i="15"/>
  <c r="O210" i="15"/>
  <c r="AJ210" i="15" s="1"/>
  <c r="H211" i="15"/>
  <c r="H212" i="15"/>
  <c r="H214" i="15"/>
  <c r="O214" i="15"/>
  <c r="H215" i="15"/>
  <c r="O215" i="15"/>
  <c r="AJ215" i="15" s="1"/>
  <c r="I217" i="15" s="1"/>
  <c r="O217" i="15" s="1"/>
  <c r="H216" i="15"/>
  <c r="H217" i="15"/>
  <c r="H219" i="15"/>
  <c r="O219" i="15"/>
  <c r="AA219" i="15" s="1"/>
  <c r="H220" i="15"/>
  <c r="H222" i="15"/>
  <c r="O222" i="15"/>
  <c r="AJ222" i="15" s="1"/>
  <c r="I223" i="15" s="1"/>
  <c r="O223" i="15" s="1"/>
  <c r="H223" i="15"/>
  <c r="H225" i="15"/>
  <c r="O225" i="15"/>
  <c r="AJ225" i="15" s="1"/>
  <c r="AJ226" i="15" s="1"/>
  <c r="H226" i="15"/>
  <c r="H228" i="15"/>
  <c r="O228" i="15"/>
  <c r="AA228" i="15" s="1"/>
  <c r="H229" i="15"/>
  <c r="H231" i="15"/>
  <c r="O231" i="15"/>
  <c r="AA231" i="15" s="1"/>
  <c r="H232" i="15"/>
  <c r="O232" i="15"/>
  <c r="AJ232" i="15" s="1"/>
  <c r="H233" i="15"/>
  <c r="H234" i="15"/>
  <c r="H236" i="15"/>
  <c r="O236" i="15"/>
  <c r="AA236" i="15" s="1"/>
  <c r="I238" i="15" s="1"/>
  <c r="O238" i="15" s="1"/>
  <c r="H237" i="15"/>
  <c r="O237" i="15"/>
  <c r="H238" i="15"/>
  <c r="H239" i="15"/>
  <c r="H241" i="15"/>
  <c r="O241" i="15"/>
  <c r="AA241" i="15" s="1"/>
  <c r="H242" i="15"/>
  <c r="H244" i="15"/>
  <c r="O244" i="15"/>
  <c r="AA244" i="15" s="1"/>
  <c r="I246" i="15" s="1"/>
  <c r="O246" i="15" s="1"/>
  <c r="H245" i="15"/>
  <c r="O245" i="15"/>
  <c r="AJ245" i="15" s="1"/>
  <c r="I247" i="15" s="1"/>
  <c r="H246" i="15"/>
  <c r="G246" i="15" s="1"/>
  <c r="G419" i="9" s="1"/>
  <c r="H247" i="15"/>
  <c r="H249" i="15"/>
  <c r="O249" i="15"/>
  <c r="AA249" i="15" s="1"/>
  <c r="H250" i="15"/>
  <c r="O250" i="15"/>
  <c r="H251" i="15"/>
  <c r="H252" i="15"/>
  <c r="H254" i="15"/>
  <c r="O254" i="15"/>
  <c r="AA254" i="15" s="1"/>
  <c r="H255" i="15"/>
  <c r="O255" i="15"/>
  <c r="AJ255" i="15" s="1"/>
  <c r="H256" i="15"/>
  <c r="I256" i="15"/>
  <c r="O256" i="15" s="1"/>
  <c r="H257" i="15"/>
  <c r="H259" i="15"/>
  <c r="O259" i="15"/>
  <c r="AA259" i="15" s="1"/>
  <c r="H260" i="15"/>
  <c r="O260" i="15"/>
  <c r="H261" i="15"/>
  <c r="H262" i="15"/>
  <c r="H264" i="15"/>
  <c r="O264" i="15"/>
  <c r="AA264" i="15" s="1"/>
  <c r="AA266" i="15" s="1"/>
  <c r="H265" i="15"/>
  <c r="O265" i="15"/>
  <c r="AJ265" i="15" s="1"/>
  <c r="I267" i="15" s="1"/>
  <c r="O267" i="15" s="1"/>
  <c r="H266" i="15"/>
  <c r="H267" i="15"/>
  <c r="H269" i="15"/>
  <c r="O269" i="15"/>
  <c r="AA269" i="15" s="1"/>
  <c r="I271" i="15" s="1"/>
  <c r="H270" i="15"/>
  <c r="O270" i="15"/>
  <c r="AJ270" i="15" s="1"/>
  <c r="I272" i="15" s="1"/>
  <c r="O272" i="15" s="1"/>
  <c r="H271" i="15"/>
  <c r="H272" i="15"/>
  <c r="H274" i="15"/>
  <c r="O274" i="15"/>
  <c r="AA274" i="15" s="1"/>
  <c r="AA276" i="15" s="1"/>
  <c r="H275" i="15"/>
  <c r="O275" i="15"/>
  <c r="H276" i="15"/>
  <c r="H277" i="15"/>
  <c r="H279" i="15"/>
  <c r="O279" i="15"/>
  <c r="AA279" i="15" s="1"/>
  <c r="AA281" i="15" s="1"/>
  <c r="H280" i="15"/>
  <c r="O280" i="15"/>
  <c r="AJ280" i="15" s="1"/>
  <c r="H281" i="15"/>
  <c r="I281" i="15"/>
  <c r="O281" i="15" s="1"/>
  <c r="H282" i="15"/>
  <c r="H284" i="15"/>
  <c r="O284" i="15"/>
  <c r="AA284" i="15" s="1"/>
  <c r="AA286" i="15" s="1"/>
  <c r="H285" i="15"/>
  <c r="O285" i="15"/>
  <c r="AJ285" i="15" s="1"/>
  <c r="H286" i="15"/>
  <c r="I286" i="15"/>
  <c r="O286" i="15" s="1"/>
  <c r="H287" i="15"/>
  <c r="AJ275" i="15"/>
  <c r="AJ260" i="15"/>
  <c r="I262" i="15" s="1"/>
  <c r="O262" i="15" s="1"/>
  <c r="AA256" i="15"/>
  <c r="AJ250" i="15"/>
  <c r="AJ237" i="15"/>
  <c r="I239" i="15" s="1"/>
  <c r="AJ223" i="15"/>
  <c r="AA214" i="15"/>
  <c r="I216" i="15" s="1"/>
  <c r="O216" i="15" s="1"/>
  <c r="AA203" i="15"/>
  <c r="I204" i="15" s="1"/>
  <c r="O204" i="15" s="1"/>
  <c r="AB188" i="15"/>
  <c r="AJ184" i="15"/>
  <c r="I186" i="15" s="1"/>
  <c r="O186" i="15" s="1"/>
  <c r="AB173" i="15"/>
  <c r="AB163" i="15"/>
  <c r="AB165" i="15" s="1"/>
  <c r="AJ160" i="15"/>
  <c r="AB160" i="15"/>
  <c r="AJ152" i="15"/>
  <c r="AF149" i="15"/>
  <c r="AF152" i="15" s="1"/>
  <c r="AE148" i="15"/>
  <c r="I152" i="15" s="1"/>
  <c r="AH147" i="15"/>
  <c r="I154" i="15" s="1"/>
  <c r="O154" i="15" s="1"/>
  <c r="AA142" i="15"/>
  <c r="I144" i="15" s="1"/>
  <c r="O144" i="15" s="1"/>
  <c r="AL124" i="15"/>
  <c r="AB117" i="15"/>
  <c r="AC106" i="15"/>
  <c r="I108" i="15" s="1"/>
  <c r="O108" i="15" s="1"/>
  <c r="AJ100" i="15"/>
  <c r="AA93" i="15"/>
  <c r="I95" i="15" s="1"/>
  <c r="O95" i="15" s="1"/>
  <c r="AB82" i="15"/>
  <c r="AB83" i="15" s="1"/>
  <c r="AA70" i="15"/>
  <c r="I71" i="15" s="1"/>
  <c r="O71" i="15" s="1"/>
  <c r="AJ51" i="15"/>
  <c r="AJ52" i="15" s="1"/>
  <c r="AD40" i="15"/>
  <c r="I42" i="15" s="1"/>
  <c r="O42" i="15" s="1"/>
  <c r="AJ37" i="15"/>
  <c r="AD37" i="15"/>
  <c r="AJ28" i="15"/>
  <c r="AJ9" i="15"/>
  <c r="I10" i="15" s="1"/>
  <c r="O10" i="15" s="1"/>
  <c r="H20" i="6"/>
  <c r="H219" i="10" s="1"/>
  <c r="H21" i="6"/>
  <c r="L21" i="6" s="1"/>
  <c r="H32" i="6"/>
  <c r="L32" i="6" s="1"/>
  <c r="H66" i="6"/>
  <c r="H67" i="6"/>
  <c r="H78" i="6"/>
  <c r="H110" i="6"/>
  <c r="H474" i="9" s="1"/>
  <c r="I474" i="9" s="1"/>
  <c r="H111" i="6"/>
  <c r="L111" i="6" s="1"/>
  <c r="H112" i="6"/>
  <c r="H6" i="9" s="1"/>
  <c r="I6" i="9" s="1"/>
  <c r="I112" i="6"/>
  <c r="K6" i="9" s="1"/>
  <c r="L6" i="9" s="1"/>
  <c r="J112" i="6"/>
  <c r="M6" i="9" s="1"/>
  <c r="N6" i="9" s="1"/>
  <c r="H113" i="6"/>
  <c r="I113" i="6"/>
  <c r="K11" i="9" s="1"/>
  <c r="L11" i="9" s="1"/>
  <c r="J113" i="6"/>
  <c r="M11" i="9" s="1"/>
  <c r="N11" i="9" s="1"/>
  <c r="H114" i="6"/>
  <c r="H35" i="9" s="1"/>
  <c r="I35" i="9" s="1"/>
  <c r="I114" i="6"/>
  <c r="J114" i="6"/>
  <c r="M35" i="9" s="1"/>
  <c r="N35" i="9" s="1"/>
  <c r="I115" i="6"/>
  <c r="K426" i="9" s="1"/>
  <c r="I116" i="6"/>
  <c r="K300" i="9" s="1"/>
  <c r="I117" i="6"/>
  <c r="L117" i="6" s="1"/>
  <c r="I118" i="6"/>
  <c r="K101" i="9" s="1"/>
  <c r="I119" i="6"/>
  <c r="I120" i="6"/>
  <c r="I121" i="6"/>
  <c r="K131" i="9" s="1"/>
  <c r="I122" i="6"/>
  <c r="K278" i="9" s="1"/>
  <c r="I123" i="6"/>
  <c r="K188" i="9" s="1"/>
  <c r="I124" i="6"/>
  <c r="K407" i="9" s="1"/>
  <c r="I125" i="6"/>
  <c r="L125" i="6" s="1"/>
  <c r="I126" i="6"/>
  <c r="K241" i="9" s="1"/>
  <c r="I127" i="6"/>
  <c r="K30" i="9" s="1"/>
  <c r="I128" i="6"/>
  <c r="I129" i="6"/>
  <c r="K21" i="9" s="1"/>
  <c r="I130" i="6"/>
  <c r="K280" i="9" s="1"/>
  <c r="I131" i="6"/>
  <c r="K243" i="9" s="1"/>
  <c r="L132" i="6"/>
  <c r="L133" i="6"/>
  <c r="B25" i="5"/>
  <c r="D25" i="5" s="1"/>
  <c r="B24" i="5"/>
  <c r="D24" i="5" s="1"/>
  <c r="B23" i="5"/>
  <c r="D23" i="5" s="1"/>
  <c r="B22" i="5"/>
  <c r="D22" i="5" s="1"/>
  <c r="B21" i="5"/>
  <c r="D21" i="5" s="1"/>
  <c r="A1" i="1"/>
  <c r="D38" i="1"/>
  <c r="D39" i="1"/>
  <c r="D40" i="1"/>
  <c r="D41" i="1"/>
  <c r="D42" i="1"/>
  <c r="D43" i="1"/>
  <c r="D44" i="1"/>
  <c r="D45" i="1"/>
  <c r="D46" i="1"/>
  <c r="D37" i="1"/>
  <c r="D36" i="1"/>
  <c r="D22" i="1"/>
  <c r="D20" i="1"/>
  <c r="D18" i="1"/>
  <c r="AE3" i="10"/>
  <c r="AD3" i="10"/>
  <c r="D13" i="5"/>
  <c r="F3" i="5"/>
  <c r="D12" i="5"/>
  <c r="D11" i="5"/>
  <c r="H7" i="6" s="1"/>
  <c r="H88" i="9" s="1"/>
  <c r="I88" i="9" s="1"/>
  <c r="K6" i="3"/>
  <c r="K22" i="3"/>
  <c r="K23" i="3"/>
  <c r="K24" i="3"/>
  <c r="K32" i="3"/>
  <c r="K33" i="3"/>
  <c r="K34" i="3"/>
  <c r="N36" i="2"/>
  <c r="N37" i="2"/>
  <c r="N38" i="2"/>
  <c r="N39" i="2"/>
  <c r="P330" i="10" l="1"/>
  <c r="P254" i="10"/>
  <c r="P262" i="10"/>
  <c r="P253" i="10"/>
  <c r="P193" i="10"/>
  <c r="P337" i="10"/>
  <c r="AJ144" i="15"/>
  <c r="I145" i="15"/>
  <c r="O145" i="15" s="1"/>
  <c r="AJ233" i="15"/>
  <c r="I234" i="15"/>
  <c r="O234" i="15" s="1"/>
  <c r="I48" i="15"/>
  <c r="O48" i="15" s="1"/>
  <c r="AJ47" i="15"/>
  <c r="AJ95" i="15"/>
  <c r="I96" i="15"/>
  <c r="G96" i="15" s="1"/>
  <c r="G196" i="9" s="1"/>
  <c r="N419" i="9"/>
  <c r="G38" i="15"/>
  <c r="G72" i="9" s="1"/>
  <c r="P458" i="9"/>
  <c r="P390" i="9"/>
  <c r="P332" i="9"/>
  <c r="P266" i="9"/>
  <c r="P33" i="9"/>
  <c r="P323" i="10"/>
  <c r="P65" i="11"/>
  <c r="P27" i="11"/>
  <c r="P249" i="10"/>
  <c r="H108" i="6"/>
  <c r="H65" i="6"/>
  <c r="H392" i="9" s="1"/>
  <c r="I392" i="9" s="1"/>
  <c r="H18" i="6"/>
  <c r="AA204" i="15"/>
  <c r="AJ261" i="15"/>
  <c r="G155" i="15"/>
  <c r="G279" i="9" s="1"/>
  <c r="P396" i="9"/>
  <c r="P273" i="9"/>
  <c r="H106" i="6"/>
  <c r="L106" i="6" s="1"/>
  <c r="H63" i="6"/>
  <c r="L63" i="6" s="1"/>
  <c r="H16" i="6"/>
  <c r="L16" i="6" s="1"/>
  <c r="P95" i="9"/>
  <c r="P50" i="9"/>
  <c r="P18" i="9"/>
  <c r="P8" i="9"/>
  <c r="P333" i="10"/>
  <c r="P322" i="10"/>
  <c r="P203" i="10"/>
  <c r="P191" i="10"/>
  <c r="P188" i="10"/>
  <c r="H97" i="6"/>
  <c r="H453" i="9" s="1"/>
  <c r="I453" i="9" s="1"/>
  <c r="H53" i="6"/>
  <c r="H320" i="9" s="1"/>
  <c r="H6" i="6"/>
  <c r="H78" i="9" s="1"/>
  <c r="I78" i="9" s="1"/>
  <c r="P78" i="9" s="1"/>
  <c r="H96" i="6"/>
  <c r="L96" i="6" s="1"/>
  <c r="H52" i="6"/>
  <c r="H313" i="9" s="1"/>
  <c r="H5" i="6"/>
  <c r="H67" i="9" s="1"/>
  <c r="P37" i="11"/>
  <c r="P88" i="9"/>
  <c r="P159" i="9"/>
  <c r="P247" i="10"/>
  <c r="P194" i="10"/>
  <c r="H48" i="6"/>
  <c r="H285" i="9" s="1"/>
  <c r="AC285" i="9" s="1"/>
  <c r="H83" i="6"/>
  <c r="H37" i="6"/>
  <c r="H26" i="9" s="1"/>
  <c r="I26" i="9" s="1"/>
  <c r="AJ170" i="15"/>
  <c r="I276" i="15"/>
  <c r="O276" i="15" s="1"/>
  <c r="G267" i="15"/>
  <c r="G448" i="9" s="1"/>
  <c r="P125" i="9"/>
  <c r="P311" i="10"/>
  <c r="P246" i="10"/>
  <c r="P50" i="11"/>
  <c r="P11" i="11"/>
  <c r="H50" i="6"/>
  <c r="H299" i="9" s="1"/>
  <c r="H82" i="6"/>
  <c r="H418" i="9" s="1"/>
  <c r="I418" i="9" s="1"/>
  <c r="H36" i="6"/>
  <c r="H27" i="9" s="1"/>
  <c r="I27" i="9" s="1"/>
  <c r="P27" i="9" s="1"/>
  <c r="I266" i="15"/>
  <c r="O266" i="15" s="1"/>
  <c r="I80" i="15"/>
  <c r="O80" i="15" s="1"/>
  <c r="P430" i="9"/>
  <c r="P143" i="9"/>
  <c r="P10" i="11"/>
  <c r="H94" i="6"/>
  <c r="L94" i="6" s="1"/>
  <c r="H92" i="6"/>
  <c r="AJ57" i="15"/>
  <c r="H80" i="6"/>
  <c r="H34" i="6"/>
  <c r="L34" i="6" s="1"/>
  <c r="P257" i="10"/>
  <c r="P197" i="10"/>
  <c r="I251" i="15"/>
  <c r="O251" i="15" s="1"/>
  <c r="AA251" i="15"/>
  <c r="I62" i="15"/>
  <c r="O62" i="15" s="1"/>
  <c r="AD62" i="15"/>
  <c r="AB86" i="15"/>
  <c r="I86" i="15"/>
  <c r="O86" i="15" s="1"/>
  <c r="AJ256" i="15"/>
  <c r="I257" i="15"/>
  <c r="O257" i="15" s="1"/>
  <c r="AB185" i="15"/>
  <c r="I185" i="15"/>
  <c r="O185" i="15" s="1"/>
  <c r="AD136" i="15"/>
  <c r="I136" i="15"/>
  <c r="O136" i="15" s="1"/>
  <c r="I124" i="15"/>
  <c r="O124" i="15" s="1"/>
  <c r="AK124" i="15"/>
  <c r="AJ281" i="15"/>
  <c r="I282" i="15"/>
  <c r="O282" i="15" s="1"/>
  <c r="H109" i="6"/>
  <c r="H95" i="6"/>
  <c r="H439" i="9" s="1"/>
  <c r="I439" i="9" s="1"/>
  <c r="H81" i="6"/>
  <c r="L65" i="6"/>
  <c r="H51" i="6"/>
  <c r="H35" i="6"/>
  <c r="H19" i="6"/>
  <c r="H4" i="6"/>
  <c r="H58" i="9" s="1"/>
  <c r="I58" i="9" s="1"/>
  <c r="P58" i="9" s="1"/>
  <c r="AA207" i="15"/>
  <c r="G281" i="15"/>
  <c r="G468" i="9" s="1"/>
  <c r="I468" i="9" s="1"/>
  <c r="G186" i="15"/>
  <c r="G322" i="9" s="1"/>
  <c r="G154" i="15"/>
  <c r="G278" i="9" s="1"/>
  <c r="I74" i="15"/>
  <c r="G74" i="15" s="1"/>
  <c r="G148" i="9" s="1"/>
  <c r="P321" i="10"/>
  <c r="P202" i="10"/>
  <c r="H107" i="6"/>
  <c r="H93" i="6"/>
  <c r="L93" i="6" s="1"/>
  <c r="H79" i="6"/>
  <c r="H64" i="6"/>
  <c r="L64" i="6" s="1"/>
  <c r="H49" i="6"/>
  <c r="H292" i="9" s="1"/>
  <c r="H33" i="6"/>
  <c r="H233" i="9" s="1"/>
  <c r="I233" i="9" s="1"/>
  <c r="P233" i="9" s="1"/>
  <c r="H17" i="6"/>
  <c r="L17" i="6" s="1"/>
  <c r="G234" i="15"/>
  <c r="G400" i="9" s="1"/>
  <c r="I153" i="15"/>
  <c r="O153" i="15" s="1"/>
  <c r="G48" i="15"/>
  <c r="G92" i="9" s="1"/>
  <c r="N92" i="9" s="1"/>
  <c r="P331" i="10"/>
  <c r="P326" i="10"/>
  <c r="P196" i="10"/>
  <c r="AA100" i="15"/>
  <c r="I83" i="15"/>
  <c r="O83" i="15" s="1"/>
  <c r="G10" i="15"/>
  <c r="G20" i="9" s="1"/>
  <c r="P314" i="10"/>
  <c r="P36" i="11"/>
  <c r="P24" i="11"/>
  <c r="H105" i="6"/>
  <c r="H91" i="6"/>
  <c r="H77" i="6"/>
  <c r="H412" i="9" s="1"/>
  <c r="I412" i="9" s="1"/>
  <c r="H62" i="6"/>
  <c r="H380" i="9" s="1"/>
  <c r="I380" i="9" s="1"/>
  <c r="P380" i="9" s="1"/>
  <c r="H47" i="6"/>
  <c r="H31" i="6"/>
  <c r="H221" i="9" s="1"/>
  <c r="I221" i="9" s="1"/>
  <c r="AM15" i="15"/>
  <c r="G256" i="15"/>
  <c r="G433" i="9" s="1"/>
  <c r="N433" i="9" s="1"/>
  <c r="G161" i="15"/>
  <c r="G287" i="9" s="1"/>
  <c r="I22" i="15"/>
  <c r="P105" i="9"/>
  <c r="P325" i="10"/>
  <c r="P45" i="11"/>
  <c r="H104" i="6"/>
  <c r="H76" i="6"/>
  <c r="H46" i="6"/>
  <c r="L46" i="6" s="1"/>
  <c r="H30" i="6"/>
  <c r="H214" i="9" s="1"/>
  <c r="I214" i="9" s="1"/>
  <c r="H15" i="6"/>
  <c r="AJ67" i="15"/>
  <c r="G57" i="15"/>
  <c r="G111" i="9" s="1"/>
  <c r="P45" i="9"/>
  <c r="P23" i="11"/>
  <c r="H90" i="6"/>
  <c r="H75" i="6"/>
  <c r="H61" i="6"/>
  <c r="H45" i="6"/>
  <c r="H284" i="10" s="1"/>
  <c r="I284" i="10" s="1"/>
  <c r="P284" i="10" s="1"/>
  <c r="H29" i="6"/>
  <c r="H208" i="9" s="1"/>
  <c r="I208" i="9" s="1"/>
  <c r="P208" i="9" s="1"/>
  <c r="H14" i="6"/>
  <c r="H154" i="9" s="1"/>
  <c r="I154" i="9" s="1"/>
  <c r="P154" i="9" s="1"/>
  <c r="P472" i="9"/>
  <c r="P416" i="9"/>
  <c r="P237" i="9"/>
  <c r="P192" i="9"/>
  <c r="P151" i="9"/>
  <c r="P135" i="9"/>
  <c r="P245" i="10"/>
  <c r="P28" i="11"/>
  <c r="H103" i="6"/>
  <c r="H89" i="6"/>
  <c r="H294" i="10" s="1"/>
  <c r="I294" i="10" s="1"/>
  <c r="P294" i="10" s="1"/>
  <c r="H74" i="6"/>
  <c r="H60" i="6"/>
  <c r="H367" i="9" s="1"/>
  <c r="I367" i="9" s="1"/>
  <c r="H44" i="6"/>
  <c r="L44" i="6" s="1"/>
  <c r="H28" i="6"/>
  <c r="H201" i="9" s="1"/>
  <c r="I201" i="9" s="1"/>
  <c r="H13" i="6"/>
  <c r="L13" i="6" s="1"/>
  <c r="AQ124" i="15"/>
  <c r="I104" i="15"/>
  <c r="O104" i="15" s="1"/>
  <c r="G68" i="15"/>
  <c r="G132" i="9" s="1"/>
  <c r="I132" i="9" s="1"/>
  <c r="P167" i="9"/>
  <c r="P209" i="10"/>
  <c r="H102" i="6"/>
  <c r="H88" i="6"/>
  <c r="L88" i="6" s="1"/>
  <c r="H73" i="6"/>
  <c r="H59" i="6"/>
  <c r="H43" i="6"/>
  <c r="L43" i="6" s="1"/>
  <c r="H27" i="6"/>
  <c r="H12" i="6"/>
  <c r="H137" i="9" s="1"/>
  <c r="AJ246" i="15"/>
  <c r="I115" i="15"/>
  <c r="O115" i="15" s="1"/>
  <c r="G91" i="15"/>
  <c r="G189" i="9" s="1"/>
  <c r="I189" i="9" s="1"/>
  <c r="I19" i="15"/>
  <c r="O19" i="15" s="1"/>
  <c r="P183" i="9"/>
  <c r="H101" i="6"/>
  <c r="L101" i="6" s="1"/>
  <c r="H87" i="6"/>
  <c r="H72" i="6"/>
  <c r="H58" i="6"/>
  <c r="H354" i="9" s="1"/>
  <c r="I354" i="9" s="1"/>
  <c r="P354" i="9" s="1"/>
  <c r="H42" i="6"/>
  <c r="L42" i="6" s="1"/>
  <c r="H26" i="6"/>
  <c r="H186" i="9" s="1"/>
  <c r="I186" i="9" s="1"/>
  <c r="P186" i="9" s="1"/>
  <c r="H11" i="6"/>
  <c r="G217" i="15"/>
  <c r="G369" i="9" s="1"/>
  <c r="I191" i="15"/>
  <c r="O191" i="15" s="1"/>
  <c r="G115" i="15"/>
  <c r="G228" i="9" s="1"/>
  <c r="I228" i="9" s="1"/>
  <c r="P24" i="9"/>
  <c r="P392" i="9"/>
  <c r="H71" i="6"/>
  <c r="H290" i="10" s="1"/>
  <c r="I290" i="10" s="1"/>
  <c r="P290" i="10" s="1"/>
  <c r="H57" i="6"/>
  <c r="H348" i="9" s="1"/>
  <c r="I348" i="9" s="1"/>
  <c r="P348" i="9" s="1"/>
  <c r="H41" i="6"/>
  <c r="H25" i="6"/>
  <c r="L25" i="6" s="1"/>
  <c r="H10" i="6"/>
  <c r="L10" i="6" s="1"/>
  <c r="P8" i="11"/>
  <c r="H100" i="6"/>
  <c r="H86" i="6"/>
  <c r="H70" i="6"/>
  <c r="H405" i="9" s="1"/>
  <c r="I405" i="9" s="1"/>
  <c r="H56" i="6"/>
  <c r="H341" i="9" s="1"/>
  <c r="I341" i="9" s="1"/>
  <c r="H40" i="6"/>
  <c r="L40" i="6" s="1"/>
  <c r="H24" i="6"/>
  <c r="H9" i="6"/>
  <c r="L9" i="6" s="1"/>
  <c r="G238" i="15"/>
  <c r="G406" i="9" s="1"/>
  <c r="N406" i="9" s="1"/>
  <c r="I166" i="15"/>
  <c r="O166" i="15" s="1"/>
  <c r="I53" i="15"/>
  <c r="H99" i="6"/>
  <c r="H460" i="9" s="1"/>
  <c r="I460" i="9" s="1"/>
  <c r="H85" i="6"/>
  <c r="H69" i="6"/>
  <c r="L69" i="6" s="1"/>
  <c r="H55" i="6"/>
  <c r="H334" i="9" s="1"/>
  <c r="AC334" i="9" s="1"/>
  <c r="H39" i="6"/>
  <c r="H255" i="9" s="1"/>
  <c r="I255" i="9" s="1"/>
  <c r="P255" i="9" s="1"/>
  <c r="H23" i="6"/>
  <c r="H8" i="6"/>
  <c r="H97" i="9" s="1"/>
  <c r="I97" i="9" s="1"/>
  <c r="AK90" i="15"/>
  <c r="AA144" i="15"/>
  <c r="I226" i="15"/>
  <c r="O226" i="15" s="1"/>
  <c r="G136" i="15"/>
  <c r="G256" i="9" s="1"/>
  <c r="I256" i="9" s="1"/>
  <c r="G124" i="15"/>
  <c r="G240" i="9" s="1"/>
  <c r="I112" i="15"/>
  <c r="O112" i="15" s="1"/>
  <c r="G100" i="15"/>
  <c r="G202" i="9" s="1"/>
  <c r="I202" i="9" s="1"/>
  <c r="I77" i="15"/>
  <c r="O77" i="15" s="1"/>
  <c r="P384" i="9"/>
  <c r="P225" i="9"/>
  <c r="P258" i="10"/>
  <c r="P198" i="10"/>
  <c r="P61" i="11"/>
  <c r="H98" i="6"/>
  <c r="H299" i="10" s="1"/>
  <c r="I299" i="10" s="1"/>
  <c r="P299" i="10" s="1"/>
  <c r="H84" i="6"/>
  <c r="L84" i="6" s="1"/>
  <c r="H68" i="6"/>
  <c r="H54" i="6"/>
  <c r="H327" i="9" s="1"/>
  <c r="H38" i="6"/>
  <c r="H22" i="6"/>
  <c r="G28" i="15"/>
  <c r="G52" i="9" s="1"/>
  <c r="G15" i="15"/>
  <c r="G29" i="9" s="1"/>
  <c r="N29" i="9" s="1"/>
  <c r="G62" i="15"/>
  <c r="G121" i="9" s="1"/>
  <c r="N121" i="9" s="1"/>
  <c r="P25" i="11"/>
  <c r="P79" i="11"/>
  <c r="P75" i="11"/>
  <c r="P80" i="11"/>
  <c r="P70" i="11"/>
  <c r="P74" i="11"/>
  <c r="P63" i="11"/>
  <c r="P76" i="11"/>
  <c r="P66" i="11"/>
  <c r="P251" i="10"/>
  <c r="P312" i="10"/>
  <c r="P306" i="10"/>
  <c r="P334" i="10"/>
  <c r="P329" i="10"/>
  <c r="P338" i="10"/>
  <c r="P308" i="10"/>
  <c r="P255" i="10"/>
  <c r="P320" i="10"/>
  <c r="L126" i="6"/>
  <c r="L82" i="6"/>
  <c r="L66" i="6"/>
  <c r="L49" i="6"/>
  <c r="L18" i="6"/>
  <c r="L79" i="6"/>
  <c r="L121" i="6"/>
  <c r="K202" i="9"/>
  <c r="L202" i="9" s="1"/>
  <c r="AE202" i="9" s="1"/>
  <c r="L20" i="6"/>
  <c r="M41" i="9"/>
  <c r="N41" i="9" s="1"/>
  <c r="L116" i="6"/>
  <c r="L109" i="6"/>
  <c r="L60" i="6"/>
  <c r="K240" i="9"/>
  <c r="L240" i="9" s="1"/>
  <c r="L115" i="6"/>
  <c r="K440" i="9"/>
  <c r="K393" i="9"/>
  <c r="L123" i="6"/>
  <c r="L92" i="6"/>
  <c r="L81" i="6"/>
  <c r="K215" i="9"/>
  <c r="K164" i="9"/>
  <c r="H87" i="9"/>
  <c r="AB87" i="9" s="1"/>
  <c r="AB89" i="9" s="1"/>
  <c r="H89" i="9" s="1"/>
  <c r="I89" i="9" s="1"/>
  <c r="P89" i="9" s="1"/>
  <c r="L77" i="6"/>
  <c r="H138" i="9"/>
  <c r="I138" i="9" s="1"/>
  <c r="P138" i="9" s="1"/>
  <c r="K122" i="9"/>
  <c r="L110" i="6"/>
  <c r="L76" i="6"/>
  <c r="P6" i="9"/>
  <c r="H432" i="9"/>
  <c r="I432" i="9" s="1"/>
  <c r="P432" i="9" s="1"/>
  <c r="L97" i="6"/>
  <c r="L52" i="6"/>
  <c r="H446" i="9"/>
  <c r="I446" i="9" s="1"/>
  <c r="P446" i="9" s="1"/>
  <c r="L124" i="6"/>
  <c r="K250" i="9"/>
  <c r="K216" i="9"/>
  <c r="L105" i="6"/>
  <c r="L50" i="6"/>
  <c r="L37" i="6"/>
  <c r="H262" i="9"/>
  <c r="I262" i="9" s="1"/>
  <c r="P262" i="9" s="1"/>
  <c r="H41" i="9"/>
  <c r="I41" i="9" s="1"/>
  <c r="L114" i="6"/>
  <c r="I285" i="9"/>
  <c r="P285" i="9" s="1"/>
  <c r="L108" i="6"/>
  <c r="H57" i="9"/>
  <c r="I57" i="9" s="1"/>
  <c r="P57" i="9" s="1"/>
  <c r="H280" i="10"/>
  <c r="I280" i="10" s="1"/>
  <c r="P280" i="10" s="1"/>
  <c r="L130" i="6"/>
  <c r="L112" i="6"/>
  <c r="L74" i="6"/>
  <c r="L54" i="6"/>
  <c r="K468" i="9"/>
  <c r="L468" i="9" s="1"/>
  <c r="AE468" i="9" s="1"/>
  <c r="K434" i="9"/>
  <c r="K196" i="9"/>
  <c r="L196" i="9" s="1"/>
  <c r="AE196" i="9" s="1"/>
  <c r="K399" i="9"/>
  <c r="K381" i="9"/>
  <c r="K270" i="9"/>
  <c r="L129" i="6"/>
  <c r="L118" i="6"/>
  <c r="L73" i="6"/>
  <c r="L53" i="6"/>
  <c r="L4" i="6"/>
  <c r="H467" i="9"/>
  <c r="I467" i="9" s="1"/>
  <c r="P467" i="9" s="1"/>
  <c r="H386" i="9"/>
  <c r="I386" i="9" s="1"/>
  <c r="P386" i="9" s="1"/>
  <c r="L30" i="6"/>
  <c r="H239" i="9"/>
  <c r="I239" i="9" s="1"/>
  <c r="P239" i="9" s="1"/>
  <c r="L28" i="6"/>
  <c r="H185" i="9"/>
  <c r="I185" i="9" s="1"/>
  <c r="P185" i="9" s="1"/>
  <c r="L36" i="6"/>
  <c r="L26" i="6"/>
  <c r="H227" i="9"/>
  <c r="I227" i="9" s="1"/>
  <c r="P227" i="9" s="1"/>
  <c r="AC219" i="10"/>
  <c r="I219" i="10"/>
  <c r="P219" i="10" s="1"/>
  <c r="H161" i="9"/>
  <c r="AC161" i="9" s="1"/>
  <c r="AC163" i="9" s="1"/>
  <c r="H98" i="9"/>
  <c r="I98" i="9" s="1"/>
  <c r="P98" i="9" s="1"/>
  <c r="L7" i="6"/>
  <c r="I72" i="9"/>
  <c r="N72" i="9"/>
  <c r="N448" i="9"/>
  <c r="I448" i="9"/>
  <c r="AA211" i="15"/>
  <c r="I211" i="15"/>
  <c r="I287" i="9"/>
  <c r="N287" i="9"/>
  <c r="I180" i="15"/>
  <c r="O180" i="15" s="1"/>
  <c r="AB180" i="15"/>
  <c r="AD47" i="15"/>
  <c r="I47" i="15"/>
  <c r="P365" i="9"/>
  <c r="I240" i="9"/>
  <c r="N240" i="9"/>
  <c r="I137" i="15"/>
  <c r="AJ136" i="15"/>
  <c r="I126" i="15"/>
  <c r="AN124" i="15"/>
  <c r="AG67" i="15"/>
  <c r="I67" i="15"/>
  <c r="P418" i="9"/>
  <c r="I400" i="9"/>
  <c r="N400" i="9"/>
  <c r="AA200" i="15"/>
  <c r="I200" i="15"/>
  <c r="O200" i="15" s="1"/>
  <c r="AI90" i="15"/>
  <c r="I90" i="15"/>
  <c r="AJ32" i="15"/>
  <c r="I33" i="15"/>
  <c r="G19" i="15"/>
  <c r="G36" i="9" s="1"/>
  <c r="P372" i="9"/>
  <c r="I32" i="15"/>
  <c r="AD32" i="15"/>
  <c r="I175" i="15"/>
  <c r="O175" i="15" s="1"/>
  <c r="AB175" i="15"/>
  <c r="I279" i="9"/>
  <c r="H274" i="10"/>
  <c r="I274" i="10" s="1"/>
  <c r="P274" i="10" s="1"/>
  <c r="L38" i="6"/>
  <c r="I131" i="15"/>
  <c r="AG131" i="15"/>
  <c r="G286" i="15"/>
  <c r="G475" i="9" s="1"/>
  <c r="G266" i="15"/>
  <c r="G447" i="9" s="1"/>
  <c r="L278" i="9"/>
  <c r="AE278" i="9" s="1"/>
  <c r="I278" i="9"/>
  <c r="N278" i="9"/>
  <c r="G145" i="15"/>
  <c r="G270" i="9" s="1"/>
  <c r="I121" i="9"/>
  <c r="AC62" i="10"/>
  <c r="N269" i="9"/>
  <c r="I269" i="9"/>
  <c r="L47" i="6"/>
  <c r="P26" i="9"/>
  <c r="H194" i="9"/>
  <c r="I194" i="9" s="1"/>
  <c r="L27" i="6"/>
  <c r="G171" i="15"/>
  <c r="G301" i="9" s="1"/>
  <c r="O96" i="15"/>
  <c r="I29" i="9"/>
  <c r="I322" i="9"/>
  <c r="N322" i="9"/>
  <c r="I196" i="9"/>
  <c r="N196" i="9"/>
  <c r="H425" i="9"/>
  <c r="I425" i="9" s="1"/>
  <c r="L83" i="6"/>
  <c r="AA95" i="15"/>
  <c r="G71" i="15"/>
  <c r="G140" i="9" s="1"/>
  <c r="N279" i="9"/>
  <c r="AJ200" i="15"/>
  <c r="I201" i="15"/>
  <c r="O201" i="15" s="1"/>
  <c r="L128" i="6"/>
  <c r="K242" i="9"/>
  <c r="L127" i="6"/>
  <c r="H295" i="10"/>
  <c r="I295" i="10" s="1"/>
  <c r="P295" i="10" s="1"/>
  <c r="G251" i="15"/>
  <c r="G426" i="9" s="1"/>
  <c r="I406" i="9"/>
  <c r="G216" i="15"/>
  <c r="G368" i="9" s="1"/>
  <c r="P85" i="9"/>
  <c r="P474" i="9"/>
  <c r="L75" i="6"/>
  <c r="H285" i="10"/>
  <c r="I285" i="10" s="1"/>
  <c r="P285" i="10" s="1"/>
  <c r="I67" i="9"/>
  <c r="AB67" i="9"/>
  <c r="AB69" i="9" s="1"/>
  <c r="H69" i="9" s="1"/>
  <c r="I69" i="9" s="1"/>
  <c r="P69" i="9" s="1"/>
  <c r="AC67" i="9"/>
  <c r="AC70" i="9" s="1"/>
  <c r="N369" i="9"/>
  <c r="I369" i="9"/>
  <c r="I181" i="15"/>
  <c r="O181" i="15" s="1"/>
  <c r="AJ180" i="15"/>
  <c r="I111" i="9"/>
  <c r="N111" i="9"/>
  <c r="I20" i="9"/>
  <c r="N20" i="9"/>
  <c r="P453" i="9"/>
  <c r="P412" i="9"/>
  <c r="P341" i="9"/>
  <c r="I313" i="9"/>
  <c r="AC313" i="9"/>
  <c r="H317" i="10"/>
  <c r="I317" i="10" s="1"/>
  <c r="L85" i="6"/>
  <c r="AJ251" i="15"/>
  <c r="I252" i="15"/>
  <c r="L119" i="6"/>
  <c r="K276" i="9"/>
  <c r="H296" i="10"/>
  <c r="I296" i="10" s="1"/>
  <c r="P296" i="10" s="1"/>
  <c r="I229" i="15"/>
  <c r="O229" i="15" s="1"/>
  <c r="AA229" i="15"/>
  <c r="I63" i="15"/>
  <c r="O63" i="15" s="1"/>
  <c r="AJ62" i="15"/>
  <c r="I261" i="15"/>
  <c r="AA261" i="15"/>
  <c r="P318" i="9"/>
  <c r="H244" i="10"/>
  <c r="I244" i="10" s="1"/>
  <c r="P244" i="10" s="1"/>
  <c r="I170" i="15"/>
  <c r="AB170" i="15"/>
  <c r="P339" i="9"/>
  <c r="AJ286" i="15"/>
  <c r="I287" i="15"/>
  <c r="O58" i="15"/>
  <c r="G58" i="15"/>
  <c r="G112" i="9" s="1"/>
  <c r="P352" i="9"/>
  <c r="L91" i="6"/>
  <c r="G276" i="15"/>
  <c r="G461" i="9" s="1"/>
  <c r="P53" i="11"/>
  <c r="I132" i="15"/>
  <c r="O132" i="15" s="1"/>
  <c r="AJ131" i="15"/>
  <c r="P214" i="9"/>
  <c r="P328" i="10"/>
  <c r="H360" i="9"/>
  <c r="I360" i="9" s="1"/>
  <c r="L59" i="6"/>
  <c r="AJ185" i="15"/>
  <c r="G282" i="15"/>
  <c r="G469" i="9" s="1"/>
  <c r="G223" i="15"/>
  <c r="G381" i="9" s="1"/>
  <c r="H170" i="9"/>
  <c r="I170" i="9" s="1"/>
  <c r="P170" i="9" s="1"/>
  <c r="H169" i="9"/>
  <c r="H128" i="9"/>
  <c r="I128" i="9" s="1"/>
  <c r="P128" i="9" s="1"/>
  <c r="H127" i="9"/>
  <c r="L11" i="6"/>
  <c r="AJ10" i="15"/>
  <c r="AH152" i="15"/>
  <c r="AA238" i="15"/>
  <c r="AJ271" i="15"/>
  <c r="O101" i="15"/>
  <c r="G101" i="15"/>
  <c r="G203" i="9" s="1"/>
  <c r="G42" i="15"/>
  <c r="G81" i="9" s="1"/>
  <c r="K328" i="9"/>
  <c r="N241" i="9"/>
  <c r="K29" i="9"/>
  <c r="I176" i="15"/>
  <c r="AJ175" i="15"/>
  <c r="G257" i="15"/>
  <c r="G434" i="9" s="1"/>
  <c r="G207" i="15"/>
  <c r="G355" i="9" s="1"/>
  <c r="G95" i="15"/>
  <c r="G195" i="9" s="1"/>
  <c r="I419" i="9"/>
  <c r="AC320" i="9"/>
  <c r="I320" i="9"/>
  <c r="AA216" i="15"/>
  <c r="I196" i="15"/>
  <c r="AJ195" i="15"/>
  <c r="L14" i="6"/>
  <c r="H153" i="9"/>
  <c r="AJ216" i="15"/>
  <c r="N341" i="10"/>
  <c r="M59" i="11" s="1"/>
  <c r="N59" i="11" s="1"/>
  <c r="AA71" i="15"/>
  <c r="G271" i="15"/>
  <c r="G454" i="9" s="1"/>
  <c r="O271" i="15"/>
  <c r="K47" i="9"/>
  <c r="AE152" i="15"/>
  <c r="AA140" i="15"/>
  <c r="I140" i="15"/>
  <c r="G43" i="15"/>
  <c r="G82" i="9" s="1"/>
  <c r="K132" i="9"/>
  <c r="L132" i="9" s="1"/>
  <c r="AE132" i="9" s="1"/>
  <c r="P221" i="9"/>
  <c r="O239" i="15"/>
  <c r="G239" i="15"/>
  <c r="G407" i="9" s="1"/>
  <c r="G272" i="15"/>
  <c r="G455" i="9" s="1"/>
  <c r="L67" i="6"/>
  <c r="O16" i="15"/>
  <c r="G16" i="15"/>
  <c r="G30" i="9" s="1"/>
  <c r="AJ238" i="15"/>
  <c r="I277" i="15"/>
  <c r="O277" i="15" s="1"/>
  <c r="AJ276" i="15"/>
  <c r="K448" i="9"/>
  <c r="L448" i="9" s="1"/>
  <c r="AE448" i="9" s="1"/>
  <c r="K307" i="9"/>
  <c r="P346" i="9"/>
  <c r="N52" i="9"/>
  <c r="N54" i="9" s="1"/>
  <c r="M12" i="12" s="1"/>
  <c r="I52" i="9"/>
  <c r="G226" i="15"/>
  <c r="G387" i="9" s="1"/>
  <c r="G37" i="15"/>
  <c r="G71" i="9" s="1"/>
  <c r="P405" i="9"/>
  <c r="K195" i="9"/>
  <c r="K342" i="9"/>
  <c r="K361" i="9"/>
  <c r="K368" i="9"/>
  <c r="K375" i="9"/>
  <c r="K42" i="9"/>
  <c r="K263" i="9"/>
  <c r="K355" i="9"/>
  <c r="K156" i="9"/>
  <c r="K349" i="9"/>
  <c r="K269" i="9"/>
  <c r="L269" i="9" s="1"/>
  <c r="AE269" i="9" s="1"/>
  <c r="K454" i="9"/>
  <c r="K433" i="9"/>
  <c r="L433" i="9" s="1"/>
  <c r="K406" i="9"/>
  <c r="K140" i="9"/>
  <c r="K209" i="9"/>
  <c r="K413" i="9"/>
  <c r="K419" i="9"/>
  <c r="L419" i="9" s="1"/>
  <c r="K447" i="9"/>
  <c r="K461" i="9"/>
  <c r="K475" i="9"/>
  <c r="P303" i="10"/>
  <c r="K112" i="9"/>
  <c r="K20" i="9"/>
  <c r="L20" i="9" s="1"/>
  <c r="K102" i="9"/>
  <c r="K308" i="9"/>
  <c r="K82" i="9"/>
  <c r="K15" i="9"/>
  <c r="L15" i="9" s="1"/>
  <c r="K279" i="9"/>
  <c r="L279" i="9" s="1"/>
  <c r="AE279" i="9" s="1"/>
  <c r="K301" i="9"/>
  <c r="K92" i="9"/>
  <c r="K362" i="9"/>
  <c r="K369" i="9"/>
  <c r="L369" i="9" s="1"/>
  <c r="AE369" i="9" s="1"/>
  <c r="K336" i="9"/>
  <c r="K427" i="9"/>
  <c r="K315" i="9"/>
  <c r="K52" i="9"/>
  <c r="L52" i="9" s="1"/>
  <c r="K62" i="9"/>
  <c r="K72" i="9"/>
  <c r="L72" i="9" s="1"/>
  <c r="AE72" i="9" s="1"/>
  <c r="K420" i="9"/>
  <c r="K476" i="9"/>
  <c r="K257" i="9"/>
  <c r="K203" i="9"/>
  <c r="K455" i="9"/>
  <c r="K287" i="9"/>
  <c r="L287" i="9" s="1"/>
  <c r="AE287" i="9" s="1"/>
  <c r="K400" i="9"/>
  <c r="L400" i="9" s="1"/>
  <c r="AE400" i="9" s="1"/>
  <c r="K441" i="9"/>
  <c r="K469" i="9"/>
  <c r="K294" i="9"/>
  <c r="K387" i="9"/>
  <c r="K343" i="9"/>
  <c r="H220" i="10"/>
  <c r="L23" i="6"/>
  <c r="AC292" i="9"/>
  <c r="I292" i="9"/>
  <c r="AJ6" i="15"/>
  <c r="I118" i="15"/>
  <c r="AB118" i="15"/>
  <c r="G247" i="15"/>
  <c r="G420" i="9" s="1"/>
  <c r="O247" i="15"/>
  <c r="K329" i="9"/>
  <c r="P367" i="9"/>
  <c r="AC63" i="10"/>
  <c r="AD42" i="15"/>
  <c r="AC299" i="9"/>
  <c r="I299" i="9"/>
  <c r="AA271" i="15"/>
  <c r="G262" i="15"/>
  <c r="G441" i="9" s="1"/>
  <c r="K322" i="9"/>
  <c r="L322" i="9" s="1"/>
  <c r="K277" i="9"/>
  <c r="L120" i="6"/>
  <c r="AJ15" i="15"/>
  <c r="AJ211" i="15"/>
  <c r="I212" i="15"/>
  <c r="O212" i="15" s="1"/>
  <c r="G181" i="15"/>
  <c r="G315" i="9" s="1"/>
  <c r="G108" i="15"/>
  <c r="G215" i="9" s="1"/>
  <c r="I11" i="15"/>
  <c r="P246" i="9"/>
  <c r="L241" i="9"/>
  <c r="AE241" i="9" s="1"/>
  <c r="K36" i="9"/>
  <c r="G160" i="15"/>
  <c r="G286" i="9" s="1"/>
  <c r="K180" i="9"/>
  <c r="K286" i="9"/>
  <c r="K335" i="9"/>
  <c r="K222" i="9"/>
  <c r="K228" i="9"/>
  <c r="K172" i="9"/>
  <c r="K234" i="9"/>
  <c r="K321" i="9"/>
  <c r="K314" i="9"/>
  <c r="K293" i="9"/>
  <c r="P44" i="11"/>
  <c r="H68" i="9"/>
  <c r="I68" i="9" s="1"/>
  <c r="P68" i="9" s="1"/>
  <c r="L5" i="6"/>
  <c r="I433" i="9"/>
  <c r="N15" i="9"/>
  <c r="N17" i="9" s="1"/>
  <c r="M6" i="12" s="1"/>
  <c r="N6" i="12" s="1"/>
  <c r="I15" i="9"/>
  <c r="P195" i="10"/>
  <c r="P324" i="10"/>
  <c r="O152" i="15"/>
  <c r="G152" i="15"/>
  <c r="G276" i="9" s="1"/>
  <c r="AJ266" i="15"/>
  <c r="H145" i="9"/>
  <c r="H146" i="9"/>
  <c r="I146" i="9" s="1"/>
  <c r="P146" i="9" s="1"/>
  <c r="K462" i="9"/>
  <c r="H240" i="10"/>
  <c r="I240" i="10" s="1"/>
  <c r="P240" i="10" s="1"/>
  <c r="L78" i="6"/>
  <c r="AJ42" i="15"/>
  <c r="L113" i="6"/>
  <c r="H11" i="9"/>
  <c r="I11" i="9" s="1"/>
  <c r="P11" i="9" s="1"/>
  <c r="H117" i="9"/>
  <c r="H118" i="9"/>
  <c r="I118" i="9" s="1"/>
  <c r="P118" i="9" s="1"/>
  <c r="AA242" i="15"/>
  <c r="I242" i="15"/>
  <c r="P439" i="9"/>
  <c r="L19" i="6"/>
  <c r="AA246" i="15"/>
  <c r="AA233" i="15"/>
  <c r="I233" i="15"/>
  <c r="G200" i="15"/>
  <c r="G342" i="9" s="1"/>
  <c r="I109" i="15"/>
  <c r="AJ108" i="15"/>
  <c r="AD52" i="15"/>
  <c r="I52" i="15"/>
  <c r="K148" i="9"/>
  <c r="AC327" i="9"/>
  <c r="I327" i="9"/>
  <c r="AB97" i="9"/>
  <c r="AB99" i="9" s="1"/>
  <c r="H99" i="9" s="1"/>
  <c r="I99" i="9" s="1"/>
  <c r="P99" i="9" s="1"/>
  <c r="AC97" i="9"/>
  <c r="AC100" i="9" s="1"/>
  <c r="P13" i="9"/>
  <c r="L131" i="6"/>
  <c r="L122" i="6"/>
  <c r="K41" i="9"/>
  <c r="L41" i="9" s="1"/>
  <c r="K35" i="9"/>
  <c r="L35" i="9" s="1"/>
  <c r="G204" i="15"/>
  <c r="G349" i="9" s="1"/>
  <c r="I165" i="15"/>
  <c r="O165" i="15" s="1"/>
  <c r="G77" i="15"/>
  <c r="G156" i="9" s="1"/>
  <c r="P451" i="9"/>
  <c r="P423" i="9"/>
  <c r="I190" i="15"/>
  <c r="AB190" i="15"/>
  <c r="G166" i="15"/>
  <c r="G294" i="9" s="1"/>
  <c r="G127" i="15"/>
  <c r="G243" i="9" s="1"/>
  <c r="P283" i="9"/>
  <c r="P201" i="9"/>
  <c r="H248" i="9"/>
  <c r="I248" i="9" s="1"/>
  <c r="L35" i="6"/>
  <c r="AC108" i="15"/>
  <c r="I195" i="15"/>
  <c r="I156" i="15"/>
  <c r="AP152" i="15"/>
  <c r="AC137" i="9"/>
  <c r="AC139" i="9" s="1"/>
  <c r="I137" i="9"/>
  <c r="H77" i="9"/>
  <c r="P206" i="10"/>
  <c r="P12" i="11"/>
  <c r="P304" i="9"/>
  <c r="I241" i="10"/>
  <c r="P241" i="10" s="1"/>
  <c r="I25" i="15"/>
  <c r="AJ25" i="15"/>
  <c r="O125" i="15"/>
  <c r="H237" i="10"/>
  <c r="I237" i="10" s="1"/>
  <c r="P237" i="10" s="1"/>
  <c r="L107" i="6"/>
  <c r="H306" i="9"/>
  <c r="L51" i="6"/>
  <c r="AA220" i="15"/>
  <c r="I220" i="15"/>
  <c r="O220" i="15" s="1"/>
  <c r="G180" i="15"/>
  <c r="G314" i="9" s="1"/>
  <c r="P325" i="9"/>
  <c r="K249" i="9"/>
  <c r="K189" i="9"/>
  <c r="L189" i="9" s="1"/>
  <c r="AE189" i="9" s="1"/>
  <c r="P336" i="10"/>
  <c r="H218" i="10"/>
  <c r="H108" i="9"/>
  <c r="I108" i="9" s="1"/>
  <c r="P108" i="9" s="1"/>
  <c r="P311" i="9"/>
  <c r="P78" i="11"/>
  <c r="K71" i="9"/>
  <c r="K121" i="9"/>
  <c r="L121" i="9" s="1"/>
  <c r="K61" i="9"/>
  <c r="K111" i="9"/>
  <c r="L111" i="9" s="1"/>
  <c r="AE111" i="9" s="1"/>
  <c r="K91" i="9"/>
  <c r="L104" i="6"/>
  <c r="L80" i="6"/>
  <c r="L72" i="6"/>
  <c r="L56" i="6"/>
  <c r="L48" i="6"/>
  <c r="L24" i="6"/>
  <c r="K256" i="9"/>
  <c r="L256" i="9" s="1"/>
  <c r="P309" i="10"/>
  <c r="P248" i="10"/>
  <c r="H230" i="10"/>
  <c r="I230" i="10" s="1"/>
  <c r="P230" i="10" s="1"/>
  <c r="AC14" i="10"/>
  <c r="H270" i="10"/>
  <c r="K81" i="9"/>
  <c r="L341" i="10"/>
  <c r="K59" i="11" s="1"/>
  <c r="L59" i="11" s="1"/>
  <c r="P318" i="10"/>
  <c r="P49" i="11"/>
  <c r="P40" i="11"/>
  <c r="P15" i="11"/>
  <c r="P290" i="9"/>
  <c r="P199" i="9"/>
  <c r="P335" i="10"/>
  <c r="P259" i="10"/>
  <c r="P199" i="10"/>
  <c r="P71" i="11"/>
  <c r="P297" i="9"/>
  <c r="P206" i="9"/>
  <c r="P327" i="10"/>
  <c r="P19" i="11"/>
  <c r="P252" i="10"/>
  <c r="P210" i="10"/>
  <c r="P256" i="10"/>
  <c r="N211" i="10"/>
  <c r="M35" i="11" s="1"/>
  <c r="N35" i="11" s="1"/>
  <c r="P260" i="10"/>
  <c r="L211" i="10"/>
  <c r="K35" i="11" s="1"/>
  <c r="L35" i="11" s="1"/>
  <c r="P332" i="10"/>
  <c r="P301" i="10"/>
  <c r="P207" i="10"/>
  <c r="P340" i="10"/>
  <c r="P305" i="10"/>
  <c r="P16" i="11"/>
  <c r="P313" i="10"/>
  <c r="P304" i="10"/>
  <c r="P67" i="11"/>
  <c r="P20" i="11"/>
  <c r="P60" i="11"/>
  <c r="P39" i="11"/>
  <c r="P64" i="11"/>
  <c r="P43" i="11"/>
  <c r="P68" i="11"/>
  <c r="P47" i="11"/>
  <c r="P72" i="11"/>
  <c r="P51" i="11"/>
  <c r="N228" i="9" l="1"/>
  <c r="N230" i="9" s="1"/>
  <c r="M33" i="12" s="1"/>
  <c r="N33" i="12" s="1"/>
  <c r="L92" i="9"/>
  <c r="AE92" i="9" s="1"/>
  <c r="N468" i="9"/>
  <c r="N189" i="9"/>
  <c r="H177" i="9"/>
  <c r="L89" i="6"/>
  <c r="G80" i="15"/>
  <c r="G164" i="9" s="1"/>
  <c r="L95" i="6"/>
  <c r="L6" i="6"/>
  <c r="G86" i="15"/>
  <c r="G180" i="9" s="1"/>
  <c r="L180" i="9" s="1"/>
  <c r="L172" i="9"/>
  <c r="L228" i="9"/>
  <c r="AE228" i="9" s="1"/>
  <c r="AE230" i="9" s="1"/>
  <c r="AC230" i="9" s="1"/>
  <c r="N132" i="9"/>
  <c r="L12" i="6"/>
  <c r="L71" i="6"/>
  <c r="G83" i="15"/>
  <c r="G172" i="9" s="1"/>
  <c r="L33" i="6"/>
  <c r="L45" i="6"/>
  <c r="H28" i="9"/>
  <c r="I28" i="9" s="1"/>
  <c r="P28" i="9" s="1"/>
  <c r="G229" i="15"/>
  <c r="G393" i="9" s="1"/>
  <c r="L39" i="6"/>
  <c r="N256" i="9"/>
  <c r="L57" i="6"/>
  <c r="L70" i="6"/>
  <c r="G191" i="15"/>
  <c r="G329" i="9" s="1"/>
  <c r="H107" i="9"/>
  <c r="N202" i="9"/>
  <c r="L58" i="6"/>
  <c r="L62" i="6"/>
  <c r="H398" i="9"/>
  <c r="I398" i="9" s="1"/>
  <c r="G277" i="15"/>
  <c r="G462" i="9" s="1"/>
  <c r="H162" i="9"/>
  <c r="I162" i="9" s="1"/>
  <c r="P162" i="9" s="1"/>
  <c r="L15" i="6"/>
  <c r="L8" i="6"/>
  <c r="L99" i="6"/>
  <c r="L68" i="6"/>
  <c r="G53" i="15"/>
  <c r="G102" i="9" s="1"/>
  <c r="O53" i="15"/>
  <c r="H178" i="9"/>
  <c r="I178" i="9" s="1"/>
  <c r="P178" i="9" s="1"/>
  <c r="L98" i="6"/>
  <c r="O74" i="15"/>
  <c r="I92" i="9"/>
  <c r="I334" i="9"/>
  <c r="P334" i="9" s="1"/>
  <c r="L29" i="6"/>
  <c r="G104" i="15"/>
  <c r="G209" i="9" s="1"/>
  <c r="L209" i="9" s="1"/>
  <c r="G112" i="15"/>
  <c r="G222" i="9" s="1"/>
  <c r="L87" i="6"/>
  <c r="L102" i="6"/>
  <c r="L329" i="9"/>
  <c r="AE329" i="9" s="1"/>
  <c r="L406" i="9"/>
  <c r="AE406" i="9" s="1"/>
  <c r="L29" i="9"/>
  <c r="AE29" i="9" s="1"/>
  <c r="L41" i="6"/>
  <c r="H275" i="9"/>
  <c r="I275" i="9" s="1"/>
  <c r="P275" i="9" s="1"/>
  <c r="L31" i="6"/>
  <c r="H374" i="9"/>
  <c r="I374" i="9" s="1"/>
  <c r="P374" i="9" s="1"/>
  <c r="L61" i="6"/>
  <c r="G22" i="15"/>
  <c r="G42" i="9" s="1"/>
  <c r="L42" i="9" s="1"/>
  <c r="O22" i="15"/>
  <c r="G153" i="15"/>
  <c r="G277" i="9" s="1"/>
  <c r="L277" i="9" s="1"/>
  <c r="AE277" i="9" s="1"/>
  <c r="L86" i="6"/>
  <c r="G185" i="15"/>
  <c r="G321" i="9" s="1"/>
  <c r="L321" i="9" s="1"/>
  <c r="G220" i="15"/>
  <c r="G375" i="9" s="1"/>
  <c r="N375" i="9" s="1"/>
  <c r="N377" i="9" s="1"/>
  <c r="M54" i="12" s="1"/>
  <c r="N54" i="12" s="1"/>
  <c r="L22" i="6"/>
  <c r="H268" i="9"/>
  <c r="I268" i="9" s="1"/>
  <c r="P268" i="9" s="1"/>
  <c r="L55" i="6"/>
  <c r="L100" i="6"/>
  <c r="L103" i="6"/>
  <c r="L90" i="6"/>
  <c r="AC87" i="9"/>
  <c r="AC90" i="9" s="1"/>
  <c r="I87" i="9"/>
  <c r="AD90" i="9" s="1"/>
  <c r="H90" i="9" s="1"/>
  <c r="I90" i="9" s="1"/>
  <c r="P90" i="9" s="1"/>
  <c r="P41" i="9"/>
  <c r="P202" i="9"/>
  <c r="AC57" i="9"/>
  <c r="AC60" i="9" s="1"/>
  <c r="AB57" i="9"/>
  <c r="AB59" i="9" s="1"/>
  <c r="H59" i="9" s="1"/>
  <c r="I59" i="9" s="1"/>
  <c r="P59" i="9" s="1"/>
  <c r="P278" i="9"/>
  <c r="P269" i="9"/>
  <c r="P241" i="9"/>
  <c r="I161" i="9"/>
  <c r="P161" i="9" s="1"/>
  <c r="P419" i="9"/>
  <c r="AC185" i="9"/>
  <c r="AC187" i="9" s="1"/>
  <c r="AD187" i="9"/>
  <c r="AC177" i="9"/>
  <c r="AC179" i="9" s="1"/>
  <c r="I177" i="9"/>
  <c r="AD54" i="9"/>
  <c r="L54" i="9"/>
  <c r="K12" i="12" s="1"/>
  <c r="AE52" i="9"/>
  <c r="AE54" i="9" s="1"/>
  <c r="AC54" i="9" s="1"/>
  <c r="AE433" i="9"/>
  <c r="AE256" i="9"/>
  <c r="AE322" i="9"/>
  <c r="AE121" i="9"/>
  <c r="AE172" i="9"/>
  <c r="AE174" i="9" s="1"/>
  <c r="AC174" i="9" s="1"/>
  <c r="L174" i="9"/>
  <c r="K25" i="12" s="1"/>
  <c r="L25" i="12" s="1"/>
  <c r="AD174" i="9"/>
  <c r="I294" i="9"/>
  <c r="N294" i="9"/>
  <c r="L294" i="9"/>
  <c r="AE294" i="9" s="1"/>
  <c r="N393" i="9"/>
  <c r="N395" i="9" s="1"/>
  <c r="M57" i="12" s="1"/>
  <c r="N57" i="12" s="1"/>
  <c r="L393" i="9"/>
  <c r="I393" i="9"/>
  <c r="I145" i="9"/>
  <c r="AC145" i="9"/>
  <c r="AC147" i="9" s="1"/>
  <c r="AE419" i="9"/>
  <c r="N215" i="9"/>
  <c r="I215" i="9"/>
  <c r="L215" i="9"/>
  <c r="I148" i="9"/>
  <c r="L148" i="9"/>
  <c r="N148" i="9"/>
  <c r="N150" i="9" s="1"/>
  <c r="M22" i="12" s="1"/>
  <c r="N22" i="12" s="1"/>
  <c r="P468" i="9"/>
  <c r="P460" i="9"/>
  <c r="O196" i="15"/>
  <c r="G196" i="15"/>
  <c r="G336" i="9" s="1"/>
  <c r="P313" i="9"/>
  <c r="I426" i="9"/>
  <c r="L426" i="9"/>
  <c r="N426" i="9"/>
  <c r="P189" i="9"/>
  <c r="N441" i="9"/>
  <c r="I441" i="9"/>
  <c r="L441" i="9"/>
  <c r="AE441" i="9" s="1"/>
  <c r="P132" i="9"/>
  <c r="AE20" i="9"/>
  <c r="P400" i="9"/>
  <c r="I71" i="9"/>
  <c r="L71" i="9"/>
  <c r="N71" i="9"/>
  <c r="N74" i="9" s="1"/>
  <c r="M14" i="12" s="1"/>
  <c r="N14" i="12" s="1"/>
  <c r="P20" i="9"/>
  <c r="L475" i="9"/>
  <c r="I475" i="9"/>
  <c r="N475" i="9"/>
  <c r="O261" i="15"/>
  <c r="G261" i="15"/>
  <c r="G440" i="9" s="1"/>
  <c r="G131" i="15"/>
  <c r="G249" i="9" s="1"/>
  <c r="O131" i="15"/>
  <c r="I315" i="9"/>
  <c r="L315" i="9"/>
  <c r="AE315" i="9" s="1"/>
  <c r="N315" i="9"/>
  <c r="L81" i="9"/>
  <c r="N81" i="9"/>
  <c r="I81" i="9"/>
  <c r="L36" i="9"/>
  <c r="AE36" i="9" s="1"/>
  <c r="AE38" i="9" s="1"/>
  <c r="AC38" i="9" s="1"/>
  <c r="N36" i="9"/>
  <c r="N38" i="9" s="1"/>
  <c r="M9" i="12" s="1"/>
  <c r="N9" i="12" s="1"/>
  <c r="I36" i="9"/>
  <c r="N342" i="9"/>
  <c r="I342" i="9"/>
  <c r="L342" i="9"/>
  <c r="AB107" i="9"/>
  <c r="AB109" i="9" s="1"/>
  <c r="H109" i="9" s="1"/>
  <c r="I109" i="9" s="1"/>
  <c r="P109" i="9" s="1"/>
  <c r="AC107" i="9"/>
  <c r="AC110" i="9" s="1"/>
  <c r="I107" i="9"/>
  <c r="I368" i="9"/>
  <c r="L368" i="9"/>
  <c r="N368" i="9"/>
  <c r="N371" i="9" s="1"/>
  <c r="M53" i="12" s="1"/>
  <c r="N53" i="12" s="1"/>
  <c r="AC220" i="10"/>
  <c r="I220" i="10"/>
  <c r="P220" i="10" s="1"/>
  <c r="G90" i="15"/>
  <c r="G188" i="9" s="1"/>
  <c r="O90" i="15"/>
  <c r="O126" i="15"/>
  <c r="G126" i="15"/>
  <c r="G242" i="9" s="1"/>
  <c r="L349" i="9"/>
  <c r="I349" i="9"/>
  <c r="N349" i="9"/>
  <c r="N351" i="9" s="1"/>
  <c r="M50" i="12" s="1"/>
  <c r="N50" i="12" s="1"/>
  <c r="AC12" i="10"/>
  <c r="G137" i="15"/>
  <c r="G257" i="9" s="1"/>
  <c r="O137" i="15"/>
  <c r="I407" i="9"/>
  <c r="L407" i="9"/>
  <c r="AE407" i="9" s="1"/>
  <c r="AE409" i="9" s="1"/>
  <c r="AC409" i="9" s="1"/>
  <c r="N407" i="9"/>
  <c r="N409" i="9" s="1"/>
  <c r="M59" i="12" s="1"/>
  <c r="N59" i="12" s="1"/>
  <c r="M289" i="10" s="1"/>
  <c r="N289" i="10" s="1"/>
  <c r="P240" i="9"/>
  <c r="P433" i="9"/>
  <c r="AC306" i="9"/>
  <c r="I306" i="9"/>
  <c r="I117" i="9"/>
  <c r="AB117" i="9"/>
  <c r="AB119" i="9" s="1"/>
  <c r="H119" i="9" s="1"/>
  <c r="I119" i="9" s="1"/>
  <c r="P119" i="9" s="1"/>
  <c r="AC117" i="9"/>
  <c r="AC120" i="9" s="1"/>
  <c r="P211" i="10"/>
  <c r="I211" i="10"/>
  <c r="H35" i="11" s="1"/>
  <c r="I35" i="11" s="1"/>
  <c r="P35" i="11" s="1"/>
  <c r="O32" i="15"/>
  <c r="G32" i="15"/>
  <c r="G61" i="9" s="1"/>
  <c r="N387" i="9"/>
  <c r="N389" i="9" s="1"/>
  <c r="M56" i="12" s="1"/>
  <c r="N56" i="12" s="1"/>
  <c r="I387" i="9"/>
  <c r="L387" i="9"/>
  <c r="I341" i="10"/>
  <c r="H59" i="11" s="1"/>
  <c r="I59" i="11" s="1"/>
  <c r="P59" i="11" s="1"/>
  <c r="P317" i="10"/>
  <c r="P341" i="10" s="1"/>
  <c r="L195" i="9"/>
  <c r="I195" i="9"/>
  <c r="N195" i="9"/>
  <c r="N198" i="9" s="1"/>
  <c r="M28" i="12" s="1"/>
  <c r="N28" i="12" s="1"/>
  <c r="G67" i="15"/>
  <c r="G131" i="9" s="1"/>
  <c r="O67" i="15"/>
  <c r="I355" i="9"/>
  <c r="L355" i="9"/>
  <c r="N355" i="9"/>
  <c r="N357" i="9" s="1"/>
  <c r="M51" i="12" s="1"/>
  <c r="N51" i="12" s="1"/>
  <c r="M287" i="10" s="1"/>
  <c r="N287" i="10" s="1"/>
  <c r="P111" i="9"/>
  <c r="N434" i="9"/>
  <c r="N436" i="9" s="1"/>
  <c r="M63" i="12" s="1"/>
  <c r="N63" i="12" s="1"/>
  <c r="M293" i="10" s="1"/>
  <c r="N293" i="10" s="1"/>
  <c r="L434" i="9"/>
  <c r="AE434" i="9" s="1"/>
  <c r="I434" i="9"/>
  <c r="P256" i="9"/>
  <c r="G33" i="15"/>
  <c r="G62" i="9" s="1"/>
  <c r="O33" i="15"/>
  <c r="O233" i="15"/>
  <c r="G233" i="15"/>
  <c r="G399" i="9" s="1"/>
  <c r="M10" i="9"/>
  <c r="N10" i="9" s="1"/>
  <c r="N12" i="9" s="1"/>
  <c r="M5" i="12" s="1"/>
  <c r="N5" i="12" s="1"/>
  <c r="N12" i="12"/>
  <c r="L461" i="9"/>
  <c r="N461" i="9"/>
  <c r="I461" i="9"/>
  <c r="P327" i="9"/>
  <c r="P360" i="9"/>
  <c r="P92" i="9"/>
  <c r="AB77" i="9"/>
  <c r="AB79" i="9" s="1"/>
  <c r="H79" i="9" s="1"/>
  <c r="I79" i="9" s="1"/>
  <c r="P79" i="9" s="1"/>
  <c r="AC77" i="9"/>
  <c r="AC80" i="9" s="1"/>
  <c r="I77" i="9"/>
  <c r="P320" i="9"/>
  <c r="L112" i="9"/>
  <c r="AE112" i="9" s="1"/>
  <c r="AE114" i="9" s="1"/>
  <c r="AC114" i="9" s="1"/>
  <c r="I112" i="9"/>
  <c r="N112" i="9"/>
  <c r="N114" i="9" s="1"/>
  <c r="M18" i="12" s="1"/>
  <c r="N18" i="12" s="1"/>
  <c r="P369" i="9"/>
  <c r="L140" i="9"/>
  <c r="I140" i="9"/>
  <c r="N140" i="9"/>
  <c r="N142" i="9" s="1"/>
  <c r="M21" i="12" s="1"/>
  <c r="N21" i="12" s="1"/>
  <c r="P322" i="9"/>
  <c r="P121" i="9"/>
  <c r="G63" i="15"/>
  <c r="G122" i="9" s="1"/>
  <c r="G175" i="15"/>
  <c r="G307" i="9" s="1"/>
  <c r="O252" i="15"/>
  <c r="G252" i="15"/>
  <c r="G427" i="9" s="1"/>
  <c r="I447" i="9"/>
  <c r="L447" i="9"/>
  <c r="N447" i="9"/>
  <c r="N450" i="9" s="1"/>
  <c r="M65" i="12" s="1"/>
  <c r="N65" i="12" s="1"/>
  <c r="G11" i="15"/>
  <c r="G21" i="9" s="1"/>
  <c r="O11" i="15"/>
  <c r="P425" i="9"/>
  <c r="N276" i="9"/>
  <c r="L276" i="9"/>
  <c r="I276" i="9"/>
  <c r="I301" i="9"/>
  <c r="N301" i="9"/>
  <c r="L301" i="9"/>
  <c r="AE301" i="9" s="1"/>
  <c r="L82" i="9"/>
  <c r="AE82" i="9" s="1"/>
  <c r="I82" i="9"/>
  <c r="N82" i="9"/>
  <c r="G140" i="15"/>
  <c r="G263" i="9" s="1"/>
  <c r="O140" i="15"/>
  <c r="AC113" i="10"/>
  <c r="P196" i="9"/>
  <c r="G47" i="15"/>
  <c r="G91" i="9" s="1"/>
  <c r="O47" i="15"/>
  <c r="L30" i="9"/>
  <c r="AE30" i="9" s="1"/>
  <c r="AE32" i="9" s="1"/>
  <c r="AC32" i="9" s="1"/>
  <c r="I30" i="9"/>
  <c r="N30" i="9"/>
  <c r="N32" i="9" s="1"/>
  <c r="M8" i="12" s="1"/>
  <c r="N8" i="12" s="1"/>
  <c r="P406" i="9"/>
  <c r="AC11" i="10"/>
  <c r="P15" i="9"/>
  <c r="I454" i="9"/>
  <c r="L454" i="9"/>
  <c r="N454" i="9"/>
  <c r="L270" i="9"/>
  <c r="AE270" i="9" s="1"/>
  <c r="AE272" i="9" s="1"/>
  <c r="AC272" i="9" s="1"/>
  <c r="N270" i="9"/>
  <c r="N272" i="9" s="1"/>
  <c r="M39" i="12" s="1"/>
  <c r="N39" i="12" s="1"/>
  <c r="M282" i="10" s="1"/>
  <c r="N282" i="10" s="1"/>
  <c r="I270" i="9"/>
  <c r="G201" i="15"/>
  <c r="G343" i="9" s="1"/>
  <c r="O242" i="15"/>
  <c r="G242" i="15"/>
  <c r="G413" i="9" s="1"/>
  <c r="AE15" i="9"/>
  <c r="AE17" i="9" s="1"/>
  <c r="AC17" i="9" s="1"/>
  <c r="AD17" i="9"/>
  <c r="L17" i="9"/>
  <c r="K6" i="12" s="1"/>
  <c r="L6" i="12" s="1"/>
  <c r="N420" i="9"/>
  <c r="N422" i="9" s="1"/>
  <c r="M61" i="12" s="1"/>
  <c r="N61" i="12" s="1"/>
  <c r="M291" i="10" s="1"/>
  <c r="N291" i="10" s="1"/>
  <c r="I420" i="9"/>
  <c r="L420" i="9"/>
  <c r="AE420" i="9" s="1"/>
  <c r="AE240" i="9"/>
  <c r="AC169" i="9"/>
  <c r="AC171" i="9" s="1"/>
  <c r="I169" i="9"/>
  <c r="P287" i="9"/>
  <c r="O25" i="15"/>
  <c r="G25" i="15"/>
  <c r="G47" i="9" s="1"/>
  <c r="O190" i="15"/>
  <c r="G190" i="15"/>
  <c r="G328" i="9" s="1"/>
  <c r="P299" i="9"/>
  <c r="G118" i="15"/>
  <c r="G234" i="9" s="1"/>
  <c r="O118" i="15"/>
  <c r="P67" i="9"/>
  <c r="AD70" i="9"/>
  <c r="H70" i="9" s="1"/>
  <c r="I70" i="9" s="1"/>
  <c r="P70" i="9" s="1"/>
  <c r="O52" i="15"/>
  <c r="G52" i="15"/>
  <c r="G101" i="9" s="1"/>
  <c r="L286" i="9"/>
  <c r="N286" i="9"/>
  <c r="N289" i="9" s="1"/>
  <c r="M41" i="12" s="1"/>
  <c r="N41" i="12" s="1"/>
  <c r="I286" i="9"/>
  <c r="N462" i="9"/>
  <c r="L462" i="9"/>
  <c r="AE462" i="9" s="1"/>
  <c r="I462" i="9"/>
  <c r="I164" i="9"/>
  <c r="L164" i="9"/>
  <c r="N164" i="9"/>
  <c r="N166" i="9" s="1"/>
  <c r="M24" i="12" s="1"/>
  <c r="N24" i="12" s="1"/>
  <c r="O211" i="15"/>
  <c r="G211" i="15"/>
  <c r="G361" i="9" s="1"/>
  <c r="O156" i="15"/>
  <c r="G156" i="15"/>
  <c r="G280" i="9" s="1"/>
  <c r="P292" i="9"/>
  <c r="O170" i="15"/>
  <c r="G170" i="15"/>
  <c r="G300" i="9" s="1"/>
  <c r="G195" i="15"/>
  <c r="G335" i="9" s="1"/>
  <c r="O195" i="15"/>
  <c r="O109" i="15"/>
  <c r="G109" i="15"/>
  <c r="G216" i="9" s="1"/>
  <c r="N381" i="9"/>
  <c r="N383" i="9" s="1"/>
  <c r="M55" i="12" s="1"/>
  <c r="N55" i="12" s="1"/>
  <c r="M236" i="10" s="1"/>
  <c r="N236" i="10" s="1"/>
  <c r="L381" i="9"/>
  <c r="I381" i="9"/>
  <c r="P194" i="9"/>
  <c r="AC61" i="10"/>
  <c r="AD100" i="9"/>
  <c r="H100" i="9" s="1"/>
  <c r="I100" i="9" s="1"/>
  <c r="P100" i="9" s="1"/>
  <c r="P97" i="9"/>
  <c r="I203" i="9"/>
  <c r="N203" i="9"/>
  <c r="N205" i="9" s="1"/>
  <c r="M29" i="12" s="1"/>
  <c r="N29" i="12" s="1"/>
  <c r="L203" i="9"/>
  <c r="N469" i="9"/>
  <c r="N471" i="9" s="1"/>
  <c r="M68" i="12" s="1"/>
  <c r="N68" i="12" s="1"/>
  <c r="I469" i="9"/>
  <c r="L469" i="9"/>
  <c r="P448" i="9"/>
  <c r="AC13" i="10"/>
  <c r="P52" i="9"/>
  <c r="I153" i="9"/>
  <c r="AC153" i="9"/>
  <c r="AC155" i="9" s="1"/>
  <c r="AC270" i="10"/>
  <c r="I270" i="10"/>
  <c r="P270" i="10" s="1"/>
  <c r="AC218" i="10"/>
  <c r="I218" i="10"/>
  <c r="P218" i="10" s="1"/>
  <c r="I375" i="9"/>
  <c r="O176" i="15"/>
  <c r="G176" i="15"/>
  <c r="G308" i="9" s="1"/>
  <c r="P248" i="9"/>
  <c r="L156" i="9"/>
  <c r="I156" i="9"/>
  <c r="N156" i="9"/>
  <c r="N158" i="9" s="1"/>
  <c r="M23" i="12" s="1"/>
  <c r="N23" i="12" s="1"/>
  <c r="P398" i="9"/>
  <c r="I314" i="9"/>
  <c r="L314" i="9"/>
  <c r="N314" i="9"/>
  <c r="AD139" i="9"/>
  <c r="H139" i="9" s="1"/>
  <c r="I139" i="9" s="1"/>
  <c r="P139" i="9" s="1"/>
  <c r="P137" i="9"/>
  <c r="P35" i="9"/>
  <c r="L243" i="9"/>
  <c r="AE243" i="9" s="1"/>
  <c r="I243" i="9"/>
  <c r="N243" i="9"/>
  <c r="G165" i="15"/>
  <c r="G293" i="9" s="1"/>
  <c r="M277" i="10"/>
  <c r="N277" i="10" s="1"/>
  <c r="M228" i="10"/>
  <c r="N228" i="10" s="1"/>
  <c r="G212" i="15"/>
  <c r="G362" i="9" s="1"/>
  <c r="N455" i="9"/>
  <c r="I455" i="9"/>
  <c r="L455" i="9"/>
  <c r="AE455" i="9" s="1"/>
  <c r="AC127" i="9"/>
  <c r="AC130" i="9" s="1"/>
  <c r="AB127" i="9"/>
  <c r="AB129" i="9" s="1"/>
  <c r="H129" i="9" s="1"/>
  <c r="I129" i="9" s="1"/>
  <c r="P129" i="9" s="1"/>
  <c r="I127" i="9"/>
  <c r="G287" i="15"/>
  <c r="G476" i="9" s="1"/>
  <c r="O287" i="15"/>
  <c r="P29" i="9"/>
  <c r="G132" i="15"/>
  <c r="G250" i="9" s="1"/>
  <c r="P279" i="9"/>
  <c r="P72" i="9"/>
  <c r="AE180" i="9" l="1"/>
  <c r="AE182" i="9" s="1"/>
  <c r="AC182" i="9" s="1"/>
  <c r="AD182" i="9"/>
  <c r="L182" i="9"/>
  <c r="K26" i="12" s="1"/>
  <c r="L26" i="12" s="1"/>
  <c r="AE42" i="9"/>
  <c r="AE44" i="9" s="1"/>
  <c r="AC44" i="9" s="1"/>
  <c r="AD44" i="9"/>
  <c r="L44" i="9"/>
  <c r="K10" i="12" s="1"/>
  <c r="L10" i="12" s="1"/>
  <c r="AD230" i="9"/>
  <c r="H229" i="9" s="1"/>
  <c r="I229" i="9" s="1"/>
  <c r="P228" i="9"/>
  <c r="L230" i="9"/>
  <c r="K33" i="12" s="1"/>
  <c r="L33" i="12" s="1"/>
  <c r="P87" i="9"/>
  <c r="N172" i="9"/>
  <c r="N174" i="9" s="1"/>
  <c r="M25" i="12" s="1"/>
  <c r="N25" i="12" s="1"/>
  <c r="I172" i="9"/>
  <c r="P172" i="9" s="1"/>
  <c r="N329" i="9"/>
  <c r="I329" i="9"/>
  <c r="I180" i="9"/>
  <c r="N180" i="9"/>
  <c r="N182" i="9" s="1"/>
  <c r="M26" i="12" s="1"/>
  <c r="N26" i="12" s="1"/>
  <c r="M271" i="10" s="1"/>
  <c r="N271" i="10" s="1"/>
  <c r="P462" i="9"/>
  <c r="AE321" i="9"/>
  <c r="AD324" i="9"/>
  <c r="L324" i="9"/>
  <c r="K46" i="12" s="1"/>
  <c r="L46" i="12" s="1"/>
  <c r="AE209" i="9"/>
  <c r="AE211" i="9" s="1"/>
  <c r="AC211" i="9" s="1"/>
  <c r="L211" i="9"/>
  <c r="K30" i="12" s="1"/>
  <c r="L30" i="12" s="1"/>
  <c r="AD211" i="9"/>
  <c r="H210" i="9" s="1"/>
  <c r="I210" i="9" s="1"/>
  <c r="L375" i="9"/>
  <c r="P375" i="9" s="1"/>
  <c r="N84" i="9"/>
  <c r="M15" i="12" s="1"/>
  <c r="N15" i="12" s="1"/>
  <c r="M266" i="10" s="1"/>
  <c r="N266" i="10" s="1"/>
  <c r="N102" i="9"/>
  <c r="I102" i="9"/>
  <c r="N321" i="9"/>
  <c r="N324" i="9" s="1"/>
  <c r="M46" i="12" s="1"/>
  <c r="N46" i="12" s="1"/>
  <c r="I321" i="9"/>
  <c r="I222" i="9"/>
  <c r="N222" i="9"/>
  <c r="N224" i="9" s="1"/>
  <c r="M32" i="12" s="1"/>
  <c r="N32" i="12" s="1"/>
  <c r="AE324" i="9"/>
  <c r="AC324" i="9" s="1"/>
  <c r="I277" i="9"/>
  <c r="N277" i="9"/>
  <c r="N209" i="9"/>
  <c r="N211" i="9" s="1"/>
  <c r="M30" i="12" s="1"/>
  <c r="N30" i="12" s="1"/>
  <c r="I209" i="9"/>
  <c r="P209" i="9" s="1"/>
  <c r="N464" i="9"/>
  <c r="M67" i="12" s="1"/>
  <c r="N67" i="12" s="1"/>
  <c r="M300" i="10" s="1"/>
  <c r="N300" i="10" s="1"/>
  <c r="P329" i="9"/>
  <c r="I42" i="9"/>
  <c r="N42" i="9"/>
  <c r="N44" i="9" s="1"/>
  <c r="M10" i="12" s="1"/>
  <c r="N10" i="12" s="1"/>
  <c r="L102" i="9"/>
  <c r="AE102" i="9" s="1"/>
  <c r="L222" i="9"/>
  <c r="H187" i="9"/>
  <c r="I187" i="9" s="1"/>
  <c r="P187" i="9" s="1"/>
  <c r="AD409" i="9"/>
  <c r="H408" i="9" s="1"/>
  <c r="I408" i="9" s="1"/>
  <c r="P408" i="9" s="1"/>
  <c r="AD60" i="9"/>
  <c r="H60" i="9" s="1"/>
  <c r="I60" i="9" s="1"/>
  <c r="P60" i="9" s="1"/>
  <c r="L38" i="9"/>
  <c r="K9" i="12" s="1"/>
  <c r="L9" i="12" s="1"/>
  <c r="AD163" i="9"/>
  <c r="H163" i="9" s="1"/>
  <c r="I163" i="9" s="1"/>
  <c r="P163" i="9" s="1"/>
  <c r="AE422" i="9"/>
  <c r="AC422" i="9" s="1"/>
  <c r="H181" i="9"/>
  <c r="I181" i="9" s="1"/>
  <c r="P181" i="9" s="1"/>
  <c r="P164" i="9"/>
  <c r="P461" i="9"/>
  <c r="P455" i="9"/>
  <c r="L114" i="9"/>
  <c r="K18" i="12" s="1"/>
  <c r="L18" i="12" s="1"/>
  <c r="L409" i="9"/>
  <c r="K59" i="12" s="1"/>
  <c r="L59" i="12" s="1"/>
  <c r="K289" i="10" s="1"/>
  <c r="L289" i="10" s="1"/>
  <c r="P203" i="9"/>
  <c r="P112" i="9"/>
  <c r="P81" i="9"/>
  <c r="AD114" i="9"/>
  <c r="H113" i="9" s="1"/>
  <c r="I113" i="9" s="1"/>
  <c r="P113" i="9" s="1"/>
  <c r="H16" i="9"/>
  <c r="I16" i="9" s="1"/>
  <c r="P16" i="9" s="1"/>
  <c r="P441" i="9"/>
  <c r="P314" i="9"/>
  <c r="L422" i="9"/>
  <c r="K61" i="12" s="1"/>
  <c r="L61" i="12" s="1"/>
  <c r="K291" i="10" s="1"/>
  <c r="L291" i="10" s="1"/>
  <c r="AD179" i="9"/>
  <c r="H179" i="9" s="1"/>
  <c r="I179" i="9" s="1"/>
  <c r="P179" i="9" s="1"/>
  <c r="P177" i="9"/>
  <c r="M279" i="10"/>
  <c r="N279" i="10" s="1"/>
  <c r="M242" i="10"/>
  <c r="N242" i="10" s="1"/>
  <c r="I101" i="9"/>
  <c r="L101" i="9"/>
  <c r="N101" i="9"/>
  <c r="N104" i="9" s="1"/>
  <c r="M17" i="12" s="1"/>
  <c r="N17" i="12" s="1"/>
  <c r="P270" i="9"/>
  <c r="P36" i="9"/>
  <c r="P381" i="9"/>
  <c r="I188" i="9"/>
  <c r="L188" i="9"/>
  <c r="N188" i="9"/>
  <c r="N191" i="9" s="1"/>
  <c r="M27" i="12" s="1"/>
  <c r="N27" i="12" s="1"/>
  <c r="L62" i="9"/>
  <c r="AE62" i="9" s="1"/>
  <c r="I62" i="9"/>
  <c r="N62" i="9"/>
  <c r="N457" i="9"/>
  <c r="M66" i="12" s="1"/>
  <c r="N66" i="12" s="1"/>
  <c r="M298" i="10" s="1"/>
  <c r="N298" i="10" s="1"/>
  <c r="P407" i="9"/>
  <c r="M265" i="10"/>
  <c r="N265" i="10" s="1"/>
  <c r="I216" i="9"/>
  <c r="N216" i="9"/>
  <c r="N218" i="9" s="1"/>
  <c r="M31" i="12" s="1"/>
  <c r="N31" i="12" s="1"/>
  <c r="L216" i="9"/>
  <c r="AE216" i="9" s="1"/>
  <c r="M238" i="10"/>
  <c r="N238" i="10" s="1"/>
  <c r="P469" i="9"/>
  <c r="I61" i="9"/>
  <c r="L61" i="9"/>
  <c r="N61" i="9"/>
  <c r="N257" i="9"/>
  <c r="N259" i="9" s="1"/>
  <c r="M37" i="12" s="1"/>
  <c r="N37" i="12" s="1"/>
  <c r="L257" i="9"/>
  <c r="I257" i="9"/>
  <c r="AE368" i="9"/>
  <c r="AE371" i="9" s="1"/>
  <c r="AC371" i="9" s="1"/>
  <c r="AD371" i="9"/>
  <c r="L371" i="9"/>
  <c r="K53" i="12" s="1"/>
  <c r="L53" i="12" s="1"/>
  <c r="AE81" i="9"/>
  <c r="AE84" i="9" s="1"/>
  <c r="AC84" i="9" s="1"/>
  <c r="L84" i="9"/>
  <c r="K15" i="12" s="1"/>
  <c r="L15" i="12" s="1"/>
  <c r="K266" i="10" s="1"/>
  <c r="L266" i="10" s="1"/>
  <c r="AD84" i="9"/>
  <c r="P71" i="9"/>
  <c r="AD436" i="9"/>
  <c r="P368" i="9"/>
  <c r="AD272" i="9"/>
  <c r="H271" i="9" s="1"/>
  <c r="I271" i="9" s="1"/>
  <c r="P271" i="9" s="1"/>
  <c r="AD147" i="9"/>
  <c r="H147" i="9" s="1"/>
  <c r="I147" i="9" s="1"/>
  <c r="P147" i="9" s="1"/>
  <c r="P145" i="9"/>
  <c r="AE436" i="9"/>
  <c r="AC436" i="9" s="1"/>
  <c r="N317" i="9"/>
  <c r="M45" i="12" s="1"/>
  <c r="N45" i="12" s="1"/>
  <c r="M232" i="10" s="1"/>
  <c r="N232" i="10" s="1"/>
  <c r="AE203" i="9"/>
  <c r="AE205" i="9" s="1"/>
  <c r="AC205" i="9" s="1"/>
  <c r="L205" i="9"/>
  <c r="K29" i="12" s="1"/>
  <c r="L29" i="12" s="1"/>
  <c r="AD205" i="9"/>
  <c r="N335" i="9"/>
  <c r="L335" i="9"/>
  <c r="I335" i="9"/>
  <c r="M217" i="10"/>
  <c r="N217" i="10" s="1"/>
  <c r="M214" i="10"/>
  <c r="N214" i="10" s="1"/>
  <c r="M269" i="10"/>
  <c r="N269" i="10" s="1"/>
  <c r="I336" i="9"/>
  <c r="L336" i="9"/>
  <c r="AE336" i="9" s="1"/>
  <c r="N336" i="9"/>
  <c r="P393" i="9"/>
  <c r="L436" i="9"/>
  <c r="K63" i="12" s="1"/>
  <c r="L63" i="12" s="1"/>
  <c r="K293" i="10" s="1"/>
  <c r="L293" i="10" s="1"/>
  <c r="AE314" i="9"/>
  <c r="AE317" i="9" s="1"/>
  <c r="AC317" i="9" s="1"/>
  <c r="L317" i="9"/>
  <c r="K45" i="12" s="1"/>
  <c r="L45" i="12" s="1"/>
  <c r="K232" i="10" s="1"/>
  <c r="L232" i="10" s="1"/>
  <c r="AD317" i="9"/>
  <c r="M221" i="10"/>
  <c r="N221" i="10" s="1"/>
  <c r="M272" i="10"/>
  <c r="N272" i="10" s="1"/>
  <c r="AE164" i="9"/>
  <c r="AE166" i="9" s="1"/>
  <c r="AC166" i="9" s="1"/>
  <c r="L166" i="9"/>
  <c r="K24" i="12" s="1"/>
  <c r="L24" i="12" s="1"/>
  <c r="AD166" i="9"/>
  <c r="N234" i="9"/>
  <c r="N236" i="9" s="1"/>
  <c r="M34" i="12" s="1"/>
  <c r="N34" i="12" s="1"/>
  <c r="M224" i="10" s="1"/>
  <c r="N224" i="10" s="1"/>
  <c r="L234" i="9"/>
  <c r="I234" i="9"/>
  <c r="P420" i="9"/>
  <c r="P140" i="9"/>
  <c r="P315" i="9"/>
  <c r="AE393" i="9"/>
  <c r="AE395" i="9" s="1"/>
  <c r="AC395" i="9" s="1"/>
  <c r="L395" i="9"/>
  <c r="K57" i="12" s="1"/>
  <c r="L57" i="12" s="1"/>
  <c r="AD395" i="9"/>
  <c r="P30" i="9"/>
  <c r="P301" i="9"/>
  <c r="L32" i="9"/>
  <c r="K8" i="12" s="1"/>
  <c r="L8" i="12" s="1"/>
  <c r="N362" i="9"/>
  <c r="I362" i="9"/>
  <c r="L362" i="9"/>
  <c r="AE362" i="9" s="1"/>
  <c r="P434" i="9"/>
  <c r="AE71" i="9"/>
  <c r="AE74" i="9" s="1"/>
  <c r="AC74" i="9" s="1"/>
  <c r="AD74" i="9"/>
  <c r="L74" i="9"/>
  <c r="K14" i="12" s="1"/>
  <c r="L14" i="12" s="1"/>
  <c r="L250" i="9"/>
  <c r="AE250" i="9" s="1"/>
  <c r="N250" i="9"/>
  <c r="I250" i="9"/>
  <c r="I21" i="9"/>
  <c r="N21" i="9"/>
  <c r="N23" i="9" s="1"/>
  <c r="M7" i="12" s="1"/>
  <c r="N7" i="12" s="1"/>
  <c r="L21" i="9"/>
  <c r="AE355" i="9"/>
  <c r="AE357" i="9" s="1"/>
  <c r="AC357" i="9" s="1"/>
  <c r="AD357" i="9"/>
  <c r="L357" i="9"/>
  <c r="K51" i="12" s="1"/>
  <c r="L51" i="12" s="1"/>
  <c r="K287" i="10" s="1"/>
  <c r="L287" i="10" s="1"/>
  <c r="N300" i="9"/>
  <c r="N303" i="9" s="1"/>
  <c r="M43" i="12" s="1"/>
  <c r="N43" i="12" s="1"/>
  <c r="I300" i="9"/>
  <c r="L300" i="9"/>
  <c r="P349" i="9"/>
  <c r="N328" i="9"/>
  <c r="N331" i="9" s="1"/>
  <c r="M47" i="12" s="1"/>
  <c r="N47" i="12" s="1"/>
  <c r="L328" i="9"/>
  <c r="I328" i="9"/>
  <c r="P117" i="9"/>
  <c r="AD120" i="9"/>
  <c r="H120" i="9" s="1"/>
  <c r="I120" i="9" s="1"/>
  <c r="P120" i="9" s="1"/>
  <c r="L272" i="9"/>
  <c r="K39" i="12" s="1"/>
  <c r="L39" i="12" s="1"/>
  <c r="K282" i="10" s="1"/>
  <c r="L282" i="10" s="1"/>
  <c r="P447" i="9"/>
  <c r="AE461" i="9"/>
  <c r="AE464" i="9" s="1"/>
  <c r="AC464" i="9" s="1"/>
  <c r="L464" i="9"/>
  <c r="K67" i="12" s="1"/>
  <c r="L67" i="12" s="1"/>
  <c r="K300" i="10" s="1"/>
  <c r="L300" i="10" s="1"/>
  <c r="AD464" i="9"/>
  <c r="I131" i="9"/>
  <c r="L131" i="9"/>
  <c r="N131" i="9"/>
  <c r="N134" i="9" s="1"/>
  <c r="M20" i="12" s="1"/>
  <c r="N20" i="12" s="1"/>
  <c r="P306" i="9"/>
  <c r="AD422" i="9"/>
  <c r="N440" i="9"/>
  <c r="N443" i="9" s="1"/>
  <c r="M64" i="12" s="1"/>
  <c r="N64" i="12" s="1"/>
  <c r="L440" i="9"/>
  <c r="I440" i="9"/>
  <c r="P294" i="9"/>
  <c r="N427" i="9"/>
  <c r="N429" i="9" s="1"/>
  <c r="M62" i="12" s="1"/>
  <c r="N62" i="12" s="1"/>
  <c r="M292" i="10" s="1"/>
  <c r="N292" i="10" s="1"/>
  <c r="L427" i="9"/>
  <c r="AE427" i="9" s="1"/>
  <c r="I427" i="9"/>
  <c r="AE215" i="9"/>
  <c r="P229" i="9"/>
  <c r="I230" i="9"/>
  <c r="P215" i="9"/>
  <c r="N361" i="9"/>
  <c r="L361" i="9"/>
  <c r="I361" i="9"/>
  <c r="P276" i="9"/>
  <c r="AE387" i="9"/>
  <c r="AE389" i="9" s="1"/>
  <c r="AC389" i="9" s="1"/>
  <c r="L389" i="9"/>
  <c r="K56" i="12" s="1"/>
  <c r="L56" i="12" s="1"/>
  <c r="AD389" i="9"/>
  <c r="K222" i="10"/>
  <c r="L222" i="10" s="1"/>
  <c r="N91" i="9"/>
  <c r="N94" i="9" s="1"/>
  <c r="M16" i="12" s="1"/>
  <c r="N16" i="12" s="1"/>
  <c r="I91" i="9"/>
  <c r="L91" i="9"/>
  <c r="AE469" i="9"/>
  <c r="AE471" i="9" s="1"/>
  <c r="AC471" i="9" s="1"/>
  <c r="AD471" i="9"/>
  <c r="L471" i="9"/>
  <c r="K68" i="12" s="1"/>
  <c r="L68" i="12" s="1"/>
  <c r="AE454" i="9"/>
  <c r="AE457" i="9" s="1"/>
  <c r="AC457" i="9" s="1"/>
  <c r="AD457" i="9"/>
  <c r="L457" i="9"/>
  <c r="K66" i="12" s="1"/>
  <c r="L66" i="12" s="1"/>
  <c r="K298" i="10" s="1"/>
  <c r="L298" i="10" s="1"/>
  <c r="N263" i="9"/>
  <c r="N265" i="9" s="1"/>
  <c r="M38" i="12" s="1"/>
  <c r="N38" i="12" s="1"/>
  <c r="M281" i="10" s="1"/>
  <c r="N281" i="10" s="1"/>
  <c r="I263" i="9"/>
  <c r="L263" i="9"/>
  <c r="H323" i="9"/>
  <c r="I323" i="9" s="1"/>
  <c r="K277" i="10"/>
  <c r="L277" i="10" s="1"/>
  <c r="K228" i="10"/>
  <c r="L228" i="10" s="1"/>
  <c r="P107" i="9"/>
  <c r="AD110" i="9"/>
  <c r="H110" i="9" s="1"/>
  <c r="I110" i="9" s="1"/>
  <c r="P110" i="9" s="1"/>
  <c r="AE447" i="9"/>
  <c r="AE450" i="9" s="1"/>
  <c r="AC450" i="9" s="1"/>
  <c r="AD450" i="9"/>
  <c r="L450" i="9"/>
  <c r="K65" i="12" s="1"/>
  <c r="L65" i="12" s="1"/>
  <c r="M216" i="10"/>
  <c r="N216" i="10" s="1"/>
  <c r="L47" i="9"/>
  <c r="N47" i="9"/>
  <c r="N49" i="9" s="1"/>
  <c r="M11" i="12" s="1"/>
  <c r="I47" i="9"/>
  <c r="N413" i="9"/>
  <c r="N415" i="9" s="1"/>
  <c r="M60" i="12" s="1"/>
  <c r="N60" i="12" s="1"/>
  <c r="I413" i="9"/>
  <c r="L413" i="9"/>
  <c r="AD32" i="9"/>
  <c r="H31" i="9" s="1"/>
  <c r="I31" i="9" s="1"/>
  <c r="P31" i="9" s="1"/>
  <c r="N242" i="9"/>
  <c r="N245" i="9" s="1"/>
  <c r="M35" i="12" s="1"/>
  <c r="N35" i="12" s="1"/>
  <c r="I242" i="9"/>
  <c r="L242" i="9"/>
  <c r="AE342" i="9"/>
  <c r="M215" i="10"/>
  <c r="N215" i="10" s="1"/>
  <c r="I280" i="9"/>
  <c r="L280" i="9"/>
  <c r="AE280" i="9" s="1"/>
  <c r="N280" i="9"/>
  <c r="N282" i="9" s="1"/>
  <c r="M40" i="12" s="1"/>
  <c r="N40" i="12" s="1"/>
  <c r="M283" i="10" s="1"/>
  <c r="N283" i="10" s="1"/>
  <c r="AE426" i="9"/>
  <c r="I308" i="9"/>
  <c r="L308" i="9"/>
  <c r="AE308" i="9" s="1"/>
  <c r="N308" i="9"/>
  <c r="I307" i="9"/>
  <c r="N307" i="9"/>
  <c r="L307" i="9"/>
  <c r="P426" i="9"/>
  <c r="AE276" i="9"/>
  <c r="P387" i="9"/>
  <c r="AE375" i="9"/>
  <c r="AE377" i="9" s="1"/>
  <c r="AC377" i="9" s="1"/>
  <c r="L377" i="9"/>
  <c r="K54" i="12" s="1"/>
  <c r="L54" i="12" s="1"/>
  <c r="AD377" i="9"/>
  <c r="AE140" i="9"/>
  <c r="AE142" i="9" s="1"/>
  <c r="AC142" i="9" s="1"/>
  <c r="AD142" i="9"/>
  <c r="L142" i="9"/>
  <c r="K21" i="12" s="1"/>
  <c r="L21" i="12" s="1"/>
  <c r="N476" i="9"/>
  <c r="N478" i="9" s="1"/>
  <c r="M69" i="12" s="1"/>
  <c r="N69" i="12" s="1"/>
  <c r="I476" i="9"/>
  <c r="L476" i="9"/>
  <c r="AE476" i="9" s="1"/>
  <c r="M297" i="10"/>
  <c r="N297" i="10" s="1"/>
  <c r="P355" i="9"/>
  <c r="N293" i="9"/>
  <c r="N296" i="9" s="1"/>
  <c r="M42" i="12" s="1"/>
  <c r="N42" i="12" s="1"/>
  <c r="L293" i="9"/>
  <c r="I293" i="9"/>
  <c r="AE349" i="9"/>
  <c r="AE351" i="9" s="1"/>
  <c r="AC351" i="9" s="1"/>
  <c r="L351" i="9"/>
  <c r="K50" i="12" s="1"/>
  <c r="L50" i="12" s="1"/>
  <c r="AD351" i="9"/>
  <c r="K225" i="10"/>
  <c r="L225" i="10" s="1"/>
  <c r="AD155" i="9"/>
  <c r="H155" i="9" s="1"/>
  <c r="I155" i="9" s="1"/>
  <c r="P155" i="9" s="1"/>
  <c r="P153" i="9"/>
  <c r="P286" i="9"/>
  <c r="P156" i="9"/>
  <c r="M286" i="10"/>
  <c r="N286" i="10" s="1"/>
  <c r="M227" i="10"/>
  <c r="N227" i="10" s="1"/>
  <c r="M276" i="10"/>
  <c r="N276" i="10" s="1"/>
  <c r="P195" i="9"/>
  <c r="P342" i="9"/>
  <c r="AE148" i="9"/>
  <c r="AE150" i="9" s="1"/>
  <c r="AC150" i="9" s="1"/>
  <c r="L150" i="9"/>
  <c r="K22" i="12" s="1"/>
  <c r="L22" i="12" s="1"/>
  <c r="AD150" i="9"/>
  <c r="H173" i="9"/>
  <c r="I173" i="9" s="1"/>
  <c r="P173" i="9" s="1"/>
  <c r="K10" i="9"/>
  <c r="L10" i="9" s="1"/>
  <c r="L12" i="9" s="1"/>
  <c r="K5" i="12" s="1"/>
  <c r="L5" i="12" s="1"/>
  <c r="L12" i="12"/>
  <c r="AE475" i="9"/>
  <c r="AE381" i="9"/>
  <c r="AE383" i="9" s="1"/>
  <c r="AC383" i="9" s="1"/>
  <c r="AD383" i="9"/>
  <c r="L383" i="9"/>
  <c r="K55" i="12" s="1"/>
  <c r="L55" i="12" s="1"/>
  <c r="K236" i="10" s="1"/>
  <c r="L236" i="10" s="1"/>
  <c r="AD80" i="9"/>
  <c r="H80" i="9" s="1"/>
  <c r="I80" i="9" s="1"/>
  <c r="P80" i="9" s="1"/>
  <c r="P77" i="9"/>
  <c r="AD38" i="9"/>
  <c r="H37" i="9" s="1"/>
  <c r="I37" i="9" s="1"/>
  <c r="P37" i="9" s="1"/>
  <c r="P169" i="9"/>
  <c r="AD171" i="9"/>
  <c r="H171" i="9" s="1"/>
  <c r="I171" i="9" s="1"/>
  <c r="P171" i="9" s="1"/>
  <c r="N122" i="9"/>
  <c r="N124" i="9" s="1"/>
  <c r="M19" i="12" s="1"/>
  <c r="N19" i="12" s="1"/>
  <c r="I122" i="9"/>
  <c r="L122" i="9"/>
  <c r="M235" i="10"/>
  <c r="N235" i="10" s="1"/>
  <c r="P454" i="9"/>
  <c r="K271" i="10"/>
  <c r="L271" i="10" s="1"/>
  <c r="P127" i="9"/>
  <c r="AD130" i="9"/>
  <c r="H130" i="9" s="1"/>
  <c r="I130" i="9" s="1"/>
  <c r="P130" i="9" s="1"/>
  <c r="P82" i="9"/>
  <c r="I249" i="9"/>
  <c r="L249" i="9"/>
  <c r="N249" i="9"/>
  <c r="N252" i="9" s="1"/>
  <c r="M36" i="12" s="1"/>
  <c r="N36" i="12" s="1"/>
  <c r="P243" i="9"/>
  <c r="AE156" i="9"/>
  <c r="AE158" i="9" s="1"/>
  <c r="AC158" i="9" s="1"/>
  <c r="AD158" i="9"/>
  <c r="L158" i="9"/>
  <c r="K23" i="12" s="1"/>
  <c r="L23" i="12" s="1"/>
  <c r="AE286" i="9"/>
  <c r="AE289" i="9" s="1"/>
  <c r="AC289" i="9" s="1"/>
  <c r="AD289" i="9"/>
  <c r="L289" i="9"/>
  <c r="K41" i="12" s="1"/>
  <c r="L41" i="12" s="1"/>
  <c r="I343" i="9"/>
  <c r="L343" i="9"/>
  <c r="AE343" i="9" s="1"/>
  <c r="N343" i="9"/>
  <c r="N345" i="9" s="1"/>
  <c r="M49" i="12" s="1"/>
  <c r="N49" i="12" s="1"/>
  <c r="N399" i="9"/>
  <c r="N402" i="9" s="1"/>
  <c r="M58" i="12" s="1"/>
  <c r="N58" i="12" s="1"/>
  <c r="L399" i="9"/>
  <c r="I399" i="9"/>
  <c r="AE195" i="9"/>
  <c r="AE198" i="9" s="1"/>
  <c r="AC198" i="9" s="1"/>
  <c r="AD198" i="9"/>
  <c r="L198" i="9"/>
  <c r="K28" i="12" s="1"/>
  <c r="L28" i="12" s="1"/>
  <c r="P475" i="9"/>
  <c r="P148" i="9"/>
  <c r="H53" i="9"/>
  <c r="I53" i="9" s="1"/>
  <c r="P277" i="9" l="1"/>
  <c r="P321" i="9"/>
  <c r="H43" i="9"/>
  <c r="I43" i="9" s="1"/>
  <c r="P180" i="9"/>
  <c r="N310" i="9"/>
  <c r="M44" i="12" s="1"/>
  <c r="N44" i="12" s="1"/>
  <c r="P222" i="9"/>
  <c r="P102" i="9"/>
  <c r="AE222" i="9"/>
  <c r="AE224" i="9" s="1"/>
  <c r="AC224" i="9" s="1"/>
  <c r="L224" i="9"/>
  <c r="K32" i="12" s="1"/>
  <c r="L32" i="12" s="1"/>
  <c r="AD224" i="9"/>
  <c r="H223" i="9" s="1"/>
  <c r="I223" i="9" s="1"/>
  <c r="M225" i="10"/>
  <c r="N225" i="10" s="1"/>
  <c r="P42" i="9"/>
  <c r="H288" i="9"/>
  <c r="I288" i="9" s="1"/>
  <c r="P288" i="9" s="1"/>
  <c r="H356" i="9"/>
  <c r="I356" i="9" s="1"/>
  <c r="P356" i="9" s="1"/>
  <c r="M222" i="10"/>
  <c r="N222" i="10" s="1"/>
  <c r="N64" i="9"/>
  <c r="M13" i="12" s="1"/>
  <c r="N13" i="12" s="1"/>
  <c r="M213" i="10" s="1"/>
  <c r="N213" i="10" s="1"/>
  <c r="H470" i="9"/>
  <c r="I470" i="9" s="1"/>
  <c r="P470" i="9" s="1"/>
  <c r="H463" i="9"/>
  <c r="I463" i="9" s="1"/>
  <c r="P463" i="9" s="1"/>
  <c r="P250" i="9"/>
  <c r="H197" i="9"/>
  <c r="I197" i="9" s="1"/>
  <c r="I198" i="9" s="1"/>
  <c r="H141" i="9"/>
  <c r="I141" i="9" s="1"/>
  <c r="I142" i="9" s="1"/>
  <c r="I409" i="9"/>
  <c r="P409" i="9" s="1"/>
  <c r="H382" i="9"/>
  <c r="I382" i="9" s="1"/>
  <c r="P382" i="9" s="1"/>
  <c r="H376" i="9"/>
  <c r="I376" i="9" s="1"/>
  <c r="P376" i="9" s="1"/>
  <c r="H421" i="9"/>
  <c r="I421" i="9" s="1"/>
  <c r="P421" i="9" s="1"/>
  <c r="H165" i="9"/>
  <c r="I165" i="9" s="1"/>
  <c r="P165" i="9" s="1"/>
  <c r="H435" i="9"/>
  <c r="I435" i="9" s="1"/>
  <c r="P435" i="9" s="1"/>
  <c r="H350" i="9"/>
  <c r="I350" i="9" s="1"/>
  <c r="P350" i="9" s="1"/>
  <c r="H388" i="9"/>
  <c r="I388" i="9" s="1"/>
  <c r="P388" i="9" s="1"/>
  <c r="H204" i="9"/>
  <c r="I204" i="9" s="1"/>
  <c r="I205" i="9" s="1"/>
  <c r="H83" i="9"/>
  <c r="I83" i="9" s="1"/>
  <c r="P83" i="9" s="1"/>
  <c r="P91" i="9"/>
  <c r="AD218" i="9"/>
  <c r="L218" i="9"/>
  <c r="K31" i="12" s="1"/>
  <c r="L31" i="12" s="1"/>
  <c r="P210" i="9"/>
  <c r="I211" i="9"/>
  <c r="AE218" i="9"/>
  <c r="AC218" i="9" s="1"/>
  <c r="P427" i="9"/>
  <c r="I38" i="9"/>
  <c r="P38" i="9" s="1"/>
  <c r="I32" i="9"/>
  <c r="P32" i="9" s="1"/>
  <c r="H456" i="9"/>
  <c r="I456" i="9" s="1"/>
  <c r="H73" i="9"/>
  <c r="I73" i="9" s="1"/>
  <c r="I471" i="9"/>
  <c r="P471" i="9" s="1"/>
  <c r="I17" i="9"/>
  <c r="H6" i="12" s="1"/>
  <c r="I6" i="12" s="1"/>
  <c r="H157" i="9"/>
  <c r="I157" i="9" s="1"/>
  <c r="P157" i="9" s="1"/>
  <c r="H449" i="9"/>
  <c r="I449" i="9" s="1"/>
  <c r="I182" i="9"/>
  <c r="H26" i="12" s="1"/>
  <c r="I26" i="12" s="1"/>
  <c r="I174" i="9"/>
  <c r="H25" i="12" s="1"/>
  <c r="I25" i="12" s="1"/>
  <c r="I114" i="9"/>
  <c r="P114" i="9" s="1"/>
  <c r="M234" i="10"/>
  <c r="N234" i="10" s="1"/>
  <c r="K286" i="10"/>
  <c r="L286" i="10" s="1"/>
  <c r="AE282" i="9"/>
  <c r="AC282" i="9" s="1"/>
  <c r="K217" i="10"/>
  <c r="L217" i="10" s="1"/>
  <c r="L345" i="9"/>
  <c r="K49" i="12" s="1"/>
  <c r="L49" i="12" s="1"/>
  <c r="K279" i="10"/>
  <c r="L279" i="10" s="1"/>
  <c r="L478" i="9"/>
  <c r="K69" i="12" s="1"/>
  <c r="L69" i="12" s="1"/>
  <c r="P361" i="9"/>
  <c r="P101" i="9"/>
  <c r="P242" i="9"/>
  <c r="AE328" i="9"/>
  <c r="AE331" i="9" s="1"/>
  <c r="AC331" i="9" s="1"/>
  <c r="L331" i="9"/>
  <c r="K47" i="12" s="1"/>
  <c r="L47" i="12" s="1"/>
  <c r="AD331" i="9"/>
  <c r="N364" i="9"/>
  <c r="M52" i="12" s="1"/>
  <c r="N52" i="12" s="1"/>
  <c r="M233" i="10"/>
  <c r="N233" i="10" s="1"/>
  <c r="M5" i="9"/>
  <c r="N5" i="9" s="1"/>
  <c r="N7" i="9" s="1"/>
  <c r="M4" i="12" s="1"/>
  <c r="N4" i="12" s="1"/>
  <c r="N11" i="12"/>
  <c r="P257" i="9"/>
  <c r="L282" i="9"/>
  <c r="K40" i="12" s="1"/>
  <c r="L40" i="12" s="1"/>
  <c r="K283" i="10" s="1"/>
  <c r="L283" i="10" s="1"/>
  <c r="K238" i="10"/>
  <c r="L238" i="10" s="1"/>
  <c r="AE61" i="9"/>
  <c r="AE64" i="9" s="1"/>
  <c r="AC64" i="9" s="1"/>
  <c r="L64" i="9"/>
  <c r="K13" i="12" s="1"/>
  <c r="L13" i="12" s="1"/>
  <c r="AD64" i="9"/>
  <c r="AE21" i="9"/>
  <c r="AE23" i="9" s="1"/>
  <c r="AC23" i="9" s="1"/>
  <c r="L23" i="9"/>
  <c r="K7" i="12" s="1"/>
  <c r="L7" i="12" s="1"/>
  <c r="AD23" i="9"/>
  <c r="K221" i="10"/>
  <c r="L221" i="10" s="1"/>
  <c r="K272" i="10"/>
  <c r="L272" i="10" s="1"/>
  <c r="K227" i="10"/>
  <c r="L227" i="10" s="1"/>
  <c r="K276" i="10"/>
  <c r="L276" i="10" s="1"/>
  <c r="L429" i="9"/>
  <c r="K62" i="12" s="1"/>
  <c r="L62" i="12" s="1"/>
  <c r="K292" i="10" s="1"/>
  <c r="L292" i="10" s="1"/>
  <c r="H394" i="9"/>
  <c r="I394" i="9" s="1"/>
  <c r="P280" i="9"/>
  <c r="AE257" i="9"/>
  <c r="AE259" i="9" s="1"/>
  <c r="AC259" i="9" s="1"/>
  <c r="L259" i="9"/>
  <c r="K37" i="12" s="1"/>
  <c r="L37" i="12" s="1"/>
  <c r="AD259" i="9"/>
  <c r="AE234" i="9"/>
  <c r="AE236" i="9" s="1"/>
  <c r="AC236" i="9" s="1"/>
  <c r="AD236" i="9"/>
  <c r="L236" i="9"/>
  <c r="K34" i="12" s="1"/>
  <c r="L34" i="12" s="1"/>
  <c r="K224" i="10" s="1"/>
  <c r="L224" i="10" s="1"/>
  <c r="M223" i="10"/>
  <c r="N223" i="10" s="1"/>
  <c r="M273" i="10"/>
  <c r="N273" i="10" s="1"/>
  <c r="P61" i="9"/>
  <c r="M278" i="10"/>
  <c r="N278" i="10" s="1"/>
  <c r="P21" i="9"/>
  <c r="AE122" i="9"/>
  <c r="AE124" i="9" s="1"/>
  <c r="AC124" i="9" s="1"/>
  <c r="AD124" i="9"/>
  <c r="L124" i="9"/>
  <c r="K19" i="12" s="1"/>
  <c r="L19" i="12" s="1"/>
  <c r="P122" i="9"/>
  <c r="AE361" i="9"/>
  <c r="AE364" i="9" s="1"/>
  <c r="AC364" i="9" s="1"/>
  <c r="L364" i="9"/>
  <c r="K52" i="12" s="1"/>
  <c r="L52" i="12" s="1"/>
  <c r="AD364" i="9"/>
  <c r="P308" i="9"/>
  <c r="M231" i="10"/>
  <c r="N231" i="10" s="1"/>
  <c r="AD429" i="9"/>
  <c r="AE413" i="9"/>
  <c r="AE415" i="9" s="1"/>
  <c r="AC415" i="9" s="1"/>
  <c r="AD415" i="9"/>
  <c r="L415" i="9"/>
  <c r="K60" i="12" s="1"/>
  <c r="L60" i="12" s="1"/>
  <c r="AE91" i="9"/>
  <c r="AE94" i="9" s="1"/>
  <c r="AC94" i="9" s="1"/>
  <c r="L94" i="9"/>
  <c r="K16" i="12" s="1"/>
  <c r="L16" i="12" s="1"/>
  <c r="AD94" i="9"/>
  <c r="K265" i="10"/>
  <c r="L265" i="10" s="1"/>
  <c r="M243" i="10"/>
  <c r="N243" i="10" s="1"/>
  <c r="P343" i="9"/>
  <c r="P323" i="9"/>
  <c r="I324" i="9"/>
  <c r="P335" i="9"/>
  <c r="K216" i="10"/>
  <c r="L216" i="10" s="1"/>
  <c r="P336" i="9"/>
  <c r="P307" i="9"/>
  <c r="AE440" i="9"/>
  <c r="AE443" i="9" s="1"/>
  <c r="AC443" i="9" s="1"/>
  <c r="AD443" i="9"/>
  <c r="L443" i="9"/>
  <c r="K64" i="12" s="1"/>
  <c r="L64" i="12" s="1"/>
  <c r="AE101" i="9"/>
  <c r="AE104" i="9" s="1"/>
  <c r="AC104" i="9" s="1"/>
  <c r="AD104" i="9"/>
  <c r="L104" i="9"/>
  <c r="K17" i="12" s="1"/>
  <c r="L17" i="12" s="1"/>
  <c r="AE242" i="9"/>
  <c r="AE245" i="9" s="1"/>
  <c r="AC245" i="9" s="1"/>
  <c r="AD245" i="9"/>
  <c r="L245" i="9"/>
  <c r="K35" i="12" s="1"/>
  <c r="L35" i="12" s="1"/>
  <c r="I464" i="9"/>
  <c r="AE131" i="9"/>
  <c r="AE134" i="9" s="1"/>
  <c r="AC134" i="9" s="1"/>
  <c r="L134" i="9"/>
  <c r="K20" i="12" s="1"/>
  <c r="L20" i="12" s="1"/>
  <c r="AD134" i="9"/>
  <c r="H316" i="9"/>
  <c r="I316" i="9" s="1"/>
  <c r="K235" i="10"/>
  <c r="L235" i="10" s="1"/>
  <c r="P47" i="9"/>
  <c r="P188" i="9"/>
  <c r="AD282" i="9"/>
  <c r="AE47" i="9"/>
  <c r="AE49" i="9" s="1"/>
  <c r="AC49" i="9" s="1"/>
  <c r="L49" i="9"/>
  <c r="K11" i="12" s="1"/>
  <c r="AD49" i="9"/>
  <c r="P234" i="9"/>
  <c r="P53" i="9"/>
  <c r="I54" i="9"/>
  <c r="M229" i="10"/>
  <c r="N229" i="10" s="1"/>
  <c r="P476" i="9"/>
  <c r="AD265" i="9"/>
  <c r="L265" i="9"/>
  <c r="K38" i="12" s="1"/>
  <c r="L38" i="12" s="1"/>
  <c r="K281" i="10" s="1"/>
  <c r="L281" i="10" s="1"/>
  <c r="AE263" i="9"/>
  <c r="AE265" i="9" s="1"/>
  <c r="AC265" i="9" s="1"/>
  <c r="P362" i="9"/>
  <c r="AE335" i="9"/>
  <c r="AE338" i="9" s="1"/>
  <c r="AC338" i="9" s="1"/>
  <c r="AD338" i="9"/>
  <c r="L338" i="9"/>
  <c r="K48" i="12" s="1"/>
  <c r="L48" i="12" s="1"/>
  <c r="P263" i="9"/>
  <c r="N338" i="9"/>
  <c r="M48" i="12" s="1"/>
  <c r="N48" i="12" s="1"/>
  <c r="I272" i="9"/>
  <c r="AE307" i="9"/>
  <c r="AE310" i="9" s="1"/>
  <c r="AC310" i="9" s="1"/>
  <c r="AD310" i="9"/>
  <c r="L310" i="9"/>
  <c r="K44" i="12" s="1"/>
  <c r="L44" i="12" s="1"/>
  <c r="AD345" i="9"/>
  <c r="K297" i="10"/>
  <c r="L297" i="10" s="1"/>
  <c r="P440" i="9"/>
  <c r="M268" i="10"/>
  <c r="N268" i="10" s="1"/>
  <c r="AD478" i="9"/>
  <c r="K269" i="10"/>
  <c r="L269" i="10" s="1"/>
  <c r="K214" i="10"/>
  <c r="L214" i="10" s="1"/>
  <c r="AE345" i="9"/>
  <c r="AC345" i="9" s="1"/>
  <c r="P141" i="9"/>
  <c r="P328" i="9"/>
  <c r="P62" i="9"/>
  <c r="AE478" i="9"/>
  <c r="AC478" i="9" s="1"/>
  <c r="K242" i="10"/>
  <c r="L242" i="10" s="1"/>
  <c r="AE249" i="9"/>
  <c r="AE252" i="9" s="1"/>
  <c r="AC252" i="9" s="1"/>
  <c r="L252" i="9"/>
  <c r="K36" i="12" s="1"/>
  <c r="L36" i="12" s="1"/>
  <c r="AD252" i="9"/>
  <c r="P293" i="9"/>
  <c r="P249" i="9"/>
  <c r="AE293" i="9"/>
  <c r="AE296" i="9" s="1"/>
  <c r="AC296" i="9" s="1"/>
  <c r="AD296" i="9"/>
  <c r="L296" i="9"/>
  <c r="K42" i="12" s="1"/>
  <c r="L42" i="12" s="1"/>
  <c r="P399" i="9"/>
  <c r="AE399" i="9"/>
  <c r="AE402" i="9" s="1"/>
  <c r="AC402" i="9" s="1"/>
  <c r="L402" i="9"/>
  <c r="K58" i="12" s="1"/>
  <c r="L58" i="12" s="1"/>
  <c r="AD402" i="9"/>
  <c r="H149" i="9"/>
  <c r="I149" i="9" s="1"/>
  <c r="P149" i="9" s="1"/>
  <c r="AE429" i="9"/>
  <c r="AC429" i="9" s="1"/>
  <c r="P413" i="9"/>
  <c r="P230" i="9"/>
  <c r="H33" i="12"/>
  <c r="I33" i="12" s="1"/>
  <c r="AE300" i="9"/>
  <c r="AE303" i="9" s="1"/>
  <c r="AC303" i="9" s="1"/>
  <c r="AD303" i="9"/>
  <c r="L303" i="9"/>
  <c r="K43" i="12" s="1"/>
  <c r="L43" i="12" s="1"/>
  <c r="M288" i="10"/>
  <c r="N288" i="10" s="1"/>
  <c r="K215" i="10"/>
  <c r="L215" i="10" s="1"/>
  <c r="I289" i="9"/>
  <c r="I357" i="9"/>
  <c r="M239" i="10"/>
  <c r="N239" i="10" s="1"/>
  <c r="M267" i="10"/>
  <c r="N267" i="10" s="1"/>
  <c r="P131" i="9"/>
  <c r="P300" i="9"/>
  <c r="H370" i="9"/>
  <c r="I370" i="9" s="1"/>
  <c r="P216" i="9"/>
  <c r="AE188" i="9"/>
  <c r="AE191" i="9" s="1"/>
  <c r="AC191" i="9" s="1"/>
  <c r="L191" i="9"/>
  <c r="K27" i="12" s="1"/>
  <c r="L27" i="12" s="1"/>
  <c r="AD191" i="9"/>
  <c r="I44" i="9" l="1"/>
  <c r="P43" i="9"/>
  <c r="I224" i="9"/>
  <c r="P223" i="9"/>
  <c r="I351" i="9"/>
  <c r="H330" i="9"/>
  <c r="I330" i="9" s="1"/>
  <c r="P330" i="9" s="1"/>
  <c r="P17" i="9"/>
  <c r="H302" i="9"/>
  <c r="I302" i="9" s="1"/>
  <c r="P302" i="9" s="1"/>
  <c r="P197" i="9"/>
  <c r="H59" i="12"/>
  <c r="I59" i="12" s="1"/>
  <c r="P59" i="12" s="1"/>
  <c r="P204" i="9"/>
  <c r="H309" i="9"/>
  <c r="I309" i="9" s="1"/>
  <c r="P309" i="9" s="1"/>
  <c r="I422" i="9"/>
  <c r="H61" i="12" s="1"/>
  <c r="I61" i="12" s="1"/>
  <c r="I383" i="9"/>
  <c r="H55" i="12" s="1"/>
  <c r="I55" i="12" s="1"/>
  <c r="H236" i="10" s="1"/>
  <c r="I236" i="10" s="1"/>
  <c r="P236" i="10" s="1"/>
  <c r="I158" i="9"/>
  <c r="H23" i="12" s="1"/>
  <c r="I23" i="12" s="1"/>
  <c r="I377" i="9"/>
  <c r="H54" i="12" s="1"/>
  <c r="I54" i="12" s="1"/>
  <c r="I166" i="9"/>
  <c r="P166" i="9" s="1"/>
  <c r="H8" i="12"/>
  <c r="I8" i="12" s="1"/>
  <c r="H401" i="9"/>
  <c r="I401" i="9" s="1"/>
  <c r="P401" i="9" s="1"/>
  <c r="H363" i="9"/>
  <c r="I363" i="9" s="1"/>
  <c r="P363" i="9" s="1"/>
  <c r="H63" i="9"/>
  <c r="I63" i="9" s="1"/>
  <c r="P63" i="9" s="1"/>
  <c r="H295" i="9"/>
  <c r="I295" i="9" s="1"/>
  <c r="P295" i="9" s="1"/>
  <c r="H93" i="9"/>
  <c r="I93" i="9" s="1"/>
  <c r="P93" i="9" s="1"/>
  <c r="P182" i="9"/>
  <c r="I436" i="9"/>
  <c r="H63" i="12" s="1"/>
  <c r="I63" i="12" s="1"/>
  <c r="H293" i="10" s="1"/>
  <c r="I293" i="10" s="1"/>
  <c r="P293" i="10" s="1"/>
  <c r="I84" i="9"/>
  <c r="P84" i="9" s="1"/>
  <c r="H48" i="9"/>
  <c r="I48" i="9" s="1"/>
  <c r="P48" i="9" s="1"/>
  <c r="H9" i="12"/>
  <c r="I9" i="12" s="1"/>
  <c r="H258" i="9"/>
  <c r="I258" i="9" s="1"/>
  <c r="P258" i="9" s="1"/>
  <c r="H337" i="9"/>
  <c r="I337" i="9" s="1"/>
  <c r="P337" i="9" s="1"/>
  <c r="K223" i="10"/>
  <c r="L223" i="10" s="1"/>
  <c r="H18" i="12"/>
  <c r="I18" i="12" s="1"/>
  <c r="K273" i="10"/>
  <c r="L273" i="10" s="1"/>
  <c r="I389" i="9"/>
  <c r="H56" i="12" s="1"/>
  <c r="I56" i="12" s="1"/>
  <c r="H442" i="9"/>
  <c r="I442" i="9" s="1"/>
  <c r="P442" i="9" s="1"/>
  <c r="H190" i="9"/>
  <c r="I190" i="9" s="1"/>
  <c r="P190" i="9" s="1"/>
  <c r="H477" i="9"/>
  <c r="I477" i="9" s="1"/>
  <c r="P477" i="9" s="1"/>
  <c r="H133" i="9"/>
  <c r="I133" i="9" s="1"/>
  <c r="I134" i="9" s="1"/>
  <c r="P174" i="9"/>
  <c r="H428" i="9"/>
  <c r="I428" i="9" s="1"/>
  <c r="P428" i="9" s="1"/>
  <c r="P73" i="9"/>
  <c r="I74" i="9"/>
  <c r="H68" i="12"/>
  <c r="I68" i="12" s="1"/>
  <c r="P211" i="9"/>
  <c r="H30" i="12"/>
  <c r="I30" i="12" s="1"/>
  <c r="H244" i="9"/>
  <c r="I244" i="9" s="1"/>
  <c r="P449" i="9"/>
  <c r="I450" i="9"/>
  <c r="H281" i="9"/>
  <c r="I281" i="9" s="1"/>
  <c r="H217" i="9"/>
  <c r="I217" i="9" s="1"/>
  <c r="P456" i="9"/>
  <c r="I457" i="9"/>
  <c r="H251" i="9"/>
  <c r="I251" i="9" s="1"/>
  <c r="H414" i="9"/>
  <c r="I414" i="9" s="1"/>
  <c r="H235" i="9"/>
  <c r="I235" i="9" s="1"/>
  <c r="P235" i="9" s="1"/>
  <c r="H39" i="12"/>
  <c r="I39" i="12" s="1"/>
  <c r="P272" i="9"/>
  <c r="P63" i="12"/>
  <c r="H12" i="12"/>
  <c r="P54" i="9"/>
  <c r="K213" i="10"/>
  <c r="L213" i="10" s="1"/>
  <c r="H41" i="12"/>
  <c r="I41" i="12" s="1"/>
  <c r="P289" i="9"/>
  <c r="H29" i="12"/>
  <c r="I29" i="12" s="1"/>
  <c r="P205" i="9"/>
  <c r="K267" i="10"/>
  <c r="L267" i="10" s="1"/>
  <c r="P394" i="9"/>
  <c r="I395" i="9"/>
  <c r="P316" i="9"/>
  <c r="I317" i="9"/>
  <c r="K234" i="10"/>
  <c r="L234" i="10" s="1"/>
  <c r="H21" i="12"/>
  <c r="I21" i="12" s="1"/>
  <c r="P142" i="9"/>
  <c r="K229" i="10"/>
  <c r="L229" i="10" s="1"/>
  <c r="P25" i="12"/>
  <c r="H344" i="9"/>
  <c r="I344" i="9" s="1"/>
  <c r="K268" i="10"/>
  <c r="L268" i="10" s="1"/>
  <c r="P324" i="9"/>
  <c r="H46" i="12"/>
  <c r="I46" i="12" s="1"/>
  <c r="H50" i="12"/>
  <c r="I50" i="12" s="1"/>
  <c r="P351" i="9"/>
  <c r="H271" i="10"/>
  <c r="P26" i="12"/>
  <c r="I310" i="9"/>
  <c r="K278" i="10"/>
  <c r="L278" i="10" s="1"/>
  <c r="H28" i="12"/>
  <c r="I28" i="12" s="1"/>
  <c r="P198" i="9"/>
  <c r="K231" i="10"/>
  <c r="L231" i="10" s="1"/>
  <c r="H103" i="9"/>
  <c r="I103" i="9" s="1"/>
  <c r="K239" i="10"/>
  <c r="L239" i="10" s="1"/>
  <c r="K243" i="10"/>
  <c r="L243" i="10" s="1"/>
  <c r="K233" i="10"/>
  <c r="L233" i="10" s="1"/>
  <c r="K5" i="9"/>
  <c r="L5" i="9" s="1"/>
  <c r="L7" i="9" s="1"/>
  <c r="K4" i="12" s="1"/>
  <c r="L4" i="12" s="1"/>
  <c r="L11" i="12"/>
  <c r="K288" i="10"/>
  <c r="L288" i="10" s="1"/>
  <c r="H264" i="9"/>
  <c r="I264" i="9" s="1"/>
  <c r="P370" i="9"/>
  <c r="I371" i="9"/>
  <c r="M33" i="11"/>
  <c r="N33" i="11" s="1"/>
  <c r="M32" i="11"/>
  <c r="N32" i="11" s="1"/>
  <c r="M34" i="11"/>
  <c r="N34" i="11" s="1"/>
  <c r="M226" i="10"/>
  <c r="N226" i="10" s="1"/>
  <c r="N263" i="10" s="1"/>
  <c r="M57" i="11" s="1"/>
  <c r="N57" i="11" s="1"/>
  <c r="M275" i="10"/>
  <c r="N275" i="10" s="1"/>
  <c r="N315" i="10" s="1"/>
  <c r="M58" i="11" s="1"/>
  <c r="N58" i="11" s="1"/>
  <c r="M31" i="11"/>
  <c r="N31" i="11" s="1"/>
  <c r="H228" i="10"/>
  <c r="I228" i="10" s="1"/>
  <c r="P228" i="10" s="1"/>
  <c r="H277" i="10"/>
  <c r="I277" i="10" s="1"/>
  <c r="P277" i="10" s="1"/>
  <c r="P6" i="12"/>
  <c r="I303" i="9"/>
  <c r="P33" i="12"/>
  <c r="H67" i="12"/>
  <c r="I67" i="12" s="1"/>
  <c r="P464" i="9"/>
  <c r="H51" i="12"/>
  <c r="I51" i="12" s="1"/>
  <c r="P357" i="9"/>
  <c r="I150" i="9"/>
  <c r="H123" i="9"/>
  <c r="I123" i="9" s="1"/>
  <c r="H22" i="9"/>
  <c r="I22" i="9" s="1"/>
  <c r="H289" i="10" l="1"/>
  <c r="I289" i="10" s="1"/>
  <c r="P289" i="10" s="1"/>
  <c r="H10" i="12"/>
  <c r="I10" i="12" s="1"/>
  <c r="P44" i="9"/>
  <c r="P224" i="9"/>
  <c r="H32" i="12"/>
  <c r="I32" i="12" s="1"/>
  <c r="P383" i="9"/>
  <c r="I402" i="9"/>
  <c r="H216" i="10"/>
  <c r="I216" i="10" s="1"/>
  <c r="P216" i="10" s="1"/>
  <c r="P158" i="9"/>
  <c r="I331" i="9"/>
  <c r="H47" i="12" s="1"/>
  <c r="I47" i="12" s="1"/>
  <c r="H233" i="10" s="1"/>
  <c r="P422" i="9"/>
  <c r="H24" i="12"/>
  <c r="I24" i="12" s="1"/>
  <c r="P8" i="12"/>
  <c r="H279" i="10"/>
  <c r="I279" i="10" s="1"/>
  <c r="P279" i="10" s="1"/>
  <c r="P377" i="9"/>
  <c r="P54" i="12"/>
  <c r="P56" i="12"/>
  <c r="P55" i="12"/>
  <c r="P68" i="12"/>
  <c r="P18" i="12"/>
  <c r="P23" i="12"/>
  <c r="I94" i="9"/>
  <c r="H16" i="12" s="1"/>
  <c r="I16" i="12" s="1"/>
  <c r="I364" i="9"/>
  <c r="H52" i="12" s="1"/>
  <c r="I52" i="12" s="1"/>
  <c r="P389" i="9"/>
  <c r="I338" i="9"/>
  <c r="H48" i="12" s="1"/>
  <c r="I48" i="12" s="1"/>
  <c r="I259" i="9"/>
  <c r="H37" i="12" s="1"/>
  <c r="I37" i="12" s="1"/>
  <c r="H15" i="12"/>
  <c r="I15" i="12" s="1"/>
  <c r="H266" i="10" s="1"/>
  <c r="AC266" i="10" s="1"/>
  <c r="P9" i="12"/>
  <c r="I49" i="9"/>
  <c r="H11" i="12" s="1"/>
  <c r="I296" i="9"/>
  <c r="P296" i="9" s="1"/>
  <c r="I64" i="9"/>
  <c r="P64" i="9" s="1"/>
  <c r="P436" i="9"/>
  <c r="I443" i="9"/>
  <c r="P443" i="9" s="1"/>
  <c r="P133" i="9"/>
  <c r="H238" i="10"/>
  <c r="I238" i="10" s="1"/>
  <c r="P238" i="10" s="1"/>
  <c r="I478" i="9"/>
  <c r="H69" i="12" s="1"/>
  <c r="I69" i="12" s="1"/>
  <c r="I191" i="9"/>
  <c r="H27" i="12" s="1"/>
  <c r="I27" i="12" s="1"/>
  <c r="H242" i="10"/>
  <c r="I242" i="10" s="1"/>
  <c r="P242" i="10" s="1"/>
  <c r="I236" i="9"/>
  <c r="P236" i="9" s="1"/>
  <c r="P450" i="9"/>
  <c r="H65" i="12"/>
  <c r="I65" i="12" s="1"/>
  <c r="H222" i="10"/>
  <c r="I222" i="10" s="1"/>
  <c r="P222" i="10" s="1"/>
  <c r="P30" i="12"/>
  <c r="P414" i="9"/>
  <c r="I415" i="9"/>
  <c r="H14" i="12"/>
  <c r="I14" i="12" s="1"/>
  <c r="P74" i="9"/>
  <c r="P251" i="9"/>
  <c r="I252" i="9"/>
  <c r="P244" i="9"/>
  <c r="I245" i="9"/>
  <c r="H66" i="12"/>
  <c r="I66" i="12" s="1"/>
  <c r="P457" i="9"/>
  <c r="I429" i="9"/>
  <c r="H62" i="12" s="1"/>
  <c r="I62" i="12" s="1"/>
  <c r="P217" i="9"/>
  <c r="I218" i="9"/>
  <c r="P281" i="9"/>
  <c r="I282" i="9"/>
  <c r="N55" i="11"/>
  <c r="M5" i="11" s="1"/>
  <c r="N5" i="11" s="1"/>
  <c r="N81" i="11"/>
  <c r="AC271" i="10"/>
  <c r="I271" i="10"/>
  <c r="P271" i="10" s="1"/>
  <c r="P22" i="9"/>
  <c r="I23" i="9"/>
  <c r="P344" i="9"/>
  <c r="I345" i="9"/>
  <c r="H221" i="10"/>
  <c r="I221" i="10" s="1"/>
  <c r="P221" i="10" s="1"/>
  <c r="P29" i="12"/>
  <c r="H272" i="10"/>
  <c r="I272" i="10" s="1"/>
  <c r="P272" i="10" s="1"/>
  <c r="P28" i="12"/>
  <c r="K275" i="10"/>
  <c r="L275" i="10" s="1"/>
  <c r="L315" i="10" s="1"/>
  <c r="K58" i="11" s="1"/>
  <c r="L58" i="11" s="1"/>
  <c r="K32" i="11"/>
  <c r="L32" i="11" s="1"/>
  <c r="K34" i="11"/>
  <c r="L34" i="11" s="1"/>
  <c r="K31" i="11"/>
  <c r="L31" i="11" s="1"/>
  <c r="K33" i="11"/>
  <c r="L33" i="11" s="1"/>
  <c r="K226" i="10"/>
  <c r="L226" i="10" s="1"/>
  <c r="L263" i="10" s="1"/>
  <c r="K57" i="11" s="1"/>
  <c r="L57" i="11" s="1"/>
  <c r="P191" i="9"/>
  <c r="P103" i="9"/>
  <c r="I104" i="9"/>
  <c r="AC114" i="10"/>
  <c r="AC59" i="10"/>
  <c r="H43" i="12"/>
  <c r="I43" i="12" s="1"/>
  <c r="P303" i="9"/>
  <c r="AC216" i="10"/>
  <c r="H34" i="12"/>
  <c r="I34" i="12" s="1"/>
  <c r="P264" i="9"/>
  <c r="I265" i="9"/>
  <c r="H269" i="10"/>
  <c r="H214" i="10"/>
  <c r="P21" i="12"/>
  <c r="H300" i="10"/>
  <c r="I300" i="10" s="1"/>
  <c r="P300" i="10" s="1"/>
  <c r="P67" i="12"/>
  <c r="H286" i="10"/>
  <c r="P41" i="12"/>
  <c r="H282" i="10"/>
  <c r="I282" i="10" s="1"/>
  <c r="P282" i="10" s="1"/>
  <c r="P39" i="12"/>
  <c r="H291" i="10"/>
  <c r="I291" i="10" s="1"/>
  <c r="P291" i="10" s="1"/>
  <c r="P61" i="12"/>
  <c r="H57" i="12"/>
  <c r="I57" i="12" s="1"/>
  <c r="P395" i="9"/>
  <c r="H287" i="10"/>
  <c r="I287" i="10" s="1"/>
  <c r="P287" i="10" s="1"/>
  <c r="P51" i="12"/>
  <c r="H53" i="12"/>
  <c r="I53" i="12" s="1"/>
  <c r="P371" i="9"/>
  <c r="AB135" i="10"/>
  <c r="AC135" i="10"/>
  <c r="H44" i="12"/>
  <c r="I44" i="12" s="1"/>
  <c r="P310" i="9"/>
  <c r="H45" i="12"/>
  <c r="I45" i="12" s="1"/>
  <c r="P317" i="9"/>
  <c r="H20" i="12"/>
  <c r="I20" i="12" s="1"/>
  <c r="P134" i="9"/>
  <c r="AC9" i="10"/>
  <c r="P123" i="9"/>
  <c r="I124" i="9"/>
  <c r="P50" i="12"/>
  <c r="P46" i="12"/>
  <c r="H10" i="9"/>
  <c r="I10" i="9" s="1"/>
  <c r="I12" i="12"/>
  <c r="P12" i="12" s="1"/>
  <c r="H58" i="12"/>
  <c r="I58" i="12" s="1"/>
  <c r="P402" i="9"/>
  <c r="H22" i="12"/>
  <c r="I22" i="12" s="1"/>
  <c r="P150" i="9"/>
  <c r="AC140" i="10"/>
  <c r="P331" i="9" l="1"/>
  <c r="P47" i="12"/>
  <c r="P10" i="12"/>
  <c r="H225" i="10"/>
  <c r="I225" i="10" s="1"/>
  <c r="P225" i="10" s="1"/>
  <c r="AB266" i="10"/>
  <c r="I266" i="10"/>
  <c r="P266" i="10" s="1"/>
  <c r="P32" i="12"/>
  <c r="P24" i="12"/>
  <c r="AC139" i="10"/>
  <c r="H217" i="10"/>
  <c r="P15" i="12"/>
  <c r="P364" i="9"/>
  <c r="H13" i="12"/>
  <c r="I13" i="12" s="1"/>
  <c r="P94" i="9"/>
  <c r="P259" i="9"/>
  <c r="P338" i="9"/>
  <c r="H64" i="12"/>
  <c r="I64" i="12" s="1"/>
  <c r="H42" i="12"/>
  <c r="I42" i="12" s="1"/>
  <c r="P42" i="12" s="1"/>
  <c r="P49" i="9"/>
  <c r="P478" i="9"/>
  <c r="P429" i="9"/>
  <c r="P14" i="12"/>
  <c r="H265" i="10"/>
  <c r="N29" i="11"/>
  <c r="D2" i="5" s="1"/>
  <c r="F22" i="2" s="1"/>
  <c r="H60" i="12"/>
  <c r="I60" i="12" s="1"/>
  <c r="P415" i="9"/>
  <c r="H40" i="12"/>
  <c r="I40" i="12" s="1"/>
  <c r="P282" i="9"/>
  <c r="H31" i="12"/>
  <c r="I31" i="12" s="1"/>
  <c r="P218" i="9"/>
  <c r="H298" i="10"/>
  <c r="I298" i="10" s="1"/>
  <c r="P298" i="10" s="1"/>
  <c r="P66" i="12"/>
  <c r="P252" i="9"/>
  <c r="H36" i="12"/>
  <c r="I36" i="12" s="1"/>
  <c r="P65" i="12"/>
  <c r="H297" i="10"/>
  <c r="I297" i="10" s="1"/>
  <c r="P297" i="10" s="1"/>
  <c r="H35" i="12"/>
  <c r="I35" i="12" s="1"/>
  <c r="P245" i="9"/>
  <c r="L81" i="11"/>
  <c r="AC77" i="10"/>
  <c r="I214" i="10"/>
  <c r="P214" i="10" s="1"/>
  <c r="AC214" i="10"/>
  <c r="AC217" i="10"/>
  <c r="I217" i="10"/>
  <c r="P217" i="10" s="1"/>
  <c r="AC269" i="10"/>
  <c r="I269" i="10"/>
  <c r="P269" i="10" s="1"/>
  <c r="AC28" i="10"/>
  <c r="P265" i="9"/>
  <c r="H38" i="12"/>
  <c r="I38" i="12" s="1"/>
  <c r="P104" i="9"/>
  <c r="H17" i="12"/>
  <c r="I17" i="12" s="1"/>
  <c r="H267" i="10"/>
  <c r="P16" i="12"/>
  <c r="AC233" i="10"/>
  <c r="I233" i="10"/>
  <c r="P233" i="10" s="1"/>
  <c r="L55" i="11"/>
  <c r="K5" i="11" s="1"/>
  <c r="L5" i="11" s="1"/>
  <c r="H243" i="10"/>
  <c r="I243" i="10" s="1"/>
  <c r="P243" i="10" s="1"/>
  <c r="P69" i="12"/>
  <c r="P44" i="12"/>
  <c r="AC58" i="10"/>
  <c r="AC112" i="10"/>
  <c r="H215" i="10"/>
  <c r="P22" i="12"/>
  <c r="AC7" i="10"/>
  <c r="P48" i="12"/>
  <c r="P43" i="12"/>
  <c r="P27" i="12"/>
  <c r="AC126" i="10"/>
  <c r="I12" i="9"/>
  <c r="P10" i="9"/>
  <c r="H229" i="10"/>
  <c r="I229" i="10" s="1"/>
  <c r="P229" i="10" s="1"/>
  <c r="P37" i="12"/>
  <c r="AC10" i="10"/>
  <c r="AC138" i="10"/>
  <c r="H7" i="12"/>
  <c r="I7" i="12" s="1"/>
  <c r="P23" i="9"/>
  <c r="H224" i="10"/>
  <c r="I224" i="10" s="1"/>
  <c r="P224" i="10" s="1"/>
  <c r="P34" i="12"/>
  <c r="P52" i="12"/>
  <c r="H292" i="10"/>
  <c r="I292" i="10" s="1"/>
  <c r="P292" i="10" s="1"/>
  <c r="P62" i="12"/>
  <c r="H49" i="12"/>
  <c r="I49" i="12" s="1"/>
  <c r="P345" i="9"/>
  <c r="H235" i="10"/>
  <c r="I235" i="10" s="1"/>
  <c r="P235" i="10" s="1"/>
  <c r="P53" i="12"/>
  <c r="H19" i="12"/>
  <c r="I19" i="12" s="1"/>
  <c r="P124" i="9"/>
  <c r="H288" i="10"/>
  <c r="I288" i="10" s="1"/>
  <c r="P288" i="10" s="1"/>
  <c r="P58" i="12"/>
  <c r="P57" i="12"/>
  <c r="AC75" i="10"/>
  <c r="I286" i="10"/>
  <c r="P286" i="10" s="1"/>
  <c r="AC286" i="10"/>
  <c r="P20" i="12"/>
  <c r="P45" i="12"/>
  <c r="H232" i="10"/>
  <c r="H5" i="9"/>
  <c r="I5" i="9" s="1"/>
  <c r="I11" i="12"/>
  <c r="P11" i="12" s="1"/>
  <c r="AC60" i="10"/>
  <c r="P13" i="12" l="1"/>
  <c r="H213" i="10"/>
  <c r="P64" i="12"/>
  <c r="H231" i="10"/>
  <c r="D11" i="3"/>
  <c r="K11" i="3" s="1"/>
  <c r="P31" i="12"/>
  <c r="H223" i="10"/>
  <c r="I223" i="10" s="1"/>
  <c r="P223" i="10" s="1"/>
  <c r="H273" i="10"/>
  <c r="I273" i="10" s="1"/>
  <c r="P273" i="10" s="1"/>
  <c r="P36" i="12"/>
  <c r="H283" i="10"/>
  <c r="I283" i="10" s="1"/>
  <c r="P283" i="10" s="1"/>
  <c r="P40" i="12"/>
  <c r="AC6" i="10"/>
  <c r="AB6" i="10"/>
  <c r="P35" i="12"/>
  <c r="AC109" i="10"/>
  <c r="AB109" i="10"/>
  <c r="AB265" i="10"/>
  <c r="AC265" i="10"/>
  <c r="I265" i="10"/>
  <c r="P265" i="10" s="1"/>
  <c r="P60" i="12"/>
  <c r="H239" i="10"/>
  <c r="I239" i="10" s="1"/>
  <c r="P239" i="10" s="1"/>
  <c r="L29" i="11"/>
  <c r="C2" i="5" s="1"/>
  <c r="D8" i="3" s="1"/>
  <c r="AC215" i="10"/>
  <c r="I215" i="10"/>
  <c r="P215" i="10" s="1"/>
  <c r="P5" i="9"/>
  <c r="I7" i="9"/>
  <c r="AC29" i="10"/>
  <c r="AC27" i="10"/>
  <c r="AB57" i="10"/>
  <c r="AC57" i="10"/>
  <c r="H5" i="12"/>
  <c r="I5" i="12" s="1"/>
  <c r="P12" i="9"/>
  <c r="AC232" i="10"/>
  <c r="I232" i="10"/>
  <c r="P232" i="10" s="1"/>
  <c r="H278" i="10"/>
  <c r="I278" i="10" s="1"/>
  <c r="P278" i="10" s="1"/>
  <c r="P7" i="12"/>
  <c r="AC141" i="10"/>
  <c r="I213" i="10"/>
  <c r="AB213" i="10"/>
  <c r="AC213" i="10"/>
  <c r="N22" i="2"/>
  <c r="AB110" i="10"/>
  <c r="AC110" i="10"/>
  <c r="AB267" i="10"/>
  <c r="I267" i="10"/>
  <c r="AC267" i="10"/>
  <c r="AB5" i="10"/>
  <c r="AC5" i="10"/>
  <c r="AB137" i="10"/>
  <c r="AC137" i="10"/>
  <c r="H234" i="10"/>
  <c r="I234" i="10" s="1"/>
  <c r="P234" i="10" s="1"/>
  <c r="P49" i="12"/>
  <c r="H281" i="10"/>
  <c r="I281" i="10" s="1"/>
  <c r="P281" i="10" s="1"/>
  <c r="P38" i="12"/>
  <c r="AC8" i="10"/>
  <c r="H268" i="10"/>
  <c r="P17" i="12"/>
  <c r="P19" i="12"/>
  <c r="AC76" i="10"/>
  <c r="AC231" i="10" l="1"/>
  <c r="I231" i="10"/>
  <c r="P231" i="10" s="1"/>
  <c r="AC26" i="10"/>
  <c r="F19" i="2"/>
  <c r="F20" i="2" s="1"/>
  <c r="H227" i="10"/>
  <c r="I227" i="10" s="1"/>
  <c r="P227" i="10" s="1"/>
  <c r="H276" i="10"/>
  <c r="I276" i="10" s="1"/>
  <c r="P276" i="10" s="1"/>
  <c r="P5" i="12"/>
  <c r="AB111" i="10"/>
  <c r="AC111" i="10"/>
  <c r="AB136" i="10"/>
  <c r="AC136" i="10"/>
  <c r="P7" i="9"/>
  <c r="H4" i="12"/>
  <c r="I4" i="12" s="1"/>
  <c r="P267" i="10"/>
  <c r="D18" i="3"/>
  <c r="K18" i="3" s="1"/>
  <c r="D17" i="3"/>
  <c r="D14" i="3"/>
  <c r="K14" i="3" s="1"/>
  <c r="D9" i="3"/>
  <c r="K9" i="3" s="1"/>
  <c r="K8" i="3"/>
  <c r="P213" i="10"/>
  <c r="AB268" i="10"/>
  <c r="AC268" i="10"/>
  <c r="I268" i="10"/>
  <c r="P268" i="10" s="1"/>
  <c r="F26" i="2" l="1"/>
  <c r="N26" i="2" s="1"/>
  <c r="N19" i="2"/>
  <c r="F25" i="2"/>
  <c r="F30" i="2" s="1"/>
  <c r="N30" i="2" s="1"/>
  <c r="F27" i="2"/>
  <c r="N27" i="2" s="1"/>
  <c r="N20" i="2"/>
  <c r="F24" i="2"/>
  <c r="N24" i="2" s="1"/>
  <c r="D10" i="3"/>
  <c r="D12" i="3" s="1"/>
  <c r="H275" i="10"/>
  <c r="I275" i="10" s="1"/>
  <c r="P4" i="12"/>
  <c r="H226" i="10"/>
  <c r="I226" i="10" s="1"/>
  <c r="D19" i="3"/>
  <c r="K19" i="3" s="1"/>
  <c r="K17" i="3"/>
  <c r="F23" i="2"/>
  <c r="D13" i="3" l="1"/>
  <c r="K13" i="3" s="1"/>
  <c r="N25" i="2"/>
  <c r="K10" i="3"/>
  <c r="D21" i="3"/>
  <c r="K21" i="3" s="1"/>
  <c r="D20" i="3"/>
  <c r="K20" i="3" s="1"/>
  <c r="H31" i="11"/>
  <c r="I31" i="11" s="1"/>
  <c r="K12" i="3"/>
  <c r="N23" i="2"/>
  <c r="H32" i="11"/>
  <c r="I32" i="11" s="1"/>
  <c r="P32" i="11" s="1"/>
  <c r="P275" i="10"/>
  <c r="P315" i="10" s="1"/>
  <c r="I315" i="10"/>
  <c r="H58" i="11" s="1"/>
  <c r="I58" i="11" s="1"/>
  <c r="P58" i="11" s="1"/>
  <c r="P226" i="10"/>
  <c r="P263" i="10" s="1"/>
  <c r="I263" i="10"/>
  <c r="H57" i="11" s="1"/>
  <c r="I57" i="11" s="1"/>
  <c r="H33" i="11"/>
  <c r="I33" i="11" s="1"/>
  <c r="P33" i="11" s="1"/>
  <c r="H34" i="11"/>
  <c r="I34" i="11" s="1"/>
  <c r="P34" i="11" s="1"/>
  <c r="I81" i="11" l="1"/>
  <c r="P57" i="11"/>
  <c r="P81" i="11" s="1"/>
  <c r="P31" i="11"/>
  <c r="P55" i="11" s="1"/>
  <c r="I55" i="11"/>
  <c r="H5" i="11" s="1"/>
  <c r="I5" i="11" s="1"/>
  <c r="I29" i="11" l="1"/>
  <c r="B2" i="5" s="1"/>
  <c r="P5" i="11"/>
  <c r="P29" i="11" s="1"/>
  <c r="F18" i="2" l="1"/>
  <c r="D5" i="3"/>
  <c r="F2" i="5"/>
  <c r="D7" i="3" l="1"/>
  <c r="K5" i="3"/>
  <c r="F28" i="2"/>
  <c r="F21" i="2"/>
  <c r="N18" i="2"/>
  <c r="H16" i="3" l="1"/>
  <c r="D15" i="3"/>
  <c r="F29" i="2"/>
  <c r="N29" i="2" s="1"/>
  <c r="N21" i="2"/>
  <c r="N28" i="2"/>
  <c r="D16" i="3"/>
  <c r="K16" i="3" s="1"/>
  <c r="K7" i="3"/>
  <c r="F31" i="2" l="1"/>
  <c r="N31" i="2" s="1"/>
  <c r="K15" i="3"/>
  <c r="D25" i="3"/>
  <c r="H27" i="3" s="1"/>
  <c r="F32" i="2" l="1"/>
  <c r="N32" i="2" s="1"/>
  <c r="K25" i="3"/>
  <c r="D27" i="3"/>
  <c r="K27" i="3" s="1"/>
  <c r="D26" i="3"/>
  <c r="K26" i="3" s="1"/>
  <c r="O33" i="2" l="1"/>
  <c r="F33" i="2" s="1"/>
  <c r="N33" i="2" s="1"/>
  <c r="F34" i="2" s="1"/>
  <c r="L28" i="3"/>
  <c r="D28" i="3" s="1"/>
  <c r="K28" i="3" s="1"/>
  <c r="D29" i="3" s="1"/>
  <c r="D30" i="3" l="1"/>
  <c r="K30" i="3" s="1"/>
  <c r="K29" i="3"/>
  <c r="F35" i="2"/>
  <c r="N35" i="2" s="1"/>
  <c r="N34" i="2"/>
  <c r="N40" i="2" l="1"/>
  <c r="F40" i="2" s="1"/>
  <c r="C15" i="2" s="1"/>
  <c r="K35" i="3"/>
  <c r="D35" i="3" s="1"/>
</calcChain>
</file>

<file path=xl/sharedStrings.xml><?xml version="1.0" encoding="utf-8"?>
<sst xmlns="http://schemas.openxmlformats.org/spreadsheetml/2006/main" count="7275" uniqueCount="1316">
  <si>
    <t>내  용</t>
    <phoneticPr fontId="2" type="noConversion"/>
  </si>
  <si>
    <t>단위</t>
    <phoneticPr fontId="2" type="noConversion"/>
  </si>
  <si>
    <t>수량</t>
    <phoneticPr fontId="2" type="noConversion"/>
  </si>
  <si>
    <t>見 積 書</t>
    <phoneticPr fontId="2" type="noConversion"/>
  </si>
  <si>
    <t xml:space="preserve"> </t>
    <phoneticPr fontId="2" type="noConversion"/>
  </si>
  <si>
    <t xml:space="preserve"> </t>
    <phoneticPr fontId="2" type="noConversion"/>
  </si>
  <si>
    <t>件    名:</t>
    <phoneticPr fontId="2" type="noConversion"/>
  </si>
  <si>
    <t>원 가 계 산 서</t>
    <phoneticPr fontId="2" type="noConversion"/>
  </si>
  <si>
    <t>비 목</t>
    <phoneticPr fontId="2" type="noConversion"/>
  </si>
  <si>
    <t>구  분</t>
    <phoneticPr fontId="2" type="noConversion"/>
  </si>
  <si>
    <t>금 액</t>
    <phoneticPr fontId="2" type="noConversion"/>
  </si>
  <si>
    <t xml:space="preserve"> </t>
    <phoneticPr fontId="2" type="noConversion"/>
  </si>
  <si>
    <t>노무비</t>
    <phoneticPr fontId="2" type="noConversion"/>
  </si>
  <si>
    <t>경비</t>
    <phoneticPr fontId="2" type="noConversion"/>
  </si>
  <si>
    <t>재료비</t>
    <phoneticPr fontId="2" type="noConversion"/>
  </si>
  <si>
    <t>계</t>
    <phoneticPr fontId="2" type="noConversion"/>
  </si>
  <si>
    <t>총 급 액</t>
    <phoneticPr fontId="2" type="noConversion"/>
  </si>
  <si>
    <t>*(공종별 노임 적용율(%))*</t>
    <phoneticPr fontId="2" type="noConversion"/>
  </si>
  <si>
    <t>적용율(%)</t>
    <phoneticPr fontId="2" type="noConversion"/>
  </si>
  <si>
    <t>소수자릿수</t>
    <phoneticPr fontId="2" type="noConversion"/>
  </si>
  <si>
    <t>끝자리</t>
    <phoneticPr fontId="2" type="noConversion"/>
  </si>
  <si>
    <t>소모잡자재(%)</t>
    <phoneticPr fontId="2" type="noConversion"/>
  </si>
  <si>
    <t>방폭할증(%)</t>
    <phoneticPr fontId="2" type="noConversion"/>
  </si>
  <si>
    <t>고소할증(%)</t>
    <phoneticPr fontId="2" type="noConversion"/>
  </si>
  <si>
    <t>공구손료(%)</t>
    <phoneticPr fontId="2" type="noConversion"/>
  </si>
  <si>
    <t>코드</t>
    <phoneticPr fontId="2" type="noConversion"/>
  </si>
  <si>
    <t>코드</t>
    <phoneticPr fontId="2" type="noConversion"/>
  </si>
  <si>
    <t>단위</t>
    <phoneticPr fontId="2" type="noConversion"/>
  </si>
  <si>
    <t>물가정보</t>
    <phoneticPr fontId="2" type="noConversion"/>
  </si>
  <si>
    <t>단가</t>
    <phoneticPr fontId="2" type="noConversion"/>
  </si>
  <si>
    <t>공종코드</t>
    <phoneticPr fontId="2" type="noConversion"/>
  </si>
  <si>
    <t>규격</t>
    <phoneticPr fontId="2" type="noConversion"/>
  </si>
  <si>
    <t>재료비</t>
    <phoneticPr fontId="2" type="noConversion"/>
  </si>
  <si>
    <t>노무비</t>
    <phoneticPr fontId="2" type="noConversion"/>
  </si>
  <si>
    <t>경비</t>
    <phoneticPr fontId="2" type="noConversion"/>
  </si>
  <si>
    <t>지급비</t>
    <phoneticPr fontId="2" type="noConversion"/>
  </si>
  <si>
    <t>비고</t>
    <phoneticPr fontId="2" type="noConversion"/>
  </si>
  <si>
    <t>…</t>
    <phoneticPr fontId="2" type="noConversion"/>
  </si>
  <si>
    <t>계</t>
    <phoneticPr fontId="2" type="noConversion"/>
  </si>
  <si>
    <t>단가</t>
    <phoneticPr fontId="2" type="noConversion"/>
  </si>
  <si>
    <t>금액</t>
    <phoneticPr fontId="2" type="noConversion"/>
  </si>
  <si>
    <t>단가</t>
    <phoneticPr fontId="2" type="noConversion"/>
  </si>
  <si>
    <t>단가</t>
    <phoneticPr fontId="2" type="noConversion"/>
  </si>
  <si>
    <t xml:space="preserve">  </t>
    <phoneticPr fontId="2" type="noConversion"/>
  </si>
  <si>
    <t>계</t>
    <phoneticPr fontId="2" type="noConversion"/>
  </si>
  <si>
    <t>구  성  비</t>
    <phoneticPr fontId="2" type="noConversion"/>
  </si>
  <si>
    <t>재 료 비</t>
    <phoneticPr fontId="2" type="noConversion"/>
  </si>
  <si>
    <t>순</t>
    <phoneticPr fontId="2" type="noConversion"/>
  </si>
  <si>
    <t>노 무 비</t>
    <phoneticPr fontId="2" type="noConversion"/>
  </si>
  <si>
    <t>공</t>
    <phoneticPr fontId="2" type="noConversion"/>
  </si>
  <si>
    <t>경</t>
    <phoneticPr fontId="2" type="noConversion"/>
  </si>
  <si>
    <t>사</t>
    <phoneticPr fontId="2" type="noConversion"/>
  </si>
  <si>
    <t>비</t>
    <phoneticPr fontId="2" type="noConversion"/>
  </si>
  <si>
    <t>제 출 처:</t>
    <phoneticPr fontId="2" type="noConversion"/>
  </si>
  <si>
    <t>제 출 일:</t>
    <phoneticPr fontId="2" type="noConversion"/>
  </si>
  <si>
    <t>공 사 명:</t>
    <phoneticPr fontId="2" type="noConversion"/>
  </si>
  <si>
    <t>공사금액:</t>
    <phoneticPr fontId="2" type="noConversion"/>
  </si>
  <si>
    <t>금    액</t>
    <phoneticPr fontId="2" type="noConversion"/>
  </si>
  <si>
    <t>비       고</t>
    <phoneticPr fontId="2" type="noConversion"/>
  </si>
  <si>
    <t>提 出 處:</t>
    <phoneticPr fontId="2" type="noConversion"/>
  </si>
  <si>
    <t>提 出 日:</t>
    <phoneticPr fontId="2" type="noConversion"/>
  </si>
  <si>
    <t xml:space="preserve"> </t>
    <phoneticPr fontId="2" type="noConversion"/>
  </si>
  <si>
    <t>1.</t>
    <phoneticPr fontId="2" type="noConversion"/>
  </si>
  <si>
    <t>3.</t>
    <phoneticPr fontId="2" type="noConversion"/>
  </si>
  <si>
    <t>** 반드시 다음 사항을 숙지하신 다음 수정 작업을 하십시오 **</t>
    <phoneticPr fontId="2" type="noConversion"/>
  </si>
  <si>
    <t>4.</t>
    <phoneticPr fontId="2" type="noConversion"/>
  </si>
  <si>
    <t xml:space="preserve">a)표지와 원가 -&gt; 총괄표 -&gt; 내역서 -&gt;일위대가와 합산자재 -&gt;단가조사서 를 참조하고 </t>
    <phoneticPr fontId="2" type="noConversion"/>
  </si>
  <si>
    <t>2.</t>
    <phoneticPr fontId="2" type="noConversion"/>
  </si>
  <si>
    <t>5.</t>
    <phoneticPr fontId="2" type="noConversion"/>
  </si>
  <si>
    <t>6.</t>
    <phoneticPr fontId="2" type="noConversion"/>
  </si>
  <si>
    <t xml:space="preserve">   그룹은 견적 프로그램에서 엑셀파일이 만들어질때 지정됩니다.</t>
    <phoneticPr fontId="2" type="noConversion"/>
  </si>
  <si>
    <t>번호</t>
    <phoneticPr fontId="2" type="noConversion"/>
  </si>
  <si>
    <t>번호</t>
    <phoneticPr fontId="2" type="noConversion"/>
  </si>
  <si>
    <t>코드</t>
    <phoneticPr fontId="2" type="noConversion"/>
  </si>
  <si>
    <t>단가</t>
    <phoneticPr fontId="2" type="noConversion"/>
  </si>
  <si>
    <t>…</t>
    <phoneticPr fontId="2" type="noConversion"/>
  </si>
  <si>
    <t>비고</t>
    <phoneticPr fontId="2" type="noConversion"/>
  </si>
  <si>
    <t>공   종   명</t>
    <phoneticPr fontId="2" type="noConversion"/>
  </si>
  <si>
    <t>명   칭</t>
    <phoneticPr fontId="2" type="noConversion"/>
  </si>
  <si>
    <t>규   격</t>
    <phoneticPr fontId="2" type="noConversion"/>
  </si>
  <si>
    <t>적용단가</t>
    <phoneticPr fontId="2" type="noConversion"/>
  </si>
  <si>
    <t>PAGE</t>
    <phoneticPr fontId="2" type="noConversion"/>
  </si>
  <si>
    <t>PAGE</t>
    <phoneticPr fontId="2" type="noConversion"/>
  </si>
  <si>
    <t xml:space="preserve"> </t>
    <phoneticPr fontId="2" type="noConversion"/>
  </si>
  <si>
    <t>노임 계산 정보</t>
    <phoneticPr fontId="2" type="noConversion"/>
  </si>
  <si>
    <t>노임계</t>
    <phoneticPr fontId="2" type="noConversion"/>
  </si>
  <si>
    <t>전체(%)</t>
    <phoneticPr fontId="2" type="noConversion"/>
  </si>
  <si>
    <t>공종별(%)</t>
    <phoneticPr fontId="2" type="noConversion"/>
  </si>
  <si>
    <t>노임 소수</t>
    <phoneticPr fontId="2" type="noConversion"/>
  </si>
  <si>
    <t>부속재 및 손료</t>
    <phoneticPr fontId="2" type="noConversion"/>
  </si>
  <si>
    <t>소모재</t>
    <phoneticPr fontId="2" type="noConversion"/>
  </si>
  <si>
    <t>노임계</t>
    <phoneticPr fontId="2" type="noConversion"/>
  </si>
  <si>
    <t>자재계</t>
    <phoneticPr fontId="2" type="noConversion"/>
  </si>
  <si>
    <t>*(그룹별 자재 단가 추가 할증)*</t>
    <phoneticPr fontId="2" type="noConversion"/>
  </si>
  <si>
    <t>Cable(CAB) 할증(%)</t>
    <phoneticPr fontId="2" type="noConversion"/>
  </si>
  <si>
    <t>Wire (WIR) 할증(%)</t>
    <phoneticPr fontId="2" type="noConversion"/>
  </si>
  <si>
    <t>제 4그룹   할증(%)</t>
    <phoneticPr fontId="2" type="noConversion"/>
  </si>
  <si>
    <t>제 5그룹   할증(%)</t>
    <phoneticPr fontId="2" type="noConversion"/>
  </si>
  <si>
    <t>Pipe (PIP) 할증(%)</t>
    <phoneticPr fontId="2" type="noConversion"/>
  </si>
  <si>
    <t>적용율(%)/100</t>
    <phoneticPr fontId="2" type="noConversion"/>
  </si>
  <si>
    <t xml:space="preserve"> </t>
    <phoneticPr fontId="2" type="noConversion"/>
  </si>
  <si>
    <t>요율</t>
    <phoneticPr fontId="2" type="noConversion"/>
  </si>
  <si>
    <t>금액</t>
    <phoneticPr fontId="2" type="noConversion"/>
  </si>
  <si>
    <t>금액</t>
    <phoneticPr fontId="2" type="noConversion"/>
  </si>
  <si>
    <t>요율</t>
    <phoneticPr fontId="2" type="noConversion"/>
  </si>
  <si>
    <t>수량</t>
    <phoneticPr fontId="2" type="noConversion"/>
  </si>
  <si>
    <t>끝자리 맞추기</t>
    <phoneticPr fontId="2" type="noConversion"/>
  </si>
  <si>
    <t>이윤</t>
    <phoneticPr fontId="2" type="noConversion"/>
  </si>
  <si>
    <t>끝자리맞추기</t>
    <phoneticPr fontId="2" type="noConversion"/>
  </si>
  <si>
    <t>공사명:</t>
    <phoneticPr fontId="2" type="noConversion"/>
  </si>
  <si>
    <t xml:space="preserve"> </t>
    <phoneticPr fontId="2" type="noConversion"/>
  </si>
  <si>
    <t xml:space="preserve"> </t>
    <phoneticPr fontId="2" type="noConversion"/>
  </si>
  <si>
    <t>속성이 숫자인 셀을 삭제할 때는 반드시 'Delete' 키를 사용하십시오.</t>
    <phoneticPr fontId="2" type="noConversion"/>
  </si>
  <si>
    <t>**주의:'Space Bar' 로 지웠을 때는 '#Value' Error가 발생됩니다.</t>
    <phoneticPr fontId="2" type="noConversion"/>
  </si>
  <si>
    <t>일위대가(을지)는 소수점 처리 때문에 셀 속성을 '일반'으로 하였습니다.(소수점 능동 처리)</t>
    <phoneticPr fontId="2" type="noConversion"/>
  </si>
  <si>
    <t>**참고: (수량*단가)의 결과는 소수 한자리, 금액을 취합한 소계는 1원 이하 절사입니다.</t>
    <phoneticPr fontId="2" type="noConversion"/>
  </si>
  <si>
    <t>내역서에서는 수량에만 셀 속성을 '일반'으로 하였습니다.(소수점 능동 처리)</t>
    <phoneticPr fontId="2" type="noConversion"/>
  </si>
  <si>
    <t>단가수정은 '단가조사서'시트 에서 하십시오.</t>
    <phoneticPr fontId="2" type="noConversion"/>
  </si>
  <si>
    <t xml:space="preserve">   있으므로 단가조사서의 결정단가를 수정하면 전체 금액이 갱신됩니다.</t>
    <phoneticPr fontId="2" type="noConversion"/>
  </si>
  <si>
    <t xml:space="preserve">   **주의: 금액란은 공식이 걸려있으므로 조심하여 수정하십시오.</t>
    <phoneticPr fontId="2" type="noConversion"/>
  </si>
  <si>
    <t>b)전체 자재를 일정 요율(%)로 변경할 때는 옵션시트의 자재 적용율을 조정하면 됩니다.</t>
    <phoneticPr fontId="2" type="noConversion"/>
  </si>
  <si>
    <t>노임 단가는 '단가조사서'시트에서 품셈은 '노임근거'시트에서 수정하십시오.</t>
    <phoneticPr fontId="2" type="noConversion"/>
  </si>
  <si>
    <t>a)전체 노임을 일정 요율(%)로 변경할 때는 '옵션시트'의 전체노임 적용율을 조정하면 됩니다.</t>
    <phoneticPr fontId="2" type="noConversion"/>
  </si>
  <si>
    <t>b)공종별로 노임을 수정하려면 '옵션시트'의 공종별 노임 적용율을 조정하면 됩니다.</t>
    <phoneticPr fontId="2" type="noConversion"/>
  </si>
  <si>
    <t>c)케이블 및 전선 자재 단가를 추가로 조정하려면 그룹별 자재 적용율을 조정하면 됩니다.</t>
    <phoneticPr fontId="2" type="noConversion"/>
  </si>
  <si>
    <t>겉표지의 모든 정보는 표지를 참조하였습니다.(정보 수정은 표지에서만 하시면 됩니다.)</t>
    <phoneticPr fontId="2" type="noConversion"/>
  </si>
  <si>
    <t>7.</t>
    <phoneticPr fontId="2" type="noConversion"/>
  </si>
  <si>
    <t>필수 :본 프로그램의 총 금액을 확인한 후 사용하십시오.</t>
    <phoneticPr fontId="2" type="noConversion"/>
  </si>
  <si>
    <t>8.</t>
    <phoneticPr fontId="2" type="noConversion"/>
  </si>
  <si>
    <t>본 파일의 내용을 인쇄할 경우, 미리보기를 통하여 페이지 절선을 확인 후 인쇄하십시오.</t>
    <phoneticPr fontId="2" type="noConversion"/>
  </si>
  <si>
    <t>페이지 절선이 맞지 않으면 다음을 참고하십시오.</t>
    <phoneticPr fontId="2" type="noConversion"/>
  </si>
  <si>
    <t>a. 해당시트의 셀 전체를 선택합니다.</t>
    <phoneticPr fontId="2" type="noConversion"/>
  </si>
  <si>
    <t>b. 행높이를 적절히 가감하면 페이지 절선을 맞출 수 있습니다.</t>
    <phoneticPr fontId="2" type="noConversion"/>
  </si>
  <si>
    <t>견적가로형식-1</t>
    <phoneticPr fontId="2" type="noConversion"/>
  </si>
  <si>
    <t>목차코드</t>
    <phoneticPr fontId="2" type="noConversion"/>
  </si>
  <si>
    <t>9.</t>
    <phoneticPr fontId="2" type="noConversion"/>
  </si>
  <si>
    <t>관급자재 Sheet가 해당이 없을 경우엔 삭제하십시오.</t>
    <phoneticPr fontId="2" type="noConversion"/>
  </si>
  <si>
    <t>10.</t>
    <phoneticPr fontId="2" type="noConversion"/>
  </si>
  <si>
    <t>관급 자재비</t>
    <phoneticPr fontId="2" type="noConversion"/>
  </si>
  <si>
    <t>비고</t>
    <phoneticPr fontId="2" type="noConversion"/>
  </si>
  <si>
    <t>단가</t>
    <phoneticPr fontId="2" type="noConversion"/>
  </si>
  <si>
    <t>CD관부속재(%)</t>
  </si>
  <si>
    <t>*(그룹별 노임 추가 할증)*</t>
  </si>
  <si>
    <t>적용율(%)</t>
  </si>
  <si>
    <t>자동부속재(전기)</t>
  </si>
  <si>
    <t>자동부속재(통신)</t>
  </si>
  <si>
    <t>배관부속재(%)</t>
  </si>
  <si>
    <t>일반배관재</t>
    <phoneticPr fontId="2" type="noConversion"/>
  </si>
  <si>
    <t>CD배관재</t>
    <phoneticPr fontId="2" type="noConversion"/>
  </si>
  <si>
    <t>일위대가소수</t>
    <phoneticPr fontId="2" type="noConversion"/>
  </si>
  <si>
    <t>번호</t>
    <phoneticPr fontId="2" type="noConversion"/>
  </si>
  <si>
    <t>공종코드</t>
    <phoneticPr fontId="2" type="noConversion"/>
  </si>
  <si>
    <t>코드</t>
    <phoneticPr fontId="2" type="noConversion"/>
  </si>
  <si>
    <t>명   칭</t>
    <phoneticPr fontId="2" type="noConversion"/>
  </si>
  <si>
    <t>규   격</t>
    <phoneticPr fontId="2" type="noConversion"/>
  </si>
  <si>
    <t>단위</t>
    <phoneticPr fontId="2" type="noConversion"/>
  </si>
  <si>
    <t>수량</t>
    <phoneticPr fontId="2" type="noConversion"/>
  </si>
  <si>
    <t>공량산출</t>
    <phoneticPr fontId="2" type="noConversion"/>
  </si>
  <si>
    <t>단 위 단 가 산 출</t>
    <phoneticPr fontId="2" type="noConversion"/>
  </si>
  <si>
    <t>품셈근거</t>
    <phoneticPr fontId="2" type="noConversion"/>
  </si>
  <si>
    <t>비고</t>
    <phoneticPr fontId="2" type="noConversion"/>
  </si>
  <si>
    <t>결정수량</t>
    <phoneticPr fontId="2" type="noConversion"/>
  </si>
  <si>
    <t>할증</t>
    <phoneticPr fontId="2" type="noConversion"/>
  </si>
  <si>
    <t>산출수량</t>
    <phoneticPr fontId="2" type="noConversion"/>
  </si>
  <si>
    <t>재할%</t>
    <phoneticPr fontId="2" type="noConversion"/>
  </si>
  <si>
    <t>명칭</t>
    <phoneticPr fontId="2" type="noConversion"/>
  </si>
  <si>
    <t>품셈</t>
    <phoneticPr fontId="2" type="noConversion"/>
  </si>
  <si>
    <t>할증%</t>
    <phoneticPr fontId="2" type="noConversion"/>
  </si>
  <si>
    <t>공량</t>
    <phoneticPr fontId="2" type="noConversion"/>
  </si>
  <si>
    <t>단가</t>
    <phoneticPr fontId="2" type="noConversion"/>
  </si>
  <si>
    <t>단위단가</t>
    <phoneticPr fontId="2" type="noConversion"/>
  </si>
  <si>
    <t>단위계</t>
    <phoneticPr fontId="2" type="noConversion"/>
  </si>
  <si>
    <t>전체자재 적용율(%)(공종/일위대가)</t>
    <phoneticPr fontId="2" type="noConversion"/>
  </si>
  <si>
    <t>전체노임 적용율(%)(공종)</t>
    <phoneticPr fontId="2" type="noConversion"/>
  </si>
  <si>
    <t>전체노임 적용율(%)(일위대가)</t>
    <phoneticPr fontId="2" type="noConversion"/>
  </si>
  <si>
    <t>거래가격</t>
    <phoneticPr fontId="2" type="noConversion"/>
  </si>
  <si>
    <t>조사단가1</t>
    <phoneticPr fontId="2" type="noConversion"/>
  </si>
  <si>
    <t>조사단가2</t>
    <phoneticPr fontId="2" type="noConversion"/>
  </si>
  <si>
    <t>연속견적가로형식</t>
  </si>
  <si>
    <t>시설단가</t>
    <phoneticPr fontId="2" type="noConversion"/>
  </si>
  <si>
    <t>금액조정이 안되나요?</t>
    <phoneticPr fontId="2" type="noConversion"/>
  </si>
  <si>
    <t>이지테크에서 변환할 때 2번 옵션을 지정하여 다시 해보세요</t>
    <phoneticPr fontId="2" type="noConversion"/>
  </si>
  <si>
    <t>시트를 삭제할 때 에러가 뜨면 1번 옵션으로 하면 됩니다.</t>
    <phoneticPr fontId="2" type="noConversion"/>
  </si>
  <si>
    <t>2번 옵션으로 변환했을 때에는 결과값이 다를 수 있습니다.</t>
    <phoneticPr fontId="2" type="noConversion"/>
  </si>
  <si>
    <t>1-1.가로등설비공사</t>
  </si>
  <si>
    <t>1-2.공원등설비공사</t>
  </si>
  <si>
    <t>1-3.신호등설비공사</t>
  </si>
  <si>
    <t>1-4.공원 통신설비 공사</t>
  </si>
  <si>
    <t>1-5.불법주정차단속시스템</t>
  </si>
  <si>
    <t>2-1.가로등설비공사</t>
  </si>
  <si>
    <t>2-2.신호등설비공사</t>
  </si>
  <si>
    <t>2-3.불법주정차단속시스템</t>
  </si>
  <si>
    <t>[ 화성 청원지구 전기공사 ] - 단가조사서(1/6단가:2026년02월)</t>
  </si>
  <si>
    <t>3913170610035632</t>
  </si>
  <si>
    <t>파상형 폴리에틸렌 전선관</t>
  </si>
  <si>
    <t>40㎜(가로등,신호,구내)</t>
  </si>
  <si>
    <t>m</t>
  </si>
  <si>
    <t>1025</t>
  </si>
  <si>
    <t>1-1203</t>
  </si>
  <si>
    <t>3913170610035633</t>
  </si>
  <si>
    <t>50㎜(가로등,신호,구내)</t>
  </si>
  <si>
    <t>3913170610035634</t>
  </si>
  <si>
    <t>65㎜(가로등,신호,구내)</t>
  </si>
  <si>
    <t>3913170610035635</t>
  </si>
  <si>
    <t>80㎜(가로등,신호,구내)</t>
  </si>
  <si>
    <t>3913170610035636</t>
  </si>
  <si>
    <t>100㎜(가로등,신호,구내)</t>
  </si>
  <si>
    <t>3913170610045632</t>
  </si>
  <si>
    <t>40㎜</t>
  </si>
  <si>
    <t>3913170610045633</t>
  </si>
  <si>
    <t>50㎜</t>
  </si>
  <si>
    <t>3913170620175668</t>
  </si>
  <si>
    <t>광케블내외관일체형전선관</t>
  </si>
  <si>
    <t>COD 36-4 공</t>
  </si>
  <si>
    <t>1024</t>
  </si>
  <si>
    <t>1-1200</t>
  </si>
  <si>
    <t>2612152420683697</t>
  </si>
  <si>
    <t>접지용비닐절연전선(F-GV)_지중</t>
  </si>
  <si>
    <t>6㎟</t>
  </si>
  <si>
    <t>994</t>
  </si>
  <si>
    <t>1-1165</t>
  </si>
  <si>
    <t>2612152420683698</t>
  </si>
  <si>
    <t>접지용비닐절연전선(F-GV)</t>
  </si>
  <si>
    <t>10㎟</t>
  </si>
  <si>
    <t>2612152420683699</t>
  </si>
  <si>
    <t>16㎟</t>
  </si>
  <si>
    <t>2612162920683902</t>
  </si>
  <si>
    <t>폴리에틸렌 난연케이블</t>
  </si>
  <si>
    <t>0.6/1kv F-CV 2C×2.5㎟</t>
  </si>
  <si>
    <t>993</t>
  </si>
  <si>
    <t>1-1168</t>
  </si>
  <si>
    <t>2612162921683903</t>
  </si>
  <si>
    <t>폴리에틸렌 난연케이블(옥외)</t>
  </si>
  <si>
    <t>0.6/1kv F-CV 2C×6㎟</t>
  </si>
  <si>
    <t>1-1164</t>
  </si>
  <si>
    <t>2612162921683904</t>
  </si>
  <si>
    <t>0.6/1kv F-CV 2C×10㎟</t>
  </si>
  <si>
    <t>2612162921683905</t>
  </si>
  <si>
    <t>0.6/1kv F-CV 2C×16㎟</t>
  </si>
  <si>
    <t>2612162921683906</t>
  </si>
  <si>
    <t>0.6/1kv F-CV 2C×25㎟</t>
  </si>
  <si>
    <t>2612162921683907</t>
  </si>
  <si>
    <t>0.6/1kv F-CV 2C×35㎟</t>
  </si>
  <si>
    <t>2612162920683923</t>
  </si>
  <si>
    <t>0.6/1kv F-CV 3C×6㎟</t>
  </si>
  <si>
    <t>2612162921683945</t>
  </si>
  <si>
    <t>0.6/1kv F-CV 4C×6㎟</t>
  </si>
  <si>
    <t>2612162921683946</t>
  </si>
  <si>
    <t>0.6/1kv F-CV 4C×10㎟</t>
  </si>
  <si>
    <t>2612162921683948</t>
  </si>
  <si>
    <t>0.6/1kv F-CV 4C×25㎟</t>
  </si>
  <si>
    <t>2612160320684239</t>
  </si>
  <si>
    <t>난연제어케이블</t>
  </si>
  <si>
    <t>F-CVV 5Cx2.5㎟</t>
  </si>
  <si>
    <t>995</t>
  </si>
  <si>
    <t>1-1171</t>
  </si>
  <si>
    <t>2612163720177109</t>
  </si>
  <si>
    <t>광케이블(옥외용)</t>
  </si>
  <si>
    <t>SM 9/125, 4c</t>
  </si>
  <si>
    <t>4616150420191801</t>
  </si>
  <si>
    <t>신호 제어기</t>
  </si>
  <si>
    <t>경보제어기, 전자회로</t>
  </si>
  <si>
    <t>대</t>
  </si>
  <si>
    <t>3912161310034844</t>
  </si>
  <si>
    <t>접지봉</t>
  </si>
  <si>
    <t>14Φ×1000 mm</t>
  </si>
  <si>
    <t>개</t>
  </si>
  <si>
    <t>3912161320937692</t>
  </si>
  <si>
    <t>접지크램프(IEC 90)</t>
  </si>
  <si>
    <t>16sq</t>
  </si>
  <si>
    <t>3912218220173434</t>
  </si>
  <si>
    <t>케이블표지시트</t>
  </si>
  <si>
    <t>0.23x400</t>
  </si>
  <si>
    <t>3912143221650911</t>
  </si>
  <si>
    <t>압착단자</t>
  </si>
  <si>
    <t>R형동선 나압착 16 ㎟</t>
  </si>
  <si>
    <t>1019</t>
  </si>
  <si>
    <t>1-1231</t>
  </si>
  <si>
    <t>3912143221650912</t>
  </si>
  <si>
    <t>R형동선 나압착 25 ㎟</t>
  </si>
  <si>
    <t>3912143221650913</t>
  </si>
  <si>
    <t>R형동선 나압착 35 ㎟</t>
  </si>
  <si>
    <t>3012169821869021</t>
  </si>
  <si>
    <t>핸드홀</t>
  </si>
  <si>
    <t>수공1호</t>
  </si>
  <si>
    <t>조</t>
  </si>
  <si>
    <t>1-208</t>
  </si>
  <si>
    <t>3012169821869024</t>
  </si>
  <si>
    <t>핸드홀카바</t>
  </si>
  <si>
    <t>통신용</t>
  </si>
  <si>
    <t>기</t>
  </si>
  <si>
    <t>3010369820141038</t>
  </si>
  <si>
    <t>각재(角材)</t>
  </si>
  <si>
    <t>외송(㎥)</t>
  </si>
  <si>
    <t>㎥</t>
  </si>
  <si>
    <t>1112200120142458</t>
  </si>
  <si>
    <t>내수합판</t>
  </si>
  <si>
    <t>1급, 12×1220×2440mm</t>
  </si>
  <si>
    <t>㎡</t>
  </si>
  <si>
    <t>1-587</t>
  </si>
  <si>
    <t>391115ZZ801Z2008</t>
  </si>
  <si>
    <t>레미콘</t>
  </si>
  <si>
    <t>25-210-8</t>
  </si>
  <si>
    <t>391189ZZ701Z0100</t>
  </si>
  <si>
    <t>전주용입상관</t>
  </si>
  <si>
    <t>Φ130*2t*2m</t>
  </si>
  <si>
    <t>EA</t>
  </si>
  <si>
    <t>1165</t>
  </si>
  <si>
    <t>391190ZZ701Z0100</t>
  </si>
  <si>
    <t>반경관취부밴드</t>
  </si>
  <si>
    <t>1164</t>
  </si>
  <si>
    <t>391359ZZ701Z0100</t>
  </si>
  <si>
    <t>차량등보호금구</t>
  </si>
  <si>
    <t>391366ZZ701Z0100</t>
  </si>
  <si>
    <t>보행철주 기초앙카</t>
  </si>
  <si>
    <t>Φ125×1.4m</t>
  </si>
  <si>
    <t>본</t>
  </si>
  <si>
    <t>391370ZZ701Z0100</t>
  </si>
  <si>
    <t>신호등용 맨홀(주철뚜껑)</t>
  </si>
  <si>
    <t>600x600x600,경찰청규격</t>
  </si>
  <si>
    <t>391377ZZ701Z0100</t>
  </si>
  <si>
    <t>신호 제어기 설치</t>
  </si>
  <si>
    <t>교통신호제어기, 3거리</t>
  </si>
  <si>
    <t>391378ZZ701Z0100</t>
  </si>
  <si>
    <t>UPS(교통신호제어)</t>
  </si>
  <si>
    <t>철주설치</t>
  </si>
  <si>
    <t>391387ZZ701Z0100</t>
  </si>
  <si>
    <t>철주 앙카</t>
  </si>
  <si>
    <t>Φ200x1.8m</t>
  </si>
  <si>
    <t>391115ZZ701Z2111</t>
  </si>
  <si>
    <t>관통형분기접속재</t>
  </si>
  <si>
    <t>6-4㎟</t>
  </si>
  <si>
    <t>2612164020686347</t>
  </si>
  <si>
    <t>케이블 포설(가로등)</t>
  </si>
  <si>
    <t>6㎟/2C*1열</t>
  </si>
  <si>
    <t>10㎟/2C*1열</t>
  </si>
  <si>
    <t>16㎟/2C*1열</t>
  </si>
  <si>
    <t>2612164020686393</t>
  </si>
  <si>
    <t>25㎟/2C*1열</t>
  </si>
  <si>
    <t>2612164020686394</t>
  </si>
  <si>
    <t>35㎟/2C*1열</t>
  </si>
  <si>
    <t>2612164020686390</t>
  </si>
  <si>
    <t>6㎟/4C*1열</t>
  </si>
  <si>
    <t>2612164020686391</t>
  </si>
  <si>
    <t>10㎟/4C*1열</t>
  </si>
  <si>
    <t>25㎟/4C*1열</t>
  </si>
  <si>
    <t>391115ZZ701Z0001</t>
  </si>
  <si>
    <t>LED 가로등기구</t>
  </si>
  <si>
    <t>100W급</t>
  </si>
  <si>
    <t>1327</t>
  </si>
  <si>
    <t>1216</t>
  </si>
  <si>
    <t>391115ZZ701Z0002</t>
  </si>
  <si>
    <t>LED 공원등기구</t>
  </si>
  <si>
    <t>50W급(A타입)</t>
  </si>
  <si>
    <t>1217</t>
  </si>
  <si>
    <t>391115ZZ701Z0003</t>
  </si>
  <si>
    <t>UPS 부착대</t>
  </si>
  <si>
    <t>1264</t>
  </si>
  <si>
    <t>391115ZZ701Z0004</t>
  </si>
  <si>
    <t>가로등기초(직각)기성품</t>
  </si>
  <si>
    <t>500X850X675X700</t>
  </si>
  <si>
    <t>23002674</t>
  </si>
  <si>
    <t>23683389</t>
  </si>
  <si>
    <t>391115ZZ701Z0005</t>
  </si>
  <si>
    <t>가로등기초</t>
  </si>
  <si>
    <t>500x775x1050x1100(E)</t>
  </si>
  <si>
    <t>1336</t>
  </si>
  <si>
    <t>1230</t>
  </si>
  <si>
    <t>391115ZZ701Z0006</t>
  </si>
  <si>
    <t>가로등 제어반</t>
  </si>
  <si>
    <t>6회로</t>
  </si>
  <si>
    <t>391115ZZ701Z0007</t>
  </si>
  <si>
    <t>8회로</t>
  </si>
  <si>
    <t>391115ZZ701Z0008</t>
  </si>
  <si>
    <t>가로등주</t>
  </si>
  <si>
    <t>원형테퍼 강관주 10m -1등용</t>
  </si>
  <si>
    <t>1334</t>
  </si>
  <si>
    <t>1234</t>
  </si>
  <si>
    <t>391115ZZ701Z0009</t>
  </si>
  <si>
    <t>가로등 표찰</t>
  </si>
  <si>
    <t>STS</t>
  </si>
  <si>
    <t>인터넷</t>
  </si>
  <si>
    <t>391115ZZ701Z0010</t>
  </si>
  <si>
    <t>공원등주</t>
  </si>
  <si>
    <t>5m-1.0m 1등용(A타입)</t>
  </si>
  <si>
    <t>1328</t>
  </si>
  <si>
    <t>391115ZZ701Z0011</t>
  </si>
  <si>
    <t>광분배함</t>
  </si>
  <si>
    <t>4C</t>
  </si>
  <si>
    <t>에스카</t>
  </si>
  <si>
    <t>미르텍</t>
  </si>
  <si>
    <t>두원전자</t>
  </si>
  <si>
    <t>391115ZZ701Z0012</t>
  </si>
  <si>
    <t>광송수신모듈</t>
  </si>
  <si>
    <t>SFP-LX</t>
  </si>
  <si>
    <t>391115ZZ701Z0013</t>
  </si>
  <si>
    <t>광점퍼코드</t>
  </si>
  <si>
    <t>SM-3, 피그테일 포함</t>
  </si>
  <si>
    <t>391115ZZ701Z0014</t>
  </si>
  <si>
    <t>교통신호등</t>
  </si>
  <si>
    <t>1면3색(LED Φ300)</t>
  </si>
  <si>
    <t>1341</t>
  </si>
  <si>
    <t>1240</t>
  </si>
  <si>
    <t>391115ZZ701Z0015</t>
  </si>
  <si>
    <t>1면4색(LED Φ300)</t>
  </si>
  <si>
    <t>391115ZZ701Z0016</t>
  </si>
  <si>
    <t>교통신호제어기 부착대</t>
  </si>
  <si>
    <t>391115ZZ701Z0017</t>
  </si>
  <si>
    <t>금속기둥</t>
  </si>
  <si>
    <t>Ø76.3x1000mm</t>
  </si>
  <si>
    <t>391115ZZ701Z0018</t>
  </si>
  <si>
    <t>금속상자</t>
  </si>
  <si>
    <t>400*500*300mm</t>
  </si>
  <si>
    <t>391115ZZ701Z0019</t>
  </si>
  <si>
    <t>네트워크스위치</t>
  </si>
  <si>
    <t>8PORT(PoE), 2PORT(SFP)</t>
  </si>
  <si>
    <t>391115ZZ701Z0020</t>
  </si>
  <si>
    <t>네트워크케이블</t>
  </si>
  <si>
    <t>UTP CAT.5 4P</t>
  </si>
  <si>
    <t>391115ZZ701Z0021</t>
  </si>
  <si>
    <t>누전차단기</t>
  </si>
  <si>
    <t>20A</t>
  </si>
  <si>
    <t>391115ZZ701Z0022</t>
  </si>
  <si>
    <t>방수형 접속함</t>
  </si>
  <si>
    <t>1등용,ELB부</t>
  </si>
  <si>
    <t>1330</t>
  </si>
  <si>
    <t>1262</t>
  </si>
  <si>
    <t>391115ZZ701Z0023</t>
  </si>
  <si>
    <t>격등용</t>
  </si>
  <si>
    <t>391115ZZ701Z0024</t>
  </si>
  <si>
    <t>백호우</t>
  </si>
  <si>
    <t>0.4㎥</t>
  </si>
  <si>
    <t>hr</t>
  </si>
  <si>
    <t>391115ZZ701Z0025</t>
  </si>
  <si>
    <t>보안용카메라(BULLET)</t>
  </si>
  <si>
    <t>5M, IP, IR 0Lux</t>
  </si>
  <si>
    <t>391115ZZ701Z0026</t>
  </si>
  <si>
    <t>보안용카메라(SPEEDDOME)</t>
  </si>
  <si>
    <t>4M, IP, IR 0Lux</t>
  </si>
  <si>
    <t>391115ZZ701Z0027</t>
  </si>
  <si>
    <t>보행등 잔여시간표시기</t>
  </si>
  <si>
    <t>391115ZZ701Z0028</t>
  </si>
  <si>
    <t>보행등주</t>
  </si>
  <si>
    <t>Φ125x4m</t>
  </si>
  <si>
    <t>391115ZZ701Z0029</t>
  </si>
  <si>
    <t>보행신호등</t>
  </si>
  <si>
    <t>1면2색(LED)</t>
  </si>
  <si>
    <t>391115ZZ701Z0030</t>
  </si>
  <si>
    <t>불법주정차단속시스템</t>
  </si>
  <si>
    <t>SET</t>
  </si>
  <si>
    <t>391115ZZ701Z0031</t>
  </si>
  <si>
    <t>서지흡수기</t>
  </si>
  <si>
    <t>신호용</t>
  </si>
  <si>
    <t>391115ZZ701Z0032</t>
  </si>
  <si>
    <t>전원용</t>
  </si>
  <si>
    <t>391115ZZ701Z0033</t>
  </si>
  <si>
    <t>소모자재(박리재 등)</t>
  </si>
  <si>
    <t>주자재비의 9%</t>
  </si>
  <si>
    <t>식</t>
  </si>
  <si>
    <t>391115ZZ701Z0034</t>
  </si>
  <si>
    <t>슬림형교통신호제어기(경찰청표준규격)</t>
  </si>
  <si>
    <t>1266</t>
  </si>
  <si>
    <t>391115ZZ701Z0035</t>
  </si>
  <si>
    <t>안내표지판</t>
  </si>
  <si>
    <t>CCTV설치안내(대)</t>
  </si>
  <si>
    <t>391115ZZ701Z0036</t>
  </si>
  <si>
    <t>CCTV설치안내(중)</t>
  </si>
  <si>
    <t>391115ZZ701Z0037</t>
  </si>
  <si>
    <t>영상감시장치</t>
  </si>
  <si>
    <t>391115ZZ701Z0038</t>
  </si>
  <si>
    <t>와이어리스 부착대 5m</t>
  </si>
  <si>
    <t>391115ZZ701Z0039</t>
  </si>
  <si>
    <t>와이어리스 부착대 7m</t>
  </si>
  <si>
    <t>391115ZZ701Z0040</t>
  </si>
  <si>
    <t>와이어리스철주</t>
  </si>
  <si>
    <t>Φ200,부착5m</t>
  </si>
  <si>
    <t>391115ZZ701Z0041</t>
  </si>
  <si>
    <t>Φ200,부착7m, 7m</t>
  </si>
  <si>
    <t>391115ZZ701Z0042</t>
  </si>
  <si>
    <t>Φ200,부착7m</t>
  </si>
  <si>
    <t>391115ZZ701Z0043</t>
  </si>
  <si>
    <t>위성시보수신기(GPS)</t>
  </si>
  <si>
    <t>391115ZZ701Z0044</t>
  </si>
  <si>
    <t>음향 유도기</t>
  </si>
  <si>
    <t>391115ZZ701Z0045</t>
  </si>
  <si>
    <t>전력케이블</t>
  </si>
  <si>
    <t>F-CV 3C×2.5㎟</t>
  </si>
  <si>
    <t>391115ZZ701Z0046</t>
  </si>
  <si>
    <t>F-CV 3C×6㎟</t>
  </si>
  <si>
    <t>391115ZZ701Z0047</t>
  </si>
  <si>
    <t>정보통신공사</t>
  </si>
  <si>
    <t>광케이블보통12코어이하접속</t>
  </si>
  <si>
    <t>391115ZZ701Z0048</t>
  </si>
  <si>
    <t>광케이블시험시험및측정</t>
  </si>
  <si>
    <t>391115ZZ701Z0049</t>
  </si>
  <si>
    <t>송수신제어신호영상레벨조정</t>
  </si>
  <si>
    <t>391115ZZ701Z0050</t>
  </si>
  <si>
    <t>종합시험</t>
  </si>
  <si>
    <t>391115ZZ701Z0051</t>
  </si>
  <si>
    <t>제어반기초(기성품)</t>
  </si>
  <si>
    <t>500x500x800</t>
  </si>
  <si>
    <t>1253</t>
  </si>
  <si>
    <t>391115ZZ701Z0052</t>
  </si>
  <si>
    <t>채널라이센스</t>
  </si>
  <si>
    <t>카메라접속라이센스, 1CH</t>
  </si>
  <si>
    <t>391115ZZ701Z0053</t>
  </si>
  <si>
    <t>카메라 브래킷</t>
  </si>
  <si>
    <t>기둥용</t>
  </si>
  <si>
    <t>391115ZZ701Z0054</t>
  </si>
  <si>
    <t>벽부형</t>
  </si>
  <si>
    <t>391115ZZ701Z0062</t>
  </si>
  <si>
    <t>핸드홀(기성품)</t>
  </si>
  <si>
    <t>600x600x800</t>
  </si>
  <si>
    <t>391115ZZ701Z0063</t>
  </si>
  <si>
    <t>핸드홀뚜껑</t>
  </si>
  <si>
    <t>700x700xt32</t>
  </si>
  <si>
    <t>1340</t>
  </si>
  <si>
    <t>ECA565826042</t>
  </si>
  <si>
    <t>기계터파기</t>
  </si>
  <si>
    <t>보통토사(0.6㎥)</t>
  </si>
  <si>
    <t>경비</t>
  </si>
  <si>
    <t>재료</t>
  </si>
  <si>
    <t>노무</t>
  </si>
  <si>
    <t>ECA565826051</t>
  </si>
  <si>
    <t>기계되메우기</t>
  </si>
  <si>
    <t>ECA565826045</t>
  </si>
  <si>
    <t>크레인</t>
  </si>
  <si>
    <t>타이어 30 Ton</t>
  </si>
  <si>
    <t>분</t>
  </si>
  <si>
    <t>L001010101000075</t>
  </si>
  <si>
    <t>노 무 비</t>
  </si>
  <si>
    <t>내선전공</t>
  </si>
  <si>
    <t>인</t>
  </si>
  <si>
    <t>L001010101000078</t>
  </si>
  <si>
    <t>저압케이블전공</t>
  </si>
  <si>
    <t>L001010101000076</t>
  </si>
  <si>
    <t>특고압케이블전공</t>
  </si>
  <si>
    <t>L001010101000081</t>
  </si>
  <si>
    <t>배전전공</t>
  </si>
  <si>
    <t>L001010101000089</t>
  </si>
  <si>
    <t>통신케이블공</t>
  </si>
  <si>
    <t>L001010101000087</t>
  </si>
  <si>
    <t>통신설비공</t>
  </si>
  <si>
    <t>L001010101000088</t>
  </si>
  <si>
    <t>통신외선공</t>
  </si>
  <si>
    <t>L001010501000112</t>
  </si>
  <si>
    <t>통신관련산업기사</t>
  </si>
  <si>
    <t>L001010201000092</t>
  </si>
  <si>
    <t>광케이블설치사</t>
  </si>
  <si>
    <t>L001010101000002</t>
  </si>
  <si>
    <t>보통인부</t>
  </si>
  <si>
    <t>L001010101000003</t>
  </si>
  <si>
    <t>특별인부</t>
  </si>
  <si>
    <t>L001010101000006</t>
  </si>
  <si>
    <t>비계공</t>
  </si>
  <si>
    <t>L001010101000007</t>
  </si>
  <si>
    <t>형틀목공</t>
  </si>
  <si>
    <t>L001010101000034</t>
  </si>
  <si>
    <t>줄눈공</t>
  </si>
  <si>
    <t>L001010101000013</t>
  </si>
  <si>
    <t>콘크리트공</t>
  </si>
  <si>
    <t>L001010201000093</t>
  </si>
  <si>
    <t>H/W시험사</t>
  </si>
  <si>
    <t>L001010101000001</t>
  </si>
  <si>
    <t>작업반장</t>
  </si>
  <si>
    <t>물가자료</t>
    <phoneticPr fontId="2" type="noConversion"/>
  </si>
  <si>
    <t>총줄수-&gt;</t>
  </si>
  <si>
    <t>153</t>
  </si>
  <si>
    <t>[ 화성 청원지구 전기공사 ] - 합산자재목록</t>
  </si>
  <si>
    <t>182-하</t>
  </si>
  <si>
    <t>184-하</t>
  </si>
  <si>
    <t>133</t>
  </si>
  <si>
    <t>[ 화성 청원지구 전기공사 ] - 일위노임 산출근거(202601-노임)</t>
    <phoneticPr fontId="2" type="noConversion"/>
  </si>
  <si>
    <t>공종줄</t>
  </si>
  <si>
    <t>[ 제 3호 ] 인력잔토처리  현장처리 [㎥]</t>
  </si>
  <si>
    <t>800</t>
  </si>
  <si>
    <t>391115ZZ701Z0059</t>
  </si>
  <si>
    <t>품셈 산출근거</t>
  </si>
  <si>
    <t>인력잔토처리 현장처리</t>
  </si>
  <si>
    <t>56900017041</t>
  </si>
  <si>
    <t>토목3-1-3-1</t>
  </si>
  <si>
    <t>[ 제 4호 ] 레미콘타설  무근(미할증) [㎥]</t>
  </si>
  <si>
    <t>391115ZZ701Z0057</t>
  </si>
  <si>
    <t>레미콘타설 무근(미할증)</t>
  </si>
  <si>
    <t>56900017108</t>
  </si>
  <si>
    <t>토목6-1-1-1</t>
  </si>
  <si>
    <t>[ 제 5호 ] 합판거푸집  4회 [㎡]</t>
  </si>
  <si>
    <t>391115ZZ701Z0061</t>
  </si>
  <si>
    <t>합판거푸집 4회(보통)</t>
  </si>
  <si>
    <t>56900017137</t>
  </si>
  <si>
    <t>[ 제 6호 ] 가로등 건주 기계화 시공  일반 5m-7m [식]</t>
  </si>
  <si>
    <t>391115ZZ701Z0056</t>
  </si>
  <si>
    <t>건주 기계화 일반 5m-7m</t>
  </si>
  <si>
    <t>56900017016</t>
  </si>
  <si>
    <t>전기5-27-나</t>
  </si>
  <si>
    <t>[ 제 7호 ] 가로등 건주 기계화 시공  일반 10m-12m [식]</t>
  </si>
  <si>
    <t>391115ZZ701Z0055</t>
  </si>
  <si>
    <t>건주 기계화 일반 10m-12m</t>
  </si>
  <si>
    <t>[ 제 9호 ] 인력터파기  보통토사0-1m [㎥]</t>
  </si>
  <si>
    <t>391115ZZ701Z0060</t>
  </si>
  <si>
    <t>인력터파기 보통토사 0-1M</t>
  </si>
  <si>
    <t>[ 제 10호 ] 인력되메우기  보통토사0-1m [㎥]</t>
  </si>
  <si>
    <t>391115ZZ701Z0058</t>
  </si>
  <si>
    <t>인력되메우기 보통토사 0-1M</t>
  </si>
  <si>
    <t>[ 제 11호 ] 파상형 폴리에틸렌 전선관  40㎜(가로등,신호,구내) [M.]</t>
  </si>
  <si>
    <t>56900017031</t>
  </si>
  <si>
    <t>전기4-31</t>
  </si>
  <si>
    <t>[ 제 12호 ] 파상형 폴리에틸렌 전선관  50㎜(가로등,신호,구내) [M.]</t>
  </si>
  <si>
    <t>[ 제 13호 ] 파상형 폴리에틸렌 전선관  65㎜(가로등,신호,구내) [M.]</t>
  </si>
  <si>
    <t>[ 제 14호 ] 파상형 폴리에틸렌 전선관  80㎜(가로등,신호,구내) [M.]</t>
  </si>
  <si>
    <t>[ 제 15호 ] 파상형 폴리에틸렌 전선관  100㎜(가로등,신호,구내) [M.]</t>
  </si>
  <si>
    <t>[ 제 16호 ] 파상형 폴리에틸렌 전선관  40㎜ [M.]</t>
  </si>
  <si>
    <t>[ 제 17호 ] 파상형 폴리에틸렌 전선관  50㎜ [M.]</t>
  </si>
  <si>
    <t>[ 제 18호 ] 광케블내외관일체형전선관  COD 36-4 공 [M.]</t>
  </si>
  <si>
    <t>56900017115</t>
  </si>
  <si>
    <t>통신4-1-1</t>
  </si>
  <si>
    <t>[ 제 19호 ] 접지용비닐절연전선(F-GV)_지중  6㎟ [M]</t>
  </si>
  <si>
    <t>전기3-38</t>
  </si>
  <si>
    <t>[ 제 20호 ] 접지용비닐절연전선(F-GV)  10㎟ [M]</t>
  </si>
  <si>
    <t>[ 제 21호 ] 접지용비닐절연전선(F-GV)  16㎟ [M]</t>
  </si>
  <si>
    <t>[ 제 22호 ] 폴리에틸렌 난연케이블  0.6/1kv F-CV 2C×2.5㎟ [M]</t>
  </si>
  <si>
    <t>56900017076</t>
  </si>
  <si>
    <t>전기5-13</t>
  </si>
  <si>
    <t>[ 제 23호 ] 폴리에틸렌 난연케이블  0.6/1kv F-CV 3C×6㎟ [M]</t>
  </si>
  <si>
    <t>[ 제 24호 ] 난연제어케이블  F-CVV 5Cx2.5㎟ [M]</t>
  </si>
  <si>
    <t>[ 제 25호 ] 광케이블(옥외용)  SM 9/125, 4c [M]</t>
  </si>
  <si>
    <t>56900017011</t>
  </si>
  <si>
    <t>통신4-1-3</t>
  </si>
  <si>
    <t>56900017118</t>
  </si>
  <si>
    <t>[ 제 26호 ] 신호 제어기  경보제어기, 전자회로 [대]</t>
  </si>
  <si>
    <t>전기5-46(가)</t>
  </si>
  <si>
    <t>[ 제 27호 ] 접지봉  14Φ×1000 mm [개]</t>
  </si>
  <si>
    <t>[ 제 28호 ] 접지크램프(IEC 90)  16sq [개]</t>
  </si>
  <si>
    <t>[ 제 29호 ] 케이블표지시트  0.23x400 [m]</t>
  </si>
  <si>
    <t>56900017117</t>
  </si>
  <si>
    <t>전기4-45</t>
  </si>
  <si>
    <t>[ 제 30호 ] 압착단자  R형동선 나압착 16 ㎟ [개]</t>
  </si>
  <si>
    <t>전기4-37</t>
  </si>
  <si>
    <t>[ 제 31호 ] 압착단자  R형동선 나압착 25 ㎟ [개]</t>
  </si>
  <si>
    <t>[ 제 32호 ] 압착단자  R형동선 나압착 35 ㎟ [개]</t>
  </si>
  <si>
    <t>[ 제 33호 ] 핸드홀  수공1호 [조]</t>
  </si>
  <si>
    <t>56900017042</t>
  </si>
  <si>
    <t>통신2-3-1</t>
  </si>
  <si>
    <t>56900017074</t>
  </si>
  <si>
    <t>56900017091</t>
  </si>
  <si>
    <t>[ 제 34호 ] 핸드홀카바  통신용 [기]</t>
  </si>
  <si>
    <t>통신2-3-2</t>
  </si>
  <si>
    <t>[ 제 35호 ] 전주용입상관  Φ130*2t*2m [EA]</t>
  </si>
  <si>
    <t>전기4-33</t>
  </si>
  <si>
    <t>[ 제 36호 ] 보행철주 기초앙카  Φ125×1.4m [본]</t>
  </si>
  <si>
    <t>전기5-29</t>
  </si>
  <si>
    <t>[ 제 37호 ] 신호등용 맨홀(주철뚜껑)  600x600x600,경찰청규격 [개]</t>
  </si>
  <si>
    <t>전기4-43-4</t>
  </si>
  <si>
    <t>[ 제 38호 ] 신호 제어기 설치  교통신호제어기, 3거리 [대]</t>
  </si>
  <si>
    <t>56900017112</t>
  </si>
  <si>
    <t>통신7-1-2</t>
  </si>
  <si>
    <t>56900017116</t>
  </si>
  <si>
    <t>56900017114</t>
  </si>
  <si>
    <t>56900017142</t>
  </si>
  <si>
    <t>[ 제 39호 ] 케이블 포설(가로등)  6㎟/2C*1열 [M]</t>
  </si>
  <si>
    <t>전기4-34</t>
  </si>
  <si>
    <t>[ 제 40호 ] 케이블 포설(가로등)  10㎟/2C*1열 [M]</t>
  </si>
  <si>
    <t>[ 제 41호 ] 케이블 포설(가로등)  16㎟/2C*1열 [M]</t>
  </si>
  <si>
    <t>[ 제 42호 ] 케이블 포설(가로등)  25㎟/2C*1열 [M]</t>
  </si>
  <si>
    <t>[ 제 43호 ] 케이블 포설(가로등)  35㎟/2C*1열 [M]</t>
  </si>
  <si>
    <t>[ 제 44호 ] 케이블 포설(가로등)  6㎟/4C*1열 [M]</t>
  </si>
  <si>
    <t>[ 제 45호 ] 케이블 포설(가로등)  10㎟/4C*1열 [M]</t>
  </si>
  <si>
    <t>[ 제 46호 ] 케이블 포설(가로등)  25㎟/4C*1열 [M]</t>
  </si>
  <si>
    <t>[ 제 47호 ] LED 가로등기구  100W급 [개]</t>
  </si>
  <si>
    <t>전기5-26-1</t>
  </si>
  <si>
    <t>[ 제 48호 ] LED 공원등기구  50W급(A타입) [개]</t>
  </si>
  <si>
    <t>전기5-26-3</t>
  </si>
  <si>
    <t>[ 제 49호 ] UPS 부착대 [개]</t>
  </si>
  <si>
    <t>[ 제 50호 ] 가로등기초(직각)기성품  500X850X675X700 [개]</t>
  </si>
  <si>
    <t>전기5-27-1</t>
  </si>
  <si>
    <t>[ 제 51호 ] 가로등기초  500x775x1050x1100(E) [개]</t>
  </si>
  <si>
    <t>[ 제 52호 ] 가로등 제어반  6회로 [개]</t>
  </si>
  <si>
    <t>전기5-18-2</t>
  </si>
  <si>
    <t>[ 제 53호 ] 가로등 제어반  8회로 [개]</t>
  </si>
  <si>
    <t>[ 제 54호 ] 가로등 표찰  STS [개]</t>
  </si>
  <si>
    <t>전기5-27</t>
  </si>
  <si>
    <t>[ 제 55호 ] 공원등주  5m-1.0m 1등용(A타입) [개]</t>
  </si>
  <si>
    <t>전기2-27 (나)</t>
  </si>
  <si>
    <t>[ 제 56호 ] 교통신호등  1면3색(LED Φ300) [개]</t>
  </si>
  <si>
    <t>[ 제 57호 ] 교통신호등  1면4색(LED Φ300) [개]</t>
  </si>
  <si>
    <t>[ 제 58호 ] 방수형 접속함  1등용,ELB부 [개]</t>
  </si>
  <si>
    <t>전기5-19</t>
  </si>
  <si>
    <t>[ 제 59호 ] 보행등 잔여시간표시기 [개]</t>
  </si>
  <si>
    <t>[ 제 60호 ] 보행등주  Φ125x4m [개]</t>
  </si>
  <si>
    <t>[ 제 61호 ] 보행신호등  1면2색(LED) [개]</t>
  </si>
  <si>
    <t>[ 제 62호 ] 와이어리스철주  Φ200,부착5m [개]</t>
  </si>
  <si>
    <t>전기5-46(나)</t>
  </si>
  <si>
    <t>[ 제 63호 ] 와이어리스철주  Φ200,부착7m, 7m [개]</t>
  </si>
  <si>
    <t>[ 제 64호 ] 와이어리스철주  Φ200,부착7m [개]</t>
  </si>
  <si>
    <t>[ 제 65호 ] 음향 유도기 [개]</t>
  </si>
  <si>
    <t>[ 제 66호 ] 제어반기초(기성품)  500x500x800 [개]</t>
  </si>
  <si>
    <t>[ 제 67호 ] 핸드홀(기성품)  600x600x800 [개]</t>
  </si>
  <si>
    <t>289</t>
  </si>
  <si>
    <t>[ 화성 청원지구 전기공사 ] - 일위대가목차</t>
    <phoneticPr fontId="2" type="noConversion"/>
  </si>
  <si>
    <t>56930220040</t>
  </si>
  <si>
    <t>ABB103100000</t>
  </si>
  <si>
    <t>제 1호</t>
  </si>
  <si>
    <t>터파기(기계90%,인력10%)</t>
  </si>
  <si>
    <t>보통토사</t>
  </si>
  <si>
    <t>56930220053</t>
  </si>
  <si>
    <t>ABB104100000</t>
  </si>
  <si>
    <t>제 2호</t>
  </si>
  <si>
    <t>되메우기(기계90%,인력10%)</t>
  </si>
  <si>
    <t>56930220102</t>
  </si>
  <si>
    <t>ABC112700000</t>
  </si>
  <si>
    <t>제 3호</t>
  </si>
  <si>
    <t>인력잔토처리</t>
  </si>
  <si>
    <t>현장처리</t>
  </si>
  <si>
    <t>56930310010</t>
  </si>
  <si>
    <t>ADF202100000</t>
  </si>
  <si>
    <t>제 4호</t>
  </si>
  <si>
    <t>레미콘타설</t>
  </si>
  <si>
    <t>무근(미할증)</t>
  </si>
  <si>
    <t>56930370040</t>
  </si>
  <si>
    <t>ADA220110000</t>
  </si>
  <si>
    <t>제 5호</t>
  </si>
  <si>
    <t>합판거푸집</t>
  </si>
  <si>
    <t>4회</t>
  </si>
  <si>
    <t>56950010201</t>
  </si>
  <si>
    <t>EBP110110000</t>
  </si>
  <si>
    <t>제 6호</t>
  </si>
  <si>
    <t>가로등 건주 기계화 시공</t>
  </si>
  <si>
    <t>일반 5m-7m</t>
  </si>
  <si>
    <t>56950010203</t>
  </si>
  <si>
    <t>EBP110130000</t>
  </si>
  <si>
    <t>제 7호</t>
  </si>
  <si>
    <t>일반 10m-12m</t>
  </si>
  <si>
    <t>56930210010</t>
  </si>
  <si>
    <t>ABB111100000</t>
  </si>
  <si>
    <t>제 9호</t>
  </si>
  <si>
    <t>인력터파기</t>
  </si>
  <si>
    <t>보통토사0-1m</t>
  </si>
  <si>
    <t>56930210021</t>
  </si>
  <si>
    <t>ABD100001000</t>
  </si>
  <si>
    <t>제 10호</t>
  </si>
  <si>
    <t>인력되메우기</t>
  </si>
  <si>
    <t>5975D077002</t>
  </si>
  <si>
    <t>E59753077002</t>
  </si>
  <si>
    <t>제 11호</t>
  </si>
  <si>
    <t>M</t>
  </si>
  <si>
    <t>5975D077003</t>
  </si>
  <si>
    <t>ECI31100030S</t>
  </si>
  <si>
    <t>제 12호</t>
  </si>
  <si>
    <t>5975D077004</t>
  </si>
  <si>
    <t>E59753077004</t>
  </si>
  <si>
    <t>제 13호</t>
  </si>
  <si>
    <t>5975D077005</t>
  </si>
  <si>
    <t>ECI31100040S</t>
  </si>
  <si>
    <t>제 14호</t>
  </si>
  <si>
    <t>5975D077006</t>
  </si>
  <si>
    <t>ECI31100050S</t>
  </si>
  <si>
    <t>제 15호</t>
  </si>
  <si>
    <t>5975D178002</t>
  </si>
  <si>
    <t>E59753178002</t>
  </si>
  <si>
    <t>제 16호</t>
  </si>
  <si>
    <t>5975D178003</t>
  </si>
  <si>
    <t>E59753178003</t>
  </si>
  <si>
    <t>제 17호</t>
  </si>
  <si>
    <t>56959000002</t>
  </si>
  <si>
    <t>EMM300000108</t>
  </si>
  <si>
    <t>제 18호</t>
  </si>
  <si>
    <t>E145A927203</t>
  </si>
  <si>
    <t>EE1450927203</t>
  </si>
  <si>
    <t>제 19호</t>
  </si>
  <si>
    <t>E145A927204</t>
  </si>
  <si>
    <t>EE1450927204</t>
  </si>
  <si>
    <t>제 20호</t>
  </si>
  <si>
    <t>E145A927205</t>
  </si>
  <si>
    <t>EE1450927205</t>
  </si>
  <si>
    <t>제 21호</t>
  </si>
  <si>
    <t>E145A287521</t>
  </si>
  <si>
    <t>EE1450287521</t>
  </si>
  <si>
    <t>제 22호</t>
  </si>
  <si>
    <t>E145A287540</t>
  </si>
  <si>
    <t>EE1450287540</t>
  </si>
  <si>
    <t>제 23호</t>
  </si>
  <si>
    <t>E145A358087</t>
  </si>
  <si>
    <t>EE1450358087</t>
  </si>
  <si>
    <t>제 24호</t>
  </si>
  <si>
    <t>56959000003</t>
  </si>
  <si>
    <t>EMM525000002</t>
  </si>
  <si>
    <t>제 25호</t>
  </si>
  <si>
    <t>6310A147401</t>
  </si>
  <si>
    <t>E63100147401</t>
  </si>
  <si>
    <t>제 26호</t>
  </si>
  <si>
    <t>5975A427102</t>
  </si>
  <si>
    <t>E59750427102</t>
  </si>
  <si>
    <t>제 27호</t>
  </si>
  <si>
    <t>E975A427014</t>
  </si>
  <si>
    <t>EE9750427014</t>
  </si>
  <si>
    <t>제 28호</t>
  </si>
  <si>
    <t>56959000004</t>
  </si>
  <si>
    <t>EMM300041326</t>
  </si>
  <si>
    <t>제 29호</t>
  </si>
  <si>
    <t>E940A267006</t>
  </si>
  <si>
    <t>EE9400267006</t>
  </si>
  <si>
    <t>제 30호</t>
  </si>
  <si>
    <t>E940A267007</t>
  </si>
  <si>
    <t>EE9400267007</t>
  </si>
  <si>
    <t>제 31호</t>
  </si>
  <si>
    <t>E940A267008</t>
  </si>
  <si>
    <t>EE9400267008</t>
  </si>
  <si>
    <t>제 32호</t>
  </si>
  <si>
    <t>5630A217281</t>
  </si>
  <si>
    <t>E56300217281</t>
  </si>
  <si>
    <t>제 33호</t>
  </si>
  <si>
    <t>5680A447433</t>
  </si>
  <si>
    <t>E56800447433</t>
  </si>
  <si>
    <t>제 34호</t>
  </si>
  <si>
    <t>56959000005</t>
  </si>
  <si>
    <t>EMM408901996</t>
  </si>
  <si>
    <t>제 35호</t>
  </si>
  <si>
    <t>56959000006</t>
  </si>
  <si>
    <t>EMM474327364</t>
  </si>
  <si>
    <t>제 36호</t>
  </si>
  <si>
    <t>56959000007</t>
  </si>
  <si>
    <t>EMM389225351</t>
  </si>
  <si>
    <t>제 37호</t>
  </si>
  <si>
    <t>56959000008</t>
  </si>
  <si>
    <t>EMM579245673</t>
  </si>
  <si>
    <t>제 38호</t>
  </si>
  <si>
    <t>56959000009</t>
  </si>
  <si>
    <t>EMM666919038</t>
  </si>
  <si>
    <t>제 39호</t>
  </si>
  <si>
    <t>56959000010</t>
  </si>
  <si>
    <t>EMM666919040</t>
  </si>
  <si>
    <t>제 40호</t>
  </si>
  <si>
    <t>56959000011</t>
  </si>
  <si>
    <t>EMM666919041</t>
  </si>
  <si>
    <t>제 41호</t>
  </si>
  <si>
    <t>56959000012</t>
  </si>
  <si>
    <t>EMM666919042</t>
  </si>
  <si>
    <t>제 42호</t>
  </si>
  <si>
    <t>56959000013</t>
  </si>
  <si>
    <t>EMM666919043</t>
  </si>
  <si>
    <t>제 43호</t>
  </si>
  <si>
    <t>GM90A002155</t>
  </si>
  <si>
    <t>EGM900002155</t>
  </si>
  <si>
    <t>제 44호</t>
  </si>
  <si>
    <t>GM42C520962</t>
  </si>
  <si>
    <t>EGM422520962</t>
  </si>
  <si>
    <t>제 45호</t>
  </si>
  <si>
    <t>GM90A002029</t>
  </si>
  <si>
    <t>EGM900002029</t>
  </si>
  <si>
    <t>제 46호</t>
  </si>
  <si>
    <t>56959000014</t>
  </si>
  <si>
    <t>EMM868935935</t>
  </si>
  <si>
    <t>제 47호</t>
  </si>
  <si>
    <t>56959000015</t>
  </si>
  <si>
    <t>EMM992900263</t>
  </si>
  <si>
    <t>제 48호</t>
  </si>
  <si>
    <t>56959000016</t>
  </si>
  <si>
    <t>EMM896650533</t>
  </si>
  <si>
    <t>제 49호</t>
  </si>
  <si>
    <t>56959000017</t>
  </si>
  <si>
    <t>EMM992900278</t>
  </si>
  <si>
    <t>제 50호</t>
  </si>
  <si>
    <t>56959000018</t>
  </si>
  <si>
    <t>EMM811566471</t>
  </si>
  <si>
    <t>제 51호</t>
  </si>
  <si>
    <t>56959000019</t>
  </si>
  <si>
    <t>EMM811377544</t>
  </si>
  <si>
    <t>제 52호</t>
  </si>
  <si>
    <t>56959000020</t>
  </si>
  <si>
    <t>EMM055024882</t>
  </si>
  <si>
    <t>제 53호</t>
  </si>
  <si>
    <t>56959000021</t>
  </si>
  <si>
    <t>EMM811561481</t>
  </si>
  <si>
    <t>제 54호</t>
  </si>
  <si>
    <t>56959000022</t>
  </si>
  <si>
    <t>EMM992900295</t>
  </si>
  <si>
    <t>제 55호</t>
  </si>
  <si>
    <t>56959000023</t>
  </si>
  <si>
    <t>EMM999447446</t>
  </si>
  <si>
    <t>제 56호</t>
  </si>
  <si>
    <t>56959000024</t>
  </si>
  <si>
    <t>EMM999447447</t>
  </si>
  <si>
    <t>제 57호</t>
  </si>
  <si>
    <t>56959000025</t>
  </si>
  <si>
    <t>EMM811561499</t>
  </si>
  <si>
    <t>제 58호</t>
  </si>
  <si>
    <t>56959000026</t>
  </si>
  <si>
    <t>EMM868935945</t>
  </si>
  <si>
    <t>제 59호</t>
  </si>
  <si>
    <t>56959000027</t>
  </si>
  <si>
    <t>EMM959881804</t>
  </si>
  <si>
    <t>제 60호</t>
  </si>
  <si>
    <t>56959000028</t>
  </si>
  <si>
    <t>EMM999447454</t>
  </si>
  <si>
    <t>제 61호</t>
  </si>
  <si>
    <t>56959000029</t>
  </si>
  <si>
    <t>EMM055024915</t>
  </si>
  <si>
    <t>제 62호</t>
  </si>
  <si>
    <t>56959000030</t>
  </si>
  <si>
    <t>EMM999446803</t>
  </si>
  <si>
    <t>제 63호</t>
  </si>
  <si>
    <t>56959000031</t>
  </si>
  <si>
    <t>EMM868935949</t>
  </si>
  <si>
    <t>제 64호</t>
  </si>
  <si>
    <t>56959000032</t>
  </si>
  <si>
    <t>EMM868935952</t>
  </si>
  <si>
    <t>제 65호</t>
  </si>
  <si>
    <t>56959000033</t>
  </si>
  <si>
    <t>EMM811561518</t>
  </si>
  <si>
    <t>제 66호</t>
  </si>
  <si>
    <t>56959000034</t>
  </si>
  <si>
    <t>EMM811561524</t>
  </si>
  <si>
    <t>제 67호</t>
  </si>
  <si>
    <t>81</t>
  </si>
  <si>
    <t>[ 화성 청원지구 전기공사 ] - 일위대가표</t>
    <phoneticPr fontId="2" type="noConversion"/>
  </si>
  <si>
    <t>일목줄</t>
  </si>
  <si>
    <t>[제 1호] 터파기(기계90%,인력10%)  보통토사 [㎥]</t>
  </si>
  <si>
    <t>ILD</t>
  </si>
  <si>
    <t>CA565826042</t>
  </si>
  <si>
    <t>ild</t>
  </si>
  <si>
    <t>노임계</t>
  </si>
  <si>
    <t>합계줄</t>
  </si>
  <si>
    <t>( 합       계 )</t>
  </si>
  <si>
    <t>[제 2호] 되메우기(기계90%,인력10%)  보통토사 [㎥]</t>
  </si>
  <si>
    <t>CA565826051</t>
  </si>
  <si>
    <t>[제 3호] 인력잔토처리  현장처리 [㎥]</t>
  </si>
  <si>
    <t>A0300000000</t>
  </si>
  <si>
    <t>RENT000000000006</t>
  </si>
  <si>
    <t>[ 공 구 손 료 ]</t>
  </si>
  <si>
    <t>노무비의 3 %</t>
  </si>
  <si>
    <t>[제 4호] 레미콘타설  무근(미할증) [㎥]</t>
  </si>
  <si>
    <t>[제 5호] 합판거푸집  4회 [㎡]</t>
  </si>
  <si>
    <t>55300057061</t>
  </si>
  <si>
    <t>55100027011</t>
  </si>
  <si>
    <t>MM882214702</t>
  </si>
  <si>
    <t>[제 6호] 가로등 건주 기계화 시공  일반 5m-7m [식]</t>
  </si>
  <si>
    <t>CA565826045</t>
  </si>
  <si>
    <t>[제 7호] 가로등 건주 기계화 시공  일반 10m-12m [식]</t>
  </si>
  <si>
    <t>[제 9호] 인력터파기  보통토사0-1m [㎥]</t>
  </si>
  <si>
    <t>[제 10호] 인력되메우기  보통토사0-1m [㎥]</t>
  </si>
  <si>
    <t>[제 11호] 파상형 폴리에틸렌 전선관  40㎜(가로등,신호,구내) [M.]</t>
  </si>
  <si>
    <t>59753077002</t>
  </si>
  <si>
    <t>ELP</t>
  </si>
  <si>
    <t>A0500000000</t>
  </si>
  <si>
    <t>RENT000000000002</t>
  </si>
  <si>
    <t>[ 배관 부속재 ]</t>
  </si>
  <si>
    <t>전선관의 15 %</t>
  </si>
  <si>
    <t>A0100000000</t>
  </si>
  <si>
    <t>RENT000000000003</t>
  </si>
  <si>
    <t>[ 소모 잡자재 ]</t>
  </si>
  <si>
    <t>전선, 전선관의 2 %</t>
  </si>
  <si>
    <t>[제 12호] 파상형 폴리에틸렌 전선관  50㎜(가로등,신호,구내) [M.]</t>
  </si>
  <si>
    <t>59753077003</t>
  </si>
  <si>
    <t>[제 13호] 파상형 폴리에틸렌 전선관  65㎜(가로등,신호,구내) [M.]</t>
  </si>
  <si>
    <t>59753077004</t>
  </si>
  <si>
    <t>[제 14호] 파상형 폴리에틸렌 전선관  80㎜(가로등,신호,구내) [M.]</t>
  </si>
  <si>
    <t>59753077005</t>
  </si>
  <si>
    <t>[제 15호] 파상형 폴리에틸렌 전선관  100㎜(가로등,신호,구내) [M.]</t>
  </si>
  <si>
    <t>59753077006</t>
  </si>
  <si>
    <t>[제 16호] 파상형 폴리에틸렌 전선관  40㎜ [M.]</t>
  </si>
  <si>
    <t>59753178002</t>
  </si>
  <si>
    <t>[제 17호] 파상형 폴리에틸렌 전선관  50㎜ [M.]</t>
  </si>
  <si>
    <t>59753178003</t>
  </si>
  <si>
    <t>[제 18호] 광케블내외관일체형전선관  COD 36-4 공 [M.]</t>
  </si>
  <si>
    <t>MM300000108</t>
  </si>
  <si>
    <t>[제 19호] 접지용비닐절연전선(F-GV)_지중  6㎟ [M]</t>
  </si>
  <si>
    <t>E1450927203</t>
  </si>
  <si>
    <t>[제 20호] 접지용비닐절연전선(F-GV)  10㎟ [M]</t>
  </si>
  <si>
    <t>E1450927204</t>
  </si>
  <si>
    <t>[제 21호] 접지용비닐절연전선(F-GV)  16㎟ [M]</t>
  </si>
  <si>
    <t>E1450927205</t>
  </si>
  <si>
    <t>[제 22호] 폴리에틸렌 난연케이블  0.6/1kv F-CV 2C×2.5㎟ [M]</t>
  </si>
  <si>
    <t>E1450287521</t>
  </si>
  <si>
    <t>[제 23호] 폴리에틸렌 난연케이블  0.6/1kv F-CV 3C×6㎟ [M]</t>
  </si>
  <si>
    <t>E1450287540</t>
  </si>
  <si>
    <t>[제 24호] 난연제어케이블  F-CVV 5Cx2.5㎟ [M]</t>
  </si>
  <si>
    <t>E1450358087</t>
  </si>
  <si>
    <t>[제 25호] 광케이블(옥외용)  SM 9/125, 4c [M]</t>
  </si>
  <si>
    <t>MM525000002</t>
  </si>
  <si>
    <t>[제 26호] 신호 제어기  경보제어기, 전자회로 [대]</t>
  </si>
  <si>
    <t>63100147401</t>
  </si>
  <si>
    <t>[제 27호] 접지봉  14Φ×1000 mm [개]</t>
  </si>
  <si>
    <t>59750427102</t>
  </si>
  <si>
    <t>[제 28호] 접지크램프(IEC 90)  16sq [개]</t>
  </si>
  <si>
    <t>E9750427014</t>
  </si>
  <si>
    <t>[제 29호] 케이블표지시트  0.23x400 [m]</t>
  </si>
  <si>
    <t>MM300041326</t>
  </si>
  <si>
    <t>[제 30호] 압착단자  R형동선 나압착 16 ㎟ [개]</t>
  </si>
  <si>
    <t>E9400267006</t>
  </si>
  <si>
    <t>[제 31호] 압착단자  R형동선 나압착 25 ㎟ [개]</t>
  </si>
  <si>
    <t>E9400267007</t>
  </si>
  <si>
    <t>[제 32호] 압착단자  R형동선 나압착 35 ㎟ [개]</t>
  </si>
  <si>
    <t>E9400267008</t>
  </si>
  <si>
    <t>[제 33호] 핸드홀  수공1호 [조]</t>
  </si>
  <si>
    <t>56300217281</t>
  </si>
  <si>
    <t>[제 34호] 핸드홀카바  통신용 [기]</t>
  </si>
  <si>
    <t>56800447433</t>
  </si>
  <si>
    <t>[제 35호] 전주용입상관  Φ130*2t*2m [EA]</t>
  </si>
  <si>
    <t>MM408901996</t>
  </si>
  <si>
    <t>[제 36호] 보행철주 기초앙카  Φ125×1.4m [본]</t>
  </si>
  <si>
    <t>MM474327364</t>
  </si>
  <si>
    <t>[제 37호] 신호등용 맨홀(주철뚜껑)  600x600x600,경찰청규격 [개]</t>
  </si>
  <si>
    <t>MM389225351</t>
  </si>
  <si>
    <t>[제 38호] 신호 제어기 설치  교통신호제어기, 3거리 [대]</t>
  </si>
  <si>
    <t>MM579245673</t>
  </si>
  <si>
    <t>[제 39호] 케이블 포설(가로등)  6㎟/2C*1열 [M]</t>
  </si>
  <si>
    <t>MM666919038</t>
  </si>
  <si>
    <t>[제 40호] 케이블 포설(가로등)  10㎟/2C*1열 [M]</t>
  </si>
  <si>
    <t>MM666919040</t>
  </si>
  <si>
    <t>[제 41호] 케이블 포설(가로등)  16㎟/2C*1열 [M]</t>
  </si>
  <si>
    <t>MM666919041</t>
  </si>
  <si>
    <t>[제 42호] 케이블 포설(가로등)  25㎟/2C*1열 [M]</t>
  </si>
  <si>
    <t>MM666919042</t>
  </si>
  <si>
    <t>[제 43호] 케이블 포설(가로등)  35㎟/2C*1열 [M]</t>
  </si>
  <si>
    <t>MM666919043</t>
  </si>
  <si>
    <t>[제 44호] 케이블 포설(가로등)  6㎟/4C*1열 [M]</t>
  </si>
  <si>
    <t>GM900002155</t>
  </si>
  <si>
    <t>[제 45호] 케이블 포설(가로등)  10㎟/4C*1열 [M]</t>
  </si>
  <si>
    <t>GM422520962</t>
  </si>
  <si>
    <t>[제 46호] 케이블 포설(가로등)  25㎟/4C*1열 [M]</t>
  </si>
  <si>
    <t>GM900002029</t>
  </si>
  <si>
    <t>[제 47호] LED 가로등기구  100W급 [개]</t>
  </si>
  <si>
    <t>MM868935935</t>
  </si>
  <si>
    <t>[제 48호] LED 공원등기구  50W급(A타입) [개]</t>
  </si>
  <si>
    <t>MM992900263</t>
  </si>
  <si>
    <t>[제 49호] UPS 부착대 [개]</t>
  </si>
  <si>
    <t>MM896650533</t>
  </si>
  <si>
    <t>[제 50호] 가로등기초(직각)기성품  500X850X675X700 [개]</t>
  </si>
  <si>
    <t>MM992900278</t>
  </si>
  <si>
    <t>[제 51호] 가로등기초  500x775x1050x1100(E) [개]</t>
  </si>
  <si>
    <t>MM811566471</t>
  </si>
  <si>
    <t>[제 52호] 가로등 제어반  6회로 [개]</t>
  </si>
  <si>
    <t>MM811377544</t>
  </si>
  <si>
    <t>[제 53호] 가로등 제어반  8회로 [개]</t>
  </si>
  <si>
    <t>MM055024882</t>
  </si>
  <si>
    <t>[제 54호] 가로등 표찰  STS [개]</t>
  </si>
  <si>
    <t>MM811561481</t>
  </si>
  <si>
    <t>[제 55호] 공원등주  5m-1.0m 1등용(A타입) [개]</t>
  </si>
  <si>
    <t>MM992900295</t>
  </si>
  <si>
    <t>[제 56호] 교통신호등  1면3색(LED Φ300) [개]</t>
  </si>
  <si>
    <t>MM999447446</t>
  </si>
  <si>
    <t>[제 57호] 교통신호등  1면4색(LED Φ300) [개]</t>
  </si>
  <si>
    <t>MM999447447</t>
  </si>
  <si>
    <t>[제 58호] 방수형 접속함  1등용,ELB부 [개]</t>
  </si>
  <si>
    <t>MM811561499</t>
  </si>
  <si>
    <t>[제 59호] 보행등 잔여시간표시기 [개]</t>
  </si>
  <si>
    <t>MM868935945</t>
  </si>
  <si>
    <t>[제 60호] 보행등주  Φ125x4m [개]</t>
  </si>
  <si>
    <t>MM959881804</t>
  </si>
  <si>
    <t>[제 61호] 보행신호등  1면2색(LED) [개]</t>
  </si>
  <si>
    <t>MM999447454</t>
  </si>
  <si>
    <t>[제 62호] 와이어리스철주  Φ200,부착5m [개]</t>
  </si>
  <si>
    <t>MM055024915</t>
  </si>
  <si>
    <t>[제 63호] 와이어리스철주  Φ200,부착7m, 7m [개]</t>
  </si>
  <si>
    <t>MM999446803</t>
  </si>
  <si>
    <t>[제 64호] 와이어리스철주  Φ200,부착7m [개]</t>
  </si>
  <si>
    <t>MM868935949</t>
  </si>
  <si>
    <t>[제 65호] 음향 유도기 [개]</t>
  </si>
  <si>
    <t>MM868935952</t>
  </si>
  <si>
    <t>[제 66호] 제어반기초(기성품)  500x500x800 [개]</t>
  </si>
  <si>
    <t>MM811561518</t>
  </si>
  <si>
    <t>[제 67호] 핸드홀(기성품)  600x600x800 [개]</t>
  </si>
  <si>
    <t>MM811561524</t>
  </si>
  <si>
    <t>497</t>
  </si>
  <si>
    <t>[ 화성 청원지구 전기공사 ]</t>
  </si>
  <si>
    <t>1.전기공사 (지구내)::1-1.가로등설비공사</t>
  </si>
  <si>
    <t>00101</t>
  </si>
  <si>
    <t>GG450287521</t>
  </si>
  <si>
    <t>GG450287523</t>
  </si>
  <si>
    <t>GG450287551</t>
  </si>
  <si>
    <t>GG450287553</t>
  </si>
  <si>
    <t>MM408901997</t>
  </si>
  <si>
    <t>MM811377553</t>
  </si>
  <si>
    <t>MM811561501</t>
  </si>
  <si>
    <t>MM811567758</t>
  </si>
  <si>
    <t>MM811561525</t>
  </si>
  <si>
    <t>1.전기공사 (지구내)::1-2.공원등설비공사</t>
  </si>
  <si>
    <t>00102</t>
  </si>
  <si>
    <t>GG450287520</t>
  </si>
  <si>
    <t>GG450287522</t>
  </si>
  <si>
    <t>GG450287550</t>
  </si>
  <si>
    <t>1.전기공사 (지구내)::1-3.신호등설비공사</t>
  </si>
  <si>
    <t>00103</t>
  </si>
  <si>
    <t>MM647590406</t>
  </si>
  <si>
    <t>MM389225346</t>
  </si>
  <si>
    <t>MM693428504</t>
  </si>
  <si>
    <t>MM055017057</t>
  </si>
  <si>
    <t>MM999446802</t>
  </si>
  <si>
    <t>56959000001</t>
  </si>
  <si>
    <t>EAZ800010000</t>
  </si>
  <si>
    <t>크레인트럭</t>
  </si>
  <si>
    <t>20ton</t>
  </si>
  <si>
    <t>1.전기공사 (지구내)::1-4.공원 통신설비 공사</t>
  </si>
  <si>
    <t>00104</t>
  </si>
  <si>
    <t>MM576434833</t>
  </si>
  <si>
    <t>MM010861364</t>
  </si>
  <si>
    <t>MM010861365</t>
  </si>
  <si>
    <t>MM010861366</t>
  </si>
  <si>
    <t>MM006200750</t>
  </si>
  <si>
    <t>MM006200751</t>
  </si>
  <si>
    <t>MM006200756</t>
  </si>
  <si>
    <t>MM006200757</t>
  </si>
  <si>
    <t>MM006200758</t>
  </si>
  <si>
    <t>MM006200763</t>
  </si>
  <si>
    <t>MM006200764</t>
  </si>
  <si>
    <t>MM006200765</t>
  </si>
  <si>
    <t>MM006200766</t>
  </si>
  <si>
    <t>MM006200767</t>
  </si>
  <si>
    <t>MM006200768</t>
  </si>
  <si>
    <t>MM006200769</t>
  </si>
  <si>
    <t>MM006200773</t>
  </si>
  <si>
    <t>MM006200774</t>
  </si>
  <si>
    <t>MM010861388</t>
  </si>
  <si>
    <t>MM010861389</t>
  </si>
  <si>
    <t>MM006200777</t>
  </si>
  <si>
    <t>MM006200778</t>
  </si>
  <si>
    <t>MM006200789</t>
  </si>
  <si>
    <t>MM006200791</t>
  </si>
  <si>
    <t>MM006200792</t>
  </si>
  <si>
    <t>MM006790708</t>
  </si>
  <si>
    <t>InMastDBNonCode</t>
  </si>
  <si>
    <t>10톤</t>
  </si>
  <si>
    <t>1.전기공사 (지구내)::1-5.불법주정차단속시스템</t>
  </si>
  <si>
    <t>MM055017190</t>
  </si>
  <si>
    <t>00105</t>
  </si>
  <si>
    <t>2.전기공사 (지구외)::2-1.가로등설비공사</t>
  </si>
  <si>
    <t>00201</t>
  </si>
  <si>
    <t>GG450287524</t>
  </si>
  <si>
    <t>2.전기공사 (지구외)::2-2.신호등설비공사</t>
  </si>
  <si>
    <t>00202</t>
  </si>
  <si>
    <t>MM693428368</t>
  </si>
  <si>
    <t>MM868935941</t>
  </si>
  <si>
    <t>MM868935947</t>
  </si>
  <si>
    <t>MM460312131</t>
  </si>
  <si>
    <t>2.전기공사 (지구외)::2-3.불법주정차단속시스템</t>
  </si>
  <si>
    <t>00203</t>
  </si>
  <si>
    <t>341</t>
  </si>
  <si>
    <t>2.0</t>
  </si>
  <si>
    <t>[화성 청원지구 전기공사]</t>
  </si>
  <si>
    <t>001</t>
  </si>
  <si>
    <t>1. 전기공사 (지구내)</t>
  </si>
  <si>
    <t>002</t>
  </si>
  <si>
    <t>Total</t>
  </si>
  <si>
    <t>1.전기공사 (지구내)</t>
  </si>
  <si>
    <t>2.전기공사 (지구외)</t>
  </si>
  <si>
    <t>아래와 같이 見積書를 제출합니다.</t>
    <phoneticPr fontId="2" type="noConversion"/>
  </si>
  <si>
    <t>대 한 민 국 주 식 회 사</t>
    <phoneticPr fontId="2" type="noConversion"/>
  </si>
  <si>
    <t>ㅇ ㅇ 시 ㅇ  ㅇ  구 ㅇ  ㅇ  동</t>
    <phoneticPr fontId="2" type="noConversion"/>
  </si>
  <si>
    <t xml:space="preserve">             貴下</t>
    <phoneticPr fontId="2" type="noConversion"/>
  </si>
  <si>
    <t>2026년 4월 1일</t>
    <phoneticPr fontId="2" type="noConversion"/>
  </si>
  <si>
    <t>대표이사    홍      길      동</t>
    <phoneticPr fontId="2" type="noConversion"/>
  </si>
  <si>
    <t>대표전화   (02) 0 0 0 - 0 0 0 0</t>
    <phoneticPr fontId="2" type="noConversion"/>
  </si>
  <si>
    <t>화성 청원지구 전기공사</t>
    <phoneticPr fontId="2" type="noConversion"/>
  </si>
  <si>
    <t>팩    스   (02) 0 0 0 - 0 0 0 0</t>
    <phoneticPr fontId="2" type="noConversion"/>
  </si>
  <si>
    <t>1. 부가가치세 별도</t>
    <phoneticPr fontId="2" type="noConversion"/>
  </si>
  <si>
    <t>2. 한전불입금 별도</t>
  </si>
  <si>
    <t>재    료    비</t>
    <phoneticPr fontId="2" type="noConversion"/>
  </si>
  <si>
    <t>식</t>
    <phoneticPr fontId="2" type="noConversion"/>
  </si>
  <si>
    <t>노    무    비</t>
    <phoneticPr fontId="2" type="noConversion"/>
  </si>
  <si>
    <t>간 접 노 무 비</t>
    <phoneticPr fontId="2" type="noConversion"/>
  </si>
  <si>
    <t>(직접 노무비) * 15.2 %</t>
  </si>
  <si>
    <t>( 소      계 )</t>
    <phoneticPr fontId="2" type="noConversion"/>
  </si>
  <si>
    <t>기  계  경  비</t>
    <phoneticPr fontId="2" type="noConversion"/>
  </si>
  <si>
    <t>산 재 보 험 료</t>
    <phoneticPr fontId="2" type="noConversion"/>
  </si>
  <si>
    <t>(노무비) * 3.56 %</t>
  </si>
  <si>
    <t>고 용 보 험 료</t>
    <phoneticPr fontId="2" type="noConversion"/>
  </si>
  <si>
    <t>(노무비) * 1.01 %</t>
  </si>
  <si>
    <t>건 강 보 험 료</t>
    <phoneticPr fontId="2" type="noConversion"/>
  </si>
  <si>
    <t>(직접 노무비) * 3.595 %</t>
  </si>
  <si>
    <t>(직접 노무비) * 3.595 %</t>
    <phoneticPr fontId="2" type="noConversion"/>
  </si>
  <si>
    <t>연 금 보 험 료</t>
    <phoneticPr fontId="2" type="noConversion"/>
  </si>
  <si>
    <t>(직접 노무비) * 4.75 %</t>
  </si>
  <si>
    <t>(직접 노무비) * 4.75 %</t>
    <phoneticPr fontId="2" type="noConversion"/>
  </si>
  <si>
    <t>퇴 직 금 공 제</t>
    <phoneticPr fontId="2" type="noConversion"/>
  </si>
  <si>
    <t>(직접 노무비) * 2.3 %</t>
  </si>
  <si>
    <t>(직접 노무비) * 2.3 %</t>
    <phoneticPr fontId="2" type="noConversion"/>
  </si>
  <si>
    <t>안 전 관 리 비</t>
    <phoneticPr fontId="2" type="noConversion"/>
  </si>
  <si>
    <t>(재료+직노+관급재/1.1) * 3.11 %</t>
  </si>
  <si>
    <t>기  타  경  비</t>
    <phoneticPr fontId="2" type="noConversion"/>
  </si>
  <si>
    <t>(재료+노무) * 4.7 %</t>
  </si>
  <si>
    <t>노인장기요양보험</t>
    <phoneticPr fontId="2" type="noConversion"/>
  </si>
  <si>
    <t>(건강 보험료) * 13.14 %</t>
  </si>
  <si>
    <t>일 반 관 리 비</t>
    <phoneticPr fontId="2" type="noConversion"/>
  </si>
  <si>
    <t>(재료+노무+경비) * 8 %</t>
  </si>
  <si>
    <t>이          윤</t>
    <phoneticPr fontId="2" type="noConversion"/>
  </si>
  <si>
    <t>(노무+경비+일반관리비) * 15 %</t>
  </si>
  <si>
    <t>( 총  원  가 )</t>
    <phoneticPr fontId="2" type="noConversion"/>
  </si>
  <si>
    <t>부 가 가 치 세</t>
    <phoneticPr fontId="2" type="noConversion"/>
  </si>
  <si>
    <t>( 총      계 )</t>
    <phoneticPr fontId="2" type="noConversion"/>
  </si>
  <si>
    <t>직 접 재 료 비</t>
    <phoneticPr fontId="2" type="noConversion"/>
  </si>
  <si>
    <t>간 접 재 료 비</t>
    <phoneticPr fontId="2" type="noConversion"/>
  </si>
  <si>
    <t>직 접 노 무 비</t>
    <phoneticPr fontId="2" type="noConversion"/>
  </si>
  <si>
    <t>(직접 노무비) * 16.7 %</t>
  </si>
  <si>
    <t>(재료+노무+경비) * 6.5 %</t>
  </si>
  <si>
    <t>( 순 공 사 비 계 )</t>
    <phoneticPr fontId="2" type="noConversion"/>
  </si>
  <si>
    <t>본 파일은 이지테크에서 2번 옵션으로 만들었습니다.</t>
  </si>
  <si>
    <t xml:space="preserve"> 석면분담금</t>
    <phoneticPr fontId="2" type="noConversion"/>
  </si>
  <si>
    <t xml:space="preserve"> 임금채권부담금</t>
    <phoneticPr fontId="2" type="noConversion"/>
  </si>
  <si>
    <t>(노무비) * 0.006 %</t>
    <phoneticPr fontId="2" type="noConversion"/>
  </si>
  <si>
    <t>(노무비) * 0.09 %</t>
    <phoneticPr fontId="2" type="noConversion"/>
  </si>
  <si>
    <t>1170</t>
    <phoneticPr fontId="2" type="noConversion"/>
  </si>
  <si>
    <t>1081</t>
    <phoneticPr fontId="2" type="noConversion"/>
  </si>
  <si>
    <t>1301</t>
    <phoneticPr fontId="2" type="noConversion"/>
  </si>
  <si>
    <t>1240</t>
    <phoneticPr fontId="2" type="noConversion"/>
  </si>
  <si>
    <t>1-1271</t>
  </si>
  <si>
    <t>1198</t>
    <phoneticPr fontId="2" type="noConversion"/>
  </si>
  <si>
    <t>1272</t>
    <phoneticPr fontId="2" type="noConversion"/>
  </si>
  <si>
    <t>747</t>
    <phoneticPr fontId="2" type="noConversion"/>
  </si>
  <si>
    <t>206</t>
    <phoneticPr fontId="2" type="noConversion"/>
  </si>
  <si>
    <t>71</t>
    <phoneticPr fontId="2" type="noConversion"/>
  </si>
  <si>
    <t>1303</t>
    <phoneticPr fontId="2" type="noConversion"/>
  </si>
  <si>
    <t>1302</t>
    <phoneticPr fontId="2" type="noConversion"/>
  </si>
  <si>
    <t>1194</t>
    <phoneticPr fontId="2" type="noConversion"/>
  </si>
  <si>
    <t>1095</t>
    <phoneticPr fontId="2" type="noConversion"/>
  </si>
  <si>
    <t>물가자료부록164</t>
    <phoneticPr fontId="2" type="noConversion"/>
  </si>
  <si>
    <t>1306</t>
    <phoneticPr fontId="2" type="noConversion"/>
  </si>
  <si>
    <t>1136</t>
    <phoneticPr fontId="2" type="noConversion"/>
  </si>
  <si>
    <t>1305</t>
    <phoneticPr fontId="2" type="noConversion"/>
  </si>
  <si>
    <t>1242</t>
    <phoneticPr fontId="2" type="noConversion"/>
  </si>
  <si>
    <t>1309</t>
    <phoneticPr fontId="2" type="noConversion"/>
  </si>
  <si>
    <t>1241</t>
    <phoneticPr fontId="2" type="noConversion"/>
  </si>
  <si>
    <t>1312</t>
    <phoneticPr fontId="2" type="noConversion"/>
  </si>
  <si>
    <t>재료</t>
    <phoneticPr fontId="2" type="noConversion"/>
  </si>
  <si>
    <t>물가자료부록166</t>
    <phoneticPr fontId="2" type="noConversion"/>
  </si>
  <si>
    <t>1308</t>
    <phoneticPr fontId="2" type="noConversion"/>
  </si>
  <si>
    <t>1306</t>
    <phoneticPr fontId="2" type="noConversion"/>
  </si>
  <si>
    <t>1305</t>
    <phoneticPr fontId="2" type="noConversion"/>
  </si>
  <si>
    <t>21818663</t>
  </si>
  <si>
    <t>세하전기</t>
    <phoneticPr fontId="2" type="noConversion"/>
  </si>
  <si>
    <t>21447191</t>
    <phoneticPr fontId="2" type="noConversion"/>
  </si>
  <si>
    <t>렉스젠</t>
    <phoneticPr fontId="2" type="noConversion"/>
  </si>
  <si>
    <t>■  한전인입 공사비</t>
    <phoneticPr fontId="2" type="noConversion"/>
  </si>
  <si>
    <t>1. 공사비 산출근거 (한국전력공사 전기공급 약관 별표4 표준공사비 단가표)</t>
    <phoneticPr fontId="2" type="noConversion"/>
  </si>
  <si>
    <t>1) 기본공사비 (부가가치세 불포함)</t>
    <phoneticPr fontId="2" type="noConversion"/>
  </si>
  <si>
    <t>구     분</t>
    <phoneticPr fontId="2" type="noConversion"/>
  </si>
  <si>
    <t>금 액</t>
  </si>
  <si>
    <t>비  고</t>
    <phoneticPr fontId="2" type="noConversion"/>
  </si>
  <si>
    <t>가공공급</t>
  </si>
  <si>
    <t>지중공급</t>
  </si>
  <si>
    <t>저        압</t>
    <phoneticPr fontId="2" type="noConversion"/>
  </si>
  <si>
    <t>매 1계약에 대하여 계약전력 5kW까지</t>
    <phoneticPr fontId="2" type="noConversion"/>
  </si>
  <si>
    <t>계약전력 5kW 초과분의 매 1kW에 대하여</t>
    <phoneticPr fontId="2" type="noConversion"/>
  </si>
  <si>
    <t>고압 또는 특별고압</t>
    <phoneticPr fontId="2" type="noConversion"/>
  </si>
  <si>
    <t>신증설 계약전력 매 1kW에 대하여</t>
    <phoneticPr fontId="2" type="noConversion"/>
  </si>
  <si>
    <t>2) 거리공사비 (부가가치세 불포함)</t>
    <phoneticPr fontId="2" type="noConversion"/>
  </si>
  <si>
    <t>단상</t>
  </si>
  <si>
    <t>삼상</t>
  </si>
  <si>
    <t>신설거리 공사비</t>
    <phoneticPr fontId="2" type="noConversion"/>
  </si>
  <si>
    <t>기본거리를 초과하는 신설거리 매 1m에 대하여</t>
    <phoneticPr fontId="2" type="noConversion"/>
  </si>
  <si>
    <t>저압</t>
  </si>
  <si>
    <t>특별고압</t>
    <phoneticPr fontId="2" type="noConversion"/>
  </si>
  <si>
    <t>첨가거리 공사비</t>
    <phoneticPr fontId="2" type="noConversion"/>
  </si>
  <si>
    <t>기본거리를 초과하는 첨가거리 매 1m에 대하여</t>
    <phoneticPr fontId="2" type="noConversion"/>
  </si>
  <si>
    <t>-</t>
  </si>
  <si>
    <t>기본거리 : 가공배전선로 (200M), 지중배전선로 (50M)</t>
    <phoneticPr fontId="2" type="noConversion"/>
  </si>
  <si>
    <t>■  한전인입 및 사용전공사비 적용</t>
    <phoneticPr fontId="2" type="noConversion"/>
  </si>
  <si>
    <t>구   분</t>
    <phoneticPr fontId="2" type="noConversion"/>
  </si>
  <si>
    <t>개   요</t>
    <phoneticPr fontId="2" type="noConversion"/>
  </si>
  <si>
    <t>소  계</t>
    <phoneticPr fontId="2" type="noConversion"/>
  </si>
  <si>
    <t>비   고</t>
    <phoneticPr fontId="2" type="noConversion"/>
  </si>
  <si>
    <t xml:space="preserve"> 한전 인입공사비</t>
    <phoneticPr fontId="2" type="noConversion"/>
  </si>
  <si>
    <t>특고압수전</t>
    <phoneticPr fontId="2" type="noConversion"/>
  </si>
  <si>
    <t>저압수전</t>
    <phoneticPr fontId="2" type="noConversion"/>
  </si>
  <si>
    <t>사용전 검사비</t>
    <phoneticPr fontId="2" type="noConversion"/>
  </si>
  <si>
    <t>부가가치세포함</t>
    <phoneticPr fontId="2" type="noConversion"/>
  </si>
  <si>
    <t>적용</t>
    <phoneticPr fontId="2" type="noConversion"/>
  </si>
  <si>
    <t>천단위이하 절사</t>
    <phoneticPr fontId="2" type="noConversion"/>
  </si>
  <si>
    <t>예상수전점
까지의거리</t>
    <phoneticPr fontId="2" type="noConversion"/>
  </si>
  <si>
    <t>시설용량
(kW)</t>
    <phoneticPr fontId="2" type="noConversion"/>
  </si>
  <si>
    <t>기본공사비</t>
    <phoneticPr fontId="2" type="noConversion"/>
  </si>
  <si>
    <t>거리공사비</t>
    <phoneticPr fontId="2" type="noConversion"/>
  </si>
  <si>
    <t>수전 개소</t>
    <phoneticPr fontId="2" type="noConversion"/>
  </si>
  <si>
    <t>계약전력
5kW까지</t>
    <phoneticPr fontId="2" type="noConversion"/>
  </si>
  <si>
    <t>계약전력 5kW초과분의 매 1kW에 대하여</t>
    <phoneticPr fontId="2" type="noConversion"/>
  </si>
  <si>
    <t>기본거리 
50m (지중),
200m (가공)</t>
    <phoneticPr fontId="2" type="noConversion"/>
  </si>
  <si>
    <t>[가로등 저압]</t>
    <phoneticPr fontId="2" type="noConversion"/>
  </si>
  <si>
    <t>가로등-1</t>
    <phoneticPr fontId="2" type="noConversion"/>
  </si>
  <si>
    <t>가공</t>
    <phoneticPr fontId="2" type="noConversion"/>
  </si>
  <si>
    <t>가로등-2</t>
  </si>
  <si>
    <t>공원등-1</t>
    <phoneticPr fontId="2" type="noConversion"/>
  </si>
  <si>
    <t>공원등-2</t>
    <phoneticPr fontId="2" type="noConversion"/>
  </si>
  <si>
    <t>[신호등 저압]</t>
    <phoneticPr fontId="2" type="noConversion"/>
  </si>
  <si>
    <t>신호등</t>
    <phoneticPr fontId="2" type="noConversion"/>
  </si>
  <si>
    <t>[오수처리 및 비점처리 저압]</t>
    <phoneticPr fontId="2" type="noConversion"/>
  </si>
  <si>
    <t>오수처리</t>
    <phoneticPr fontId="2" type="noConversion"/>
  </si>
  <si>
    <t>비점처리시설</t>
    <phoneticPr fontId="2" type="noConversion"/>
  </si>
  <si>
    <t>소 계</t>
    <phoneticPr fontId="2" type="noConversion"/>
  </si>
  <si>
    <t>VAT</t>
    <phoneticPr fontId="2" type="noConversion"/>
  </si>
  <si>
    <t>10%</t>
    <phoneticPr fontId="2" type="noConversion"/>
  </si>
  <si>
    <t>■  사용전검사비</t>
    <phoneticPr fontId="2" type="noConversion"/>
  </si>
  <si>
    <t>1. 공사비 산출근거 (한국전기안전공사)</t>
    <phoneticPr fontId="2" type="noConversion"/>
  </si>
  <si>
    <t>[수용설비 설치공사,  단위 : 원/VAT별도]</t>
    <phoneticPr fontId="2" type="noConversion"/>
  </si>
  <si>
    <t>기본료</t>
    <phoneticPr fontId="2" type="noConversion"/>
  </si>
  <si>
    <t>용 량 별 금 액</t>
    <phoneticPr fontId="2" type="noConversion"/>
  </si>
  <si>
    <t>저압</t>
    <phoneticPr fontId="2" type="noConversion"/>
  </si>
  <si>
    <t>구내배전설비 검사시는 
기본료에 kw당 요금의 
2배합산 적용</t>
    <phoneticPr fontId="2" type="noConversion"/>
  </si>
  <si>
    <t>고압 300kw 까지</t>
    <phoneticPr fontId="2" type="noConversion"/>
  </si>
  <si>
    <t>고압 300kw 초과</t>
    <phoneticPr fontId="2" type="noConversion"/>
  </si>
  <si>
    <t>1,000kw 미만</t>
    <phoneticPr fontId="2" type="noConversion"/>
  </si>
  <si>
    <t>고압 1000kw 이상</t>
    <phoneticPr fontId="2" type="noConversion"/>
  </si>
  <si>
    <t>1,000kw까지</t>
    <phoneticPr fontId="2" type="noConversion"/>
  </si>
  <si>
    <t>1,001~100,000kw까지</t>
    <phoneticPr fontId="2" type="noConversion"/>
  </si>
  <si>
    <t>100,000kw초과</t>
    <phoneticPr fontId="2" type="noConversion"/>
  </si>
  <si>
    <t>2. 사용전 검사비 적용</t>
    <phoneticPr fontId="2" type="noConversion"/>
  </si>
  <si>
    <t>계약 전압</t>
  </si>
  <si>
    <t>KW 당 요금</t>
    <phoneticPr fontId="2" type="noConversion"/>
  </si>
  <si>
    <t>가로등</t>
    <phoneticPr fontId="2" type="noConversion"/>
  </si>
  <si>
    <t>가로등,공원등, 저압(4개소)</t>
    <phoneticPr fontId="2" type="noConversion"/>
  </si>
  <si>
    <t>신호등, 저압(1개소)</t>
    <phoneticPr fontId="2" type="noConversion"/>
  </si>
  <si>
    <t>관계시설</t>
    <phoneticPr fontId="2" type="noConversion"/>
  </si>
  <si>
    <t>저류지 및 하수처리, 저압(2개소)</t>
    <phoneticPr fontId="2" type="noConversion"/>
  </si>
  <si>
    <t>한 전 수 탁 비</t>
    <phoneticPr fontId="2" type="noConversion"/>
  </si>
  <si>
    <t>화성 청원지구 전기공사_(지구내)</t>
    <phoneticPr fontId="2" type="noConversion"/>
  </si>
  <si>
    <t>(재료+직노) * 2.07 %</t>
    <phoneticPr fontId="2" type="noConversion"/>
  </si>
  <si>
    <t>(재료+노무) * 5.3 %</t>
    <phoneticPr fontId="2" type="noConversion"/>
  </si>
  <si>
    <t>공사기간: 32 개월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</si>
</sst>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176" formatCode="#,##0_ "/>
    <numFmt numFmtId="177" formatCode="#,###"/>
    <numFmt numFmtId="178" formatCode="#,###;\-#,###"/>
    <numFmt numFmtId="179" formatCode="#,##0&quot;원&quot;"/>
    <numFmt numFmtId="180" formatCode="#,###\ &quot;kW&quot;"/>
    <numFmt numFmtId="181" formatCode="#,##0\ &quot;원&quot;"/>
    <numFmt numFmtId="182" formatCode="#,###&quot;m&quot;"/>
    <numFmt numFmtId="183" formatCode="#,###.0\ &quot;kW&quot;"/>
    <numFmt numFmtId="184" formatCode="#,##0\ &quot;개소&quot;"/>
    <numFmt numFmtId="185" formatCode="&quot;₩&quot;#,##0_);\(&quot;₩&quot;#,##0\)"/>
    <numFmt numFmtId="186" formatCode="&quot;₩&quot;#,##0"/>
    <numFmt numFmtId="187" formatCode="#,##0_);[Red]\(#,##0\)"/>
  </numFmts>
  <fonts count="32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돋움체"/>
      <family val="3"/>
      <charset val="129"/>
    </font>
    <font>
      <sz val="14"/>
      <name val="돋움체"/>
      <family val="3"/>
      <charset val="129"/>
    </font>
    <font>
      <sz val="12"/>
      <name val="돋움체"/>
      <family val="3"/>
      <charset val="129"/>
    </font>
    <font>
      <sz val="28"/>
      <name val="돋움체"/>
      <family val="3"/>
      <charset val="129"/>
    </font>
    <font>
      <b/>
      <sz val="18"/>
      <name val="돋움체"/>
      <family val="3"/>
      <charset val="129"/>
    </font>
    <font>
      <sz val="18"/>
      <name val="돋움체"/>
      <family val="3"/>
      <charset val="129"/>
    </font>
    <font>
      <b/>
      <sz val="11"/>
      <name val="돋움체"/>
      <family val="3"/>
      <charset val="129"/>
    </font>
    <font>
      <b/>
      <sz val="12"/>
      <name val="돋움체"/>
      <family val="3"/>
      <charset val="129"/>
    </font>
    <font>
      <sz val="16"/>
      <name val="돋움"/>
      <family val="3"/>
      <charset val="129"/>
    </font>
    <font>
      <b/>
      <sz val="11"/>
      <name val="돋움"/>
      <family val="3"/>
      <charset val="129"/>
    </font>
    <font>
      <sz val="11"/>
      <color indexed="8"/>
      <name val="돋움"/>
      <family val="3"/>
      <charset val="129"/>
    </font>
    <font>
      <b/>
      <sz val="12"/>
      <name val="돋움"/>
      <family val="3"/>
      <charset val="129"/>
    </font>
    <font>
      <sz val="2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4"/>
      <name val="굴림"/>
      <family val="3"/>
      <charset val="129"/>
    </font>
    <font>
      <sz val="11"/>
      <name val="굴림"/>
      <family val="3"/>
      <charset val="129"/>
    </font>
    <font>
      <b/>
      <sz val="10"/>
      <name val="굴림"/>
      <family val="3"/>
      <charset val="129"/>
    </font>
    <font>
      <b/>
      <sz val="10"/>
      <color indexed="8"/>
      <name val="굴림"/>
      <family val="3"/>
      <charset val="129"/>
    </font>
    <font>
      <sz val="10"/>
      <color indexed="8"/>
      <name val="굴림"/>
      <family val="3"/>
      <charset val="129"/>
    </font>
    <font>
      <sz val="10"/>
      <color indexed="8"/>
      <name val="맑은 고딕"/>
      <family val="3"/>
      <charset val="129"/>
      <scheme val="major"/>
    </font>
    <font>
      <b/>
      <sz val="12"/>
      <name val="굴림"/>
      <family val="3"/>
      <charset val="129"/>
    </font>
    <font>
      <sz val="14"/>
      <name val="굴림"/>
      <family val="3"/>
      <charset val="129"/>
    </font>
    <font>
      <sz val="10"/>
      <name val="굴림"/>
      <family val="3"/>
      <charset val="129"/>
    </font>
    <font>
      <b/>
      <sz val="18"/>
      <name val="굴림"/>
      <family val="3"/>
      <charset val="129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1"/>
      <color indexed="8"/>
      <name val="굴림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1" fillId="0" borderId="0"/>
  </cellStyleXfs>
  <cellXfs count="323">
    <xf numFmtId="0" fontId="0" fillId="0" borderId="0" xfId="0"/>
    <xf numFmtId="49" fontId="3" fillId="0" borderId="0" xfId="0" applyNumberFormat="1" applyFont="1" applyAlignment="1">
      <alignment horizontal="left"/>
    </xf>
    <xf numFmtId="0" fontId="3" fillId="0" borderId="0" xfId="0" applyFont="1"/>
    <xf numFmtId="49" fontId="3" fillId="0" borderId="1" xfId="0" applyNumberFormat="1" applyFont="1" applyBorder="1" applyAlignment="1">
      <alignment horizontal="left"/>
    </xf>
    <xf numFmtId="49" fontId="3" fillId="0" borderId="2" xfId="0" applyNumberFormat="1" applyFont="1" applyBorder="1" applyAlignment="1">
      <alignment horizontal="left"/>
    </xf>
    <xf numFmtId="49" fontId="3" fillId="0" borderId="3" xfId="0" applyNumberFormat="1" applyFont="1" applyBorder="1" applyAlignment="1">
      <alignment horizontal="left"/>
    </xf>
    <xf numFmtId="0" fontId="3" fillId="0" borderId="0" xfId="0" applyFont="1" applyAlignment="1">
      <alignment vertical="center"/>
    </xf>
    <xf numFmtId="49" fontId="3" fillId="0" borderId="1" xfId="0" applyNumberFormat="1" applyFont="1" applyBorder="1"/>
    <xf numFmtId="49" fontId="3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1" xfId="0" applyFont="1" applyBorder="1"/>
    <xf numFmtId="0" fontId="3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distributed" shrinkToFi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8" fillId="0" borderId="0" xfId="0" applyNumberFormat="1" applyFont="1" applyAlignment="1">
      <alignment horizontal="distributed" shrinkToFit="1"/>
    </xf>
    <xf numFmtId="49" fontId="3" fillId="0" borderId="0" xfId="0" applyNumberFormat="1" applyFont="1" applyAlignment="1">
      <alignment vertical="center"/>
    </xf>
    <xf numFmtId="0" fontId="3" fillId="0" borderId="3" xfId="0" applyFont="1" applyBorder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49" fontId="12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78" fontId="3" fillId="0" borderId="0" xfId="0" applyNumberFormat="1" applyFont="1"/>
    <xf numFmtId="178" fontId="3" fillId="0" borderId="3" xfId="0" applyNumberFormat="1" applyFont="1" applyBorder="1"/>
    <xf numFmtId="178" fontId="3" fillId="0" borderId="1" xfId="0" applyNumberFormat="1" applyFont="1" applyBorder="1"/>
    <xf numFmtId="176" fontId="3" fillId="0" borderId="0" xfId="0" applyNumberFormat="1" applyFont="1" applyAlignment="1">
      <alignment horizontal="center"/>
    </xf>
    <xf numFmtId="178" fontId="3" fillId="0" borderId="0" xfId="0" applyNumberFormat="1" applyFont="1" applyAlignment="1">
      <alignment vertical="center"/>
    </xf>
    <xf numFmtId="49" fontId="3" fillId="3" borderId="12" xfId="0" applyNumberFormat="1" applyFont="1" applyFill="1" applyBorder="1" applyAlignment="1">
      <alignment horizontal="left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0" borderId="2" xfId="0" applyFont="1" applyBorder="1"/>
    <xf numFmtId="178" fontId="3" fillId="0" borderId="2" xfId="0" applyNumberFormat="1" applyFont="1" applyBorder="1"/>
    <xf numFmtId="0" fontId="13" fillId="3" borderId="1" xfId="0" applyFont="1" applyFill="1" applyBorder="1"/>
    <xf numFmtId="49" fontId="3" fillId="0" borderId="0" xfId="0" applyNumberFormat="1" applyFont="1" applyAlignment="1">
      <alignment horizontal="center" vertical="center"/>
    </xf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16" fillId="0" borderId="0" xfId="0" applyFont="1" applyAlignment="1">
      <alignment vertical="center"/>
    </xf>
    <xf numFmtId="178" fontId="16" fillId="0" borderId="0" xfId="0" applyNumberFormat="1" applyFont="1" applyAlignment="1">
      <alignment vertical="center"/>
    </xf>
    <xf numFmtId="0" fontId="16" fillId="0" borderId="0" xfId="0" applyFont="1" applyAlignment="1">
      <alignment horizontal="right" vertical="center"/>
    </xf>
    <xf numFmtId="0" fontId="16" fillId="0" borderId="4" xfId="0" applyFont="1" applyBorder="1" applyAlignment="1">
      <alignment horizontal="center" vertical="center"/>
    </xf>
    <xf numFmtId="178" fontId="16" fillId="0" borderId="4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78" fontId="16" fillId="0" borderId="3" xfId="0" applyNumberFormat="1" applyFont="1" applyBorder="1" applyAlignment="1">
      <alignment vertical="center"/>
    </xf>
    <xf numFmtId="49" fontId="16" fillId="0" borderId="7" xfId="0" applyNumberFormat="1" applyFont="1" applyBorder="1" applyAlignment="1">
      <alignment vertical="center"/>
    </xf>
    <xf numFmtId="49" fontId="16" fillId="0" borderId="1" xfId="0" applyNumberFormat="1" applyFont="1" applyBorder="1" applyAlignment="1">
      <alignment horizontal="left" vertical="center"/>
    </xf>
    <xf numFmtId="178" fontId="16" fillId="0" borderId="1" xfId="0" applyNumberFormat="1" applyFont="1" applyBorder="1" applyAlignment="1">
      <alignment vertical="center"/>
    </xf>
    <xf numFmtId="49" fontId="16" fillId="0" borderId="8" xfId="0" applyNumberFormat="1" applyFont="1" applyBorder="1" applyAlignment="1">
      <alignment vertical="center"/>
    </xf>
    <xf numFmtId="0" fontId="16" fillId="0" borderId="6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178" fontId="16" fillId="0" borderId="11" xfId="0" applyNumberFormat="1" applyFont="1" applyBorder="1" applyAlignment="1">
      <alignment vertical="center"/>
    </xf>
    <xf numFmtId="49" fontId="16" fillId="0" borderId="10" xfId="0" applyNumberFormat="1" applyFont="1" applyBorder="1" applyAlignment="1">
      <alignment vertical="center"/>
    </xf>
    <xf numFmtId="49" fontId="16" fillId="0" borderId="0" xfId="0" applyNumberFormat="1" applyFont="1" applyAlignment="1">
      <alignment vertical="center"/>
    </xf>
    <xf numFmtId="49" fontId="16" fillId="0" borderId="0" xfId="0" applyNumberFormat="1" applyFont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178" fontId="16" fillId="0" borderId="1" xfId="0" applyNumberFormat="1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/>
    </xf>
    <xf numFmtId="178" fontId="16" fillId="0" borderId="2" xfId="0" applyNumberFormat="1" applyFont="1" applyBorder="1" applyAlignment="1">
      <alignment horizontal="center" vertical="center"/>
    </xf>
    <xf numFmtId="177" fontId="16" fillId="0" borderId="2" xfId="0" applyNumberFormat="1" applyFont="1" applyBorder="1" applyAlignment="1">
      <alignment horizontal="center" vertical="center"/>
    </xf>
    <xf numFmtId="49" fontId="16" fillId="0" borderId="1" xfId="0" applyNumberFormat="1" applyFont="1" applyBorder="1" applyAlignment="1">
      <alignment vertical="center" shrinkToFit="1"/>
    </xf>
    <xf numFmtId="177" fontId="16" fillId="0" borderId="1" xfId="0" applyNumberFormat="1" applyFont="1" applyBorder="1" applyAlignment="1">
      <alignment horizontal="right" vertical="center"/>
    </xf>
    <xf numFmtId="49" fontId="16" fillId="0" borderId="1" xfId="0" applyNumberFormat="1" applyFont="1" applyBorder="1" applyAlignment="1">
      <alignment horizontal="right" vertical="center"/>
    </xf>
    <xf numFmtId="49" fontId="16" fillId="0" borderId="1" xfId="0" applyNumberFormat="1" applyFont="1" applyBorder="1" applyAlignment="1">
      <alignment vertical="center"/>
    </xf>
    <xf numFmtId="177" fontId="16" fillId="0" borderId="0" xfId="0" applyNumberFormat="1" applyFont="1" applyAlignment="1">
      <alignment horizontal="right" vertical="center"/>
    </xf>
    <xf numFmtId="49" fontId="16" fillId="0" borderId="0" xfId="0" applyNumberFormat="1" applyFont="1" applyAlignment="1">
      <alignment horizontal="left" vertical="center"/>
    </xf>
    <xf numFmtId="49" fontId="16" fillId="0" borderId="0" xfId="0" applyNumberFormat="1" applyFont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49" fontId="17" fillId="0" borderId="0" xfId="0" applyNumberFormat="1" applyFont="1" applyAlignment="1">
      <alignment horizontal="left" vertical="center"/>
    </xf>
    <xf numFmtId="178" fontId="16" fillId="0" borderId="0" xfId="0" applyNumberFormat="1" applyFont="1" applyAlignment="1">
      <alignment horizontal="center" vertical="center"/>
    </xf>
    <xf numFmtId="0" fontId="16" fillId="0" borderId="1" xfId="1" applyNumberFormat="1" applyFont="1" applyBorder="1" applyAlignment="1">
      <alignment vertical="center"/>
    </xf>
    <xf numFmtId="176" fontId="16" fillId="0" borderId="1" xfId="0" applyNumberFormat="1" applyFont="1" applyBorder="1" applyAlignment="1">
      <alignment vertical="center"/>
    </xf>
    <xf numFmtId="178" fontId="16" fillId="0" borderId="1" xfId="1" applyNumberFormat="1" applyFont="1" applyBorder="1" applyAlignment="1">
      <alignment vertical="center"/>
    </xf>
    <xf numFmtId="49" fontId="16" fillId="5" borderId="1" xfId="0" applyNumberFormat="1" applyFont="1" applyFill="1" applyBorder="1" applyAlignment="1">
      <alignment vertical="center"/>
    </xf>
    <xf numFmtId="177" fontId="16" fillId="5" borderId="1" xfId="0" applyNumberFormat="1" applyFont="1" applyFill="1" applyBorder="1" applyAlignment="1">
      <alignment horizontal="right" vertical="center"/>
    </xf>
    <xf numFmtId="49" fontId="16" fillId="5" borderId="1" xfId="0" applyNumberFormat="1" applyFont="1" applyFill="1" applyBorder="1" applyAlignment="1">
      <alignment horizontal="right" vertical="center"/>
    </xf>
    <xf numFmtId="178" fontId="18" fillId="6" borderId="1" xfId="0" applyNumberFormat="1" applyFont="1" applyFill="1" applyBorder="1" applyAlignment="1">
      <alignment vertical="center"/>
    </xf>
    <xf numFmtId="177" fontId="18" fillId="7" borderId="1" xfId="0" applyNumberFormat="1" applyFont="1" applyFill="1" applyBorder="1" applyAlignment="1">
      <alignment horizontal="right" vertical="center"/>
    </xf>
    <xf numFmtId="49" fontId="18" fillId="7" borderId="1" xfId="0" applyNumberFormat="1" applyFont="1" applyFill="1" applyBorder="1" applyAlignment="1">
      <alignment horizontal="right" vertical="center"/>
    </xf>
    <xf numFmtId="177" fontId="18" fillId="0" borderId="1" xfId="0" applyNumberFormat="1" applyFont="1" applyBorder="1" applyAlignment="1">
      <alignment horizontal="right" vertical="center"/>
    </xf>
    <xf numFmtId="49" fontId="18" fillId="0" borderId="1" xfId="0" applyNumberFormat="1" applyFont="1" applyBorder="1" applyAlignment="1">
      <alignment horizontal="right" vertical="center"/>
    </xf>
    <xf numFmtId="178" fontId="16" fillId="5" borderId="1" xfId="0" applyNumberFormat="1" applyFont="1" applyFill="1" applyBorder="1" applyAlignment="1">
      <alignment vertical="center" shrinkToFit="1"/>
    </xf>
    <xf numFmtId="177" fontId="16" fillId="5" borderId="1" xfId="0" applyNumberFormat="1" applyFont="1" applyFill="1" applyBorder="1" applyAlignment="1">
      <alignment horizontal="right" vertical="center" shrinkToFit="1"/>
    </xf>
    <xf numFmtId="49" fontId="16" fillId="5" borderId="1" xfId="0" applyNumberFormat="1" applyFont="1" applyFill="1" applyBorder="1" applyAlignment="1">
      <alignment horizontal="left" vertical="center" shrinkToFit="1"/>
    </xf>
    <xf numFmtId="49" fontId="16" fillId="5" borderId="1" xfId="0" applyNumberFormat="1" applyFont="1" applyFill="1" applyBorder="1" applyAlignment="1">
      <alignment horizontal="right" vertical="center" shrinkToFit="1"/>
    </xf>
    <xf numFmtId="49" fontId="16" fillId="5" borderId="1" xfId="0" applyNumberFormat="1" applyFont="1" applyFill="1" applyBorder="1" applyAlignment="1">
      <alignment vertical="center" shrinkToFit="1"/>
    </xf>
    <xf numFmtId="177" fontId="18" fillId="8" borderId="1" xfId="0" applyNumberFormat="1" applyFont="1" applyFill="1" applyBorder="1" applyAlignment="1">
      <alignment horizontal="right" vertical="center"/>
    </xf>
    <xf numFmtId="178" fontId="16" fillId="9" borderId="1" xfId="0" applyNumberFormat="1" applyFont="1" applyFill="1" applyBorder="1" applyAlignment="1">
      <alignment vertical="center"/>
    </xf>
    <xf numFmtId="177" fontId="16" fillId="9" borderId="1" xfId="0" applyNumberFormat="1" applyFont="1" applyFill="1" applyBorder="1" applyAlignment="1">
      <alignment horizontal="right" vertical="center"/>
    </xf>
    <xf numFmtId="49" fontId="16" fillId="9" borderId="1" xfId="0" applyNumberFormat="1" applyFont="1" applyFill="1" applyBorder="1" applyAlignment="1">
      <alignment horizontal="right" vertical="center"/>
    </xf>
    <xf numFmtId="177" fontId="16" fillId="5" borderId="1" xfId="0" applyNumberFormat="1" applyFont="1" applyFill="1" applyBorder="1" applyAlignment="1">
      <alignment horizontal="right"/>
    </xf>
    <xf numFmtId="49" fontId="16" fillId="5" borderId="1" xfId="0" applyNumberFormat="1" applyFont="1" applyFill="1" applyBorder="1" applyAlignment="1">
      <alignment horizontal="right"/>
    </xf>
    <xf numFmtId="178" fontId="18" fillId="0" borderId="1" xfId="0" applyNumberFormat="1" applyFont="1" applyBorder="1" applyAlignment="1">
      <alignment vertical="center"/>
    </xf>
    <xf numFmtId="49" fontId="18" fillId="5" borderId="0" xfId="0" applyNumberFormat="1" applyFont="1" applyFill="1" applyAlignment="1">
      <alignment vertical="center"/>
    </xf>
    <xf numFmtId="49" fontId="16" fillId="5" borderId="1" xfId="0" applyNumberFormat="1" applyFont="1" applyFill="1" applyBorder="1" applyAlignment="1">
      <alignment horizontal="center"/>
    </xf>
    <xf numFmtId="0" fontId="18" fillId="5" borderId="0" xfId="0" applyFont="1" applyFill="1" applyAlignment="1">
      <alignment vertical="center"/>
    </xf>
    <xf numFmtId="49" fontId="16" fillId="0" borderId="1" xfId="0" applyNumberFormat="1" applyFont="1" applyBorder="1" applyAlignment="1">
      <alignment horizontal="right" vertical="center" shrinkToFit="1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2" fillId="4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79" fontId="24" fillId="0" borderId="1" xfId="2" applyNumberFormat="1" applyFont="1" applyBorder="1" applyAlignment="1">
      <alignment horizontal="center" vertical="center"/>
    </xf>
    <xf numFmtId="0" fontId="24" fillId="0" borderId="1" xfId="2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4" borderId="1" xfId="0" applyFont="1" applyFill="1" applyBorder="1" applyAlignment="1">
      <alignment horizontal="center" vertical="center" wrapText="1" shrinkToFit="1"/>
    </xf>
    <xf numFmtId="0" fontId="29" fillId="0" borderId="1" xfId="0" applyFont="1" applyBorder="1" applyAlignment="1">
      <alignment horizontal="left" vertical="center"/>
    </xf>
    <xf numFmtId="182" fontId="30" fillId="0" borderId="1" xfId="0" applyNumberFormat="1" applyFont="1" applyBorder="1" applyAlignment="1">
      <alignment horizontal="center" vertical="center" shrinkToFit="1"/>
    </xf>
    <xf numFmtId="183" fontId="30" fillId="0" borderId="1" xfId="0" applyNumberFormat="1" applyFont="1" applyBorder="1" applyAlignment="1">
      <alignment horizontal="center" vertical="center" shrinkToFit="1"/>
    </xf>
    <xf numFmtId="184" fontId="30" fillId="0" borderId="1" xfId="0" applyNumberFormat="1" applyFont="1" applyBorder="1" applyAlignment="1">
      <alignment horizontal="center" vertical="center" shrinkToFit="1"/>
    </xf>
    <xf numFmtId="181" fontId="30" fillId="0" borderId="1" xfId="0" applyNumberFormat="1" applyFont="1" applyBorder="1" applyAlignment="1">
      <alignment horizontal="center" vertical="center" shrinkToFit="1"/>
    </xf>
    <xf numFmtId="180" fontId="30" fillId="0" borderId="1" xfId="0" applyNumberFormat="1" applyFont="1" applyBorder="1" applyAlignment="1">
      <alignment horizontal="center" vertical="center" shrinkToFit="1"/>
    </xf>
    <xf numFmtId="181" fontId="30" fillId="0" borderId="1" xfId="0" applyNumberFormat="1" applyFont="1" applyBorder="1" applyAlignment="1">
      <alignment horizontal="right" vertical="center" shrinkToFit="1"/>
    </xf>
    <xf numFmtId="0" fontId="30" fillId="0" borderId="1" xfId="0" applyFont="1" applyBorder="1" applyAlignment="1">
      <alignment horizontal="center" vertical="center" shrinkToFit="1"/>
    </xf>
    <xf numFmtId="0" fontId="18" fillId="0" borderId="0" xfId="0" applyFont="1" applyAlignment="1">
      <alignment horizontal="center" vertical="center"/>
    </xf>
    <xf numFmtId="0" fontId="27" fillId="0" borderId="1" xfId="0" applyFont="1" applyBorder="1" applyAlignment="1">
      <alignment horizontal="center" vertical="center" shrinkToFit="1"/>
    </xf>
    <xf numFmtId="182" fontId="27" fillId="0" borderId="1" xfId="0" applyNumberFormat="1" applyFont="1" applyBorder="1" applyAlignment="1">
      <alignment horizontal="center" vertical="center" shrinkToFit="1"/>
    </xf>
    <xf numFmtId="183" fontId="27" fillId="0" borderId="1" xfId="0" applyNumberFormat="1" applyFont="1" applyBorder="1" applyAlignment="1">
      <alignment horizontal="center" vertical="center" shrinkToFit="1"/>
    </xf>
    <xf numFmtId="184" fontId="27" fillId="0" borderId="1" xfId="0" applyNumberFormat="1" applyFont="1" applyBorder="1" applyAlignment="1">
      <alignment horizontal="center" vertical="center" shrinkToFit="1"/>
    </xf>
    <xf numFmtId="181" fontId="27" fillId="0" borderId="1" xfId="0" applyNumberFormat="1" applyFont="1" applyBorder="1" applyAlignment="1">
      <alignment horizontal="center" vertical="center" shrinkToFit="1"/>
    </xf>
    <xf numFmtId="180" fontId="27" fillId="0" borderId="1" xfId="0" applyNumberFormat="1" applyFont="1" applyBorder="1" applyAlignment="1">
      <alignment horizontal="center" vertical="center" shrinkToFit="1"/>
    </xf>
    <xf numFmtId="181" fontId="27" fillId="0" borderId="1" xfId="0" applyNumberFormat="1" applyFont="1" applyBorder="1" applyAlignment="1">
      <alignment horizontal="right" vertical="center" shrinkToFit="1"/>
    </xf>
    <xf numFmtId="0" fontId="20" fillId="0" borderId="1" xfId="0" applyFont="1" applyBorder="1" applyAlignment="1">
      <alignment horizontal="center" vertical="center" shrinkToFit="1"/>
    </xf>
    <xf numFmtId="185" fontId="20" fillId="0" borderId="1" xfId="0" applyNumberFormat="1" applyFont="1" applyBorder="1" applyAlignment="1">
      <alignment horizontal="center" vertical="center" shrinkToFit="1"/>
    </xf>
    <xf numFmtId="186" fontId="20" fillId="0" borderId="1" xfId="0" applyNumberFormat="1" applyFont="1" applyBorder="1" applyAlignment="1">
      <alignment horizontal="center" vertical="center" shrinkToFit="1"/>
    </xf>
    <xf numFmtId="0" fontId="27" fillId="0" borderId="1" xfId="0" quotePrefix="1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center" shrinkToFit="1"/>
    </xf>
    <xf numFmtId="187" fontId="27" fillId="0" borderId="1" xfId="0" applyNumberFormat="1" applyFont="1" applyBorder="1" applyAlignment="1">
      <alignment horizontal="center" vertical="center" shrinkToFit="1"/>
    </xf>
    <xf numFmtId="186" fontId="21" fillId="0" borderId="1" xfId="0" applyNumberFormat="1" applyFont="1" applyBorder="1" applyAlignment="1">
      <alignment horizontal="center" vertical="center" shrinkToFit="1"/>
    </xf>
    <xf numFmtId="0" fontId="31" fillId="0" borderId="30" xfId="0" applyFont="1" applyBorder="1" applyAlignment="1">
      <alignment horizontal="center" vertical="center"/>
    </xf>
    <xf numFmtId="0" fontId="31" fillId="0" borderId="31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81" fontId="20" fillId="0" borderId="0" xfId="0" applyNumberFormat="1" applyFont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/>
    </xf>
    <xf numFmtId="178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178" fontId="16" fillId="0" borderId="2" xfId="0" applyNumberFormat="1" applyFont="1" applyBorder="1" applyAlignment="1">
      <alignment horizontal="center" vertical="center"/>
    </xf>
    <xf numFmtId="49" fontId="17" fillId="0" borderId="19" xfId="0" applyNumberFormat="1" applyFont="1" applyBorder="1" applyAlignment="1">
      <alignment horizontal="left" vertical="center"/>
    </xf>
    <xf numFmtId="49" fontId="16" fillId="0" borderId="23" xfId="0" applyNumberFormat="1" applyFont="1" applyBorder="1" applyAlignment="1">
      <alignment horizontal="left" vertical="center"/>
    </xf>
    <xf numFmtId="0" fontId="16" fillId="0" borderId="31" xfId="0" applyFont="1" applyBorder="1" applyAlignment="1">
      <alignment horizontal="left" vertical="center"/>
    </xf>
    <xf numFmtId="0" fontId="16" fillId="0" borderId="30" xfId="0" applyFont="1" applyBorder="1" applyAlignment="1">
      <alignment horizontal="left" vertical="center"/>
    </xf>
    <xf numFmtId="0" fontId="16" fillId="0" borderId="26" xfId="0" applyFont="1" applyBorder="1" applyAlignment="1">
      <alignment vertical="center"/>
    </xf>
    <xf numFmtId="0" fontId="16" fillId="0" borderId="9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49" fontId="16" fillId="0" borderId="26" xfId="0" applyNumberFormat="1" applyFont="1" applyBorder="1" applyAlignment="1">
      <alignment horizontal="right" vertical="center"/>
    </xf>
    <xf numFmtId="0" fontId="16" fillId="0" borderId="1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49" fontId="16" fillId="0" borderId="29" xfId="0" applyNumberFormat="1" applyFont="1" applyBorder="1" applyAlignment="1">
      <alignment horizontal="left" vertical="center"/>
    </xf>
    <xf numFmtId="49" fontId="16" fillId="0" borderId="1" xfId="0" applyNumberFormat="1" applyFont="1" applyBorder="1" applyAlignment="1">
      <alignment horizontal="left" vertical="center"/>
    </xf>
    <xf numFmtId="49" fontId="16" fillId="0" borderId="38" xfId="0" applyNumberFormat="1" applyFont="1" applyBorder="1" applyAlignment="1">
      <alignment horizontal="left" vertical="center"/>
    </xf>
    <xf numFmtId="49" fontId="16" fillId="0" borderId="11" xfId="0" applyNumberFormat="1" applyFont="1" applyBorder="1" applyAlignment="1">
      <alignment horizontal="left" vertical="center"/>
    </xf>
    <xf numFmtId="49" fontId="16" fillId="0" borderId="29" xfId="0" applyNumberFormat="1" applyFont="1" applyBorder="1" applyAlignment="1">
      <alignment horizontal="center" vertical="center"/>
    </xf>
    <xf numFmtId="49" fontId="16" fillId="0" borderId="19" xfId="0" applyNumberFormat="1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22" fillId="0" borderId="19" xfId="0" applyFont="1" applyBorder="1" applyAlignment="1">
      <alignment vertical="center"/>
    </xf>
    <xf numFmtId="0" fontId="22" fillId="4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 wrapText="1" indent="1"/>
    </xf>
    <xf numFmtId="0" fontId="23" fillId="0" borderId="1" xfId="0" applyFont="1" applyBorder="1" applyAlignment="1">
      <alignment horizontal="left" vertical="center" indent="1"/>
    </xf>
    <xf numFmtId="179" fontId="24" fillId="0" borderId="1" xfId="2" applyNumberFormat="1" applyFont="1" applyBorder="1" applyAlignment="1">
      <alignment horizontal="center" vertical="center"/>
    </xf>
    <xf numFmtId="0" fontId="22" fillId="0" borderId="31" xfId="0" applyFont="1" applyBorder="1" applyAlignment="1">
      <alignment vertical="center"/>
    </xf>
    <xf numFmtId="0" fontId="23" fillId="10" borderId="31" xfId="0" applyFont="1" applyFill="1" applyBorder="1" applyAlignment="1">
      <alignment vertical="center"/>
    </xf>
    <xf numFmtId="0" fontId="25" fillId="0" borderId="14" xfId="0" applyFont="1" applyBorder="1" applyAlignment="1">
      <alignment horizontal="left" vertical="center"/>
    </xf>
    <xf numFmtId="0" fontId="27" fillId="4" borderId="1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 wrapText="1"/>
    </xf>
    <xf numFmtId="0" fontId="27" fillId="4" borderId="23" xfId="0" applyFont="1" applyFill="1" applyBorder="1" applyAlignment="1">
      <alignment horizontal="center" vertical="center"/>
    </xf>
    <xf numFmtId="0" fontId="27" fillId="4" borderId="30" xfId="0" applyFont="1" applyFill="1" applyBorder="1" applyAlignment="1">
      <alignment horizontal="center" vertical="center"/>
    </xf>
    <xf numFmtId="0" fontId="27" fillId="4" borderId="3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180" fontId="27" fillId="0" borderId="1" xfId="0" applyNumberFormat="1" applyFont="1" applyBorder="1" applyAlignment="1">
      <alignment horizontal="left" vertical="center" indent="2"/>
    </xf>
    <xf numFmtId="181" fontId="27" fillId="0" borderId="23" xfId="0" applyNumberFormat="1" applyFont="1" applyBorder="1" applyAlignment="1">
      <alignment horizontal="right" vertical="center"/>
    </xf>
    <xf numFmtId="181" fontId="27" fillId="0" borderId="30" xfId="0" applyNumberFormat="1" applyFont="1" applyBorder="1" applyAlignment="1">
      <alignment horizontal="right" vertical="center"/>
    </xf>
    <xf numFmtId="181" fontId="27" fillId="0" borderId="23" xfId="0" applyNumberFormat="1" applyFont="1" applyBorder="1" applyAlignment="1">
      <alignment horizontal="center" vertical="center"/>
    </xf>
    <xf numFmtId="181" fontId="27" fillId="0" borderId="31" xfId="0" applyNumberFormat="1" applyFont="1" applyBorder="1" applyAlignment="1">
      <alignment horizontal="center" vertical="center"/>
    </xf>
    <xf numFmtId="181" fontId="27" fillId="0" borderId="30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left" vertical="center" indent="2"/>
    </xf>
    <xf numFmtId="0" fontId="21" fillId="11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left" vertical="center" indent="2"/>
    </xf>
    <xf numFmtId="181" fontId="21" fillId="11" borderId="23" xfId="0" applyNumberFormat="1" applyFont="1" applyFill="1" applyBorder="1" applyAlignment="1">
      <alignment horizontal="right" vertical="center"/>
    </xf>
    <xf numFmtId="181" fontId="21" fillId="11" borderId="30" xfId="0" applyNumberFormat="1" applyFont="1" applyFill="1" applyBorder="1" applyAlignment="1">
      <alignment horizontal="right" vertical="center"/>
    </xf>
    <xf numFmtId="181" fontId="27" fillId="11" borderId="23" xfId="0" applyNumberFormat="1" applyFont="1" applyFill="1" applyBorder="1" applyAlignment="1">
      <alignment horizontal="center" vertical="center"/>
    </xf>
    <xf numFmtId="181" fontId="27" fillId="11" borderId="31" xfId="0" applyNumberFormat="1" applyFont="1" applyFill="1" applyBorder="1" applyAlignment="1">
      <alignment horizontal="center" vertical="center"/>
    </xf>
    <xf numFmtId="181" fontId="27" fillId="11" borderId="30" xfId="0" applyNumberFormat="1" applyFont="1" applyFill="1" applyBorder="1" applyAlignment="1">
      <alignment horizontal="center" vertical="center"/>
    </xf>
    <xf numFmtId="0" fontId="27" fillId="4" borderId="2" xfId="0" applyFont="1" applyFill="1" applyBorder="1" applyAlignment="1">
      <alignment horizontal="center" vertical="center" wrapText="1" shrinkToFit="1"/>
    </xf>
    <xf numFmtId="0" fontId="27" fillId="4" borderId="3" xfId="0" applyFont="1" applyFill="1" applyBorder="1" applyAlignment="1">
      <alignment horizontal="center" vertical="center" wrapText="1" shrinkToFit="1"/>
    </xf>
    <xf numFmtId="0" fontId="28" fillId="0" borderId="31" xfId="0" applyFont="1" applyBorder="1" applyAlignment="1">
      <alignment horizontal="left" vertical="center"/>
    </xf>
    <xf numFmtId="0" fontId="27" fillId="4" borderId="2" xfId="0" applyFont="1" applyFill="1" applyBorder="1" applyAlignment="1">
      <alignment horizontal="center" vertical="center" shrinkToFit="1"/>
    </xf>
    <xf numFmtId="0" fontId="27" fillId="4" borderId="9" xfId="0" applyFont="1" applyFill="1" applyBorder="1" applyAlignment="1">
      <alignment horizontal="center" vertical="center" shrinkToFit="1"/>
    </xf>
    <xf numFmtId="0" fontId="27" fillId="4" borderId="3" xfId="0" applyFont="1" applyFill="1" applyBorder="1" applyAlignment="1">
      <alignment horizontal="center" vertical="center" shrinkToFit="1"/>
    </xf>
    <xf numFmtId="0" fontId="27" fillId="4" borderId="9" xfId="0" applyFont="1" applyFill="1" applyBorder="1" applyAlignment="1">
      <alignment horizontal="center" vertical="center" wrapText="1" shrinkToFit="1"/>
    </xf>
    <xf numFmtId="0" fontId="27" fillId="4" borderId="23" xfId="0" applyFont="1" applyFill="1" applyBorder="1" applyAlignment="1">
      <alignment horizontal="center" vertical="center" shrinkToFit="1"/>
    </xf>
    <xf numFmtId="0" fontId="27" fillId="4" borderId="31" xfId="0" applyFont="1" applyFill="1" applyBorder="1" applyAlignment="1">
      <alignment horizontal="center" vertical="center" shrinkToFit="1"/>
    </xf>
    <xf numFmtId="0" fontId="27" fillId="4" borderId="30" xfId="0" applyFont="1" applyFill="1" applyBorder="1" applyAlignment="1">
      <alignment horizontal="center" vertical="center" shrinkToFit="1"/>
    </xf>
    <xf numFmtId="0" fontId="27" fillId="4" borderId="13" xfId="0" applyFont="1" applyFill="1" applyBorder="1" applyAlignment="1">
      <alignment horizontal="center" vertical="center" wrapText="1" shrinkToFit="1"/>
    </xf>
    <xf numFmtId="0" fontId="27" fillId="4" borderId="14" xfId="0" applyFont="1" applyFill="1" applyBorder="1" applyAlignment="1">
      <alignment horizontal="center" vertical="center" wrapText="1" shrinkToFit="1"/>
    </xf>
    <xf numFmtId="0" fontId="27" fillId="4" borderId="15" xfId="0" applyFont="1" applyFill="1" applyBorder="1" applyAlignment="1">
      <alignment horizontal="center" vertical="center" wrapText="1" shrinkToFit="1"/>
    </xf>
    <xf numFmtId="0" fontId="27" fillId="4" borderId="18" xfId="0" applyFont="1" applyFill="1" applyBorder="1" applyAlignment="1">
      <alignment horizontal="center" vertical="center" wrapText="1" shrinkToFit="1"/>
    </xf>
    <xf numFmtId="0" fontId="27" fillId="4" borderId="19" xfId="0" applyFont="1" applyFill="1" applyBorder="1" applyAlignment="1">
      <alignment horizontal="center" vertical="center" wrapText="1" shrinkToFit="1"/>
    </xf>
    <xf numFmtId="0" fontId="27" fillId="4" borderId="20" xfId="0" applyFont="1" applyFill="1" applyBorder="1" applyAlignment="1">
      <alignment horizontal="center" vertical="center" wrapText="1" shrinkToFit="1"/>
    </xf>
    <xf numFmtId="0" fontId="28" fillId="0" borderId="0" xfId="0" applyFont="1" applyAlignment="1">
      <alignment horizontal="left" vertical="center"/>
    </xf>
    <xf numFmtId="0" fontId="25" fillId="0" borderId="0" xfId="0" applyFont="1" applyAlignment="1">
      <alignment vertical="center"/>
    </xf>
    <xf numFmtId="0" fontId="31" fillId="0" borderId="19" xfId="0" applyFont="1" applyBorder="1" applyAlignment="1">
      <alignment horizontal="right" vertical="center"/>
    </xf>
    <xf numFmtId="0" fontId="31" fillId="4" borderId="23" xfId="0" applyFont="1" applyFill="1" applyBorder="1" applyAlignment="1">
      <alignment horizontal="center" vertical="center"/>
    </xf>
    <xf numFmtId="0" fontId="31" fillId="4" borderId="31" xfId="0" applyFont="1" applyFill="1" applyBorder="1" applyAlignment="1">
      <alignment horizontal="center" vertical="center"/>
    </xf>
    <xf numFmtId="0" fontId="31" fillId="4" borderId="30" xfId="0" applyFont="1" applyFill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5" fillId="0" borderId="19" xfId="0" applyFont="1" applyBorder="1" applyAlignment="1">
      <alignment horizontal="left" vertical="center"/>
    </xf>
    <xf numFmtId="0" fontId="31" fillId="0" borderId="23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176" fontId="31" fillId="0" borderId="23" xfId="0" applyNumberFormat="1" applyFont="1" applyBorder="1" applyAlignment="1">
      <alignment horizontal="right" vertical="center"/>
    </xf>
    <xf numFmtId="176" fontId="31" fillId="0" borderId="30" xfId="0" applyNumberFormat="1" applyFont="1" applyBorder="1" applyAlignment="1">
      <alignment horizontal="right" vertical="center"/>
    </xf>
    <xf numFmtId="0" fontId="31" fillId="0" borderId="31" xfId="0" applyFont="1" applyBorder="1" applyAlignment="1">
      <alignment horizontal="center" vertical="center"/>
    </xf>
    <xf numFmtId="0" fontId="31" fillId="0" borderId="13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17" xfId="0" applyFont="1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0" fontId="31" fillId="0" borderId="19" xfId="0" applyFont="1" applyBorder="1" applyAlignment="1">
      <alignment horizontal="center" vertical="center"/>
    </xf>
    <xf numFmtId="0" fontId="31" fillId="0" borderId="20" xfId="0" applyFont="1" applyBorder="1" applyAlignment="1">
      <alignment horizontal="center" vertical="center"/>
    </xf>
    <xf numFmtId="0" fontId="31" fillId="0" borderId="23" xfId="0" applyFont="1" applyBorder="1" applyAlignment="1">
      <alignment horizontal="right" vertical="center"/>
    </xf>
    <xf numFmtId="0" fontId="31" fillId="0" borderId="31" xfId="0" applyFont="1" applyBorder="1" applyAlignment="1">
      <alignment horizontal="right" vertical="center"/>
    </xf>
    <xf numFmtId="0" fontId="31" fillId="0" borderId="1" xfId="0" applyFont="1" applyBorder="1" applyAlignment="1">
      <alignment horizontal="center" vertical="center"/>
    </xf>
    <xf numFmtId="176" fontId="31" fillId="0" borderId="13" xfId="0" applyNumberFormat="1" applyFont="1" applyBorder="1" applyAlignment="1">
      <alignment horizontal="right" vertical="center"/>
    </xf>
    <xf numFmtId="176" fontId="31" fillId="0" borderId="15" xfId="0" applyNumberFormat="1" applyFont="1" applyBorder="1" applyAlignment="1">
      <alignment horizontal="right" vertical="center"/>
    </xf>
    <xf numFmtId="176" fontId="31" fillId="0" borderId="16" xfId="0" applyNumberFormat="1" applyFont="1" applyBorder="1" applyAlignment="1">
      <alignment horizontal="right" vertical="center"/>
    </xf>
    <xf numFmtId="176" fontId="31" fillId="0" borderId="17" xfId="0" applyNumberFormat="1" applyFont="1" applyBorder="1" applyAlignment="1">
      <alignment horizontal="right" vertical="center"/>
    </xf>
    <xf numFmtId="176" fontId="31" fillId="0" borderId="18" xfId="0" applyNumberFormat="1" applyFont="1" applyBorder="1" applyAlignment="1">
      <alignment horizontal="right" vertical="center"/>
    </xf>
    <xf numFmtId="176" fontId="31" fillId="0" borderId="20" xfId="0" applyNumberFormat="1" applyFont="1" applyBorder="1" applyAlignment="1">
      <alignment horizontal="right" vertical="center"/>
    </xf>
    <xf numFmtId="182" fontId="27" fillId="0" borderId="23" xfId="0" applyNumberFormat="1" applyFont="1" applyBorder="1" applyAlignment="1">
      <alignment horizontal="center" vertical="center" shrinkToFit="1"/>
    </xf>
    <xf numFmtId="0" fontId="20" fillId="0" borderId="30" xfId="0" applyFont="1" applyBorder="1" applyAlignment="1">
      <alignment horizontal="center" vertical="center" shrinkToFit="1"/>
    </xf>
    <xf numFmtId="181" fontId="27" fillId="0" borderId="23" xfId="0" applyNumberFormat="1" applyFont="1" applyBorder="1" applyAlignment="1">
      <alignment horizontal="center" vertical="center" shrinkToFit="1"/>
    </xf>
    <xf numFmtId="0" fontId="0" fillId="0" borderId="31" xfId="0" applyBorder="1" applyAlignment="1">
      <alignment horizontal="center" vertical="center" shrinkToFit="1"/>
    </xf>
    <xf numFmtId="0" fontId="0" fillId="0" borderId="30" xfId="0" applyBorder="1" applyAlignment="1">
      <alignment horizontal="center" vertical="center" shrinkToFit="1"/>
    </xf>
    <xf numFmtId="9" fontId="27" fillId="0" borderId="23" xfId="0" applyNumberFormat="1" applyFont="1" applyBorder="1" applyAlignment="1">
      <alignment horizontal="center" vertical="center" shrinkToFit="1"/>
    </xf>
    <xf numFmtId="9" fontId="20" fillId="0" borderId="30" xfId="0" applyNumberFormat="1" applyFont="1" applyBorder="1" applyAlignment="1">
      <alignment horizontal="center" vertical="center" shrinkToFit="1"/>
    </xf>
    <xf numFmtId="181" fontId="27" fillId="0" borderId="31" xfId="0" applyNumberFormat="1" applyFont="1" applyBorder="1" applyAlignment="1">
      <alignment horizontal="center" vertical="center" shrinkToFit="1"/>
    </xf>
    <xf numFmtId="181" fontId="27" fillId="0" borderId="30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/>
    </xf>
    <xf numFmtId="176" fontId="16" fillId="0" borderId="2" xfId="0" applyNumberFormat="1" applyFont="1" applyBorder="1" applyAlignment="1">
      <alignment horizontal="center" vertical="center"/>
    </xf>
    <xf numFmtId="0" fontId="14" fillId="4" borderId="13" xfId="0" applyFont="1" applyFill="1" applyBorder="1" applyAlignment="1">
      <alignment horizontal="center" vertical="center"/>
    </xf>
    <xf numFmtId="0" fontId="14" fillId="4" borderId="14" xfId="0" applyFont="1" applyFill="1" applyBorder="1" applyAlignment="1">
      <alignment horizontal="center" vertical="center"/>
    </xf>
    <xf numFmtId="0" fontId="14" fillId="4" borderId="15" xfId="0" applyFont="1" applyFill="1" applyBorder="1" applyAlignment="1">
      <alignment horizontal="center" vertical="center"/>
    </xf>
    <xf numFmtId="0" fontId="14" fillId="4" borderId="18" xfId="0" applyFont="1" applyFill="1" applyBorder="1" applyAlignment="1">
      <alignment horizontal="center" vertical="center"/>
    </xf>
    <xf numFmtId="0" fontId="14" fillId="4" borderId="19" xfId="0" applyFont="1" applyFill="1" applyBorder="1" applyAlignment="1">
      <alignment horizontal="center" vertical="center"/>
    </xf>
    <xf numFmtId="0" fontId="14" fillId="4" borderId="20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49" fontId="3" fillId="0" borderId="0" xfId="0" applyNumberFormat="1" applyFont="1"/>
    <xf numFmtId="0" fontId="3" fillId="0" borderId="0" xfId="0" applyFont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49" fontId="8" fillId="0" borderId="0" xfId="0" applyNumberFormat="1" applyFont="1" applyAlignment="1">
      <alignment horizontal="distributed"/>
    </xf>
    <xf numFmtId="0" fontId="8" fillId="0" borderId="0" xfId="0" applyFont="1" applyAlignment="1">
      <alignment horizontal="distributed"/>
    </xf>
    <xf numFmtId="49" fontId="3" fillId="0" borderId="31" xfId="0" applyNumberFormat="1" applyFont="1" applyBorder="1" applyAlignment="1">
      <alignment horizontal="left" vertical="center"/>
    </xf>
    <xf numFmtId="49" fontId="3" fillId="0" borderId="32" xfId="0" applyNumberFormat="1" applyFont="1" applyBorder="1" applyAlignment="1">
      <alignment horizontal="left" vertical="center"/>
    </xf>
    <xf numFmtId="49" fontId="3" fillId="0" borderId="33" xfId="0" applyNumberFormat="1" applyFont="1" applyBorder="1" applyAlignment="1">
      <alignment horizontal="left" vertical="center" indent="1"/>
    </xf>
    <xf numFmtId="49" fontId="3" fillId="0" borderId="14" xfId="0" applyNumberFormat="1" applyFont="1" applyBorder="1" applyAlignment="1">
      <alignment horizontal="left" vertical="center" indent="1"/>
    </xf>
    <xf numFmtId="49" fontId="3" fillId="0" borderId="34" xfId="0" applyNumberFormat="1" applyFont="1" applyBorder="1" applyAlignment="1">
      <alignment horizontal="left" vertical="center" indent="1"/>
    </xf>
    <xf numFmtId="49" fontId="3" fillId="0" borderId="29" xfId="0" applyNumberFormat="1" applyFont="1" applyBorder="1" applyAlignment="1">
      <alignment horizontal="left" vertical="center" indent="2"/>
    </xf>
    <xf numFmtId="49" fontId="3" fillId="0" borderId="1" xfId="0" applyNumberFormat="1" applyFont="1" applyBorder="1" applyAlignment="1">
      <alignment horizontal="left" vertical="center" indent="2"/>
    </xf>
    <xf numFmtId="178" fontId="3" fillId="0" borderId="23" xfId="0" applyNumberFormat="1" applyFont="1" applyBorder="1" applyAlignment="1">
      <alignment vertical="center"/>
    </xf>
    <xf numFmtId="178" fontId="3" fillId="0" borderId="30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23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 indent="1"/>
    </xf>
    <xf numFmtId="49" fontId="3" fillId="0" borderId="0" xfId="0" applyNumberFormat="1" applyFont="1" applyAlignment="1">
      <alignment horizontal="left" vertical="center" indent="1"/>
    </xf>
    <xf numFmtId="49" fontId="3" fillId="0" borderId="25" xfId="0" applyNumberFormat="1" applyFont="1" applyBorder="1" applyAlignment="1">
      <alignment horizontal="left" vertical="center" indent="1"/>
    </xf>
    <xf numFmtId="49" fontId="3" fillId="0" borderId="26" xfId="0" applyNumberFormat="1" applyFont="1" applyBorder="1" applyAlignment="1">
      <alignment horizontal="left" vertical="center" indent="1"/>
    </xf>
    <xf numFmtId="49" fontId="3" fillId="0" borderId="27" xfId="0" applyNumberFormat="1" applyFont="1" applyBorder="1" applyAlignment="1">
      <alignment horizontal="left" vertical="center" indent="1"/>
    </xf>
    <xf numFmtId="49" fontId="3" fillId="0" borderId="28" xfId="0" applyNumberFormat="1" applyFont="1" applyBorder="1" applyAlignment="1">
      <alignment horizontal="left" vertical="center" indent="1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3" fillId="0" borderId="21" xfId="0" applyNumberFormat="1" applyFont="1" applyBorder="1" applyAlignment="1">
      <alignment horizontal="left" vertical="center"/>
    </xf>
    <xf numFmtId="49" fontId="3" fillId="0" borderId="22" xfId="0" applyNumberFormat="1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8" fontId="3" fillId="0" borderId="35" xfId="0" applyNumberFormat="1" applyFont="1" applyBorder="1" applyAlignment="1">
      <alignment vertical="center"/>
    </xf>
    <xf numFmtId="178" fontId="3" fillId="0" borderId="36" xfId="0" applyNumberFormat="1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37" xfId="0" applyNumberFormat="1" applyFont="1" applyBorder="1" applyAlignment="1">
      <alignment horizontal="left" vertical="center" indent="2"/>
    </xf>
    <xf numFmtId="49" fontId="3" fillId="0" borderId="3" xfId="0" applyNumberFormat="1" applyFont="1" applyBorder="1" applyAlignment="1">
      <alignment horizontal="left" vertical="center" indent="2"/>
    </xf>
    <xf numFmtId="0" fontId="10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0" fillId="0" borderId="2" xfId="0" applyBorder="1"/>
    <xf numFmtId="0" fontId="0" fillId="0" borderId="19" xfId="0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0" fillId="0" borderId="2" xfId="0" applyNumberFormat="1" applyBorder="1"/>
    <xf numFmtId="0" fontId="0" fillId="0" borderId="2" xfId="0" applyBorder="1" applyAlignment="1">
      <alignment horizontal="center"/>
    </xf>
  </cellXfs>
  <cellStyles count="3">
    <cellStyle name="쉼표 [0]" xfId="1" builtinId="6"/>
    <cellStyle name="표준" xfId="0" builtinId="0"/>
    <cellStyle name="표준 17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628650</xdr:colOff>
      <xdr:row>1</xdr:row>
      <xdr:rowOff>0</xdr:rowOff>
    </xdr:from>
    <xdr:to>
      <xdr:col>4</xdr:col>
      <xdr:colOff>1428750</xdr:colOff>
      <xdr:row>1</xdr:row>
      <xdr:rowOff>0</xdr:rowOff>
    </xdr:to>
    <xdr:sp macro="" textlink="">
      <xdr:nvSpPr>
        <xdr:cNvPr id="4098" name="Line 2">
          <a:extLst>
            <a:ext uri="{FF2B5EF4-FFF2-40B4-BE49-F238E27FC236}">
              <a16:creationId xmlns:a16="http://schemas.microsoft.com/office/drawing/2014/main" id="{903A2E66-09A9-46AD-99C5-20993D18B5CE}"/>
            </a:ext>
          </a:extLst>
        </xdr:cNvPr>
        <xdr:cNvSpPr>
          <a:spLocks noChangeShapeType="1"/>
        </xdr:cNvSpPr>
      </xdr:nvSpPr>
      <xdr:spPr bwMode="auto">
        <a:xfrm>
          <a:off x="3371850" y="447675"/>
          <a:ext cx="26860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8</xdr:col>
      <xdr:colOff>257175</xdr:colOff>
      <xdr:row>0</xdr:row>
      <xdr:rowOff>38100</xdr:rowOff>
    </xdr:from>
    <xdr:to>
      <xdr:col>12</xdr:col>
      <xdr:colOff>904875</xdr:colOff>
      <xdr:row>1</xdr:row>
      <xdr:rowOff>266700</xdr:rowOff>
    </xdr:to>
    <xdr:pic>
      <xdr:nvPicPr>
        <xdr:cNvPr id="4100" name="Picture 4">
          <a:extLst>
            <a:ext uri="{FF2B5EF4-FFF2-40B4-BE49-F238E27FC236}">
              <a16:creationId xmlns:a16="http://schemas.microsoft.com/office/drawing/2014/main" id="{C94B084C-A944-41A4-9C6D-0FD8B23BA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3275" y="38100"/>
          <a:ext cx="4572000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57150</xdr:colOff>
      <xdr:row>7</xdr:row>
      <xdr:rowOff>47625</xdr:rowOff>
    </xdr:from>
    <xdr:to>
      <xdr:col>18</xdr:col>
      <xdr:colOff>523875</xdr:colOff>
      <xdr:row>35</xdr:row>
      <xdr:rowOff>114300</xdr:rowOff>
    </xdr:to>
    <xdr:pic>
      <xdr:nvPicPr>
        <xdr:cNvPr id="4101" name="Picture 5">
          <a:extLst>
            <a:ext uri="{FF2B5EF4-FFF2-40B4-BE49-F238E27FC236}">
              <a16:creationId xmlns:a16="http://schemas.microsoft.com/office/drawing/2014/main" id="{302A88B2-FE65-4975-AE6F-296E741B8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9600" y="1781175"/>
          <a:ext cx="4276725" cy="48672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38100</xdr:colOff>
      <xdr:row>0</xdr:row>
      <xdr:rowOff>76200</xdr:rowOff>
    </xdr:from>
    <xdr:to>
      <xdr:col>18</xdr:col>
      <xdr:colOff>485775</xdr:colOff>
      <xdr:row>5</xdr:row>
      <xdr:rowOff>161925</xdr:rowOff>
    </xdr:to>
    <xdr:pic>
      <xdr:nvPicPr>
        <xdr:cNvPr id="4102" name="Picture 6">
          <a:extLst>
            <a:ext uri="{FF2B5EF4-FFF2-40B4-BE49-F238E27FC236}">
              <a16:creationId xmlns:a16="http://schemas.microsoft.com/office/drawing/2014/main" id="{9B97331A-4C83-41C9-A20C-829FC7B46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30550" y="76200"/>
          <a:ext cx="4257675" cy="15906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419100</xdr:colOff>
      <xdr:row>14</xdr:row>
      <xdr:rowOff>85725</xdr:rowOff>
    </xdr:from>
    <xdr:to>
      <xdr:col>13</xdr:col>
      <xdr:colOff>400050</xdr:colOff>
      <xdr:row>30</xdr:row>
      <xdr:rowOff>28575</xdr:rowOff>
    </xdr:to>
    <xdr:pic>
      <xdr:nvPicPr>
        <xdr:cNvPr id="9226" name="Picture 10">
          <a:extLst>
            <a:ext uri="{FF2B5EF4-FFF2-40B4-BE49-F238E27FC236}">
              <a16:creationId xmlns:a16="http://schemas.microsoft.com/office/drawing/2014/main" id="{351D3746-F676-4F53-BE44-968BE405E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1725" y="2514600"/>
          <a:ext cx="5286375" cy="272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542925</xdr:colOff>
      <xdr:row>21</xdr:row>
      <xdr:rowOff>47625</xdr:rowOff>
    </xdr:from>
    <xdr:to>
      <xdr:col>1</xdr:col>
      <xdr:colOff>5467350</xdr:colOff>
      <xdr:row>31</xdr:row>
      <xdr:rowOff>190500</xdr:rowOff>
    </xdr:to>
    <xdr:sp macro="" textlink="">
      <xdr:nvSpPr>
        <xdr:cNvPr id="7175" name="Rectangle 7">
          <a:extLst>
            <a:ext uri="{FF2B5EF4-FFF2-40B4-BE49-F238E27FC236}">
              <a16:creationId xmlns:a16="http://schemas.microsoft.com/office/drawing/2014/main" id="{20C58769-A46E-4C7C-82ED-85782229D23F}"/>
            </a:ext>
          </a:extLst>
        </xdr:cNvPr>
        <xdr:cNvSpPr>
          <a:spLocks noChangeArrowheads="1"/>
        </xdr:cNvSpPr>
      </xdr:nvSpPr>
      <xdr:spPr bwMode="auto">
        <a:xfrm>
          <a:off x="942975" y="5067300"/>
          <a:ext cx="4924425" cy="2524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</xdr:col>
      <xdr:colOff>600075</xdr:colOff>
      <xdr:row>21</xdr:row>
      <xdr:rowOff>133350</xdr:rowOff>
    </xdr:from>
    <xdr:to>
      <xdr:col>1</xdr:col>
      <xdr:colOff>2781300</xdr:colOff>
      <xdr:row>31</xdr:row>
      <xdr:rowOff>133350</xdr:rowOff>
    </xdr:to>
    <xdr:pic>
      <xdr:nvPicPr>
        <xdr:cNvPr id="7176" name="Picture 8" descr="행높이팝업">
          <a:extLst>
            <a:ext uri="{FF2B5EF4-FFF2-40B4-BE49-F238E27FC236}">
              <a16:creationId xmlns:a16="http://schemas.microsoft.com/office/drawing/2014/main" id="{E182F931-98AC-4D39-AD6F-5CF178437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" y="5153025"/>
          <a:ext cx="2181225" cy="2381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3295650</xdr:colOff>
      <xdr:row>24</xdr:row>
      <xdr:rowOff>104775</xdr:rowOff>
    </xdr:from>
    <xdr:to>
      <xdr:col>1</xdr:col>
      <xdr:colOff>4953000</xdr:colOff>
      <xdr:row>28</xdr:row>
      <xdr:rowOff>66675</xdr:rowOff>
    </xdr:to>
    <xdr:pic>
      <xdr:nvPicPr>
        <xdr:cNvPr id="7177" name="Picture 9" descr="행높이">
          <a:extLst>
            <a:ext uri="{FF2B5EF4-FFF2-40B4-BE49-F238E27FC236}">
              <a16:creationId xmlns:a16="http://schemas.microsoft.com/office/drawing/2014/main" id="{EFF472D9-9590-410C-9E4F-78D999E33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5838825"/>
          <a:ext cx="165735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447675</xdr:colOff>
      <xdr:row>1</xdr:row>
      <xdr:rowOff>19050</xdr:rowOff>
    </xdr:from>
    <xdr:to>
      <xdr:col>5</xdr:col>
      <xdr:colOff>428625</xdr:colOff>
      <xdr:row>1</xdr:row>
      <xdr:rowOff>19050</xdr:rowOff>
    </xdr:to>
    <xdr:sp macro="" textlink="">
      <xdr:nvSpPr>
        <xdr:cNvPr id="2053" name="Line 5">
          <a:extLst>
            <a:ext uri="{FF2B5EF4-FFF2-40B4-BE49-F238E27FC236}">
              <a16:creationId xmlns:a16="http://schemas.microsoft.com/office/drawing/2014/main" id="{CC7D7CCB-136E-4A24-9549-53546E493F08}"/>
            </a:ext>
          </a:extLst>
        </xdr:cNvPr>
        <xdr:cNvSpPr>
          <a:spLocks noChangeShapeType="1"/>
        </xdr:cNvSpPr>
      </xdr:nvSpPr>
      <xdr:spPr bwMode="auto">
        <a:xfrm>
          <a:off x="2238375" y="466725"/>
          <a:ext cx="15049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13</xdr:row>
      <xdr:rowOff>38100</xdr:rowOff>
    </xdr:from>
    <xdr:to>
      <xdr:col>6</xdr:col>
      <xdr:colOff>390525</xdr:colOff>
      <xdr:row>13</xdr:row>
      <xdr:rowOff>38100</xdr:rowOff>
    </xdr:to>
    <xdr:sp macro="" textlink="">
      <xdr:nvSpPr>
        <xdr:cNvPr id="1033" name="Line 9">
          <a:extLst>
            <a:ext uri="{FF2B5EF4-FFF2-40B4-BE49-F238E27FC236}">
              <a16:creationId xmlns:a16="http://schemas.microsoft.com/office/drawing/2014/main" id="{569E9C65-044D-4306-A6DD-84597E94C562}"/>
            </a:ext>
          </a:extLst>
        </xdr:cNvPr>
        <xdr:cNvSpPr>
          <a:spLocks noChangeShapeType="1"/>
        </xdr:cNvSpPr>
      </xdr:nvSpPr>
      <xdr:spPr bwMode="auto">
        <a:xfrm>
          <a:off x="333375" y="2200275"/>
          <a:ext cx="38290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15</xdr:row>
      <xdr:rowOff>38100</xdr:rowOff>
    </xdr:from>
    <xdr:to>
      <xdr:col>9</xdr:col>
      <xdr:colOff>95250</xdr:colOff>
      <xdr:row>15</xdr:row>
      <xdr:rowOff>38100</xdr:rowOff>
    </xdr:to>
    <xdr:sp macro="" textlink="">
      <xdr:nvSpPr>
        <xdr:cNvPr id="1034" name="Line 10">
          <a:extLst>
            <a:ext uri="{FF2B5EF4-FFF2-40B4-BE49-F238E27FC236}">
              <a16:creationId xmlns:a16="http://schemas.microsoft.com/office/drawing/2014/main" id="{AD4F367A-AB65-4ED4-BED5-4534FA735AB5}"/>
            </a:ext>
          </a:extLst>
        </xdr:cNvPr>
        <xdr:cNvSpPr>
          <a:spLocks noChangeShapeType="1"/>
        </xdr:cNvSpPr>
      </xdr:nvSpPr>
      <xdr:spPr bwMode="auto">
        <a:xfrm>
          <a:off x="333375" y="2438400"/>
          <a:ext cx="9458325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342900</xdr:colOff>
      <xdr:row>1</xdr:row>
      <xdr:rowOff>19050</xdr:rowOff>
    </xdr:from>
    <xdr:to>
      <xdr:col>7</xdr:col>
      <xdr:colOff>514350</xdr:colOff>
      <xdr:row>1</xdr:row>
      <xdr:rowOff>19050</xdr:rowOff>
    </xdr:to>
    <xdr:sp macro="" textlink="">
      <xdr:nvSpPr>
        <xdr:cNvPr id="1035" name="Line 11">
          <a:extLst>
            <a:ext uri="{FF2B5EF4-FFF2-40B4-BE49-F238E27FC236}">
              <a16:creationId xmlns:a16="http://schemas.microsoft.com/office/drawing/2014/main" id="{3D7842D3-0400-4735-BC81-98CAB274E292}"/>
            </a:ext>
          </a:extLst>
        </xdr:cNvPr>
        <xdr:cNvSpPr>
          <a:spLocks noChangeShapeType="1"/>
        </xdr:cNvSpPr>
      </xdr:nvSpPr>
      <xdr:spPr bwMode="auto">
        <a:xfrm flipV="1">
          <a:off x="4114800" y="466725"/>
          <a:ext cx="152400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8</xdr:row>
      <xdr:rowOff>38100</xdr:rowOff>
    </xdr:from>
    <xdr:to>
      <xdr:col>4</xdr:col>
      <xdr:colOff>152400</xdr:colOff>
      <xdr:row>8</xdr:row>
      <xdr:rowOff>38100</xdr:rowOff>
    </xdr:to>
    <xdr:sp macro="" textlink="">
      <xdr:nvSpPr>
        <xdr:cNvPr id="1037" name="Line 13">
          <a:extLst>
            <a:ext uri="{FF2B5EF4-FFF2-40B4-BE49-F238E27FC236}">
              <a16:creationId xmlns:a16="http://schemas.microsoft.com/office/drawing/2014/main" id="{759E76A0-0A2A-4DE1-BD7B-C0F525A882E4}"/>
            </a:ext>
          </a:extLst>
        </xdr:cNvPr>
        <xdr:cNvSpPr>
          <a:spLocks noChangeShapeType="1"/>
        </xdr:cNvSpPr>
      </xdr:nvSpPr>
      <xdr:spPr bwMode="auto">
        <a:xfrm>
          <a:off x="333375" y="1571625"/>
          <a:ext cx="26479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4</xdr:row>
      <xdr:rowOff>38100</xdr:rowOff>
    </xdr:from>
    <xdr:to>
      <xdr:col>4</xdr:col>
      <xdr:colOff>152400</xdr:colOff>
      <xdr:row>4</xdr:row>
      <xdr:rowOff>38100</xdr:rowOff>
    </xdr:to>
    <xdr:sp macro="" textlink="">
      <xdr:nvSpPr>
        <xdr:cNvPr id="1038" name="Line 14">
          <a:extLst>
            <a:ext uri="{FF2B5EF4-FFF2-40B4-BE49-F238E27FC236}">
              <a16:creationId xmlns:a16="http://schemas.microsoft.com/office/drawing/2014/main" id="{B1DD40BF-CE0C-4222-8FE4-869BF224667C}"/>
            </a:ext>
          </a:extLst>
        </xdr:cNvPr>
        <xdr:cNvSpPr>
          <a:spLocks noChangeShapeType="1"/>
        </xdr:cNvSpPr>
      </xdr:nvSpPr>
      <xdr:spPr bwMode="auto">
        <a:xfrm>
          <a:off x="333375" y="1000125"/>
          <a:ext cx="26479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</xdr:colOff>
      <xdr:row>6</xdr:row>
      <xdr:rowOff>38100</xdr:rowOff>
    </xdr:from>
    <xdr:to>
      <xdr:col>4</xdr:col>
      <xdr:colOff>152400</xdr:colOff>
      <xdr:row>6</xdr:row>
      <xdr:rowOff>38100</xdr:rowOff>
    </xdr:to>
    <xdr:sp macro="" textlink="">
      <xdr:nvSpPr>
        <xdr:cNvPr id="1039" name="Line 15">
          <a:extLst>
            <a:ext uri="{FF2B5EF4-FFF2-40B4-BE49-F238E27FC236}">
              <a16:creationId xmlns:a16="http://schemas.microsoft.com/office/drawing/2014/main" id="{D41BC216-3769-4830-8791-E46B7DBAAAB4}"/>
            </a:ext>
          </a:extLst>
        </xdr:cNvPr>
        <xdr:cNvSpPr>
          <a:spLocks noChangeShapeType="1"/>
        </xdr:cNvSpPr>
      </xdr:nvSpPr>
      <xdr:spPr bwMode="auto">
        <a:xfrm>
          <a:off x="333375" y="1285875"/>
          <a:ext cx="26479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11</xdr:col>
      <xdr:colOff>581025</xdr:colOff>
      <xdr:row>0</xdr:row>
      <xdr:rowOff>38100</xdr:rowOff>
    </xdr:from>
    <xdr:to>
      <xdr:col>15</xdr:col>
      <xdr:colOff>1190625</xdr:colOff>
      <xdr:row>2</xdr:row>
      <xdr:rowOff>295275</xdr:rowOff>
    </xdr:to>
    <xdr:pic>
      <xdr:nvPicPr>
        <xdr:cNvPr id="1060" name="Picture 36">
          <a:extLst>
            <a:ext uri="{FF2B5EF4-FFF2-40B4-BE49-F238E27FC236}">
              <a16:creationId xmlns:a16="http://schemas.microsoft.com/office/drawing/2014/main" id="{AA809F61-80F6-47A1-B8AE-F4AAACE3C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38100"/>
          <a:ext cx="4572000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742950</xdr:colOff>
      <xdr:row>3</xdr:row>
      <xdr:rowOff>28575</xdr:rowOff>
    </xdr:from>
    <xdr:to>
      <xdr:col>15</xdr:col>
      <xdr:colOff>1038225</xdr:colOff>
      <xdr:row>15</xdr:row>
      <xdr:rowOff>28575</xdr:rowOff>
    </xdr:to>
    <xdr:pic>
      <xdr:nvPicPr>
        <xdr:cNvPr id="1067" name="Picture 43">
          <a:extLst>
            <a:ext uri="{FF2B5EF4-FFF2-40B4-BE49-F238E27FC236}">
              <a16:creationId xmlns:a16="http://schemas.microsoft.com/office/drawing/2014/main" id="{95FD3F92-2EAF-4C62-8B6A-7E6EE4EE5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63225" y="838200"/>
          <a:ext cx="4257675" cy="15906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9525</xdr:colOff>
      <xdr:row>0</xdr:row>
      <xdr:rowOff>57150</xdr:rowOff>
    </xdr:from>
    <xdr:to>
      <xdr:col>21</xdr:col>
      <xdr:colOff>476250</xdr:colOff>
      <xdr:row>30</xdr:row>
      <xdr:rowOff>123825</xdr:rowOff>
    </xdr:to>
    <xdr:pic>
      <xdr:nvPicPr>
        <xdr:cNvPr id="1073" name="Picture 49">
          <a:extLst>
            <a:ext uri="{FF2B5EF4-FFF2-40B4-BE49-F238E27FC236}">
              <a16:creationId xmlns:a16="http://schemas.microsoft.com/office/drawing/2014/main" id="{6720A277-65E8-4C92-978C-19C35D3E3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20925" y="57150"/>
          <a:ext cx="4276725" cy="48672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0238\c\&#44277;&#49324;&#52628;&#51652;&#48372;&#4425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TO&#54200;&#44221;&#54840;\&#44277;&#44036;&#51060;&#46041;\&#44277;&#50976;&#54260;&#45908;\twotwo-note\Fyb\&#50516;&#54032;&#51221;(2001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com\work\MY\RETAIN\&#50745;&#48317;&#51312;&#44552;&#49688;&#5122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148;&#47784;\&#51077;&#52272;&#44204;&#51201;\&#44204;&#51201;(2001)\&#46020;&#47196;\&#54644;&#48120;-&#45909;&#49328;(1&#44277;&#44396;)\&#53804;&#52272;,&#49892;&#54665;\-0.1%25\&#44277;&#45236;&#50669;(&#54644;&#48120;1&#44277;&#44396;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bsj\c31004\PE\JP\CHANGE\3RD\LI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itco_main\soc&#50689;&#50629;_&#51648;&#50896;&#54016;\&#54889;&#44592;&#52384;\&#51077;&#52272;\&#45236;&#50669;&#44049;&#51648;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WINDOWS/TEMP/windows/TEMP/&#54861;&#48372;&#54924;&#51032;/&#49849;&#51652;&#45824;&#49345;.XLS" TargetMode="External"/><Relationship Id="rId1" Type="http://schemas.openxmlformats.org/officeDocument/2006/relationships/externalLinkPath" Target="/WINDOWS/TEMP/windows/TEMP/&#54861;&#48372;&#54924;&#51032;/&#49849;&#51652;&#45824;&#49345;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&#46972;&#51060;&#50616;&#53433;/HAREP/MONTH/H4A11.XLS" TargetMode="External"/><Relationship Id="rId1" Type="http://schemas.openxmlformats.org/officeDocument/2006/relationships/externalLinkPath" Target="/&#46972;&#51060;&#50616;&#53433;/HAREP/MONTH/H4A1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077;&#52272;&#5050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진계획"/>
      <sheetName val="추진실적"/>
      <sheetName val="Sheet3"/>
      <sheetName val="Sheet1"/>
      <sheetName val="Sheet2"/>
    </sheetNames>
    <sheetDataSet>
      <sheetData sheetId="0" refreshError="1"/>
      <sheetData sheetId="1" refreshError="1"/>
      <sheetData sheetId="2" refreshError="1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동표"/>
      <sheetName val="TJP"/>
      <sheetName val="증감액"/>
      <sheetName val="사토계산"/>
      <sheetName val="변경운반량계산"/>
      <sheetName val="증감현황"/>
      <sheetName val="1TL종점(1)"/>
      <sheetName val="1TL종점(2)"/>
      <sheetName val="2TL시점(1)"/>
      <sheetName val="2TL시점(2)"/>
      <sheetName val="5+58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PILE  (돌출)"/>
      <sheetName val="밸브설치"/>
      <sheetName val="샘플표지"/>
      <sheetName val="조명시설"/>
      <sheetName val="단위중량"/>
      <sheetName val="내역표지"/>
      <sheetName val="사통"/>
      <sheetName val="약품설비"/>
      <sheetName val="소업1교"/>
      <sheetName val="일위대가목록"/>
      <sheetName val="총 괄 표"/>
      <sheetName val="U-TYPE(1)"/>
      <sheetName val="부안일위"/>
      <sheetName val="3BL공동구 수량"/>
      <sheetName val="6PILE  _돌출_"/>
      <sheetName val="내역서"/>
      <sheetName val="공사비집계"/>
      <sheetName val="반응조"/>
      <sheetName val="갑지"/>
      <sheetName val="진주방향"/>
      <sheetName val="연돌일위집계"/>
      <sheetName val="토공 갑지"/>
      <sheetName val="업무처리전"/>
      <sheetName val="포장공자재집계표"/>
      <sheetName val="총괄내역서"/>
      <sheetName val="옹벽조금수정"/>
      <sheetName val="#REF"/>
      <sheetName val="가설건물"/>
      <sheetName val="2.단면가정 "/>
      <sheetName val="터파기및재료"/>
      <sheetName val="참조"/>
      <sheetName val="물가시세"/>
      <sheetName val="노임단가"/>
      <sheetName val="DATE"/>
      <sheetName val="본선 토공 분배표"/>
      <sheetName val="합의경상"/>
      <sheetName val="수로집계"/>
      <sheetName val="토공"/>
      <sheetName val="오동"/>
      <sheetName val="대조"/>
      <sheetName val="나한"/>
      <sheetName val="Sheet1"/>
      <sheetName val="빗물받이(910-510-410)"/>
      <sheetName val="약품공급2"/>
      <sheetName val="예가표"/>
      <sheetName val="가격조사서"/>
      <sheetName val="입찰안"/>
      <sheetName val="수지표"/>
      <sheetName val="셀명"/>
      <sheetName val="총괄"/>
      <sheetName val="Sheet1 (2)"/>
      <sheetName val="단가"/>
      <sheetName val="단가산출서"/>
      <sheetName val="내역"/>
      <sheetName val="산출내역서"/>
      <sheetName val="실행철강하도"/>
      <sheetName val="원가"/>
      <sheetName val="실정보고"/>
      <sheetName val="갑지1"/>
      <sheetName val="교각계산"/>
      <sheetName val="설계조건"/>
      <sheetName val="1호맨홀토공"/>
      <sheetName val="해전배수"/>
      <sheetName val="수문일1"/>
      <sheetName val="결과조달"/>
      <sheetName val="일위대가목차"/>
      <sheetName val="공문"/>
      <sheetName val="금액내역서"/>
      <sheetName val="CTEMCOST"/>
      <sheetName val="SLAB&quot;1&quot;"/>
      <sheetName val="COVER"/>
      <sheetName val="프랜트면허"/>
      <sheetName val="토목주소"/>
      <sheetName val="간지(1)"/>
      <sheetName val="1,2,3,4,5단위수량"/>
      <sheetName val="인사자료총집계"/>
      <sheetName val="공사비증감"/>
      <sheetName val="합천내역"/>
      <sheetName val="archi(본사)"/>
      <sheetName val="원형1호맨홀토공수량"/>
      <sheetName val="배수관산출"/>
      <sheetName val="수안보-MBR1"/>
      <sheetName val="3.공통공사대비"/>
      <sheetName val="목표세부명세"/>
      <sheetName val="견적서(토공)"/>
      <sheetName val="2호맨홀공제수량"/>
      <sheetName val="BID"/>
      <sheetName val="000000"/>
      <sheetName val="1062-X방향 "/>
      <sheetName val="발주설계서(당초)"/>
      <sheetName val="포장물량집계"/>
      <sheetName val="DATA98"/>
      <sheetName val="고창방향"/>
      <sheetName val="견적의뢰서"/>
      <sheetName val="2000년1차"/>
      <sheetName val="2000전체분"/>
      <sheetName val="200"/>
      <sheetName val="대비"/>
      <sheetName val="단면 (2)"/>
      <sheetName val="안산기계장치"/>
      <sheetName val="8.PILE  (돌출)"/>
      <sheetName val="산근터빈"/>
      <sheetName val="2공구산출내역"/>
      <sheetName val="하도내역 (철콘)"/>
      <sheetName val="ELECTRIC"/>
      <sheetName val="SCHEDULE"/>
      <sheetName val="4.2유효폭의 계산"/>
      <sheetName val="입찰"/>
      <sheetName val="현경"/>
      <sheetName val="말뚝지지력산정"/>
      <sheetName val="공통비총괄표"/>
      <sheetName val="Sheet2"/>
      <sheetName val="SIL98"/>
      <sheetName val="1. 설계조건 2.단면가정 3. 하중계산"/>
      <sheetName val="DATA 입력란"/>
      <sheetName val="1TL종점(1)"/>
      <sheetName val="토목품셈"/>
      <sheetName val="PAD TR보호대기초"/>
      <sheetName val="가로등기초"/>
      <sheetName val="HANDHOLE(2)"/>
      <sheetName val="전차선로 물량표"/>
      <sheetName val="가도공"/>
      <sheetName val="세대구분"/>
      <sheetName val="Sheet4"/>
      <sheetName val="뚝토공"/>
      <sheetName val="일위대가(계측기설치)"/>
      <sheetName val="기성내역"/>
      <sheetName val="경상비"/>
      <sheetName val="공사내역"/>
      <sheetName val="실행"/>
      <sheetName val="날개벽(시점좌측)"/>
      <sheetName val="6PILE 과속방지턱집계표!$K$12 (돌출)"/>
      <sheetName val="시행후면적"/>
      <sheetName val="내역서(교량)전체"/>
      <sheetName val="I一般比"/>
      <sheetName val="공량산출서"/>
      <sheetName val="식재"/>
      <sheetName val="시설물"/>
      <sheetName val="식재출력용"/>
      <sheetName val="유지관리"/>
      <sheetName val="일위대가"/>
      <sheetName val="장비"/>
      <sheetName val="산근1"/>
      <sheetName val="노무"/>
      <sheetName val="자재"/>
      <sheetName val="간선계산"/>
      <sheetName val="D200"/>
      <sheetName val="슬래브"/>
      <sheetName val="1.설계조건"/>
      <sheetName val="유림골조"/>
      <sheetName val="가공비"/>
      <sheetName val="수량산출"/>
      <sheetName val="설계산출표지"/>
      <sheetName val="신당동집계표"/>
      <sheetName val="3.하중산정4.지지력"/>
      <sheetName val="1.토공"/>
      <sheetName val="갑지(추정)"/>
      <sheetName val="자료"/>
      <sheetName val="6PILE+옹벽집계!$G$6+옹벽집계!$H$10  (돌출"/>
      <sheetName val="내역(전체)"/>
      <sheetName val="에너지동"/>
      <sheetName val="ABUT수량-A1"/>
      <sheetName val="관로토공집계표"/>
      <sheetName val="제출내역 (2)"/>
      <sheetName val="기자재비"/>
      <sheetName val="단면A-A(TR)"/>
      <sheetName val="S.중기사용료"/>
      <sheetName val="97노임단가"/>
      <sheetName val="입력란"/>
      <sheetName val="날개벽"/>
      <sheetName val="수량3"/>
      <sheetName val="방음벽기초"/>
      <sheetName val="산출근거"/>
      <sheetName val="DATA입력"/>
      <sheetName val="공종단가"/>
      <sheetName val="공사비증감(P4) "/>
      <sheetName val="실행예산"/>
      <sheetName val="일반수량"/>
      <sheetName val="일위(PN)"/>
      <sheetName val="기초일위"/>
      <sheetName val="수목단가"/>
      <sheetName val="시설수량표"/>
      <sheetName val="시설일위"/>
      <sheetName val="식재수량표"/>
      <sheetName val="식재일위"/>
      <sheetName val="일위목록"/>
      <sheetName val="자재단가"/>
      <sheetName val="대로근거"/>
      <sheetName val="중로근거"/>
      <sheetName val="인건비"/>
      <sheetName val="4)유동표"/>
      <sheetName val="격점수량"/>
      <sheetName val="매립"/>
      <sheetName val="견적서"/>
      <sheetName val="도봉2지구"/>
      <sheetName val="비목군분류일위"/>
      <sheetName val="사유서제출현황-2"/>
      <sheetName val="수량산출내역1115"/>
      <sheetName val="집계표"/>
      <sheetName val="BOX 본체"/>
      <sheetName val="간 지1"/>
      <sheetName val="DATA2000"/>
      <sheetName val="Sheet15"/>
      <sheetName val="TOTAL_BOQ"/>
      <sheetName val="DAILY"/>
      <sheetName val="F-302"/>
      <sheetName val="F301.303"/>
      <sheetName val="plan&amp;section of foundation"/>
      <sheetName val="design load"/>
      <sheetName val="working load at the btm ft."/>
      <sheetName val="stability check"/>
      <sheetName val="design criteria"/>
      <sheetName val="산근"/>
      <sheetName val="D-3109"/>
      <sheetName val="대비표"/>
      <sheetName val="Total"/>
      <sheetName val="inter"/>
      <sheetName val="B"/>
      <sheetName val="PROCURE"/>
      <sheetName val="out_prog"/>
      <sheetName val="선적schedule (2)"/>
      <sheetName val="집계표(육상)"/>
      <sheetName val="지급자재"/>
      <sheetName val="6PILE__(돌출)"/>
      <sheetName val="TOWER 10TON"/>
      <sheetName val="TOWER 12TON"/>
      <sheetName val="교각정보"/>
      <sheetName val="기기리스트"/>
      <sheetName val="메서,변+증"/>
      <sheetName val="01.견적내역서"/>
      <sheetName val="단가조사"/>
      <sheetName val="도배공사언고"/>
      <sheetName val="배수내역(98년도분)"/>
      <sheetName val="본부소개"/>
      <sheetName val="식생블럭단위수량"/>
      <sheetName val="노무비"/>
      <sheetName val="EQUIP"/>
      <sheetName val="부하(성남)"/>
      <sheetName val="SG"/>
      <sheetName val="Quantity"/>
      <sheetName val="정보"/>
      <sheetName val="40총괄"/>
      <sheetName val="40집계"/>
      <sheetName val="민자토목설변1차"/>
      <sheetName val="차액보증"/>
      <sheetName val="2000시행예상"/>
      <sheetName val="YES-T"/>
      <sheetName val="견적대비표"/>
      <sheetName val="2.교량(신설)"/>
      <sheetName val="1NYS(당)"/>
      <sheetName val="주식"/>
      <sheetName val="배수내역"/>
      <sheetName val="COPING"/>
      <sheetName val="2002상반기노임기준"/>
      <sheetName val="단가일람"/>
      <sheetName val="조경일람"/>
      <sheetName val="본체"/>
      <sheetName val="I.설계조건"/>
      <sheetName val="Basic"/>
      <sheetName val="D"/>
      <sheetName val="L"/>
      <sheetName val="M"/>
      <sheetName val="Part AB"/>
      <sheetName val="Part I"/>
      <sheetName val="Part M"/>
      <sheetName val="S"/>
      <sheetName val="E"/>
      <sheetName val="Resource"/>
      <sheetName val="Exrate"/>
      <sheetName val="40단가산출서"/>
      <sheetName val="골재및자재집계표"/>
      <sheetName val="수문보고"/>
      <sheetName val="할증 "/>
      <sheetName val="대운산출"/>
      <sheetName val="배수통관(좌)"/>
      <sheetName val="정부노임단가"/>
      <sheetName val="공사비예산서(토목분)"/>
      <sheetName val="침하계"/>
      <sheetName val="단면B-B(EA)"/>
      <sheetName val="역T형"/>
      <sheetName val="철근량"/>
      <sheetName val="수량명세서"/>
      <sheetName val="배수공"/>
      <sheetName val="간지"/>
      <sheetName val="수량집계표"/>
      <sheetName val="경영상태"/>
      <sheetName val="★도급내역"/>
      <sheetName val="대림경상68억"/>
      <sheetName val="최적단면"/>
      <sheetName val="직재"/>
      <sheetName val="건축내역서"/>
      <sheetName val="설비내역서"/>
      <sheetName val="전기내역서"/>
      <sheetName val="6PILE___돌출_"/>
      <sheetName val="3BL공동구_수량"/>
      <sheetName val="중기사용료"/>
      <sheetName val="일위"/>
      <sheetName val="교량전기"/>
      <sheetName val="갑지(집행)"/>
      <sheetName val="교대(A1-A2)"/>
      <sheetName val="설비"/>
      <sheetName val="기본"/>
      <sheetName val="일위7"/>
      <sheetName val="일위6"/>
      <sheetName val="일위5"/>
      <sheetName val="노무단가비교표"/>
      <sheetName val="일위1"/>
      <sheetName val="일위2"/>
      <sheetName val="일위3"/>
      <sheetName val="일위4"/>
      <sheetName val="목록"/>
      <sheetName val="자재단가표"/>
      <sheetName val="조합일"/>
      <sheetName val="철거일"/>
      <sheetName val="단가대비표"/>
      <sheetName val="일위8"/>
      <sheetName val="일위9"/>
      <sheetName val="철거산출근거"/>
      <sheetName val="자재집계표"/>
      <sheetName val="소방현물"/>
      <sheetName val="영동(D)"/>
      <sheetName val="지장물C"/>
      <sheetName val="코드표"/>
      <sheetName val="여과지동"/>
      <sheetName val="기초자료"/>
      <sheetName val="토사(PE)"/>
      <sheetName val="가압장구체수량산출서"/>
      <sheetName val="건축물터파기"/>
      <sheetName val="을 2"/>
      <sheetName val="을 1"/>
      <sheetName val="손익분석"/>
      <sheetName val="2.단면가정"/>
      <sheetName val="산마루측구단위수량"/>
      <sheetName val="기초INPUT"/>
      <sheetName val="INPUT"/>
      <sheetName val="토공-내역"/>
      <sheetName val="수량집계"/>
      <sheetName val="간접비"/>
      <sheetName val="관급총괄"/>
      <sheetName val="칠산대교 중앙부"/>
      <sheetName val="칠산대교 시종점부"/>
      <sheetName val="우수받이재료집계표"/>
      <sheetName val="토목"/>
      <sheetName val="기계(집계표)"/>
      <sheetName val="구조물공"/>
      <sheetName val="토공 total"/>
      <sheetName val="옹벽"/>
      <sheetName val="참고사항"/>
      <sheetName val="근로자자료입력"/>
      <sheetName val="6PILE  _돌_x001c__"/>
      <sheetName val="DATA"/>
      <sheetName val="수지예산"/>
      <sheetName val="교통표지판수량집계표"/>
      <sheetName val="집수정"/>
      <sheetName val="입상내역"/>
      <sheetName val="마감사양"/>
      <sheetName val="예정(3)"/>
      <sheetName val="현장관리비"/>
      <sheetName val="계산근거"/>
      <sheetName val="woo(mac)"/>
      <sheetName val="20-6(L)"/>
      <sheetName val="관로조사공"/>
      <sheetName val="본선차로수량집계표"/>
      <sheetName val="Sheet3"/>
      <sheetName val="김여중"/>
      <sheetName val="무근깨기"/>
      <sheetName val="96보완계획7.12"/>
      <sheetName val="TYPE-1"/>
      <sheetName val="A1(토공)"/>
      <sheetName val="A1(구조물)"/>
      <sheetName val="수량집계(1)"/>
      <sheetName val="철근집계표"/>
      <sheetName val="포장직선구간"/>
      <sheetName val="Sheet17"/>
      <sheetName val="지하"/>
      <sheetName val="J형측구단위수량"/>
      <sheetName val="소산진입"/>
      <sheetName val="guard(mac)"/>
      <sheetName val="이름"/>
      <sheetName val="실행내역서"/>
      <sheetName val="중기목록표"/>
      <sheetName val="포장공"/>
      <sheetName val="동원(3)"/>
      <sheetName val="9GNG운반"/>
      <sheetName val="대,유,램"/>
      <sheetName val="허용지지력"/>
      <sheetName val="Output"/>
      <sheetName val="9509"/>
      <sheetName val="토적표(우안)"/>
      <sheetName val="토적표(좌안)"/>
      <sheetName val="2.대외공문"/>
      <sheetName val="부하계산서"/>
      <sheetName val="70%"/>
      <sheetName val="소비자가"/>
      <sheetName val="공통가설공사"/>
      <sheetName val="가옥철거"/>
      <sheetName val="이토변실(A3-LINE)"/>
      <sheetName val="변경집계표"/>
      <sheetName val="전기"/>
      <sheetName val="입출재고현황 (2)"/>
      <sheetName val="type-F"/>
      <sheetName val="기계경비적용기준"/>
      <sheetName val="음봉방향"/>
      <sheetName val="교각1"/>
      <sheetName val="바닥판"/>
      <sheetName val="기계경비"/>
      <sheetName val="단위수량"/>
      <sheetName val="가설사무소수량집계"/>
      <sheetName val="2_단면가정_"/>
      <sheetName val="총_괄_표"/>
      <sheetName val="토공_갑지"/>
      <sheetName val="공사비증감(P4)_"/>
      <sheetName val="본선_토공_분배표"/>
      <sheetName val="단면_(2)"/>
      <sheetName val="하도내역_(철콘)"/>
      <sheetName val="부대토목"/>
      <sheetName val="토공계산서(부체도로)"/>
      <sheetName val="L형집계"/>
      <sheetName val="수입"/>
      <sheetName val="대부예산서"/>
      <sheetName val="기초공"/>
      <sheetName val="기둥(원형)"/>
      <sheetName val="부대공"/>
      <sheetName val="CIVIL4"/>
      <sheetName val="3련 BOX"/>
      <sheetName val="계화총괄"/>
      <sheetName val="계화배수(3대)"/>
      <sheetName val="자재(설치)"/>
      <sheetName val="비탈면보호공수량산출"/>
      <sheetName val="DRUM"/>
      <sheetName val="돌담교 상부수량"/>
      <sheetName val="을"/>
      <sheetName val="신표지1"/>
      <sheetName val="기계경비일람"/>
      <sheetName val="연습"/>
      <sheetName val="산출근거(S4)"/>
      <sheetName val="1을"/>
      <sheetName val="1.수인터널"/>
      <sheetName val="당초"/>
      <sheetName val="01.인원현황 (계획)"/>
      <sheetName val="낙찰표"/>
      <sheetName val="우수받이"/>
      <sheetName val="설계내역(2001)"/>
      <sheetName val="외주현황.wq1"/>
      <sheetName val="수로단위수량"/>
      <sheetName val="우각부보강"/>
      <sheetName val="CAL(1)."/>
      <sheetName val="12CGOU"/>
      <sheetName val="Bend_fact "/>
      <sheetName val="요약배부"/>
      <sheetName val="주관사업"/>
      <sheetName val="STAFF ANALYSIS"/>
      <sheetName val="C"/>
      <sheetName val="96노임기준"/>
      <sheetName val="일위대가1"/>
      <sheetName val="국공유지및사유지"/>
      <sheetName val="화전내"/>
      <sheetName val="보차도경계석"/>
      <sheetName val="단위단가"/>
      <sheetName val="의뢰서"/>
      <sheetName val="건축"/>
      <sheetName val="BOX(1.5X1.5)"/>
      <sheetName val="J01"/>
      <sheetName val="금융비용"/>
      <sheetName val="맨홀수량산출"/>
      <sheetName val="당초내역서"/>
      <sheetName val="전체변경예정공정표_2012.07.30"/>
      <sheetName val="설계내역서"/>
      <sheetName val="제수변수량H2.15"/>
      <sheetName val="_공기변수량"/>
      <sheetName val="데리네이타현황"/>
      <sheetName val="중기비"/>
      <sheetName val="하천하류 철근수량 집계표"/>
      <sheetName val="일위대가표"/>
      <sheetName val="일위대가(1)"/>
      <sheetName val="운반"/>
      <sheetName val="AN-01"/>
      <sheetName val="PRICES"/>
      <sheetName val="골조시행"/>
      <sheetName val="예상"/>
      <sheetName val="LOB"/>
      <sheetName val="C-직노1"/>
      <sheetName val="Supplement2"/>
      <sheetName val=""/>
      <sheetName val="설계"/>
      <sheetName val="ASP 일반구간_250A"/>
      <sheetName val="노임"/>
      <sheetName val="평가데이터"/>
      <sheetName val="포장총괄집계표"/>
      <sheetName val="품셈TABLE"/>
      <sheetName val="품의"/>
      <sheetName val="이형관격점별수량산출(2)"/>
      <sheetName val="품"/>
      <sheetName val="loading"/>
      <sheetName val="건설기계_목록"/>
      <sheetName val="4-1.노무비(직영)"/>
      <sheetName val="조건표"/>
      <sheetName val="총수량 (기성)"/>
      <sheetName val="DHEQSUPT"/>
      <sheetName val="BOX"/>
      <sheetName val="IW-LIST"/>
      <sheetName val="현황"/>
      <sheetName val="1.설계기준"/>
      <sheetName val="철집"/>
      <sheetName val="배수관설치현황"/>
      <sheetName val="2.하중산정"/>
      <sheetName val="부표총괄"/>
      <sheetName val="N賃率-職"/>
      <sheetName val="T.T.P 단위수량"/>
      <sheetName val="설직재-1"/>
      <sheetName val="화재 탐지 설비"/>
      <sheetName val="좌측"/>
      <sheetName val="F301_303"/>
      <sheetName val="plan&amp;section_of_foundation"/>
      <sheetName val="design_load"/>
      <sheetName val="working_load_at_the_btm_ft_"/>
      <sheetName val="stability_check"/>
      <sheetName val="design_criteria"/>
      <sheetName val="CAL(1)_"/>
      <sheetName val="Bend_fact_"/>
      <sheetName val="STAFF_ANALYSIS"/>
      <sheetName val="Sheet1_(2)"/>
      <sheetName val="횡배날개"/>
      <sheetName val="Cash2"/>
      <sheetName val="Z"/>
      <sheetName val="BQMPALOC"/>
      <sheetName val="A-4"/>
      <sheetName val="우수"/>
      <sheetName val="내역-가"/>
      <sheetName val="관급자재대"/>
      <sheetName val="1단계"/>
      <sheetName val="집계표(OPTION)"/>
      <sheetName val="단면가정"/>
      <sheetName val="총괄표"/>
      <sheetName val="계획서"/>
      <sheetName val="도자"/>
      <sheetName val="덤프총괄"/>
      <sheetName val="순성토운반거리산정"/>
      <sheetName val="임목폐기물파쇄"/>
      <sheetName val="토적집계표"/>
      <sheetName val="벌목공"/>
      <sheetName val="유동(순성_최종)"/>
      <sheetName val="비옥토수거"/>
      <sheetName val="이기(집계)"/>
      <sheetName val="2차토량발생"/>
      <sheetName val="6PILE (돌출)"/>
      <sheetName val="흥양2교토공집계표"/>
      <sheetName val="JUCKEYK"/>
      <sheetName val="교차구"/>
      <sheetName val="설계예시"/>
      <sheetName val="전선 및 전선관"/>
      <sheetName val="수량산출서"/>
      <sheetName val="전력구구조물산근"/>
      <sheetName val="우수맨홀공제단위수량"/>
      <sheetName val="실행대비"/>
      <sheetName val="우수공"/>
      <sheetName val="TYPE-A"/>
      <sheetName val="기존-내역"/>
      <sheetName val="제직재"/>
      <sheetName val="제-노임"/>
      <sheetName val="단위수량산출"/>
      <sheetName val="용산1(해보)"/>
      <sheetName val="직노"/>
      <sheetName val="1련박스"/>
      <sheetName val="BOX-1510"/>
      <sheetName val="전기혼잡제경비(45)"/>
      <sheetName val="Pier 3"/>
      <sheetName val="깨기"/>
      <sheetName val="옹벽집계표"/>
      <sheetName val="마산방향"/>
      <sheetName val="원형맨홀수량"/>
      <sheetName val="트랜치 집수정 연결관-연장산출서"/>
      <sheetName val="배수장토목공사비"/>
      <sheetName val="STEEL BOX 단면설계(SEC.8)"/>
      <sheetName val="단위자갈수량1"/>
      <sheetName val="계수시트"/>
      <sheetName val="인부노임"/>
      <sheetName val="자금신청서"/>
      <sheetName val="구체"/>
      <sheetName val="좌측날개벽"/>
      <sheetName val="우측날개벽"/>
      <sheetName val="tggwan(mac)"/>
      <sheetName val="토목검측서"/>
      <sheetName val="P.M 별"/>
      <sheetName val="토적계산"/>
      <sheetName val="건축내역"/>
      <sheetName val="중기목록"/>
      <sheetName val="운반단가"/>
      <sheetName val="6공구(당초)"/>
      <sheetName val="A LINE"/>
      <sheetName val="C.배수관공"/>
      <sheetName val="옹벽식측구단위"/>
      <sheetName val="외자배분"/>
      <sheetName val="외자내역"/>
      <sheetName val="수량"/>
      <sheetName val="시멘트 및 골재량 (슬래브)"/>
      <sheetName val="시멘트 및 골재량 (거더)"/>
      <sheetName val="지장물조서"/>
      <sheetName val="공틀공사"/>
      <sheetName val="MATERIAL"/>
      <sheetName val="단면검토"/>
      <sheetName val="VS P-Q"/>
      <sheetName val="찍기"/>
      <sheetName val="6월인원"/>
      <sheetName val="상부공"/>
      <sheetName val="부대토공"/>
      <sheetName val="차선위치조서"/>
      <sheetName val="업체선정"/>
      <sheetName val="A1-DATA"/>
      <sheetName val="단면"/>
      <sheetName val="주형"/>
      <sheetName val="계약용량(서포)"/>
      <sheetName val="연결관암거"/>
      <sheetName val="전기일위대가"/>
      <sheetName val="구조물철거개소별명세"/>
      <sheetName val="배수관토공산출"/>
      <sheetName val="날개벽수량표"/>
      <sheetName val="직원인원"/>
      <sheetName val="산출근거-S1"/>
      <sheetName val="3절_CheckList_구분"/>
      <sheetName val="개요"/>
      <sheetName val="입력시트"/>
      <sheetName val="단가산출"/>
      <sheetName val="광주전남"/>
      <sheetName val="Sheet13"/>
      <sheetName val="Sheet14"/>
      <sheetName val="GEN"/>
      <sheetName val="설계내역"/>
      <sheetName val="INPUTDATA"/>
      <sheetName val="주요자재집계"/>
      <sheetName val="자재 집계표"/>
      <sheetName val="일반공사"/>
      <sheetName val="저"/>
      <sheetName val="REINF."/>
      <sheetName val="공종별내역서"/>
      <sheetName val="토공사"/>
      <sheetName val="모델링"/>
      <sheetName val="하중계산"/>
      <sheetName val="견적서세부내용"/>
      <sheetName val="견적내용입력"/>
      <sheetName val="_x0018__x0000_℀"/>
      <sheetName val="총집계"/>
      <sheetName val="토공정보"/>
      <sheetName val="GAEYO"/>
      <sheetName val="사리부설"/>
      <sheetName val="견적"/>
      <sheetName val="대목"/>
      <sheetName val="토공산출(시)"/>
      <sheetName val="토공산출(포)"/>
      <sheetName val="배명(단가)"/>
      <sheetName val="상반기손익차2총괄"/>
      <sheetName val="표준단면수량(출력안함)"/>
      <sheetName val="집수정(600-700)"/>
      <sheetName val="CODE"/>
      <sheetName val="MOTOR"/>
      <sheetName val="경산"/>
      <sheetName val="공사명입력"/>
      <sheetName val="참고자료"/>
      <sheetName val="데이타"/>
      <sheetName val="임목폐기물집계"/>
      <sheetName val="시중노임"/>
      <sheetName val="Finansal tamamlanma Eğrisi"/>
      <sheetName val="TESİSAT"/>
      <sheetName val="Finansal_tamamlanma_Eğrisi"/>
      <sheetName val="단가비교"/>
      <sheetName val="표지"/>
      <sheetName val="입찰내역 발주처 양식"/>
      <sheetName val="공사개요"/>
      <sheetName val="보험료산출"/>
      <sheetName val="산출내역(4월)"/>
      <sheetName val="산출내역(5월) (2)"/>
      <sheetName val="01. 지사동"/>
      <sheetName val="일위대가(가설)"/>
      <sheetName val="부대내역"/>
      <sheetName val="증감내역"/>
      <sheetName val="setup"/>
      <sheetName val="Summary "/>
      <sheetName val="Thiet bi"/>
      <sheetName val="DM.ChiPhi"/>
      <sheetName val="6PILE__(돌출)1"/>
      <sheetName val="토공_갑지1"/>
      <sheetName val="총_괄_표1"/>
      <sheetName val="1062-X방향_"/>
      <sheetName val="3_공통공사대비"/>
      <sheetName val="제출내역_(2)"/>
      <sheetName val="1_설계조건"/>
      <sheetName val="8_PILE__(돌출)"/>
      <sheetName val="1__설계조건_2_단면가정_3__하중계산"/>
      <sheetName val="DATA_입력란"/>
      <sheetName val="BOX_본체"/>
      <sheetName val="6PILE_과속방지턱집계표!$K$12_(돌출)"/>
      <sheetName val="선적schedule_(2)"/>
      <sheetName val="4_2유효폭의_계산"/>
      <sheetName val="TOWER_10TON"/>
      <sheetName val="TOWER_12TON"/>
      <sheetName val="PAD_TR보호대기초"/>
      <sheetName val="전차선로_물량표"/>
      <sheetName val="3_하중산정4_지지력"/>
      <sheetName val="Eq. Mobilization"/>
      <sheetName val="가시설(TYPE-A)"/>
      <sheetName val="1호맨홀가감수량"/>
      <sheetName val="1-1평균터파기고(1)"/>
      <sheetName val="1호맨홀수량산출"/>
      <sheetName val="_x0018_"/>
      <sheetName val="연결임시"/>
      <sheetName val="7.PILE  (돌출)"/>
      <sheetName val="우수관로단위수량(300)"/>
      <sheetName val="내역검토사항"/>
      <sheetName val="간1"/>
      <sheetName val="공사예산서"/>
      <sheetName val="예산서(사급분)"/>
      <sheetName val="설계내역집계표"/>
      <sheetName val="간2"/>
      <sheetName val="총괄자재집계표"/>
      <sheetName val="수량총괄표"/>
      <sheetName val="간3"/>
      <sheetName val="품셈총괄표"/>
      <sheetName val="품셈"/>
      <sheetName val="간4"/>
      <sheetName val="부표총괄표"/>
      <sheetName val="부표"/>
      <sheetName val="간5"/>
      <sheetName val="별표총괄표"/>
      <sheetName val="별표"/>
      <sheetName val="운반거리"/>
      <sheetName val="간6"/>
      <sheetName val="간7"/>
      <sheetName val="원가(조경)"/>
      <sheetName val="원가(토목)"/>
      <sheetName val="타견적(을)"/>
      <sheetName val="단가조사표"/>
      <sheetName val="변경내역대비표(2)"/>
      <sheetName val="6PILE  _돌_x005f_x001c__"/>
      <sheetName val="도급견적가"/>
      <sheetName val="98지급계획"/>
      <sheetName val="EP0618"/>
      <sheetName val="단가산출2"/>
      <sheetName val="중기사용료산출근거"/>
      <sheetName val="맨홀되메우기"/>
      <sheetName val="하수급견적대비"/>
      <sheetName val="미생물배양기 기초"/>
      <sheetName val="직공시공계획서"/>
      <sheetName val="격점관로집계"/>
      <sheetName val="6PILE_______G_6_______H_10____2"/>
      <sheetName val="방송(체육관)"/>
      <sheetName val="과속방지턱"/>
      <sheetName val="일위대가(여기까지)"/>
      <sheetName val="금융"/>
      <sheetName val="99노임단가"/>
      <sheetName val="자판실행"/>
      <sheetName val="지장물현황"/>
      <sheetName val="분묘 총 현황"/>
      <sheetName val="지하매설물조서"/>
      <sheetName val="지장물도면"/>
      <sheetName val="MAIN GATE HOUSE"/>
      <sheetName val="escon"/>
      <sheetName val="264"/>
      <sheetName val="6MONTHS"/>
      <sheetName val="단위수량(출력X)"/>
      <sheetName val="준검 내역서"/>
      <sheetName val="흄관기초"/>
      <sheetName val="0"/>
      <sheetName val="날개수량1.5"/>
      <sheetName val="6PILE___돌출_1"/>
      <sheetName val="3BL공동구_수량1"/>
      <sheetName val="하도내역_(철콘)1"/>
      <sheetName val="본선_토공_분배표1"/>
      <sheetName val="2_단면가정_1"/>
      <sheetName val="단면_(2)1"/>
      <sheetName val="간_지1"/>
      <sheetName val="공사비증감(P4)_1"/>
      <sheetName val="Part_AB"/>
      <sheetName val="Part_I"/>
      <sheetName val="Part_M"/>
      <sheetName val="할증_"/>
      <sheetName val="6PILE+옹벽집계!$G$6+옹벽집계!$H$10__(돌출"/>
      <sheetName val="돌담교_상부수량"/>
      <sheetName val="S_중기사용료"/>
      <sheetName val="6PILE___돌_"/>
      <sheetName val="01_견적내역서"/>
      <sheetName val="1_수인터널"/>
      <sheetName val="3련_BOX"/>
      <sheetName val="I_설계조건"/>
      <sheetName val="01_인원현황_(계획)"/>
      <sheetName val="총수량_(기성)"/>
      <sheetName val="4-1_노무비(직영)"/>
      <sheetName val="을_2"/>
      <sheetName val="을_1"/>
      <sheetName val="2_교량(신설)"/>
      <sheetName val="입출재고현황_(2)"/>
      <sheetName val="1_토공"/>
      <sheetName val="제수변수량H2_15"/>
      <sheetName val="REINF_"/>
      <sheetName val="2_단면가정"/>
      <sheetName val="T_T_P_단위수량"/>
      <sheetName val="칠산대교_중앙부"/>
      <sheetName val="칠산대교_시종점부"/>
      <sheetName val="BOX(1_5X1_5)"/>
      <sheetName val="전선_및_전선관"/>
      <sheetName val="교대(A1)"/>
      <sheetName val="자재집계"/>
      <sheetName val="95MAKER"/>
      <sheetName val="재료율"/>
      <sheetName val="Sheet1_(2)1"/>
      <sheetName val="F301_3031"/>
      <sheetName val="plan&amp;section_of_foundation1"/>
      <sheetName val="design_load1"/>
      <sheetName val="working_load_at_the_btm_ft_1"/>
      <sheetName val="stability_check1"/>
      <sheetName val="design_criteria1"/>
      <sheetName val="CAL(1)_1"/>
      <sheetName val="Bend_fact_1"/>
      <sheetName val="STAFF_ANALYSIS1"/>
      <sheetName val="2_대외공문"/>
      <sheetName val="ASP_일반구간_250A"/>
      <sheetName val="96보완계획7_12"/>
      <sheetName val="전체변경예정공정표_2012_07_30"/>
      <sheetName val="토공_total"/>
      <sheetName val="화재_탐지_설비"/>
      <sheetName val="6PILE_(돌출)"/>
      <sheetName val="외주현황_wq1"/>
      <sheetName val="P_M_별"/>
      <sheetName val="추진공"/>
      <sheetName val="목창호"/>
      <sheetName val="선급금신청서"/>
      <sheetName val="특2맨홀(차도)(T-A)"/>
      <sheetName val="특2맨홀(보도)(T-A)"/>
      <sheetName val="맨홀이음부 몰탈수량 집계표"/>
      <sheetName val="작성"/>
      <sheetName val="danga"/>
      <sheetName val="ilch"/>
      <sheetName val="안정검토"/>
      <sheetName val="각형맨홀"/>
      <sheetName val="요율"/>
      <sheetName val="전체철근집계"/>
      <sheetName val="U형측구 표준단면도"/>
      <sheetName val=" FURNACE현설"/>
      <sheetName val="Open"/>
      <sheetName val="관로연장산출"/>
      <sheetName val="차선도색"/>
      <sheetName val="負荷集計（断熱不燃）"/>
      <sheetName val="dongia (2)"/>
      <sheetName val="Div26 - Elect"/>
      <sheetName val="RAB AR&amp;STR"/>
      <sheetName val="electrical"/>
      <sheetName val="기성집계"/>
      <sheetName val="breakdown"/>
      <sheetName val="main1"/>
      <sheetName val="RefG"/>
      <sheetName val="IRR sponsor"/>
      <sheetName val="laroux"/>
      <sheetName val="1.설계조건 "/>
      <sheetName val="2.단면1"/>
      <sheetName val="2.단면2"/>
      <sheetName val="3.토압계산"/>
      <sheetName val="4.하중계산"/>
      <sheetName val="5.안정검토"/>
      <sheetName val="5.안정검토 (2)"/>
      <sheetName val="6.벽체계산"/>
      <sheetName val="7.FOOTING 계산(직접기초)"/>
      <sheetName val="7.PILE "/>
      <sheetName val="FOOTING 계산(PILE기초)"/>
      <sheetName val="FOOTING계산(돌출)"/>
      <sheetName val="BM"/>
      <sheetName val="BALAN1"/>
      <sheetName val="(10) Other Costs5"/>
      <sheetName val="LAST UPDATE"/>
      <sheetName val="마감물량"/>
      <sheetName val="h-013211-2"/>
      <sheetName val="Bill summary of cost"/>
      <sheetName val="INTERIOR WALLS"/>
      <sheetName val="LLEGADA"/>
      <sheetName val="GAE8'97"/>
      <sheetName val="CFA"/>
      <sheetName val="Material Price"/>
      <sheetName val="2.223M_due to adj profit"/>
      <sheetName val="Land Dev't. Ph-1"/>
      <sheetName val="Benchmark"/>
      <sheetName val="GESTION FICHE"/>
      <sheetName val="TRADUCTION LISTES"/>
      <sheetName val="Table"/>
      <sheetName val="BQextra"/>
      <sheetName val="TOSHIBA-Structure"/>
      <sheetName val="8-31-98"/>
      <sheetName val="worksheet inchican"/>
      <sheetName val="combined 9-30"/>
      <sheetName val="일위대가-1"/>
      <sheetName val="횡배수관"/>
      <sheetName val="INPUT(덕도방향-시점)"/>
      <sheetName val="정공공사"/>
      <sheetName val="포설list원본"/>
      <sheetName val="현장관리비 산출내역"/>
      <sheetName val="T13(P68~72,78)"/>
      <sheetName val="MANP"/>
      <sheetName val="SYSTEM 945 Air&amp;Nitrogen"/>
      <sheetName val="백분율"/>
      <sheetName val="Contents"/>
      <sheetName val="Form.A"/>
      <sheetName val="Electrical(ISBL)"/>
      <sheetName val="Form.C"/>
      <sheetName val="Form.D"/>
      <sheetName val="Form.E"/>
      <sheetName val="Form.F"/>
      <sheetName val="Form.G"/>
      <sheetName val="6PILE__(돌출)2"/>
      <sheetName val="토공_갑지2"/>
      <sheetName val="총_괄_표2"/>
      <sheetName val="1062-X방향_1"/>
      <sheetName val="3_공통공사대비1"/>
      <sheetName val="제출내역_(2)1"/>
      <sheetName val="1_설계조건1"/>
      <sheetName val="8_PILE__(돌출)1"/>
      <sheetName val="1__설계조건_2_단면가정_3__하중계산1"/>
      <sheetName val="DATA_입력란1"/>
      <sheetName val="BOX_본체1"/>
      <sheetName val="6PILE_과속방지턱집계표!$K$12_(돌출)1"/>
      <sheetName val="선적schedule_(2)1"/>
      <sheetName val="4_2유효폭의_계산1"/>
      <sheetName val="TOWER_10TON1"/>
      <sheetName val="TOWER_12TON1"/>
      <sheetName val="PAD_TR보호대기초1"/>
      <sheetName val="전차선로_물량표1"/>
      <sheetName val="3_하중산정4_지지력1"/>
      <sheetName val="Summary_"/>
      <sheetName val="Thiet_bi"/>
      <sheetName val="DM_ChiPhi"/>
      <sheetName val="MAIN_GATE_HOUSE"/>
      <sheetName val="DANHPHAP"/>
      <sheetName val="tifico"/>
      <sheetName val="EQT-ESTN"/>
      <sheetName val="PTdam"/>
      <sheetName val="MTP"/>
      <sheetName val="1회기성을"/>
      <sheetName val="총괄내역"/>
      <sheetName val="깨؀"/>
      <sheetName val="깨٫"/>
      <sheetName val="일위대가-2"/>
      <sheetName val="연결원본-절대지우지말것"/>
      <sheetName val="6PILE_______G_6_______H_10____3"/>
      <sheetName val="중기"/>
      <sheetName val="투입"/>
      <sheetName val="본실행경비"/>
      <sheetName val="STEEL_BOX_단면설계(SEC_8)"/>
      <sheetName val="01__지사동"/>
      <sheetName val="하천하류_철근수량_집계표"/>
      <sheetName val="2_하중산정"/>
      <sheetName val="1_설계기준"/>
      <sheetName val="입찰내역_발주처_양식"/>
      <sheetName val="datasheet"/>
      <sheetName val="소방현䀀"/>
      <sheetName val="소방현_x0000_"/>
      <sheetName val="IMPEADENCE MAP 취수장"/>
      <sheetName val="방배2E"/>
      <sheetName val="일용노임단가"/>
      <sheetName val="이형관"/>
      <sheetName val="PM Demolition "/>
      <sheetName val="갈현동"/>
      <sheetName val="wall"/>
      <sheetName val="Y_WORK"/>
      <sheetName val="Master"/>
      <sheetName val="DGCT"/>
      <sheetName val="Ts"/>
      <sheetName val="TH"/>
      <sheetName val="Bia"/>
      <sheetName val="Vattu"/>
      <sheetName val="XL4Poppy"/>
      <sheetName val="6PILE  _돌_x005f_x005f_x005f_x001c__"/>
      <sheetName val="DG duoi"/>
      <sheetName val="6PILE__(돌출)3"/>
      <sheetName val="토공_갑지3"/>
      <sheetName val="총_괄_표3"/>
      <sheetName val="2_단면가정_2"/>
      <sheetName val="3BL공동구_수량2"/>
      <sheetName val="6PILE___돌출_2"/>
      <sheetName val="Summary_1"/>
      <sheetName val="Thiet_bi1"/>
      <sheetName val="DM_ChiPhi1"/>
      <sheetName val="dongia_(2)"/>
      <sheetName val="RAB_AR&amp;STR"/>
      <sheetName val="Div26_-_Elect"/>
      <sheetName val="본선_토공_분배표2"/>
      <sheetName val="Sheet1_(2)2"/>
      <sheetName val="1062-X방향_2"/>
      <sheetName val="3_공통공사대비2"/>
      <sheetName val="제출내역_(2)2"/>
      <sheetName val="1_설계조건2"/>
      <sheetName val="8_PILE__(돌출)2"/>
      <sheetName val="단면_(2)2"/>
      <sheetName val="하도내역_(철콘)2"/>
      <sheetName val="1__설계조건_2_단면가정_3__하중계산2"/>
      <sheetName val="DATA_입력란2"/>
      <sheetName val="공사비증감(P4)_2"/>
      <sheetName val="BOX_본체2"/>
      <sheetName val="6PILE_과속방지턱집계표!$K$12_(돌출)2"/>
      <sheetName val="F301_3032"/>
      <sheetName val="plan&amp;section_of_foundation2"/>
      <sheetName val="design_load2"/>
      <sheetName val="working_load_at_the_btm_ft_2"/>
      <sheetName val="stability_check2"/>
      <sheetName val="design_criteria2"/>
      <sheetName val="선적schedule_(2)2"/>
      <sheetName val="4_2유효폭의_계산2"/>
      <sheetName val="TOWER_10TON2"/>
      <sheetName val="TOWER_12TON2"/>
      <sheetName val="PAD_TR보호대기초2"/>
      <sheetName val="전차선로_물량표2"/>
      <sheetName val="CAL(1)_2"/>
      <sheetName val="Bend_fact_2"/>
      <sheetName val="STAFF_ANALYSIS2"/>
      <sheetName val="3_하중산정4_지지력2"/>
      <sheetName val="간_지11"/>
      <sheetName val="01_견적내역서1"/>
      <sheetName val="Part_AB1"/>
      <sheetName val="Part_I1"/>
      <sheetName val="Part_M1"/>
      <sheetName val="할증_1"/>
      <sheetName val="6PILE+옹벽집계!$G$6+옹벽집계!$H$10__(돌1"/>
      <sheetName val="S_중기사용료1"/>
      <sheetName val="3련_BOX1"/>
      <sheetName val="MAIN_GATE_HOUSE1"/>
      <sheetName val="ASP_일반구간_250A1"/>
      <sheetName val="2_교량(신설)1"/>
      <sheetName val="I_설계조건1"/>
      <sheetName val="01_인원현황_(계획)1"/>
      <sheetName val="돌담교_상부수량1"/>
      <sheetName val="1_수인터널1"/>
      <sheetName val="6PILE___돌_x005f_x001c__"/>
      <sheetName val="아파트 기성내역서"/>
      <sheetName val="공정"/>
      <sheetName val="dongia_(2)1"/>
      <sheetName val="Div26_-_Elect1"/>
      <sheetName val="RAB_AR&amp;STR1"/>
      <sheetName val="시멘트_및_골재량_(슬래브)"/>
      <sheetName val="시멘트_및_골재량_(거더)"/>
      <sheetName val="산1~6"/>
      <sheetName val="중기조종사 단위단가"/>
      <sheetName val="금액결정"/>
      <sheetName val="횡배위치"/>
      <sheetName val="철근단면적"/>
      <sheetName val="Y-WORK"/>
      <sheetName val="출입구총집계"/>
      <sheetName val="토공집계"/>
      <sheetName val="단위가격"/>
      <sheetName val="견적 (2)"/>
      <sheetName val="USGC"/>
      <sheetName val="Equip."/>
      <sheetName val="database"/>
      <sheetName val="INFOR-ST"/>
      <sheetName val="TEN CONG TRINH"/>
      <sheetName val="Notes"/>
      <sheetName val="BANG TONG HOP (2)"/>
      <sheetName val="AUTOMATIC SELECT"/>
      <sheetName val="단면치수"/>
      <sheetName val="가설대가"/>
      <sheetName val="토공대가"/>
      <sheetName val="구조대가"/>
      <sheetName val="포설대가1"/>
      <sheetName val="부대대가"/>
      <sheetName val="정산"/>
      <sheetName val="Cash Out Table"/>
      <sheetName val="Net Cash Table"/>
      <sheetName val="HVAC"/>
      <sheetName val="Riesgos y Oportunidades"/>
      <sheetName val="총수량_(기성)1"/>
      <sheetName val="4-1_노무비(직영)1"/>
      <sheetName val="을_21"/>
      <sheetName val="을_11"/>
      <sheetName val="2_단면가정1"/>
      <sheetName val="입출재고현황_(2)1"/>
      <sheetName val="1_토공1"/>
      <sheetName val="제수변수량H2_151"/>
      <sheetName val="T_T_P_단위수량1"/>
      <sheetName val="BOX(1_5X1_5)1"/>
      <sheetName val="칠산대교_중앙부1"/>
      <sheetName val="칠산대교_시종점부1"/>
      <sheetName val="96보완계획7_121"/>
      <sheetName val="전선_및_전선관1"/>
      <sheetName val="2_대외공문1"/>
      <sheetName val="전체변경예정공정표_2012_07_301"/>
      <sheetName val="토공_total1"/>
      <sheetName val="외주현황_wq11"/>
      <sheetName val="6PILE_(돌출)1"/>
      <sheetName val="P_M_별1"/>
      <sheetName val="화재_탐지_설비1"/>
      <sheetName val="자재_집계표"/>
      <sheetName val="REINF_1"/>
      <sheetName val="트랜치_집수정_연결관-연장산출서"/>
      <sheetName val="산출내역(5월)_(2)"/>
      <sheetName val="℀"/>
      <sheetName val="Pier_3"/>
      <sheetName val="Eq__Mobilization"/>
      <sheetName val="IRR_sponsor"/>
      <sheetName val="1_설계조건_"/>
      <sheetName val="2_단면1"/>
      <sheetName val="2_단면2"/>
      <sheetName val="3_토압계산"/>
      <sheetName val="4_하중계산"/>
      <sheetName val="5_안정검토"/>
      <sheetName val="5_안정검토_(2)"/>
      <sheetName val="6_벽체계산"/>
      <sheetName val="7_FOOTING_계산(직접기초)"/>
      <sheetName val="7_PILE_"/>
      <sheetName val="FOOTING_계산(PILE기초)"/>
      <sheetName val="(10)_Other_Costs5"/>
      <sheetName val="LAST_UPDATE"/>
      <sheetName val="Bill_summary_of_cost"/>
      <sheetName val="INTERIOR_WALLS"/>
      <sheetName val="Material_Price"/>
      <sheetName val="2_223M_due_to_adj_profit"/>
      <sheetName val="Land_Dev't__Ph-1"/>
      <sheetName val="GESTION_FICHE"/>
      <sheetName val="TRADUCTION_LISTES"/>
      <sheetName val="_FURNACE현설"/>
      <sheetName val="Finansal_tamamlanma_Eğrisi1"/>
      <sheetName val="A_LINE"/>
      <sheetName val="C_배수관공"/>
      <sheetName val="날개수량1_5"/>
      <sheetName val="맨홀이음부_몰탈수량_집계표"/>
      <sheetName val="U형측구_표준단면도"/>
      <sheetName val="SYSTEM_945_Air&amp;Nitrogen"/>
      <sheetName val="PM_Demolition_"/>
      <sheetName val="Form_A"/>
      <sheetName val="Form_C"/>
      <sheetName val="Form_D"/>
      <sheetName val="Form_E"/>
      <sheetName val="Form_F"/>
      <sheetName val="Form_G"/>
      <sheetName val="현장관리비_산출내역"/>
      <sheetName val="7_PILE__(돌출)"/>
      <sheetName val="분묘_총_현황"/>
      <sheetName val="준검_내역서"/>
      <sheetName val="잡비계산"/>
      <sheetName val="보고서"/>
      <sheetName val="기본단가"/>
      <sheetName val="인건비단가"/>
      <sheetName val="상부하중"/>
      <sheetName val="풍하중1"/>
      <sheetName val="음성방향"/>
      <sheetName val="1공구산출내역서"/>
      <sheetName val="SLAB"/>
      <sheetName val="S_중기사용료2"/>
      <sheetName val="1_토공2"/>
      <sheetName val="01_견적내역서2"/>
      <sheetName val="6PILE__(돌출)4"/>
      <sheetName val="2_단면가정_3"/>
      <sheetName val="6PILE___돌출_3"/>
      <sheetName val="3BL공동구_수량3"/>
      <sheetName val="하도내역_(철콘)3"/>
      <sheetName val="본선_토공_분배표3"/>
      <sheetName val="Sheet1_(2)3"/>
      <sheetName val="8_PILE__(돌출)3"/>
      <sheetName val="S_중기사용료3"/>
      <sheetName val="단면_(2)3"/>
      <sheetName val="3_공통공사대비3"/>
      <sheetName val="1062-X방향_3"/>
      <sheetName val="공사비증감(P4)_3"/>
      <sheetName val="1__설계조건_2_단면가정_3__하중계산3"/>
      <sheetName val="DATA_입력란3"/>
      <sheetName val="1_토공3"/>
      <sheetName val="01_견적내역서3"/>
      <sheetName val="제출내역_(2)3"/>
      <sheetName val="기계경비(시간당)"/>
      <sheetName val="램머"/>
      <sheetName val="식재인부"/>
      <sheetName val="시설물기초"/>
      <sheetName val="분석"/>
      <sheetName val="수자재단위당"/>
      <sheetName val="유리"/>
      <sheetName val="NAI"/>
      <sheetName val="품셈총_x0000__x0000_"/>
      <sheetName val="수목데이타 "/>
      <sheetName val="물가자료"/>
      <sheetName val="가로등내역서"/>
      <sheetName val="교사기준면적(초등)"/>
      <sheetName val="암거날개벽재료집계"/>
      <sheetName val="용산3(영광)"/>
      <sheetName val="_x0018_?℀"/>
      <sheetName val="기계공사"/>
      <sheetName val="공사비총"/>
      <sheetName val="125x125"/>
      <sheetName val="Du lieu ban dau"/>
      <sheetName val="Earthwork"/>
      <sheetName val="149-2"/>
      <sheetName val="Đon gia"/>
      <sheetName val="Duc_bk"/>
      <sheetName val="Đơn Giá "/>
      <sheetName val="Config"/>
      <sheetName val="TH_CPTB"/>
      <sheetName val="CP Khac cuoc VC"/>
      <sheetName val="Rates"/>
      <sheetName val="T.KE CP1"/>
      <sheetName val="Rekap Addendum"/>
      <sheetName val="Hrg.Sat"/>
      <sheetName val="Sec I ML"/>
      <sheetName val=" PE-F-42 MR 9 Manpower"/>
      <sheetName val="On Time"/>
      <sheetName val="Curup"/>
      <sheetName val="Prabu"/>
      <sheetName val="PESANTREN"/>
      <sheetName val="G"/>
      <sheetName val="A"/>
      <sheetName val="BG"/>
      <sheetName val="Parem"/>
      <sheetName val="SEX"/>
      <sheetName val="Takeoff"/>
      <sheetName val="INFO"/>
      <sheetName val="B3A - TOWER A"/>
      <sheetName val="Bill of Qty MEP"/>
      <sheetName val="ctTBA"/>
      <sheetName val="PNT_QUOT__3"/>
      <sheetName val="COAT_WRAP_QIOT__3"/>
      <sheetName val="Nhan cong"/>
      <sheetName val="Gld"/>
      <sheetName val="Gxd"/>
      <sheetName val="QD957"/>
      <sheetName val="공사개요-C"/>
      <sheetName val="Items"/>
      <sheetName val="HESO"/>
      <sheetName val="TOTAL SUMMARY"/>
      <sheetName val="우배수"/>
      <sheetName val="J直材4"/>
      <sheetName val="전계가"/>
      <sheetName val="ACUNIT"/>
      <sheetName val="98수문일위"/>
      <sheetName val="평균터파기고(1-2,ASP)"/>
      <sheetName val="제1종배수관"/>
      <sheetName val="제2종배수관"/>
      <sheetName val="제4종배수관"/>
      <sheetName val="토목공사"/>
      <sheetName val="0226"/>
      <sheetName val="CFS3"/>
      <sheetName val="F4-F7"/>
      <sheetName val="검사원"/>
      <sheetName val="기성요약서"/>
      <sheetName val="원가계산서"/>
      <sheetName val="공종별집계표"/>
      <sheetName val="간지1"/>
      <sheetName val="순공사비산출서"/>
      <sheetName val="#첨부서류"/>
      <sheetName val="목차"/>
      <sheetName val="보험료정산내역서"/>
      <sheetName val="산갑"/>
      <sheetName val="안전관리비사용내역서(총괄표)"/>
      <sheetName val="품질갑지"/>
      <sheetName val="매몰부검측갑지"/>
      <sheetName val="관급수불부갑지"/>
      <sheetName val="사급수불부갑지"/>
      <sheetName val="노무비지급대장갑지"/>
      <sheetName val="사진대지갑"/>
      <sheetName val="기성사진대지"/>
      <sheetName val="기성검사사진"/>
      <sheetName val="1.사유서"/>
      <sheetName val="부재별산출서"/>
      <sheetName val="CAUDIT"/>
      <sheetName val="능률"/>
      <sheetName val="동력부하계산"/>
      <sheetName val="WORK"/>
      <sheetName val="안정계산"/>
      <sheetName val="도"/>
      <sheetName val="구성비"/>
      <sheetName val="배수공집계표"/>
      <sheetName val="하중산정"/>
      <sheetName val="공정계획(내부계획25%,내부w.f)"/>
      <sheetName val="AILC004"/>
      <sheetName val="시설물일위"/>
      <sheetName val="잡석,기타"/>
      <sheetName val="토공 (3)"/>
      <sheetName val="연장,면적"/>
      <sheetName val="보강토옹벽총계"/>
      <sheetName val="토공 (2)"/>
      <sheetName val="우수공수량총괄"/>
      <sheetName val="오수공총괄"/>
      <sheetName val="상수총괄"/>
      <sheetName val=" 비점오염저감시설"/>
      <sheetName val="세륜장"/>
      <sheetName val="소도3교"/>
      <sheetName val="간접1"/>
      <sheetName val="공예을"/>
      <sheetName val="SC1"/>
      <sheetName val="현장지지물물량"/>
      <sheetName val="IncStat 03-04"/>
      <sheetName val="IncStat 03  "/>
      <sheetName val="Авансы по СНГ"/>
      <sheetName val="LOADDAT"/>
      <sheetName val="UNIT 3"/>
      <sheetName val="Cashflow Analysis"/>
      <sheetName val="VC2 8.98"/>
      <sheetName val="적용환율"/>
      <sheetName val="BREAKDOWN(철거설치)"/>
      <sheetName val="경비2내역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DESBAST"/>
      <sheetName val="Arch"/>
      <sheetName val="チューブ仕様"/>
      <sheetName val="Insulation_Utl_Off"/>
      <sheetName val="Note_Piping"/>
      <sheetName val="Forecast"/>
      <sheetName val="part j"/>
      <sheetName val="Part B"/>
      <sheetName val="UPA (C)"/>
      <sheetName val="Regenerator  Concrete Structure"/>
      <sheetName val="Ex-Rate"/>
      <sheetName val="WORKER"/>
      <sheetName val="Schedule S-Curve Revision#3"/>
      <sheetName val="Master Data"/>
      <sheetName val="石炭性状"/>
      <sheetName val="PSV2701F"/>
      <sheetName val="DESBASTE"/>
      <sheetName val="세목전체"/>
      <sheetName val="투자필요검토서(복수업체추천서 포함)"/>
      <sheetName val="소요자재"/>
      <sheetName val="노무산출서"/>
      <sheetName val="토공_갑지4"/>
      <sheetName val="TOWER_10TON3"/>
      <sheetName val="TOWER_12TON3"/>
      <sheetName val="F301_3033"/>
      <sheetName val="plan&amp;section_of_foundation3"/>
      <sheetName val="design_load3"/>
      <sheetName val="working_load_at_the_btm_ft_3"/>
      <sheetName val="stability_check3"/>
      <sheetName val="design_criteria3"/>
      <sheetName val="선적schedule_(2)3"/>
      <sheetName val="총_괄_표4"/>
      <sheetName val="간_지12"/>
      <sheetName val="BOX_본체3"/>
      <sheetName val="PAD_TR보호대기초3"/>
      <sheetName val="전차선로_물량표3"/>
      <sheetName val="6PILE_과속방지턱집계표!$K$12_(돌출)3"/>
      <sheetName val="6PILE+옹벽집계!$G$6+옹벽집계!$H$10__(돌2"/>
      <sheetName val="3_하중산정4_지지력3"/>
      <sheetName val="4_2유효폭의_계산3"/>
      <sheetName val="01_인원현황_(계획)2"/>
      <sheetName val="2_교량(신설)2"/>
      <sheetName val="I_설계조건2"/>
      <sheetName val="Part_AB2"/>
      <sheetName val="Part_I2"/>
      <sheetName val="Part_M2"/>
      <sheetName val="CAL(1)_3"/>
      <sheetName val="Bend_fact_3"/>
      <sheetName val="STAFF_ANALYSIS3"/>
      <sheetName val="1_설계조건3"/>
      <sheetName val="할증_2"/>
      <sheetName val="돌담교_상부수량2"/>
      <sheetName val="1_수인터널2"/>
      <sheetName val="3련_BOX2"/>
      <sheetName val="ASP_일반구간_250A2"/>
      <sheetName val="2_하중산정1"/>
      <sheetName val="1_설계기준1"/>
      <sheetName val="Form_A1"/>
      <sheetName val="Form_C1"/>
      <sheetName val="Form_D1"/>
      <sheetName val="Form_E1"/>
      <sheetName val="Form_F1"/>
      <sheetName val="Form_G1"/>
      <sheetName val="_FURNACE현설1"/>
      <sheetName val="입찰내역_발주처_양식1"/>
      <sheetName val="하천하류_철근수량_집계표1"/>
      <sheetName val="트랜치_집수정_연결관-연장산출서1"/>
      <sheetName val="Summary_2"/>
      <sheetName val="Thiet_bi2"/>
      <sheetName val="DM_ChiPhi2"/>
      <sheetName val="MAIN_GATE_HOUSE2"/>
      <sheetName val="Pier_31"/>
      <sheetName val="산출내역(5월)_(2)1"/>
      <sheetName val="STEEL_BOX_단면설계(SEC_8)1"/>
      <sheetName val="시멘트_및_골재량_(슬래브)1"/>
      <sheetName val="시멘트_및_골재량_(거더)1"/>
      <sheetName val="자재_집계표1"/>
      <sheetName val="6PILE___돌_x005f_x001c__1"/>
      <sheetName val="Eq__Mobilization1"/>
      <sheetName val="01__지사동1"/>
      <sheetName val="A_LINE1"/>
      <sheetName val="C_배수관공1"/>
      <sheetName val="Finansal_tamamlanma_Eğrisi2"/>
      <sheetName val="TEST1"/>
      <sheetName val="이토변실"/>
      <sheetName val="역T형(H=6.0) (2)"/>
      <sheetName val="관경결정"/>
      <sheetName val="6PILE_옹_____G_6_옹_____H_10____2"/>
      <sheetName val="01"/>
      <sheetName val="TTL"/>
      <sheetName val="Sheet9"/>
      <sheetName val="Sheet10"/>
      <sheetName val="전기자료"/>
      <sheetName val="IBASE"/>
      <sheetName val="EARTH WORKS"/>
      <sheetName val="TBVL"/>
      <sheetName val="TLG Type"/>
      <sheetName val="FAB별"/>
      <sheetName val="運転条件一覧"/>
      <sheetName val="_x005f_xffff__x005f_xffff__x005f_xffff__x005f_xffff_"/>
      <sheetName val="_x005f_x0018__x005f_x0000_℀"/>
      <sheetName val="내부산출서"/>
      <sheetName val="C-制_x0010__x0000_"/>
      <sheetName val="공통부대비"/>
      <sheetName val="IGCC査定"/>
      <sheetName val="본사인상전"/>
      <sheetName val="환경기계공정표 (3)"/>
      <sheetName val="제경비율"/>
      <sheetName val="시산표"/>
      <sheetName val="1호맨홀가시설토공(2~4)"/>
      <sheetName val="1호맨홀토공 (4)"/>
      <sheetName val="1호맨홀연결관토공 (2)"/>
      <sheetName val="Sheet6"/>
      <sheetName val="견적을지"/>
      <sheetName val="XXXXXX"/>
      <sheetName val="도면자료제출일정"/>
      <sheetName val="도급원가"/>
      <sheetName val="상행-교대(A1-A2)"/>
      <sheetName val="G2설비도급"/>
      <sheetName val="부서별(배부후)_계획"/>
      <sheetName val="Comps"/>
      <sheetName val="예산총괄표"/>
      <sheetName val="재료비"/>
      <sheetName val="경비총괄표"/>
      <sheetName val="1. 검사비외"/>
      <sheetName val="3.공사운영비"/>
      <sheetName val="2.외주공사비"/>
      <sheetName val="본사공가현황"/>
      <sheetName val="기본단가표"/>
      <sheetName val="터널조도"/>
      <sheetName val="노임이"/>
      <sheetName val="L밽P"/>
      <sheetName val="L밽©"/>
      <sheetName val="L_x0002__x0000_"/>
      <sheetName val="INSTR"/>
      <sheetName val="토량1-1"/>
      <sheetName val="종배수관"/>
      <sheetName val="마산Z꬀"/>
      <sheetName val="TEL"/>
      <sheetName val="현장조사"/>
      <sheetName val="맨홀_공사비"/>
      <sheetName val="수목표준대가"/>
      <sheetName val="임목폐기_x0000_挳ƀ"/>
      <sheetName val="8.석축단위(H=1.5M)"/>
      <sheetName val="Equip_"/>
      <sheetName val="plumbing"/>
      <sheetName val="pro ra op"/>
      <sheetName val="grafik"/>
      <sheetName val="Sch"/>
      <sheetName val="HARGA MATERIAL"/>
      <sheetName val="CH-RANC"/>
      <sheetName val="Competitors"/>
      <sheetName val="VV-REV2"/>
      <sheetName val="DIV.1"/>
      <sheetName val="analisa"/>
      <sheetName val="ALAT"/>
      <sheetName val="BAHAN"/>
      <sheetName val="Analisa Harga"/>
      <sheetName val="BQ"/>
      <sheetName val="hsp-STR-ARS"/>
      <sheetName val="Summary"/>
      <sheetName val="Analisa Harga Satuan"/>
      <sheetName val="Bank"/>
      <sheetName val="Hrg Satuan"/>
      <sheetName val="Public Area"/>
      <sheetName val="analis standar(8m)"/>
      <sheetName val="GRAND TOTAL"/>
      <sheetName val="div2"/>
      <sheetName val="Daf 1"/>
      <sheetName val="EQ_an"/>
      <sheetName val="LISTRIK"/>
      <sheetName val="VA_code"/>
      <sheetName val="Persiapan"/>
      <sheetName val="95삼성급(본사)"/>
      <sheetName val="TB"/>
      <sheetName val="Spec ME"/>
      <sheetName val="Balok"/>
      <sheetName val="Factor"/>
      <sheetName val="BOQ CBM"/>
      <sheetName val="PileCap"/>
      <sheetName val="REQDELTA"/>
      <sheetName val="BAG_2"/>
      <sheetName val="I_KAMAR"/>
      <sheetName val="Analisa HSP"/>
      <sheetName val="Pipe"/>
      <sheetName val="ELEC_DCI"/>
      <sheetName val="INST_DCI"/>
      <sheetName val="RAB"/>
      <sheetName val="PRO_DCI"/>
      <sheetName val="HVAC_DCI"/>
      <sheetName val="PIPE_DCI"/>
      <sheetName val="4-Basic Price"/>
      <sheetName val="villa"/>
      <sheetName val="Harsat Upah"/>
      <sheetName val="Perhitungan Besi"/>
      <sheetName val="ANL"/>
      <sheetName val="Cash Flow bulanan"/>
      <sheetName val="H.Satuan"/>
      <sheetName val="Perm. Test"/>
      <sheetName val="schalt"/>
      <sheetName val="schtng"/>
      <sheetName val="schbhn"/>
      <sheetName val="기안"/>
      <sheetName val="개산공사비"/>
      <sheetName val="깨_x0000_"/>
      <sheetName val="40인공산출서"/>
      <sheetName val="40산출기초"/>
      <sheetName val="40전기실"/>
      <sheetName val="40전력간선"/>
      <sheetName val="40용접기용"/>
      <sheetName val="40전등"/>
      <sheetName val="40RACE WAY"/>
      <sheetName val="40전열"/>
      <sheetName val="30신설일위대가"/>
      <sheetName val="30집계표"/>
      <sheetName val="__"/>
      <sheetName val="1,2공구원가계산서"/>
      <sheetName val="집 계 표"/>
      <sheetName val="상 부"/>
      <sheetName val="착공내역서"/>
      <sheetName val="상반기손익차2瓐쓏"/>
      <sheetName val="6PILE__(돌출)5"/>
      <sheetName val="4_2유효폭의_계산4"/>
      <sheetName val="6PILE___돌출_4"/>
      <sheetName val="토공_갑지5"/>
      <sheetName val="3BL공동구_수량4"/>
      <sheetName val="하도내역_(철콘)4"/>
      <sheetName val="본선_토공_분배표4"/>
      <sheetName val="BOX_본체4"/>
      <sheetName val="Sheet1_(2)4"/>
      <sheetName val="2_단면가정_4"/>
      <sheetName val="1062-X방향_4"/>
      <sheetName val="1__설계조건_2_단면가정_3__하중계산4"/>
      <sheetName val="DATA_입력란4"/>
      <sheetName val="3_공통공사대비4"/>
      <sheetName val="단면_(2)4"/>
      <sheetName val="총_괄_표5"/>
      <sheetName val="6PILE+옹벽집계!$G$6+옹벽집계!$H$10__(돌3"/>
      <sheetName val="8_PILE__(돌출)4"/>
      <sheetName val="TOWER_10TON4"/>
      <sheetName val="TOWER_12TON4"/>
      <sheetName val="공사비증감(P4)_4"/>
      <sheetName val="6PILE_과속방지턱집계표!$K$12_(돌출)4"/>
      <sheetName val="제출내역_(2)4"/>
      <sheetName val="간_지13"/>
      <sheetName val="3_하중산정4_지지력4"/>
      <sheetName val="F301_3034"/>
      <sheetName val="plan&amp;section_of_foundation4"/>
      <sheetName val="design_load4"/>
      <sheetName val="working_load_at_the_btm_ft_4"/>
      <sheetName val="stability_check4"/>
      <sheetName val="design_criteria4"/>
      <sheetName val="선적schedule_(2)4"/>
      <sheetName val="PAD_TR보호대기초4"/>
      <sheetName val="I_설계조건3"/>
      <sheetName val="전차선로_물량표4"/>
      <sheetName val="1_설계조건4"/>
      <sheetName val="칠산대교_중앙부2"/>
      <sheetName val="칠산대교_시종점부2"/>
      <sheetName val="을_22"/>
      <sheetName val="을_12"/>
      <sheetName val="BOX(1_5X1_5)2"/>
      <sheetName val="2_교량(신설)3"/>
      <sheetName val="2_하중산정2"/>
      <sheetName val="Part_AB3"/>
      <sheetName val="Part_I3"/>
      <sheetName val="Part_M3"/>
      <sheetName val="2_단면가정2"/>
      <sheetName val="할증_3"/>
      <sheetName val="CAL(1)_4"/>
      <sheetName val="Bend_fact_4"/>
      <sheetName val="STAFF_ANALYSIS4"/>
      <sheetName val="ASP_일반구간_250A3"/>
      <sheetName val="01_인원현황_(계획)3"/>
      <sheetName val="토공_total2"/>
      <sheetName val="입출재고현황_(2)2"/>
      <sheetName val="돌담교_상부수량3"/>
      <sheetName val="1_수인터널3"/>
      <sheetName val="3련_BOX3"/>
      <sheetName val="총수량_(기성)2"/>
      <sheetName val="4-1_노무비(직영)2"/>
      <sheetName val="전선_및_전선관2"/>
      <sheetName val="제수변수량H2_152"/>
      <sheetName val="전체변경예정공정표_2012_07_302"/>
      <sheetName val="96보완계획7_122"/>
      <sheetName val="P_M_별2"/>
      <sheetName val="1_설계기준2"/>
      <sheetName val="T_T_P_단위수량2"/>
      <sheetName val="2_대외공문2"/>
      <sheetName val="외주현황_wq12"/>
      <sheetName val="화재_탐지_설비2"/>
      <sheetName val="6PILE_(돌출)2"/>
      <sheetName val="입찰내역_발주처_양식2"/>
      <sheetName val="트랜치_집수정_연결관-연장산출서2"/>
      <sheetName val="Summary_3"/>
      <sheetName val="Thiet_bi3"/>
      <sheetName val="DM_ChiPhi3"/>
      <sheetName val="MAIN_GATE_HOUSE3"/>
      <sheetName val="Pier_32"/>
      <sheetName val="하천하류_철근수량_집계표2"/>
      <sheetName val="REINF_2"/>
      <sheetName val="STEEL_BOX_단면설계(SEC_8)2"/>
      <sheetName val="자재_집계표2"/>
      <sheetName val="시멘트_및_골재량_(슬래브)2"/>
      <sheetName val="시멘트_및_골재량_(거더)2"/>
      <sheetName val="A_LINE2"/>
      <sheetName val="C_배수관공2"/>
      <sheetName val="Finansal_tamamlanma_Eğrisi3"/>
      <sheetName val="_FURNACE현설2"/>
      <sheetName val="산출내역(5월)_(2)2"/>
      <sheetName val="01__지사동2"/>
      <sheetName val="Form_A2"/>
      <sheetName val="Form_C2"/>
      <sheetName val="Form_D2"/>
      <sheetName val="Form_E2"/>
      <sheetName val="Form_F2"/>
      <sheetName val="Form_G2"/>
      <sheetName val="dongia_(2)2"/>
      <sheetName val="Div26_-_Elect2"/>
      <sheetName val="RAB_AR&amp;STR2"/>
      <sheetName val="6PILE___돌_x005f_x001c__2"/>
      <sheetName val="VS_P-Q"/>
      <sheetName val="중기조종사_단위단가"/>
      <sheetName val="Eq__Mobilization2"/>
      <sheetName val="worksheet_inchican"/>
      <sheetName val="combined_9-30"/>
      <sheetName val="미생물배양기_기초"/>
      <sheetName val="6PILE___돌_x005f_x005f_x005f_x001c__"/>
      <sheetName val="DG_duoi"/>
      <sheetName val="IMPEADENCE_MAP_취수장"/>
      <sheetName val="아파트_기성내역서"/>
      <sheetName val="TEN_CONG_TRINH"/>
      <sheetName val="BANG_TONG_HOP_(2)"/>
      <sheetName val="AUTOMATIC_SELECT"/>
      <sheetName val="Riesgos_y_Oportunidades"/>
      <sheetName val="?℀"/>
      <sheetName val="투자필요검토서(복수업체추천서_포함)"/>
      <sheetName val="공정계획(내부계획25%,내부w_f)"/>
      <sheetName val="Cash_Out_Table"/>
      <sheetName val="Net_Cash_Table"/>
      <sheetName val="도로단위당"/>
      <sheetName val="01_견적내역서4"/>
      <sheetName val="S_중기사용료4"/>
      <sheetName val="1_토공4"/>
      <sheetName val="Cons.Val"/>
      <sheetName val="EQUIPOS"/>
      <sheetName val="33628-Rev. A"/>
      <sheetName val="Module2"/>
      <sheetName val="EXC-R"/>
      <sheetName val="Bill rekap"/>
      <sheetName val="Rekapitulasi"/>
      <sheetName val="Perhit.Alat"/>
      <sheetName val="I-KAMAR"/>
      <sheetName val="Harga"/>
      <sheetName val="Koordinat"/>
      <sheetName val="TDC Item Dets"/>
      <sheetName val="TDC Item Sumry"/>
      <sheetName val="TDC Key Qty Sumry"/>
      <sheetName val="List - Components"/>
      <sheetName val="List - Equipment"/>
      <sheetName val="Item Sumry - Std Imp"/>
      <sheetName val="Unit Costs - Std Imp"/>
      <sheetName val="Unit MH - Std Imp"/>
      <sheetName val="Proj TIC - Std Imp"/>
      <sheetName val="중동공구"/>
      <sheetName val="trf(36%)"/>
      <sheetName val="도급"/>
      <sheetName val="ENE-CAL 1"/>
      <sheetName val="수량산출서 갑지"/>
      <sheetName val="Supplement_x0000_"/>
      <sheetName val="Supplementᐨ"/>
      <sheetName val="원형맨_x0000__x0000__x0005_"/>
      <sheetName val="Sales"/>
      <sheetName val="방배동내역(리라)"/>
      <sheetName val="C_d"/>
      <sheetName val="노무비단가"/>
      <sheetName val="부대공사총괄"/>
      <sheetName val="현장경비"/>
      <sheetName val="건축공사집계표"/>
      <sheetName val="주차구획선수량"/>
      <sheetName val="AN-MAJOR"/>
      <sheetName val="LOKASI"/>
      <sheetName val="토목내역"/>
      <sheetName val="Bored Pile"/>
      <sheetName val="slipsumpR"/>
      <sheetName val="bridge # 1"/>
      <sheetName val="mat'ls"/>
      <sheetName val="03-13 Anticipated"/>
      <sheetName val="03-13 Approved"/>
      <sheetName val="hauling"/>
      <sheetName val="ﾄﾞﾊﾞｲFUEL GAS追見"/>
      <sheetName val="Inputs"/>
      <sheetName val="BD"/>
      <sheetName val="Others"/>
      <sheetName val="sum mdc"/>
      <sheetName val="0000"/>
      <sheetName val="derive"/>
      <sheetName val="List Equip"/>
      <sheetName val="LabCost"/>
      <sheetName val="MatCost"/>
      <sheetName val="Concrete"/>
      <sheetName val="Process C (1-166)"/>
      <sheetName val="4-Lane bridge"/>
      <sheetName val="Hac.Lots"/>
      <sheetName val="Res.Lots"/>
      <sheetName val="Spine Road"/>
      <sheetName val="Stl-B"/>
      <sheetName val="eqpmt"/>
      <sheetName val="labor"/>
      <sheetName val="PM"/>
      <sheetName val="MATL"/>
      <sheetName val="Budget"/>
      <sheetName val="Legal Risk Analysis"/>
      <sheetName val="HaulingLine hardware"/>
      <sheetName val="Parameters"/>
      <sheetName val="Front Page"/>
      <sheetName val="March"/>
      <sheetName val="derivation"/>
      <sheetName val="Code 07"/>
      <sheetName val="05. VO Log (Master Data)"/>
      <sheetName val="MANHOLE"/>
      <sheetName val="Named Range"/>
      <sheetName val="TRUCK HAUL CYCLE-waste"/>
      <sheetName val="bill 2"/>
      <sheetName val="2.2 띠장의 설계"/>
      <sheetName val="i112996P6"/>
      <sheetName val="ref"/>
      <sheetName val="lookups"/>
      <sheetName val="BOQ"/>
      <sheetName val="Report"/>
      <sheetName val="revised#1"/>
      <sheetName val="시멘트 및 골ꍈ┊楀◞_x0000_"/>
      <sheetName val="시멘트 및 골_xdc48_ʉꍈ&gt;㱀ᇈ뮰"/>
      <sheetName val="DGchitiet "/>
      <sheetName val="consilidate"/>
      <sheetName val="HS"/>
      <sheetName val="GIAVLIEU"/>
      <sheetName val="CP HMC"/>
      <sheetName val="Tong hop DT XDCT"/>
      <sheetName val="Du_lieu_ban_dau"/>
      <sheetName val="Đon_gia"/>
      <sheetName val="Đơn_Giá_"/>
      <sheetName val="CP_Khac_cuoc_VC"/>
      <sheetName val="T_KE_CP1"/>
      <sheetName val="Chiet tinh dz35"/>
      <sheetName val="1_MV"/>
      <sheetName val="Parameter"/>
      <sheetName val="Tong du toan"/>
      <sheetName val="GENERAL REQUIREMENTS"/>
      <sheetName val="CAPVC"/>
      <sheetName val="CIM"/>
      <sheetName val="SP10"/>
      <sheetName val="6PILE___돌_x001c__"/>
      <sheetName val="NOTE"/>
      <sheetName val="FitOutConfCentre"/>
      <sheetName val="LEGEND"/>
      <sheetName val="Sheet7"/>
      <sheetName val="손익차총괄2"/>
      <sheetName val="30万表三"/>
      <sheetName val="jj"/>
      <sheetName val="6BPRO"/>
      <sheetName val="方案1表二"/>
      <sheetName val="2010电气概算 价目表"/>
      <sheetName val="gsde06"/>
      <sheetName val="调整系数"/>
      <sheetName val="热力"/>
      <sheetName val="G2TempSheet"/>
      <sheetName val="建筑工程统计表06月份 "/>
      <sheetName val="cespiti cet2 piombino (2)"/>
      <sheetName val="CT Thang Mo"/>
      <sheetName val="CT  PL"/>
      <sheetName val="Rekap_Addendum"/>
      <sheetName val="Hrg_Sat"/>
      <sheetName val="Sec_I_ML"/>
      <sheetName val="_PE-F-42_MR_9_Manpower"/>
      <sheetName val="On_Time"/>
      <sheetName val="dongia_(2)3"/>
      <sheetName val="RAB_AR&amp;STR3"/>
      <sheetName val="Div26_-_Elect3"/>
      <sheetName val="6PILE___돌_x005f_x005f_x005f_x001c__1"/>
      <sheetName val="DG_duoi1"/>
      <sheetName val="TEN_CONG_TRINH1"/>
      <sheetName val="Rekap_Addendum1"/>
      <sheetName val="Hrg_Sat1"/>
      <sheetName val="Sec_I_ML1"/>
      <sheetName val="_PE-F-42_MR_9_Manpower1"/>
      <sheetName val="On_Time1"/>
      <sheetName val="BANG_TONG_HOP_(2)1"/>
      <sheetName val="AUTOMATIC_SELECT1"/>
      <sheetName val="Du_lieu_ban_dau1"/>
      <sheetName val="PERSONNELIST"/>
      <sheetName val="Foglio1"/>
      <sheetName val="FIXED EQUIPMENT"/>
      <sheetName val="综合概算"/>
      <sheetName val="SYSTEM_945_Air&amp;Nitrogen1"/>
      <sheetName val="PM_Demolition_1"/>
      <sheetName val="유림콘도"/>
      <sheetName val="규준틀"/>
      <sheetName val="역T형옹벽(3.0)"/>
      <sheetName val="흙쌓기도수로설치현황"/>
      <sheetName val="이기ᣉᾼ栃컒"/>
      <sheetName val="개발행위"/>
      <sheetName val="유동(순성_최종"/>
      <sheetName val="4배"/>
      <sheetName val="6배"/>
      <sheetName val="3배"/>
      <sheetName val="5배"/>
      <sheetName val="1배"/>
      <sheetName val="99년하반기"/>
      <sheetName val="Chiet tinh dz22"/>
      <sheetName val="건축내턠"/>
      <sheetName val="건축내_x0000_"/>
      <sheetName val="청산공사"/>
      <sheetName val="외자배_x0000_"/>
      <sheetName val="옹벽_x0000__x0000_Ԁ"/>
      <sheetName val="1ST"/>
      <sheetName val="예총"/>
      <sheetName val="단면검_x0000_"/>
      <sheetName val="설계예산2"/>
      <sheetName val="주공 갑지"/>
      <sheetName val="비옥토수⁂"/>
      <sheetName val="조명율표"/>
      <sheetName val="6PILE__(돌출)6"/>
      <sheetName val="6PILE___돌출_5"/>
      <sheetName val="토공_갑지6"/>
      <sheetName val="총_괄_표6"/>
      <sheetName val="3BL공동구_수량5"/>
      <sheetName val="Sheet1_(2)5"/>
      <sheetName val="2_단면가정_5"/>
      <sheetName val="본선_토공_분배표5"/>
      <sheetName val="3_하중산정4_지지력5"/>
      <sheetName val="1062-X방향_5"/>
      <sheetName val="하도내역_(철콘)5"/>
      <sheetName val="6PILE_과속방지턱집계표!$K$12_(돌출)5"/>
      <sheetName val="제출내역_(2)5"/>
      <sheetName val="단면_(2)5"/>
      <sheetName val="F301_3035"/>
      <sheetName val="plan&amp;section_of_foundation5"/>
      <sheetName val="design_load5"/>
      <sheetName val="working_load_at_the_btm_ft_5"/>
      <sheetName val="stability_check5"/>
      <sheetName val="design_criteria5"/>
      <sheetName val="선적schedule_(2)5"/>
      <sheetName val="4_2유효폭의_계산5"/>
      <sheetName val="8_PILE__(돌출)5"/>
      <sheetName val="1__설계조건_2_단면가정_3__하중계산5"/>
      <sheetName val="DATA_입력란5"/>
      <sheetName val="간_지14"/>
      <sheetName val="3_공통공사대비5"/>
      <sheetName val="공사비증감(P4)_5"/>
      <sheetName val="TOWER_10TON5"/>
      <sheetName val="TOWER_12TON5"/>
      <sheetName val="CAL(1)_5"/>
      <sheetName val="Bend_fact_5"/>
      <sheetName val="STAFF_ANALYSIS5"/>
      <sheetName val="6PILE+옹벽집계!$G$6+옹벽집계!$H$10__(돌4"/>
      <sheetName val="ASP_일반구간_250A4"/>
      <sheetName val="BOX_본체5"/>
      <sheetName val="을_23"/>
      <sheetName val="을_13"/>
      <sheetName val="2_단면가정3"/>
      <sheetName val="Part_AB4"/>
      <sheetName val="Part_I4"/>
      <sheetName val="Part_M4"/>
      <sheetName val="할증_4"/>
      <sheetName val="돌담교_상부수량4"/>
      <sheetName val="PAD_TR보호대기초5"/>
      <sheetName val="전차선로_물량표5"/>
      <sheetName val="6PILE___돌_1"/>
      <sheetName val="1_수인터널4"/>
      <sheetName val="I_설계조건4"/>
      <sheetName val="01_인원현황_(계획)4"/>
      <sheetName val="1_설계조건5"/>
      <sheetName val="외주현황_wq13"/>
      <sheetName val="Summary_4"/>
      <sheetName val="Thiet_bi4"/>
      <sheetName val="DM_ChiPhi4"/>
      <sheetName val="3련_BOX4"/>
      <sheetName val="MAIN_GATE_HOUSE4"/>
      <sheetName val="2_교량(신설)4"/>
      <sheetName val="전체변경예정공정표_2012_07_303"/>
      <sheetName val="칠산대교_중앙부3"/>
      <sheetName val="칠산대교_시종점부3"/>
      <sheetName val="입출재고현황_(2)3"/>
      <sheetName val="총수량_(기성)3"/>
      <sheetName val="4-1_노무비(직영)3"/>
      <sheetName val="제수변수량H2_153"/>
      <sheetName val="T_T_P_단위수량3"/>
      <sheetName val="BOX(1_5X1_5)3"/>
      <sheetName val="1_설계기준3"/>
      <sheetName val="2_하중산정3"/>
      <sheetName val="96보완계획7_123"/>
      <sheetName val="화재_탐지_설비3"/>
      <sheetName val="2_대외공문3"/>
      <sheetName val="6PILE_(돌출)3"/>
      <sheetName val="전선_및_전선관3"/>
      <sheetName val="P_M_별3"/>
      <sheetName val="REINF_3"/>
      <sheetName val="하천하류_철근수량_집계표3"/>
      <sheetName val="토공_total3"/>
      <sheetName val="입찰내역_발주처_양식3"/>
      <sheetName val="STEEL_BOX_단면설계(SEC_8)3"/>
      <sheetName val="시멘트_및_골재량_(슬래브)3"/>
      <sheetName val="시멘트_및_골재량_(거더)3"/>
      <sheetName val="6PILE___돌_x005f_x001c__3"/>
      <sheetName val="_FURNACE현설3"/>
      <sheetName val="산출내역(5월)_(2)3"/>
      <sheetName val="자재_집계표3"/>
      <sheetName val="Eq__Mobilization3"/>
      <sheetName val="01__지사동3"/>
      <sheetName val="Pier_33"/>
      <sheetName val="트랜치_집수정_연결관-연장산출서3"/>
      <sheetName val="Form_A3"/>
      <sheetName val="Form_C3"/>
      <sheetName val="Form_D3"/>
      <sheetName val="Form_E3"/>
      <sheetName val="Form_F3"/>
      <sheetName val="Form_G3"/>
      <sheetName val="A_LINE3"/>
      <sheetName val="C_배수관공3"/>
      <sheetName val="날개수량1_51"/>
      <sheetName val="Finansal_tamamlanma_Eğrisi4"/>
      <sheetName val="준검_내역서1"/>
      <sheetName val="맨홀이음부_몰탈수량_집계표1"/>
      <sheetName val="7_PILE__(돌출)1"/>
      <sheetName val="U형측구_표준단면도1"/>
      <sheetName val="중기조종사_단위단가1"/>
      <sheetName val="Equip_1"/>
      <sheetName val="아파트_기성내역서1"/>
      <sheetName val="VS_P-Q1"/>
      <sheetName val="현장관리비_산출내역1"/>
      <sheetName val="Cash_Out_Table1"/>
      <sheetName val="Net_Cash_Table1"/>
      <sheetName val="Riesgos_y_Oportunidades1"/>
      <sheetName val="IRR_sponsor1"/>
      <sheetName val="1_설계조건_1"/>
      <sheetName val="2_단면11"/>
      <sheetName val="2_단면21"/>
      <sheetName val="3_토압계산1"/>
      <sheetName val="4_하중계산1"/>
      <sheetName val="5_안정검토1"/>
      <sheetName val="5_안정검토_(2)1"/>
      <sheetName val="6_벽체계산1"/>
      <sheetName val="7_FOOTING_계산(직접기초)1"/>
      <sheetName val="7_PILE_1"/>
      <sheetName val="FOOTING_계산(PILE기초)1"/>
      <sheetName val="(10)_Other_Costs51"/>
      <sheetName val="LAST_UPDATE1"/>
      <sheetName val="Bill_summary_of_cost1"/>
      <sheetName val="INTERIOR_WALLS1"/>
      <sheetName val="Material_Price1"/>
      <sheetName val="2_223M_due_to_adj_profit1"/>
      <sheetName val="Land_Dev't__Ph-11"/>
      <sheetName val="GESTION_FICHE1"/>
      <sheetName val="TRADUCTION_LISTES1"/>
      <sheetName val="worksheet_inchican1"/>
      <sheetName val="combined_9-301"/>
      <sheetName val="분묘_총_현황1"/>
      <sheetName val="미생물배양기_기초1"/>
      <sheetName val="IMPEADENCE_MAP_취수장1"/>
      <sheetName val="견적_(2)"/>
      <sheetName val="수목데이타_"/>
      <sheetName val="EARTH_WORKS"/>
      <sheetName val="B3A_-_TOWER_A"/>
      <sheetName val="Bill_of_Qty_MEP"/>
      <sheetName val="Nhan_cong"/>
      <sheetName val="TLG_Type"/>
      <sheetName val="TOTAL_SUMMARY"/>
      <sheetName val="투자필요검토서(복수업체추천서_포함)1"/>
      <sheetName val="DGchitiet_"/>
      <sheetName val="Tong_du_toan"/>
      <sheetName val="GENERAL_REQUIREMENTS"/>
      <sheetName val="공정계획(내부계획25%,내부w_f)1"/>
      <sheetName val="1호맨홀토공_(4)"/>
      <sheetName val="1호맨홀연결관토공_(2)"/>
      <sheetName val="IncStat_03-04"/>
      <sheetName val="IncStat_03__"/>
      <sheetName val="Авансы_по_СНГ"/>
      <sheetName val="UNIT_3"/>
      <sheetName val="Cashflow_Analysis"/>
      <sheetName val="VC2_8_98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part_j"/>
      <sheetName val="Part_B"/>
      <sheetName val="UPA_(C)"/>
      <sheetName val="Regenerator__Concrete_Structure"/>
      <sheetName val="Schedule_S-Curve_Revision#3"/>
      <sheetName val="Master_Data"/>
      <sheetName val="토공_(3)"/>
      <sheetName val="토공_(2)"/>
      <sheetName val="_비점오염저감시설"/>
      <sheetName val="1_사유서"/>
      <sheetName val="역T형(H=6_0)_(2)"/>
      <sheetName val="상선"/>
      <sheetName val="기성청구서(1회)"/>
      <sheetName val="단중표"/>
      <sheetName val="토목镃_xdc03_"/>
      <sheetName val="슬래브(PF)(하류)"/>
      <sheetName val="토공산_x0000__x0000_Ԁ_x0000_"/>
      <sheetName val="시중노임단가"/>
      <sheetName val="관로토공"/>
      <sheetName val="직공시공계반͇"/>
      <sheetName val="9. 예정공정표(전체)"/>
      <sheetName val="한강운반비"/>
      <sheetName val="도수로수량산출"/>
      <sheetName val="钢筋混凝土井井盖板材料表"/>
      <sheetName val="마산방향철근집계"/>
      <sheetName val="설명표지"/>
      <sheetName val="공사설명"/>
      <sheetName val="변경표지"/>
      <sheetName val="변경사유"/>
      <sheetName val="공정증감조서(총괄)"/>
      <sheetName val="공정증감조서(세부)"/>
      <sheetName val="예산표지"/>
      <sheetName val="정산변경예산내역"/>
      <sheetName val="정산변경내역서(한줄)"/>
      <sheetName val="정산변경내역서(두줄)"/>
      <sheetName val="고용보험표지"/>
      <sheetName val="고용보험료가입증명원"/>
      <sheetName val="안전표지"/>
      <sheetName val="안전세부정산내역"/>
      <sheetName val="안전관리비 사용내역-총괄"/>
      <sheetName val="안전관리비 사용내역-세부"/>
      <sheetName val="공사기간표지"/>
      <sheetName val="공사기간"/>
      <sheetName val="소요노력산출근거"/>
      <sheetName val="자재표지"/>
      <sheetName val="사급자재조서"/>
      <sheetName val="신규대가표지"/>
      <sheetName val="신규대가"/>
      <sheetName val="준공도"/>
      <sheetName val="은행"/>
      <sheetName val="面雅樹"/>
      <sheetName val="토적劰Ï勼"/>
      <sheetName val="빌딩 안내"/>
      <sheetName val="법면"/>
      <sheetName val="배수공1"/>
      <sheetName val="중기일위대가"/>
      <sheetName val="적용단가"/>
      <sheetName val="L밽¶"/>
      <sheetName val="gVL"/>
      <sheetName val="FA-LISTING"/>
      <sheetName val="GiaVL"/>
      <sheetName val="PNT-QUOT-#3"/>
      <sheetName val="Chenh lech vat tu"/>
      <sheetName val="gia vt,nc,may"/>
      <sheetName val="vlieu"/>
      <sheetName val="Fig 4-14"/>
      <sheetName val="SAKUB"/>
      <sheetName val="경고테이프&amp;안전시설공집계"/>
      <sheetName val="차선도색집계"/>
      <sheetName val="물푸기수집"/>
      <sheetName val="직공시공계_x0000__x0000_"/>
      <sheetName val="1_x0000__x0000_Ԁ"/>
      <sheetName val="주현(해보)"/>
      <sheetName val="주현(영광)"/>
      <sheetName val="아파트 "/>
      <sheetName val="이형관격점별수량_x0000__x0000__x0005__x0000_陀"/>
      <sheetName val="이형관격점별수량_x0000__x0000__x0005__x0000_妠"/>
      <sheetName val="내역(정지)"/>
      <sheetName val="설비원가"/>
      <sheetName val="DonGia chetao"/>
      <sheetName val="DonGia VatTuLK"/>
      <sheetName val="CTG"/>
      <sheetName val="Bang phan tich Quy che"/>
      <sheetName val="lam-moi"/>
      <sheetName val="제1영업소"/>
      <sheetName val="제2영업소"/>
      <sheetName val="제3영업소"/>
      <sheetName val="Bill No.1.7"/>
      <sheetName val="Bill No.1.3"/>
      <sheetName val="Bill No.1.4"/>
      <sheetName val="Savings"/>
      <sheetName val="Summary Bill No. 1"/>
      <sheetName val="Dự thầu"/>
      <sheetName val="tu"/>
      <sheetName val="CAL1"/>
      <sheetName val="1안"/>
      <sheetName val="트랜치 집수정 연결쌌ꔅ/_x0000_ࠀ,_x0000_"/>
      <sheetName val="트랜치 집수정 연결쌌ꔅ/_x0000_　©_x0000_"/>
      <sheetName val="C-制_x005f_x0010__x005f_x0000_"/>
      <sheetName val="SENSITIVITAS"/>
      <sheetName val="MAT&amp;LABOR"/>
      <sheetName val="Daftar Harga"/>
      <sheetName val="Daftar Upah"/>
      <sheetName val="BIL"/>
      <sheetName val="6PILE_______G_6_______H_10____4"/>
      <sheetName val="_x0018__℀"/>
      <sheetName val="_℀"/>
      <sheetName val="BXLDL"/>
      <sheetName val="ERECIN"/>
      <sheetName val="충돌 내용"/>
      <sheetName val="고자현황"/>
      <sheetName val="중기䒬ȯૐ"/>
      <sheetName val="일위대¹"/>
      <sheetName val="Balance"/>
      <sheetName val="Medagama"/>
      <sheetName val="Sandunpura"/>
      <sheetName val="Veheragala"/>
      <sheetName val="Collection"/>
      <sheetName val="Rainfall Data"/>
      <sheetName val="Mahawanawela"/>
      <sheetName val="Nuwaragala"/>
      <sheetName val="Siripura"/>
      <sheetName val="Background"/>
      <sheetName val="공구원가계산"/>
      <sheetName val="SANBAISU"/>
      <sheetName val="증감내역서"/>
      <sheetName val="3.바닥판설계"/>
      <sheetName val="환경기계공정표_(3)"/>
      <sheetName val="경비"/>
      <sheetName val="NNgung"/>
      <sheetName val="dnc4"/>
      <sheetName val="gia vt"/>
      <sheetName val="TABLE-A"/>
      <sheetName val="Annex B"/>
      <sheetName val="bearing"/>
      <sheetName val="맨홀조서"/>
      <sheetName val="Mc1"/>
      <sheetName val="jobhist"/>
      <sheetName val="合成単価作成表-BLDG"/>
      <sheetName val="Sch.6"/>
      <sheetName val="Sch.1"/>
      <sheetName val="소화실적"/>
      <sheetName val="특수선일위대가"/>
      <sheetName val="sumoflaborates"/>
      <sheetName val="TIE-INS"/>
      <sheetName val="Rate Analysis"/>
      <sheetName val="원형맨"/>
      <sheetName val="Du toan"/>
      <sheetName val="Keothep"/>
      <sheetName val="Re-bar"/>
      <sheetName val="구리토평1전기"/>
      <sheetName val="외주현황.wqĆ"/>
      <sheetName val="부표총ం"/>
      <sheetName val="공주-교대(A1)"/>
      <sheetName val="설계예산서"/>
      <sheetName val="노임,재료비"/>
      <sheetName val="PERFORMANCE"/>
      <sheetName val="TTTram"/>
      <sheetName val="이형관격점별수¬_x0000__x0000__x0000__x0000__x0000_"/>
      <sheetName val="24V"/>
      <sheetName val="2000년 공정표"/>
      <sheetName val="sum1 (2)"/>
      <sheetName val="문학간접"/>
      <sheetName val="간접"/>
      <sheetName val="잡철물"/>
      <sheetName val="기성갑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/>
      <sheetData sheetId="764"/>
      <sheetData sheetId="765"/>
      <sheetData sheetId="766"/>
      <sheetData sheetId="767"/>
      <sheetData sheetId="768"/>
      <sheetData sheetId="769" refreshError="1"/>
      <sheetData sheetId="770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/>
      <sheetData sheetId="782" refreshError="1"/>
      <sheetData sheetId="783" refreshError="1"/>
      <sheetData sheetId="784"/>
      <sheetData sheetId="785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/>
      <sheetData sheetId="792"/>
      <sheetData sheetId="793" refreshError="1"/>
      <sheetData sheetId="794"/>
      <sheetData sheetId="795" refreshError="1"/>
      <sheetData sheetId="796" refreshError="1"/>
      <sheetData sheetId="797" refreshError="1"/>
      <sheetData sheetId="798"/>
      <sheetData sheetId="799" refreshError="1"/>
      <sheetData sheetId="800" refreshError="1"/>
      <sheetData sheetId="801" refreshError="1"/>
      <sheetData sheetId="802" refreshError="1"/>
      <sheetData sheetId="803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/>
      <sheetData sheetId="816"/>
      <sheetData sheetId="817"/>
      <sheetData sheetId="818"/>
      <sheetData sheetId="819"/>
      <sheetData sheetId="820"/>
      <sheetData sheetId="82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 refreshError="1"/>
      <sheetData sheetId="893" refreshError="1"/>
      <sheetData sheetId="894" refreshError="1"/>
      <sheetData sheetId="895" refreshError="1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/>
      <sheetData sheetId="944"/>
      <sheetData sheetId="945"/>
      <sheetData sheetId="946"/>
      <sheetData sheetId="947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 refreshError="1"/>
      <sheetData sheetId="1028" refreshError="1"/>
      <sheetData sheetId="1029"/>
      <sheetData sheetId="1030"/>
      <sheetData sheetId="1031"/>
      <sheetData sheetId="1032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/>
      <sheetData sheetId="1064"/>
      <sheetData sheetId="1065"/>
      <sheetData sheetId="1066"/>
      <sheetData sheetId="1067"/>
      <sheetData sheetId="1068"/>
      <sheetData sheetId="1069" refreshError="1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/>
      <sheetData sheetId="1233"/>
      <sheetData sheetId="1234"/>
      <sheetData sheetId="1235"/>
      <sheetData sheetId="1236" refreshError="1"/>
      <sheetData sheetId="1237"/>
      <sheetData sheetId="1238"/>
      <sheetData sheetId="1239" refreshError="1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/>
      <sheetData sheetId="1641"/>
      <sheetData sheetId="1642"/>
      <sheetData sheetId="1643" refreshError="1"/>
      <sheetData sheetId="1644" refreshError="1"/>
      <sheetData sheetId="1645" refreshError="1"/>
      <sheetData sheetId="1646" refreshError="1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/>
      <sheetData sheetId="1739"/>
      <sheetData sheetId="1740"/>
      <sheetData sheetId="1741"/>
      <sheetData sheetId="1742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 refreshError="1"/>
      <sheetData sheetId="1790" refreshError="1"/>
      <sheetData sheetId="1791" refreshError="1"/>
      <sheetData sheetId="1792" refreshError="1"/>
      <sheetData sheetId="1793"/>
      <sheetData sheetId="1794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/>
      <sheetData sheetId="2150" refreshError="1"/>
      <sheetData sheetId="2151" refreshError="1"/>
      <sheetData sheetId="2152" refreshError="1"/>
      <sheetData sheetId="2153" refreshError="1"/>
      <sheetData sheetId="215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"/>
      <sheetName val="공량산출서"/>
      <sheetName val="공내역"/>
      <sheetName val="#REF"/>
      <sheetName val="집계표"/>
      <sheetName val="실행철강하도"/>
      <sheetName val="일반공사"/>
      <sheetName val="갑지"/>
      <sheetName val="입찰안"/>
      <sheetName val="차액보증"/>
      <sheetName val="노임"/>
      <sheetName val="저"/>
      <sheetName val="SG"/>
      <sheetName val="토공"/>
      <sheetName val="배수공"/>
      <sheetName val="구조물공"/>
      <sheetName val="포장공"/>
      <sheetName val="부대공"/>
      <sheetName val="실행대비"/>
      <sheetName val="공내역(해미1공구)"/>
      <sheetName val="진짜설계"/>
      <sheetName val="JUCKEYK"/>
      <sheetName val="조건표"/>
      <sheetName val="결과조달"/>
      <sheetName val="내역"/>
      <sheetName val="일위대가"/>
      <sheetName val="도급"/>
      <sheetName val="장비"/>
      <sheetName val="산근1"/>
      <sheetName val="노무"/>
      <sheetName val="자재"/>
    </sheetNames>
    <sheetDataSet>
      <sheetData sheetId="0" refreshError="1">
        <row r="1">
          <cell r="A1" t="str">
            <v>명 칭</v>
          </cell>
          <cell r="C1" t="str">
            <v>수 량</v>
          </cell>
          <cell r="D1" t="str">
            <v>단 위</v>
          </cell>
          <cell r="E1" t="str">
            <v>단 가</v>
          </cell>
          <cell r="F1" t="str">
            <v>금 액</v>
          </cell>
          <cell r="G1" t="str">
            <v>비 고</v>
          </cell>
        </row>
        <row r="2">
          <cell r="A2" t="str">
            <v>해미-덕산(제1공구)간도로확장 및 포장공사</v>
          </cell>
          <cell r="E2">
            <v>0</v>
          </cell>
          <cell r="F2">
            <v>0</v>
          </cell>
        </row>
        <row r="3">
          <cell r="A3" t="str">
            <v>1.토          공</v>
          </cell>
          <cell r="E3">
            <v>0</v>
          </cell>
          <cell r="F3">
            <v>0</v>
          </cell>
        </row>
        <row r="4">
          <cell r="A4" t="str">
            <v>1.01기존구조물철거공</v>
          </cell>
          <cell r="E4">
            <v>0</v>
          </cell>
          <cell r="F4">
            <v>0</v>
          </cell>
        </row>
        <row r="5">
          <cell r="A5" t="str">
            <v>a.무근콘크리트깨기</v>
          </cell>
          <cell r="E5">
            <v>0</v>
          </cell>
          <cell r="F5">
            <v>0</v>
          </cell>
        </row>
        <row r="6">
          <cell r="A6" t="str">
            <v>-1.무근콘크리트깨기</v>
          </cell>
          <cell r="C6">
            <v>609</v>
          </cell>
          <cell r="D6" t="str">
            <v>M3</v>
          </cell>
          <cell r="E6">
            <v>0</v>
          </cell>
          <cell r="F6">
            <v>0</v>
          </cell>
        </row>
        <row r="7">
          <cell r="A7" t="str">
            <v>-2.무근콘크리트깨기</v>
          </cell>
          <cell r="C7">
            <v>25</v>
          </cell>
          <cell r="D7" t="str">
            <v>M3</v>
          </cell>
          <cell r="E7">
            <v>0</v>
          </cell>
          <cell r="F7">
            <v>0</v>
          </cell>
        </row>
        <row r="8">
          <cell r="A8" t="str">
            <v>b.철근콘크리트깨기</v>
          </cell>
          <cell r="E8">
            <v>0</v>
          </cell>
          <cell r="F8">
            <v>0</v>
          </cell>
        </row>
        <row r="9">
          <cell r="A9" t="str">
            <v>-1.철근콘크리트깨기</v>
          </cell>
          <cell r="C9">
            <v>537</v>
          </cell>
          <cell r="D9" t="str">
            <v>M3</v>
          </cell>
          <cell r="E9">
            <v>0</v>
          </cell>
          <cell r="F9">
            <v>0</v>
          </cell>
        </row>
        <row r="10">
          <cell r="A10" t="str">
            <v>c.석축헐기</v>
          </cell>
          <cell r="C10">
            <v>1555</v>
          </cell>
          <cell r="D10" t="str">
            <v>M2</v>
          </cell>
          <cell r="E10">
            <v>0</v>
          </cell>
          <cell r="F10">
            <v>0</v>
          </cell>
        </row>
        <row r="11">
          <cell r="A11" t="str">
            <v>d.기존포장깨기</v>
          </cell>
          <cell r="E11">
            <v>0</v>
          </cell>
          <cell r="F11">
            <v>0</v>
          </cell>
        </row>
        <row r="12">
          <cell r="A12" t="str">
            <v>-1.콘크리트포장깨기</v>
          </cell>
          <cell r="C12">
            <v>981</v>
          </cell>
          <cell r="D12" t="str">
            <v>M3</v>
          </cell>
          <cell r="E12">
            <v>0</v>
          </cell>
          <cell r="F12">
            <v>0</v>
          </cell>
        </row>
        <row r="13">
          <cell r="A13" t="str">
            <v>-2.아스팔트포장깨기</v>
          </cell>
          <cell r="C13">
            <v>8494</v>
          </cell>
          <cell r="D13" t="str">
            <v>M3</v>
          </cell>
          <cell r="E13">
            <v>0</v>
          </cell>
          <cell r="F13">
            <v>0</v>
          </cell>
        </row>
        <row r="14">
          <cell r="A14" t="str">
            <v>e.보도블럭포장헐기</v>
          </cell>
          <cell r="C14">
            <v>469</v>
          </cell>
          <cell r="D14" t="str">
            <v>M2</v>
          </cell>
          <cell r="E14">
            <v>0</v>
          </cell>
          <cell r="F14">
            <v>0</v>
          </cell>
        </row>
        <row r="15">
          <cell r="A15" t="str">
            <v>f.기계절단</v>
          </cell>
          <cell r="E15">
            <v>0</v>
          </cell>
          <cell r="F15">
            <v>0</v>
          </cell>
        </row>
        <row r="16">
          <cell r="A16" t="str">
            <v>-1.콘크리트절단</v>
          </cell>
          <cell r="C16">
            <v>1219</v>
          </cell>
          <cell r="D16" t="str">
            <v>M</v>
          </cell>
          <cell r="E16">
            <v>0</v>
          </cell>
          <cell r="F16">
            <v>0</v>
          </cell>
        </row>
        <row r="17">
          <cell r="A17" t="str">
            <v>-2.아스팔트포장절단</v>
          </cell>
          <cell r="C17">
            <v>1444</v>
          </cell>
          <cell r="D17" t="str">
            <v>M</v>
          </cell>
          <cell r="E17">
            <v>0</v>
          </cell>
          <cell r="F17">
            <v>0</v>
          </cell>
        </row>
        <row r="18">
          <cell r="A18" t="str">
            <v>1.02.측구 뚝쌓기</v>
          </cell>
          <cell r="C18">
            <v>82</v>
          </cell>
          <cell r="D18" t="str">
            <v>M3</v>
          </cell>
          <cell r="E18">
            <v>0</v>
          </cell>
          <cell r="F18">
            <v>0</v>
          </cell>
        </row>
        <row r="19">
          <cell r="A19" t="str">
            <v>1.03.표토제거</v>
          </cell>
          <cell r="E19">
            <v>0</v>
          </cell>
          <cell r="F19">
            <v>0</v>
          </cell>
        </row>
        <row r="20">
          <cell r="A20" t="str">
            <v>a.답구간</v>
          </cell>
          <cell r="C20">
            <v>2630</v>
          </cell>
          <cell r="D20" t="str">
            <v>M2</v>
          </cell>
          <cell r="E20">
            <v>0</v>
          </cell>
          <cell r="F20">
            <v>0</v>
          </cell>
        </row>
        <row r="21">
          <cell r="A21" t="str">
            <v>b.답외구간</v>
          </cell>
          <cell r="C21">
            <v>26530</v>
          </cell>
          <cell r="D21" t="str">
            <v>M2</v>
          </cell>
          <cell r="E21">
            <v>0</v>
          </cell>
          <cell r="F21">
            <v>0</v>
          </cell>
        </row>
        <row r="22">
          <cell r="A22" t="str">
            <v>1.04.벌개 제근</v>
          </cell>
          <cell r="C22">
            <v>108210</v>
          </cell>
          <cell r="D22" t="str">
            <v>M2</v>
          </cell>
          <cell r="E22">
            <v>0</v>
          </cell>
          <cell r="F22">
            <v>0</v>
          </cell>
        </row>
        <row r="23">
          <cell r="A23" t="str">
            <v>1.05 흙깍기공</v>
          </cell>
          <cell r="E23">
            <v>0</v>
          </cell>
          <cell r="F23">
            <v>0</v>
          </cell>
        </row>
        <row r="24">
          <cell r="A24" t="str">
            <v>a.토사깍기</v>
          </cell>
          <cell r="C24">
            <v>255500</v>
          </cell>
          <cell r="D24" t="str">
            <v>M3</v>
          </cell>
          <cell r="E24">
            <v>0</v>
          </cell>
          <cell r="F24">
            <v>0</v>
          </cell>
        </row>
        <row r="25">
          <cell r="A25" t="str">
            <v>b.리핑암깍기</v>
          </cell>
          <cell r="C25">
            <v>100450</v>
          </cell>
          <cell r="D25" t="str">
            <v>M3</v>
          </cell>
          <cell r="E25">
            <v>0</v>
          </cell>
          <cell r="F25">
            <v>0</v>
          </cell>
        </row>
        <row r="26">
          <cell r="A26" t="str">
            <v>c.발파암깍기</v>
          </cell>
          <cell r="E26">
            <v>0</v>
          </cell>
          <cell r="F26">
            <v>0</v>
          </cell>
        </row>
        <row r="27">
          <cell r="A27" t="str">
            <v>-1.편절암</v>
          </cell>
          <cell r="C27">
            <v>1940</v>
          </cell>
          <cell r="D27" t="str">
            <v>M3</v>
          </cell>
          <cell r="E27">
            <v>0</v>
          </cell>
          <cell r="F27">
            <v>0</v>
          </cell>
        </row>
        <row r="28">
          <cell r="A28" t="str">
            <v>-2.리퍼병행</v>
          </cell>
          <cell r="C28">
            <v>91780</v>
          </cell>
          <cell r="D28" t="str">
            <v>M3</v>
          </cell>
          <cell r="E28">
            <v>0</v>
          </cell>
          <cell r="F28">
            <v>0</v>
          </cell>
        </row>
        <row r="29">
          <cell r="A29" t="str">
            <v>-3.브레이카</v>
          </cell>
          <cell r="C29">
            <v>660</v>
          </cell>
          <cell r="D29" t="str">
            <v>M3</v>
          </cell>
          <cell r="E29">
            <v>0</v>
          </cell>
          <cell r="F29">
            <v>0</v>
          </cell>
        </row>
        <row r="30">
          <cell r="A30" t="str">
            <v>-4.크롤러드릴</v>
          </cell>
          <cell r="C30">
            <v>180140</v>
          </cell>
          <cell r="D30" t="str">
            <v>M3</v>
          </cell>
          <cell r="E30">
            <v>0</v>
          </cell>
          <cell r="F30">
            <v>0</v>
          </cell>
        </row>
        <row r="31">
          <cell r="A31" t="str">
            <v>1.06 흙운반공</v>
          </cell>
          <cell r="E31">
            <v>0</v>
          </cell>
          <cell r="F31">
            <v>0</v>
          </cell>
        </row>
        <row r="32">
          <cell r="A32" t="str">
            <v>a.무    대</v>
          </cell>
          <cell r="E32">
            <v>0</v>
          </cell>
          <cell r="F32">
            <v>0</v>
          </cell>
        </row>
        <row r="33">
          <cell r="A33" t="str">
            <v>-1.토    사</v>
          </cell>
          <cell r="C33">
            <v>58020</v>
          </cell>
          <cell r="E33">
            <v>0</v>
          </cell>
          <cell r="F33">
            <v>0</v>
          </cell>
        </row>
        <row r="34">
          <cell r="A34" t="str">
            <v>-2.리 핑 암</v>
          </cell>
          <cell r="C34">
            <v>2680</v>
          </cell>
          <cell r="E34">
            <v>0</v>
          </cell>
          <cell r="F34">
            <v>0</v>
          </cell>
        </row>
        <row r="35">
          <cell r="A35" t="str">
            <v>-3.발 파 암</v>
          </cell>
          <cell r="C35">
            <v>4220</v>
          </cell>
          <cell r="E35">
            <v>0</v>
          </cell>
          <cell r="F35">
            <v>0</v>
          </cell>
        </row>
        <row r="36">
          <cell r="A36" t="str">
            <v>b.도    쟈</v>
          </cell>
          <cell r="E36">
            <v>0</v>
          </cell>
          <cell r="F36">
            <v>0</v>
          </cell>
        </row>
        <row r="37">
          <cell r="A37" t="str">
            <v>-1.토    사</v>
          </cell>
          <cell r="C37">
            <v>21890</v>
          </cell>
          <cell r="D37" t="str">
            <v>M3</v>
          </cell>
          <cell r="E37">
            <v>0</v>
          </cell>
          <cell r="F37">
            <v>0</v>
          </cell>
        </row>
        <row r="38">
          <cell r="A38" t="str">
            <v>-2.리 핑 암</v>
          </cell>
          <cell r="C38">
            <v>5550</v>
          </cell>
          <cell r="D38" t="str">
            <v>M3</v>
          </cell>
          <cell r="E38">
            <v>0</v>
          </cell>
          <cell r="F38">
            <v>0</v>
          </cell>
        </row>
        <row r="39">
          <cell r="A39" t="str">
            <v>-3.발 파 암</v>
          </cell>
          <cell r="C39">
            <v>13150</v>
          </cell>
          <cell r="D39" t="str">
            <v>M3</v>
          </cell>
          <cell r="E39">
            <v>0</v>
          </cell>
          <cell r="F39">
            <v>0</v>
          </cell>
        </row>
        <row r="40">
          <cell r="A40" t="str">
            <v>c.덤    프</v>
          </cell>
          <cell r="E40">
            <v>0</v>
          </cell>
          <cell r="F40">
            <v>0</v>
          </cell>
        </row>
        <row r="41">
          <cell r="A41" t="str">
            <v>-1.토    사</v>
          </cell>
          <cell r="C41">
            <v>402610</v>
          </cell>
          <cell r="D41" t="str">
            <v>M3</v>
          </cell>
          <cell r="E41">
            <v>0</v>
          </cell>
          <cell r="F41">
            <v>0</v>
          </cell>
        </row>
        <row r="42">
          <cell r="A42" t="str">
            <v>-2.리 핑 암</v>
          </cell>
          <cell r="C42">
            <v>94130</v>
          </cell>
          <cell r="D42" t="str">
            <v>M3</v>
          </cell>
          <cell r="E42">
            <v>0</v>
          </cell>
          <cell r="F42">
            <v>0</v>
          </cell>
        </row>
        <row r="43">
          <cell r="A43" t="str">
            <v>-3.발 파 암</v>
          </cell>
          <cell r="C43">
            <v>259050</v>
          </cell>
          <cell r="D43" t="str">
            <v>M3</v>
          </cell>
          <cell r="E43">
            <v>0</v>
          </cell>
          <cell r="F43">
            <v>0</v>
          </cell>
        </row>
        <row r="44">
          <cell r="A44" t="str">
            <v>d.사토운반</v>
          </cell>
          <cell r="E44">
            <v>0</v>
          </cell>
          <cell r="F44">
            <v>0</v>
          </cell>
        </row>
        <row r="45">
          <cell r="A45" t="str">
            <v>-1.토    사</v>
          </cell>
          <cell r="C45">
            <v>67280</v>
          </cell>
          <cell r="D45" t="str">
            <v>M3</v>
          </cell>
          <cell r="E45">
            <v>0</v>
          </cell>
          <cell r="F45">
            <v>0</v>
          </cell>
        </row>
        <row r="46">
          <cell r="A46" t="str">
            <v>1.07 흙쌓기공</v>
          </cell>
          <cell r="E46">
            <v>0</v>
          </cell>
          <cell r="F46">
            <v>0</v>
          </cell>
        </row>
        <row r="47">
          <cell r="A47" t="str">
            <v>a.노    체</v>
          </cell>
          <cell r="C47">
            <v>630110</v>
          </cell>
          <cell r="D47" t="str">
            <v>M3</v>
          </cell>
          <cell r="E47">
            <v>0</v>
          </cell>
          <cell r="F47">
            <v>0</v>
          </cell>
        </row>
        <row r="48">
          <cell r="A48" t="str">
            <v>b.노    상</v>
          </cell>
          <cell r="C48">
            <v>48850</v>
          </cell>
          <cell r="D48" t="str">
            <v>M3</v>
          </cell>
          <cell r="E48">
            <v>0</v>
          </cell>
          <cell r="F48">
            <v>0</v>
          </cell>
        </row>
        <row r="49">
          <cell r="A49" t="str">
            <v>c.녹 지 대</v>
          </cell>
          <cell r="C49">
            <v>15490</v>
          </cell>
          <cell r="D49" t="str">
            <v>M3</v>
          </cell>
          <cell r="E49">
            <v>0</v>
          </cell>
          <cell r="F49">
            <v>0</v>
          </cell>
        </row>
        <row r="50">
          <cell r="A50" t="str">
            <v>1.08.층따기</v>
          </cell>
          <cell r="C50">
            <v>8590</v>
          </cell>
          <cell r="D50" t="str">
            <v>M3</v>
          </cell>
          <cell r="E50">
            <v>0</v>
          </cell>
          <cell r="F50">
            <v>0</v>
          </cell>
        </row>
        <row r="51">
          <cell r="A51" t="str">
            <v>1.09.노상준비공</v>
          </cell>
          <cell r="E51">
            <v>0</v>
          </cell>
          <cell r="F51">
            <v>0</v>
          </cell>
        </row>
        <row r="52">
          <cell r="A52" t="str">
            <v>a.기존도로부</v>
          </cell>
          <cell r="C52">
            <v>850</v>
          </cell>
          <cell r="D52" t="str">
            <v>M2</v>
          </cell>
          <cell r="E52">
            <v>0</v>
          </cell>
          <cell r="F52">
            <v>0</v>
          </cell>
        </row>
        <row r="53">
          <cell r="A53" t="str">
            <v>b.절토부</v>
          </cell>
          <cell r="C53">
            <v>57250</v>
          </cell>
          <cell r="D53" t="str">
            <v>M2</v>
          </cell>
          <cell r="E53">
            <v>0</v>
          </cell>
          <cell r="F53">
            <v>0</v>
          </cell>
        </row>
        <row r="54">
          <cell r="A54" t="str">
            <v>1.10 비탈면보호공</v>
          </cell>
          <cell r="E54">
            <v>0</v>
          </cell>
          <cell r="F54">
            <v>0</v>
          </cell>
        </row>
        <row r="55">
          <cell r="A55" t="str">
            <v>a.절토부</v>
          </cell>
          <cell r="E55">
            <v>0</v>
          </cell>
          <cell r="F55">
            <v>0</v>
          </cell>
        </row>
        <row r="56">
          <cell r="A56" t="str">
            <v>-1.거적덮기</v>
          </cell>
          <cell r="C56">
            <v>28500</v>
          </cell>
          <cell r="D56" t="str">
            <v>M2</v>
          </cell>
          <cell r="E56">
            <v>0</v>
          </cell>
          <cell r="F56">
            <v>0</v>
          </cell>
        </row>
        <row r="57">
          <cell r="A57" t="str">
            <v>-2.암절개면 보호식재공</v>
          </cell>
          <cell r="C57">
            <v>1160</v>
          </cell>
          <cell r="D57" t="str">
            <v>M2</v>
          </cell>
          <cell r="E57">
            <v>0</v>
          </cell>
          <cell r="F57">
            <v>0</v>
          </cell>
        </row>
        <row r="58">
          <cell r="A58" t="str">
            <v>-3.암절개면 보호식재공</v>
          </cell>
          <cell r="C58">
            <v>2900</v>
          </cell>
          <cell r="D58" t="str">
            <v>M2</v>
          </cell>
          <cell r="E58">
            <v>0</v>
          </cell>
          <cell r="F58">
            <v>0</v>
          </cell>
        </row>
        <row r="59">
          <cell r="A59" t="str">
            <v>b.성토부</v>
          </cell>
          <cell r="E59">
            <v>0</v>
          </cell>
          <cell r="F59">
            <v>0</v>
          </cell>
        </row>
        <row r="60">
          <cell r="A60" t="str">
            <v>-1.성토비탈면 다짐</v>
          </cell>
          <cell r="C60">
            <v>76240</v>
          </cell>
          <cell r="D60" t="str">
            <v>M2</v>
          </cell>
          <cell r="E60">
            <v>0</v>
          </cell>
          <cell r="F60">
            <v>0</v>
          </cell>
        </row>
        <row r="61">
          <cell r="A61" t="str">
            <v>-2.거적덮기</v>
          </cell>
          <cell r="C61">
            <v>76240</v>
          </cell>
          <cell r="D61" t="str">
            <v>M2</v>
          </cell>
          <cell r="E61">
            <v>0</v>
          </cell>
          <cell r="F61">
            <v>0</v>
          </cell>
        </row>
        <row r="62">
          <cell r="A62" t="str">
            <v>c.면고르기</v>
          </cell>
          <cell r="E62">
            <v>0</v>
          </cell>
          <cell r="F62">
            <v>0</v>
          </cell>
        </row>
        <row r="63">
          <cell r="A63" t="str">
            <v>-1.리핑암</v>
          </cell>
          <cell r="C63">
            <v>8530</v>
          </cell>
          <cell r="D63" t="str">
            <v>M2</v>
          </cell>
          <cell r="E63">
            <v>0</v>
          </cell>
          <cell r="F63">
            <v>0</v>
          </cell>
        </row>
        <row r="64">
          <cell r="A64" t="str">
            <v>-2.발파암</v>
          </cell>
          <cell r="C64">
            <v>19420</v>
          </cell>
          <cell r="D64" t="str">
            <v>M2</v>
          </cell>
          <cell r="E64">
            <v>0</v>
          </cell>
          <cell r="F64">
            <v>0</v>
          </cell>
        </row>
        <row r="65">
          <cell r="A65" t="str">
            <v>1.11.공사중비탈면보호시설</v>
          </cell>
          <cell r="E65">
            <v>0</v>
          </cell>
          <cell r="F65">
            <v>0</v>
          </cell>
        </row>
        <row r="66">
          <cell r="A66" t="str">
            <v>a.비탈면가보호망</v>
          </cell>
          <cell r="C66">
            <v>38625</v>
          </cell>
          <cell r="D66" t="str">
            <v>M2</v>
          </cell>
          <cell r="E66">
            <v>0</v>
          </cell>
          <cell r="F66">
            <v>0</v>
          </cell>
        </row>
        <row r="67">
          <cell r="A67" t="str">
            <v>b.가도수로공</v>
          </cell>
          <cell r="C67">
            <v>536</v>
          </cell>
          <cell r="D67" t="str">
            <v>M</v>
          </cell>
          <cell r="E67">
            <v>0</v>
          </cell>
          <cell r="F67">
            <v>0</v>
          </cell>
        </row>
        <row r="68">
          <cell r="A68" t="str">
            <v>1.12.비탈면 안정검토비</v>
          </cell>
          <cell r="E68">
            <v>0</v>
          </cell>
          <cell r="F68">
            <v>0</v>
          </cell>
        </row>
        <row r="69">
          <cell r="A69" t="str">
            <v>a.지표조사비</v>
          </cell>
          <cell r="C69">
            <v>1</v>
          </cell>
          <cell r="D69" t="str">
            <v>P.S</v>
          </cell>
          <cell r="E69">
            <v>0</v>
          </cell>
          <cell r="F69">
            <v>0</v>
          </cell>
        </row>
        <row r="70">
          <cell r="A70" t="str">
            <v>b.시추조사비</v>
          </cell>
          <cell r="E70">
            <v>0</v>
          </cell>
          <cell r="F70">
            <v>0</v>
          </cell>
        </row>
        <row r="71">
          <cell r="A71" t="str">
            <v>-1.기구설치비</v>
          </cell>
          <cell r="C71">
            <v>4</v>
          </cell>
          <cell r="D71" t="str">
            <v>개소</v>
          </cell>
          <cell r="E71">
            <v>0</v>
          </cell>
          <cell r="F71">
            <v>0</v>
          </cell>
        </row>
        <row r="72">
          <cell r="A72" t="str">
            <v>-2.토사층</v>
          </cell>
          <cell r="C72">
            <v>22</v>
          </cell>
          <cell r="D72" t="str">
            <v>M</v>
          </cell>
          <cell r="E72">
            <v>0</v>
          </cell>
          <cell r="F72">
            <v>0</v>
          </cell>
        </row>
        <row r="73">
          <cell r="A73" t="str">
            <v>-3.연암층</v>
          </cell>
          <cell r="C73">
            <v>14</v>
          </cell>
          <cell r="D73" t="str">
            <v>M</v>
          </cell>
          <cell r="E73">
            <v>0</v>
          </cell>
          <cell r="F73">
            <v>0</v>
          </cell>
        </row>
        <row r="74">
          <cell r="A74" t="str">
            <v>-4.경암층</v>
          </cell>
          <cell r="C74">
            <v>81</v>
          </cell>
          <cell r="D74" t="str">
            <v>M</v>
          </cell>
          <cell r="E74">
            <v>0</v>
          </cell>
          <cell r="F74">
            <v>0</v>
          </cell>
        </row>
        <row r="75">
          <cell r="A75" t="str">
            <v>c.탄성파탐사</v>
          </cell>
          <cell r="C75">
            <v>1</v>
          </cell>
          <cell r="D75" t="str">
            <v>P.S</v>
          </cell>
          <cell r="E75">
            <v>0</v>
          </cell>
          <cell r="F75">
            <v>0</v>
          </cell>
        </row>
        <row r="76">
          <cell r="A76" t="str">
            <v>d.실내실험</v>
          </cell>
          <cell r="C76">
            <v>1</v>
          </cell>
          <cell r="D76" t="str">
            <v>P.S</v>
          </cell>
          <cell r="E76">
            <v>0</v>
          </cell>
          <cell r="F76">
            <v>0</v>
          </cell>
        </row>
        <row r="77">
          <cell r="A77" t="str">
            <v>e.성과분석</v>
          </cell>
          <cell r="C77">
            <v>1</v>
          </cell>
          <cell r="D77" t="str">
            <v>P.S</v>
          </cell>
          <cell r="E77">
            <v>0</v>
          </cell>
          <cell r="F77">
            <v>0</v>
          </cell>
        </row>
        <row r="78">
          <cell r="A78" t="str">
            <v>1.13 토공규준틀</v>
          </cell>
          <cell r="E78">
            <v>0</v>
          </cell>
          <cell r="F78">
            <v>0</v>
          </cell>
        </row>
        <row r="79">
          <cell r="A79" t="str">
            <v>a.비탈규준틀</v>
          </cell>
          <cell r="C79">
            <v>197</v>
          </cell>
          <cell r="D79" t="str">
            <v>EA</v>
          </cell>
          <cell r="E79">
            <v>0</v>
          </cell>
          <cell r="F79">
            <v>0</v>
          </cell>
        </row>
        <row r="80">
          <cell r="A80" t="str">
            <v>b.수평규준틀</v>
          </cell>
          <cell r="C80">
            <v>130</v>
          </cell>
          <cell r="D80" t="str">
            <v>EA</v>
          </cell>
          <cell r="E80">
            <v>0</v>
          </cell>
          <cell r="F80">
            <v>0</v>
          </cell>
        </row>
        <row r="81">
          <cell r="A81" t="str">
            <v>1.14 저수지준설</v>
          </cell>
          <cell r="C81">
            <v>91824</v>
          </cell>
          <cell r="D81" t="str">
            <v>M3</v>
          </cell>
          <cell r="E81">
            <v>0</v>
          </cell>
          <cell r="F81">
            <v>0</v>
          </cell>
        </row>
        <row r="82">
          <cell r="A82" t="str">
            <v>2.배    수    공</v>
          </cell>
          <cell r="E82">
            <v>0</v>
          </cell>
          <cell r="F82">
            <v>0</v>
          </cell>
        </row>
        <row r="83">
          <cell r="A83" t="str">
            <v>2.01 토    공</v>
          </cell>
          <cell r="E83">
            <v>0</v>
          </cell>
          <cell r="F83">
            <v>0</v>
          </cell>
        </row>
        <row r="84">
          <cell r="A84" t="str">
            <v>a.측구터파기</v>
          </cell>
          <cell r="E84">
            <v>0</v>
          </cell>
          <cell r="F84">
            <v>0</v>
          </cell>
        </row>
        <row r="85">
          <cell r="A85" t="str">
            <v>-1.측구터파기</v>
          </cell>
          <cell r="C85">
            <v>15690</v>
          </cell>
          <cell r="D85" t="str">
            <v>M3</v>
          </cell>
          <cell r="E85">
            <v>0</v>
          </cell>
          <cell r="F85">
            <v>0</v>
          </cell>
        </row>
        <row r="86">
          <cell r="A86" t="str">
            <v>-2.측구터파기</v>
          </cell>
          <cell r="C86">
            <v>730</v>
          </cell>
          <cell r="D86" t="str">
            <v>M3</v>
          </cell>
          <cell r="E86">
            <v>0</v>
          </cell>
          <cell r="F86">
            <v>0</v>
          </cell>
        </row>
        <row r="87">
          <cell r="A87" t="str">
            <v>-3.측구되메우기및다짐</v>
          </cell>
          <cell r="C87">
            <v>10000</v>
          </cell>
          <cell r="D87" t="str">
            <v>M3</v>
          </cell>
          <cell r="E87">
            <v>0</v>
          </cell>
          <cell r="F87">
            <v>0</v>
          </cell>
        </row>
        <row r="88">
          <cell r="A88" t="str">
            <v>b.구조물터파기</v>
          </cell>
          <cell r="E88">
            <v>0</v>
          </cell>
          <cell r="F88">
            <v>0</v>
          </cell>
        </row>
        <row r="89">
          <cell r="A89" t="str">
            <v>-1.육상토사</v>
          </cell>
          <cell r="C89">
            <v>21670</v>
          </cell>
          <cell r="D89" t="str">
            <v>M3</v>
          </cell>
          <cell r="E89">
            <v>0</v>
          </cell>
          <cell r="F89">
            <v>0</v>
          </cell>
        </row>
        <row r="90">
          <cell r="A90" t="str">
            <v>-2.육상토사</v>
          </cell>
          <cell r="C90">
            <v>10100</v>
          </cell>
          <cell r="D90" t="str">
            <v>M3</v>
          </cell>
          <cell r="E90">
            <v>0</v>
          </cell>
          <cell r="F90">
            <v>0</v>
          </cell>
        </row>
        <row r="91">
          <cell r="A91" t="str">
            <v>-3.육상토사</v>
          </cell>
          <cell r="C91">
            <v>2260</v>
          </cell>
          <cell r="D91" t="str">
            <v>M3</v>
          </cell>
          <cell r="E91">
            <v>0</v>
          </cell>
          <cell r="F91">
            <v>0</v>
          </cell>
        </row>
        <row r="92">
          <cell r="A92" t="str">
            <v>-4.육상토사</v>
          </cell>
          <cell r="C92">
            <v>490</v>
          </cell>
          <cell r="D92" t="str">
            <v>M3</v>
          </cell>
          <cell r="E92">
            <v>0</v>
          </cell>
          <cell r="F92">
            <v>0</v>
          </cell>
        </row>
        <row r="93">
          <cell r="A93" t="str">
            <v>-5.육상토사</v>
          </cell>
          <cell r="C93">
            <v>280</v>
          </cell>
          <cell r="D93" t="str">
            <v>M3</v>
          </cell>
          <cell r="E93">
            <v>0</v>
          </cell>
          <cell r="F93">
            <v>0</v>
          </cell>
        </row>
        <row r="94">
          <cell r="A94" t="str">
            <v>-6.육상토사</v>
          </cell>
          <cell r="C94">
            <v>30</v>
          </cell>
          <cell r="D94" t="str">
            <v>M3</v>
          </cell>
          <cell r="E94">
            <v>0</v>
          </cell>
          <cell r="F94">
            <v>0</v>
          </cell>
        </row>
        <row r="95">
          <cell r="A95" t="str">
            <v>-7.육상리핑암</v>
          </cell>
          <cell r="C95">
            <v>50</v>
          </cell>
          <cell r="D95" t="str">
            <v>M3</v>
          </cell>
          <cell r="E95">
            <v>0</v>
          </cell>
          <cell r="F95">
            <v>0</v>
          </cell>
        </row>
        <row r="96">
          <cell r="A96" t="str">
            <v>-8.육상발파암</v>
          </cell>
          <cell r="C96">
            <v>1200</v>
          </cell>
          <cell r="D96" t="str">
            <v>M3</v>
          </cell>
          <cell r="E96">
            <v>0</v>
          </cell>
          <cell r="F96">
            <v>0</v>
          </cell>
        </row>
        <row r="97">
          <cell r="A97" t="str">
            <v>-9.용수토사</v>
          </cell>
          <cell r="C97">
            <v>3180</v>
          </cell>
          <cell r="D97" t="str">
            <v>M3</v>
          </cell>
          <cell r="E97">
            <v>0</v>
          </cell>
          <cell r="F97">
            <v>0</v>
          </cell>
        </row>
        <row r="98">
          <cell r="A98" t="str">
            <v>-10.용수토사</v>
          </cell>
          <cell r="C98">
            <v>760</v>
          </cell>
          <cell r="D98" t="str">
            <v>M3</v>
          </cell>
          <cell r="E98">
            <v>0</v>
          </cell>
          <cell r="F98">
            <v>0</v>
          </cell>
        </row>
        <row r="99">
          <cell r="A99" t="str">
            <v>c.되메우기(기계50%,인력50%)</v>
          </cell>
          <cell r="C99">
            <v>23070</v>
          </cell>
          <cell r="D99" t="str">
            <v>M3</v>
          </cell>
          <cell r="E99">
            <v>0</v>
          </cell>
          <cell r="F99">
            <v>0</v>
          </cell>
        </row>
        <row r="100">
          <cell r="A100" t="str">
            <v>2.02.측구공</v>
          </cell>
          <cell r="E100">
            <v>0</v>
          </cell>
          <cell r="F100">
            <v>0</v>
          </cell>
        </row>
        <row r="101">
          <cell r="A101" t="str">
            <v>a.L형측구</v>
          </cell>
          <cell r="E101">
            <v>0</v>
          </cell>
          <cell r="F101">
            <v>0</v>
          </cell>
        </row>
        <row r="102">
          <cell r="A102" t="str">
            <v>-1.형식-1</v>
          </cell>
          <cell r="C102">
            <v>2360</v>
          </cell>
          <cell r="D102" t="str">
            <v>M</v>
          </cell>
          <cell r="E102">
            <v>0</v>
          </cell>
          <cell r="F102">
            <v>0</v>
          </cell>
        </row>
        <row r="103">
          <cell r="A103" t="str">
            <v>-2.형식-2</v>
          </cell>
          <cell r="C103">
            <v>1269</v>
          </cell>
          <cell r="D103" t="str">
            <v>M</v>
          </cell>
          <cell r="E103">
            <v>0</v>
          </cell>
          <cell r="F103">
            <v>0</v>
          </cell>
        </row>
        <row r="104">
          <cell r="A104" t="str">
            <v>-3.형식-3</v>
          </cell>
          <cell r="C104">
            <v>230</v>
          </cell>
          <cell r="D104" t="str">
            <v>M</v>
          </cell>
          <cell r="E104">
            <v>0</v>
          </cell>
          <cell r="F104">
            <v>0</v>
          </cell>
        </row>
        <row r="105">
          <cell r="A105" t="str">
            <v>-4.형식-4(부체도로)</v>
          </cell>
          <cell r="C105">
            <v>513</v>
          </cell>
          <cell r="D105" t="str">
            <v>M</v>
          </cell>
          <cell r="E105">
            <v>0</v>
          </cell>
          <cell r="F105">
            <v>0</v>
          </cell>
        </row>
        <row r="106">
          <cell r="A106" t="str">
            <v>-5.성토부L형측구</v>
          </cell>
          <cell r="C106">
            <v>9150</v>
          </cell>
          <cell r="D106" t="str">
            <v>M</v>
          </cell>
          <cell r="E106">
            <v>0</v>
          </cell>
          <cell r="F106">
            <v>0</v>
          </cell>
        </row>
        <row r="107">
          <cell r="A107" t="str">
            <v>-6.형식-5(절토부소단측구)</v>
          </cell>
          <cell r="C107">
            <v>480</v>
          </cell>
          <cell r="D107" t="str">
            <v>M</v>
          </cell>
          <cell r="E107">
            <v>0</v>
          </cell>
          <cell r="F107">
            <v>0</v>
          </cell>
        </row>
        <row r="108">
          <cell r="A108" t="str">
            <v>-7.L형측구변화구간</v>
          </cell>
          <cell r="C108">
            <v>27</v>
          </cell>
          <cell r="D108" t="str">
            <v>개소</v>
          </cell>
          <cell r="E108">
            <v>0</v>
          </cell>
          <cell r="F108">
            <v>0</v>
          </cell>
        </row>
        <row r="109">
          <cell r="A109" t="str">
            <v>-8.L형측구변화구간</v>
          </cell>
          <cell r="C109">
            <v>6</v>
          </cell>
          <cell r="D109" t="str">
            <v>개소</v>
          </cell>
          <cell r="E109">
            <v>0</v>
          </cell>
          <cell r="F109">
            <v>0</v>
          </cell>
        </row>
        <row r="110">
          <cell r="A110" t="str">
            <v>b.U형측구</v>
          </cell>
          <cell r="E110">
            <v>0</v>
          </cell>
          <cell r="F110">
            <v>0</v>
          </cell>
        </row>
        <row r="111">
          <cell r="A111" t="str">
            <v>-1.형식-1</v>
          </cell>
          <cell r="C111">
            <v>297</v>
          </cell>
          <cell r="D111" t="str">
            <v>M</v>
          </cell>
          <cell r="E111">
            <v>0</v>
          </cell>
          <cell r="F111">
            <v>0</v>
          </cell>
        </row>
        <row r="112">
          <cell r="A112" t="str">
            <v>-2.형식-6</v>
          </cell>
          <cell r="C112">
            <v>350</v>
          </cell>
          <cell r="D112" t="str">
            <v>M</v>
          </cell>
          <cell r="E112">
            <v>0</v>
          </cell>
          <cell r="F112">
            <v>0</v>
          </cell>
        </row>
        <row r="113">
          <cell r="A113" t="str">
            <v>c.V형측구</v>
          </cell>
          <cell r="E113">
            <v>0</v>
          </cell>
          <cell r="F113">
            <v>0</v>
          </cell>
        </row>
        <row r="114">
          <cell r="A114" t="str">
            <v>-1.형식-2</v>
          </cell>
          <cell r="C114">
            <v>4399</v>
          </cell>
          <cell r="D114" t="str">
            <v>M</v>
          </cell>
          <cell r="E114">
            <v>0</v>
          </cell>
          <cell r="F114">
            <v>0</v>
          </cell>
        </row>
        <row r="115">
          <cell r="A115" t="str">
            <v>-2.형식-3</v>
          </cell>
          <cell r="C115">
            <v>980</v>
          </cell>
          <cell r="D115" t="str">
            <v>M</v>
          </cell>
          <cell r="E115">
            <v>0</v>
          </cell>
          <cell r="F115">
            <v>0</v>
          </cell>
        </row>
        <row r="116">
          <cell r="A116" t="str">
            <v>d.산마루 측구</v>
          </cell>
          <cell r="C116">
            <v>2335</v>
          </cell>
          <cell r="D116" t="str">
            <v>M</v>
          </cell>
          <cell r="E116">
            <v>0</v>
          </cell>
          <cell r="F116">
            <v>0</v>
          </cell>
        </row>
        <row r="117">
          <cell r="A117" t="str">
            <v>2.03 맹암거</v>
          </cell>
          <cell r="E117">
            <v>0</v>
          </cell>
          <cell r="F117">
            <v>0</v>
          </cell>
        </row>
        <row r="118">
          <cell r="A118" t="str">
            <v>a.형식-1 (L형측구하단)</v>
          </cell>
          <cell r="C118">
            <v>525</v>
          </cell>
          <cell r="D118" t="str">
            <v>M</v>
          </cell>
          <cell r="E118">
            <v>0</v>
          </cell>
          <cell r="F118">
            <v>0</v>
          </cell>
        </row>
        <row r="119">
          <cell r="A119" t="str">
            <v>b.형식-2 (L형측구하단)</v>
          </cell>
          <cell r="C119">
            <v>2437</v>
          </cell>
          <cell r="D119" t="str">
            <v>M</v>
          </cell>
          <cell r="E119">
            <v>0</v>
          </cell>
          <cell r="F119">
            <v>0</v>
          </cell>
        </row>
        <row r="120">
          <cell r="A120" t="str">
            <v>c.형식-3 (절성경계)</v>
          </cell>
          <cell r="C120">
            <v>310</v>
          </cell>
          <cell r="D120" t="str">
            <v>M</v>
          </cell>
          <cell r="E120">
            <v>0</v>
          </cell>
          <cell r="F120">
            <v>0</v>
          </cell>
        </row>
        <row r="121">
          <cell r="A121" t="str">
            <v>2.04 횡배수관</v>
          </cell>
          <cell r="E121">
            <v>0</v>
          </cell>
          <cell r="F121">
            <v>0</v>
          </cell>
        </row>
        <row r="122">
          <cell r="A122" t="str">
            <v>a.1.0&gt;H or H&gt;6.0M</v>
          </cell>
          <cell r="E122">
            <v>0</v>
          </cell>
          <cell r="F122">
            <v>0</v>
          </cell>
        </row>
        <row r="123">
          <cell r="A123" t="str">
            <v>a-1.￠1,000MM</v>
          </cell>
          <cell r="C123">
            <v>422</v>
          </cell>
          <cell r="D123" t="str">
            <v>M</v>
          </cell>
          <cell r="E123">
            <v>0</v>
          </cell>
          <cell r="F123">
            <v>0</v>
          </cell>
        </row>
        <row r="124">
          <cell r="A124" t="str">
            <v>a-2.￠1,200MM</v>
          </cell>
          <cell r="C124">
            <v>177</v>
          </cell>
          <cell r="D124" t="str">
            <v>M</v>
          </cell>
          <cell r="E124">
            <v>0</v>
          </cell>
          <cell r="F124">
            <v>0</v>
          </cell>
        </row>
        <row r="125">
          <cell r="A125" t="str">
            <v>b.1.0M&lt; H &lt; 6.0M</v>
          </cell>
          <cell r="E125">
            <v>0</v>
          </cell>
          <cell r="F125">
            <v>0</v>
          </cell>
        </row>
        <row r="126">
          <cell r="A126" t="str">
            <v>b-1.￠300MM</v>
          </cell>
          <cell r="C126">
            <v>8</v>
          </cell>
          <cell r="D126" t="str">
            <v>M</v>
          </cell>
          <cell r="E126">
            <v>0</v>
          </cell>
          <cell r="F126">
            <v>0</v>
          </cell>
        </row>
        <row r="127">
          <cell r="A127" t="str">
            <v>b-2.￠450MM</v>
          </cell>
          <cell r="C127">
            <v>70</v>
          </cell>
          <cell r="D127" t="str">
            <v>M</v>
          </cell>
          <cell r="E127">
            <v>0</v>
          </cell>
          <cell r="F127">
            <v>0</v>
          </cell>
        </row>
        <row r="128">
          <cell r="A128" t="str">
            <v>b-3.￠600MM</v>
          </cell>
          <cell r="C128">
            <v>23</v>
          </cell>
          <cell r="D128" t="str">
            <v>M</v>
          </cell>
          <cell r="E128">
            <v>0</v>
          </cell>
          <cell r="F128">
            <v>0</v>
          </cell>
        </row>
        <row r="129">
          <cell r="A129" t="str">
            <v>b-4.￠800MM</v>
          </cell>
          <cell r="C129">
            <v>78</v>
          </cell>
          <cell r="D129" t="str">
            <v>M</v>
          </cell>
          <cell r="E129">
            <v>0</v>
          </cell>
          <cell r="F129">
            <v>0</v>
          </cell>
        </row>
        <row r="130">
          <cell r="A130" t="str">
            <v>b-5.￠1000MM</v>
          </cell>
          <cell r="C130">
            <v>155</v>
          </cell>
          <cell r="D130" t="str">
            <v>M</v>
          </cell>
          <cell r="E130">
            <v>0</v>
          </cell>
          <cell r="F130">
            <v>0</v>
          </cell>
        </row>
        <row r="131">
          <cell r="A131" t="str">
            <v>b-6.￠1200MM</v>
          </cell>
          <cell r="C131">
            <v>82</v>
          </cell>
          <cell r="D131" t="str">
            <v>M</v>
          </cell>
          <cell r="E131">
            <v>0</v>
          </cell>
          <cell r="F131">
            <v>0</v>
          </cell>
        </row>
        <row r="132">
          <cell r="A132" t="str">
            <v>c.날개벽</v>
          </cell>
          <cell r="E132">
            <v>0</v>
          </cell>
          <cell r="F132">
            <v>0</v>
          </cell>
        </row>
        <row r="133">
          <cell r="A133" t="str">
            <v>c-1.콘크리트타설</v>
          </cell>
          <cell r="C133">
            <v>73</v>
          </cell>
          <cell r="D133" t="str">
            <v>M3</v>
          </cell>
          <cell r="E133">
            <v>0</v>
          </cell>
          <cell r="F133">
            <v>0</v>
          </cell>
        </row>
        <row r="134">
          <cell r="A134" t="str">
            <v>c-2.거푸집</v>
          </cell>
          <cell r="C134">
            <v>327</v>
          </cell>
          <cell r="D134" t="str">
            <v>M2</v>
          </cell>
          <cell r="E134">
            <v>0</v>
          </cell>
          <cell r="F134">
            <v>0</v>
          </cell>
        </row>
        <row r="135">
          <cell r="A135" t="str">
            <v>d.면벽</v>
          </cell>
          <cell r="E135">
            <v>0</v>
          </cell>
          <cell r="F135">
            <v>0</v>
          </cell>
        </row>
        <row r="136">
          <cell r="A136" t="str">
            <v>d-1.콘크리트타설</v>
          </cell>
          <cell r="C136">
            <v>3</v>
          </cell>
          <cell r="D136" t="str">
            <v>M3</v>
          </cell>
          <cell r="E136">
            <v>0</v>
          </cell>
          <cell r="F136">
            <v>0</v>
          </cell>
        </row>
        <row r="137">
          <cell r="A137" t="str">
            <v>d-2.거푸집</v>
          </cell>
          <cell r="C137">
            <v>47</v>
          </cell>
          <cell r="D137" t="str">
            <v>M2</v>
          </cell>
          <cell r="E137">
            <v>0</v>
          </cell>
          <cell r="F137">
            <v>0</v>
          </cell>
        </row>
        <row r="138">
          <cell r="A138" t="str">
            <v>2.05 종배수관</v>
          </cell>
          <cell r="E138">
            <v>0</v>
          </cell>
          <cell r="F138">
            <v>0</v>
          </cell>
        </row>
        <row r="139">
          <cell r="A139" t="str">
            <v>a.종배수관부설</v>
          </cell>
          <cell r="E139">
            <v>0</v>
          </cell>
          <cell r="F139">
            <v>0</v>
          </cell>
        </row>
        <row r="140">
          <cell r="A140" t="str">
            <v>a-1. ￠800MM</v>
          </cell>
          <cell r="C140">
            <v>764</v>
          </cell>
          <cell r="D140" t="str">
            <v>M</v>
          </cell>
          <cell r="E140">
            <v>0</v>
          </cell>
          <cell r="F140">
            <v>0</v>
          </cell>
        </row>
        <row r="141">
          <cell r="A141" t="str">
            <v>a-2. ￠1,000MM</v>
          </cell>
          <cell r="C141">
            <v>10</v>
          </cell>
          <cell r="D141" t="str">
            <v>M</v>
          </cell>
          <cell r="E141">
            <v>0</v>
          </cell>
          <cell r="F141">
            <v>0</v>
          </cell>
        </row>
        <row r="142">
          <cell r="A142" t="str">
            <v>b.종배수관 면벽</v>
          </cell>
          <cell r="E142">
            <v>0</v>
          </cell>
          <cell r="F142">
            <v>0</v>
          </cell>
        </row>
        <row r="143">
          <cell r="A143" t="str">
            <v>b-1.콘크리트타설</v>
          </cell>
          <cell r="C143">
            <v>6</v>
          </cell>
          <cell r="D143" t="str">
            <v>M3</v>
          </cell>
          <cell r="E143">
            <v>0</v>
          </cell>
          <cell r="F143">
            <v>0</v>
          </cell>
        </row>
        <row r="144">
          <cell r="A144" t="str">
            <v>b-2.거푸집</v>
          </cell>
          <cell r="C144">
            <v>91</v>
          </cell>
          <cell r="D144" t="str">
            <v>M2</v>
          </cell>
          <cell r="E144">
            <v>0</v>
          </cell>
          <cell r="F144">
            <v>0</v>
          </cell>
        </row>
        <row r="145">
          <cell r="A145" t="str">
            <v>2.06 집수정공</v>
          </cell>
          <cell r="E145">
            <v>0</v>
          </cell>
          <cell r="F145">
            <v>0</v>
          </cell>
        </row>
        <row r="146">
          <cell r="A146" t="str">
            <v>a.콘크리트타설</v>
          </cell>
          <cell r="E146">
            <v>0</v>
          </cell>
          <cell r="F146">
            <v>0</v>
          </cell>
        </row>
        <row r="147">
          <cell r="A147" t="str">
            <v>a-1.콘크이트타설</v>
          </cell>
          <cell r="C147">
            <v>4</v>
          </cell>
          <cell r="D147" t="str">
            <v>M3</v>
          </cell>
          <cell r="E147">
            <v>0</v>
          </cell>
          <cell r="F147">
            <v>0</v>
          </cell>
        </row>
        <row r="148">
          <cell r="A148" t="str">
            <v>a-2.콘크리트타설</v>
          </cell>
          <cell r="C148">
            <v>83</v>
          </cell>
          <cell r="D148" t="str">
            <v>M3</v>
          </cell>
          <cell r="E148">
            <v>0</v>
          </cell>
          <cell r="F148">
            <v>0</v>
          </cell>
        </row>
        <row r="149">
          <cell r="A149" t="str">
            <v>b.거푸집</v>
          </cell>
          <cell r="C149">
            <v>354</v>
          </cell>
          <cell r="D149" t="str">
            <v>M2</v>
          </cell>
          <cell r="E149">
            <v>0</v>
          </cell>
          <cell r="F149">
            <v>0</v>
          </cell>
        </row>
        <row r="150">
          <cell r="A150" t="str">
            <v>c.거푸집</v>
          </cell>
          <cell r="C150">
            <v>519</v>
          </cell>
          <cell r="D150" t="str">
            <v>M2</v>
          </cell>
          <cell r="E150">
            <v>0</v>
          </cell>
          <cell r="F150">
            <v>0</v>
          </cell>
        </row>
        <row r="151">
          <cell r="A151" t="str">
            <v>d.철근가공조립</v>
          </cell>
          <cell r="C151">
            <v>4.7709999999999999</v>
          </cell>
          <cell r="D151" t="str">
            <v>TON</v>
          </cell>
          <cell r="E151">
            <v>0</v>
          </cell>
          <cell r="F151">
            <v>0</v>
          </cell>
        </row>
        <row r="152">
          <cell r="A152" t="str">
            <v>e.집수정 배수구</v>
          </cell>
          <cell r="C152">
            <v>1</v>
          </cell>
          <cell r="D152" t="str">
            <v>M</v>
          </cell>
          <cell r="E152">
            <v>0</v>
          </cell>
          <cell r="F152">
            <v>0</v>
          </cell>
        </row>
        <row r="153">
          <cell r="A153" t="str">
            <v>f.뚜껑(스틸그레이팅)</v>
          </cell>
          <cell r="E153">
            <v>0</v>
          </cell>
          <cell r="F153">
            <v>0</v>
          </cell>
        </row>
        <row r="154">
          <cell r="A154" t="str">
            <v>f-1.830*830*50M/M</v>
          </cell>
          <cell r="C154">
            <v>1</v>
          </cell>
          <cell r="D154" t="str">
            <v>EA</v>
          </cell>
          <cell r="E154">
            <v>0</v>
          </cell>
          <cell r="F154">
            <v>0</v>
          </cell>
        </row>
        <row r="155">
          <cell r="A155" t="str">
            <v>f-2.1530*830*100M/M</v>
          </cell>
          <cell r="C155">
            <v>20</v>
          </cell>
          <cell r="D155" t="str">
            <v>EA</v>
          </cell>
          <cell r="E155">
            <v>0</v>
          </cell>
          <cell r="F155">
            <v>0</v>
          </cell>
        </row>
        <row r="156">
          <cell r="A156" t="str">
            <v>f-3.1390*1190*75M/M</v>
          </cell>
          <cell r="C156">
            <v>1</v>
          </cell>
          <cell r="D156" t="str">
            <v>EA</v>
          </cell>
          <cell r="E156">
            <v>0</v>
          </cell>
          <cell r="F156">
            <v>0</v>
          </cell>
        </row>
        <row r="157">
          <cell r="A157" t="str">
            <v>f-4.1799*1190*75M/M</v>
          </cell>
          <cell r="C157">
            <v>12</v>
          </cell>
          <cell r="D157" t="str">
            <v>EA</v>
          </cell>
          <cell r="E157">
            <v>0</v>
          </cell>
          <cell r="F157">
            <v>0</v>
          </cell>
        </row>
        <row r="158">
          <cell r="A158" t="str">
            <v>f-5.2190*1190*75M/M</v>
          </cell>
          <cell r="C158">
            <v>2</v>
          </cell>
          <cell r="D158" t="str">
            <v>EA</v>
          </cell>
          <cell r="E158">
            <v>0</v>
          </cell>
          <cell r="F158">
            <v>0</v>
          </cell>
        </row>
        <row r="159">
          <cell r="A159" t="str">
            <v>2.07 암 거 공</v>
          </cell>
          <cell r="E159">
            <v>0</v>
          </cell>
          <cell r="F159">
            <v>0</v>
          </cell>
        </row>
        <row r="160">
          <cell r="A160" t="str">
            <v>a.콘크리트타설</v>
          </cell>
          <cell r="E160">
            <v>0</v>
          </cell>
          <cell r="F160">
            <v>0</v>
          </cell>
        </row>
        <row r="161">
          <cell r="A161" t="str">
            <v>a-1.콘크리트타설</v>
          </cell>
          <cell r="C161">
            <v>8238</v>
          </cell>
          <cell r="D161" t="str">
            <v>M3</v>
          </cell>
          <cell r="E161">
            <v>0</v>
          </cell>
          <cell r="F161">
            <v>0</v>
          </cell>
        </row>
        <row r="162">
          <cell r="A162" t="str">
            <v>a-2.콘크리트타설</v>
          </cell>
          <cell r="C162">
            <v>922</v>
          </cell>
          <cell r="D162" t="str">
            <v>M3</v>
          </cell>
          <cell r="E162">
            <v>0</v>
          </cell>
          <cell r="F162">
            <v>0</v>
          </cell>
        </row>
        <row r="163">
          <cell r="A163" t="str">
            <v>b.거푸집</v>
          </cell>
          <cell r="E163">
            <v>0</v>
          </cell>
          <cell r="F163">
            <v>0</v>
          </cell>
        </row>
        <row r="164">
          <cell r="A164" t="str">
            <v>b-1.거푸집</v>
          </cell>
          <cell r="C164">
            <v>14093</v>
          </cell>
          <cell r="D164" t="str">
            <v>M2</v>
          </cell>
          <cell r="E164">
            <v>0</v>
          </cell>
          <cell r="F164">
            <v>0</v>
          </cell>
        </row>
        <row r="165">
          <cell r="A165" t="str">
            <v>b-2.거푸집</v>
          </cell>
          <cell r="C165">
            <v>956</v>
          </cell>
          <cell r="D165" t="str">
            <v>M2</v>
          </cell>
          <cell r="E165">
            <v>0</v>
          </cell>
          <cell r="F165">
            <v>0</v>
          </cell>
        </row>
        <row r="166">
          <cell r="A166" t="str">
            <v>b-3.거푸집</v>
          </cell>
          <cell r="C166">
            <v>224</v>
          </cell>
          <cell r="D166" t="str">
            <v>M2</v>
          </cell>
          <cell r="E166">
            <v>0</v>
          </cell>
          <cell r="F166">
            <v>0</v>
          </cell>
        </row>
        <row r="167">
          <cell r="A167" t="str">
            <v>b-4.P.E무늬거푸집</v>
          </cell>
          <cell r="C167">
            <v>1696</v>
          </cell>
          <cell r="D167" t="str">
            <v>㎡</v>
          </cell>
          <cell r="E167">
            <v>0</v>
          </cell>
          <cell r="F167">
            <v>0</v>
          </cell>
        </row>
        <row r="168">
          <cell r="A168" t="str">
            <v>c.철근가공 및 조립</v>
          </cell>
          <cell r="E168">
            <v>0</v>
          </cell>
          <cell r="F168">
            <v>0</v>
          </cell>
        </row>
        <row r="169">
          <cell r="A169" t="str">
            <v>c-1.간 단</v>
          </cell>
          <cell r="C169">
            <v>8.2000000000000003E-2</v>
          </cell>
          <cell r="D169" t="str">
            <v>TON</v>
          </cell>
          <cell r="E169">
            <v>0</v>
          </cell>
          <cell r="F169">
            <v>0</v>
          </cell>
        </row>
        <row r="170">
          <cell r="A170" t="str">
            <v>c-2.보 통</v>
          </cell>
          <cell r="C170">
            <v>29.591999999999999</v>
          </cell>
          <cell r="D170" t="str">
            <v>TON</v>
          </cell>
          <cell r="E170">
            <v>0</v>
          </cell>
          <cell r="F170">
            <v>0</v>
          </cell>
        </row>
        <row r="171">
          <cell r="A171" t="str">
            <v>c-3.복 잡</v>
          </cell>
          <cell r="C171">
            <v>1206.587</v>
          </cell>
          <cell r="D171" t="str">
            <v>TON</v>
          </cell>
          <cell r="E171">
            <v>0</v>
          </cell>
          <cell r="F171">
            <v>0</v>
          </cell>
        </row>
        <row r="172">
          <cell r="A172" t="str">
            <v>d.비계</v>
          </cell>
          <cell r="C172">
            <v>5071</v>
          </cell>
          <cell r="D172" t="str">
            <v>M2</v>
          </cell>
          <cell r="E172">
            <v>0</v>
          </cell>
          <cell r="F172">
            <v>0</v>
          </cell>
        </row>
        <row r="173">
          <cell r="A173" t="str">
            <v>e.동바리</v>
          </cell>
          <cell r="C173">
            <v>8750</v>
          </cell>
          <cell r="D173" t="str">
            <v>공/M3</v>
          </cell>
          <cell r="E173">
            <v>0</v>
          </cell>
          <cell r="F173">
            <v>0</v>
          </cell>
        </row>
        <row r="174">
          <cell r="A174" t="str">
            <v>f.아스팔트코팅</v>
          </cell>
          <cell r="C174">
            <v>4535</v>
          </cell>
          <cell r="D174" t="str">
            <v>M2</v>
          </cell>
          <cell r="E174">
            <v>0</v>
          </cell>
          <cell r="F174">
            <v>0</v>
          </cell>
        </row>
        <row r="175">
          <cell r="A175" t="str">
            <v>g.P.V.C 파이프</v>
          </cell>
          <cell r="E175">
            <v>0</v>
          </cell>
          <cell r="F175">
            <v>0</v>
          </cell>
        </row>
        <row r="176">
          <cell r="A176" t="str">
            <v>g-1. P.V.C PIPE</v>
          </cell>
          <cell r="C176">
            <v>72</v>
          </cell>
          <cell r="D176" t="str">
            <v>M</v>
          </cell>
          <cell r="E176">
            <v>0</v>
          </cell>
          <cell r="F176">
            <v>0</v>
          </cell>
        </row>
        <row r="177">
          <cell r="A177" t="str">
            <v>g-2. P.V.C PIPE</v>
          </cell>
          <cell r="C177">
            <v>18</v>
          </cell>
          <cell r="D177" t="str">
            <v>M</v>
          </cell>
          <cell r="E177">
            <v>0</v>
          </cell>
          <cell r="F177">
            <v>0</v>
          </cell>
        </row>
        <row r="178">
          <cell r="A178" t="str">
            <v>h.부직포</v>
          </cell>
          <cell r="C178">
            <v>306</v>
          </cell>
          <cell r="D178" t="str">
            <v>M2</v>
          </cell>
          <cell r="E178">
            <v>0</v>
          </cell>
          <cell r="F178">
            <v>0</v>
          </cell>
        </row>
        <row r="179">
          <cell r="A179" t="str">
            <v>i.뒷채움 및 다짐</v>
          </cell>
          <cell r="C179">
            <v>3190</v>
          </cell>
          <cell r="D179" t="str">
            <v>M3</v>
          </cell>
          <cell r="E179">
            <v>0</v>
          </cell>
          <cell r="F179">
            <v>0</v>
          </cell>
        </row>
        <row r="180">
          <cell r="A180" t="str">
            <v>j.기초잡석깔기</v>
          </cell>
          <cell r="C180">
            <v>872</v>
          </cell>
          <cell r="D180" t="str">
            <v>M3</v>
          </cell>
          <cell r="E180">
            <v>0</v>
          </cell>
          <cell r="F180">
            <v>0</v>
          </cell>
        </row>
        <row r="181">
          <cell r="A181" t="str">
            <v>k.물 푸 기</v>
          </cell>
          <cell r="C181">
            <v>415</v>
          </cell>
          <cell r="D181" t="str">
            <v>HR</v>
          </cell>
          <cell r="E181">
            <v>0</v>
          </cell>
          <cell r="F181">
            <v>0</v>
          </cell>
        </row>
        <row r="182">
          <cell r="A182" t="str">
            <v>l.지수판</v>
          </cell>
          <cell r="C182">
            <v>2820</v>
          </cell>
          <cell r="D182" t="str">
            <v>M</v>
          </cell>
          <cell r="E182">
            <v>0</v>
          </cell>
          <cell r="F182">
            <v>0</v>
          </cell>
        </row>
        <row r="183">
          <cell r="A183" t="str">
            <v>m.신축이음</v>
          </cell>
          <cell r="C183">
            <v>616</v>
          </cell>
          <cell r="D183" t="str">
            <v>M2</v>
          </cell>
          <cell r="E183">
            <v>0</v>
          </cell>
          <cell r="F183">
            <v>0</v>
          </cell>
        </row>
        <row r="184">
          <cell r="A184" t="str">
            <v>n.실런트</v>
          </cell>
          <cell r="C184">
            <v>645</v>
          </cell>
          <cell r="D184" t="str">
            <v>M</v>
          </cell>
          <cell r="E184">
            <v>0</v>
          </cell>
          <cell r="F184">
            <v>0</v>
          </cell>
        </row>
        <row r="185">
          <cell r="A185" t="str">
            <v>o.다웰바설치</v>
          </cell>
          <cell r="E185">
            <v>0</v>
          </cell>
          <cell r="F185">
            <v>0</v>
          </cell>
        </row>
        <row r="186">
          <cell r="A186" t="str">
            <v>o-1.신축이음부설치</v>
          </cell>
          <cell r="C186">
            <v>403</v>
          </cell>
          <cell r="D186" t="str">
            <v>EA</v>
          </cell>
          <cell r="E186">
            <v>0</v>
          </cell>
          <cell r="F186">
            <v>0</v>
          </cell>
        </row>
        <row r="187">
          <cell r="A187" t="str">
            <v>o-2.접속슬래브설치</v>
          </cell>
          <cell r="C187">
            <v>218</v>
          </cell>
          <cell r="D187" t="str">
            <v>EA</v>
          </cell>
          <cell r="E187">
            <v>0</v>
          </cell>
          <cell r="F187">
            <v>0</v>
          </cell>
        </row>
        <row r="188">
          <cell r="A188" t="str">
            <v>p.스페이서 설치</v>
          </cell>
          <cell r="E188">
            <v>0</v>
          </cell>
          <cell r="F188">
            <v>0</v>
          </cell>
        </row>
        <row r="189">
          <cell r="A189" t="str">
            <v>p-1.수평(슬래브)</v>
          </cell>
          <cell r="C189">
            <v>6326</v>
          </cell>
          <cell r="D189" t="str">
            <v>M2</v>
          </cell>
          <cell r="E189">
            <v>0</v>
          </cell>
          <cell r="F189">
            <v>0</v>
          </cell>
        </row>
        <row r="190">
          <cell r="A190" t="str">
            <v>p-2.수직(벽체)</v>
          </cell>
          <cell r="C190">
            <v>12526</v>
          </cell>
          <cell r="D190" t="str">
            <v>M2</v>
          </cell>
          <cell r="E190">
            <v>0</v>
          </cell>
          <cell r="F190">
            <v>0</v>
          </cell>
        </row>
        <row r="191">
          <cell r="A191" t="str">
            <v>q.치핑</v>
          </cell>
          <cell r="C191">
            <v>3</v>
          </cell>
          <cell r="D191" t="str">
            <v>M2</v>
          </cell>
          <cell r="E191">
            <v>0</v>
          </cell>
          <cell r="F191">
            <v>0</v>
          </cell>
        </row>
        <row r="192">
          <cell r="A192" t="str">
            <v>r.방호책난간</v>
          </cell>
          <cell r="C192">
            <v>25</v>
          </cell>
          <cell r="D192" t="str">
            <v>M</v>
          </cell>
          <cell r="E192">
            <v>0</v>
          </cell>
          <cell r="F192">
            <v>0</v>
          </cell>
        </row>
        <row r="193">
          <cell r="A193" t="str">
            <v>s.NOTCH</v>
          </cell>
          <cell r="C193">
            <v>114</v>
          </cell>
          <cell r="D193" t="str">
            <v>M</v>
          </cell>
          <cell r="E193">
            <v>0</v>
          </cell>
          <cell r="F193">
            <v>0</v>
          </cell>
        </row>
        <row r="194">
          <cell r="A194" t="str">
            <v>t.DRAIN BOARD</v>
          </cell>
          <cell r="C194">
            <v>303</v>
          </cell>
          <cell r="D194" t="str">
            <v>M2</v>
          </cell>
          <cell r="E194">
            <v>0</v>
          </cell>
          <cell r="F194">
            <v>0</v>
          </cell>
        </row>
        <row r="195">
          <cell r="A195" t="str">
            <v>u.시트방수</v>
          </cell>
          <cell r="C195">
            <v>163</v>
          </cell>
          <cell r="D195" t="str">
            <v>M2</v>
          </cell>
          <cell r="E195">
            <v>0</v>
          </cell>
          <cell r="F195">
            <v>0</v>
          </cell>
        </row>
        <row r="196">
          <cell r="A196" t="str">
            <v>v.시공이음면정리</v>
          </cell>
          <cell r="C196">
            <v>2107</v>
          </cell>
          <cell r="D196" t="str">
            <v>M2</v>
          </cell>
          <cell r="E196">
            <v>0</v>
          </cell>
          <cell r="F196">
            <v>0</v>
          </cell>
        </row>
        <row r="197">
          <cell r="A197" t="str">
            <v>w.모따기</v>
          </cell>
          <cell r="C197">
            <v>1156</v>
          </cell>
          <cell r="D197" t="str">
            <v>M</v>
          </cell>
          <cell r="E197">
            <v>0</v>
          </cell>
          <cell r="F197">
            <v>0</v>
          </cell>
        </row>
        <row r="198">
          <cell r="A198" t="str">
            <v>x.신구 암거 접합</v>
          </cell>
          <cell r="C198">
            <v>3</v>
          </cell>
          <cell r="D198" t="str">
            <v>M2</v>
          </cell>
          <cell r="E198">
            <v>0</v>
          </cell>
          <cell r="F198">
            <v>0</v>
          </cell>
        </row>
        <row r="199">
          <cell r="A199" t="str">
            <v>2.08.도수로공</v>
          </cell>
          <cell r="E199">
            <v>0</v>
          </cell>
          <cell r="F199">
            <v>0</v>
          </cell>
        </row>
        <row r="200">
          <cell r="A200" t="str">
            <v>a.콘크리트타설</v>
          </cell>
          <cell r="E200">
            <v>0</v>
          </cell>
          <cell r="F200">
            <v>0</v>
          </cell>
        </row>
        <row r="201">
          <cell r="A201" t="str">
            <v>a-1.콘크리트타설</v>
          </cell>
          <cell r="C201">
            <v>245</v>
          </cell>
          <cell r="D201" t="str">
            <v>M3</v>
          </cell>
          <cell r="E201">
            <v>0</v>
          </cell>
          <cell r="F201">
            <v>0</v>
          </cell>
        </row>
        <row r="202">
          <cell r="A202" t="str">
            <v>a-2.콘크리트타설</v>
          </cell>
          <cell r="C202">
            <v>59</v>
          </cell>
          <cell r="D202" t="str">
            <v>M3</v>
          </cell>
          <cell r="E202">
            <v>0</v>
          </cell>
          <cell r="F202">
            <v>0</v>
          </cell>
        </row>
        <row r="203">
          <cell r="A203" t="str">
            <v>b.거푸집</v>
          </cell>
          <cell r="C203">
            <v>1952</v>
          </cell>
          <cell r="D203" t="str">
            <v>M2</v>
          </cell>
          <cell r="E203">
            <v>0</v>
          </cell>
          <cell r="F203">
            <v>0</v>
          </cell>
        </row>
        <row r="204">
          <cell r="A204" t="str">
            <v>c.철근가공조립</v>
          </cell>
          <cell r="C204">
            <v>18.059000000000001</v>
          </cell>
          <cell r="D204" t="str">
            <v>TON</v>
          </cell>
          <cell r="E204">
            <v>0</v>
          </cell>
          <cell r="F204">
            <v>0</v>
          </cell>
        </row>
        <row r="205">
          <cell r="A205" t="str">
            <v>d.잔토처리</v>
          </cell>
          <cell r="C205">
            <v>580</v>
          </cell>
          <cell r="D205" t="str">
            <v>M3</v>
          </cell>
          <cell r="E205">
            <v>0</v>
          </cell>
          <cell r="F205">
            <v>0</v>
          </cell>
        </row>
        <row r="206">
          <cell r="A206" t="str">
            <v>2.09.U형개수로</v>
          </cell>
          <cell r="E206">
            <v>0</v>
          </cell>
          <cell r="F206">
            <v>0</v>
          </cell>
        </row>
        <row r="207">
          <cell r="A207" t="str">
            <v>a.콘크리트타설</v>
          </cell>
          <cell r="E207">
            <v>0</v>
          </cell>
          <cell r="F207">
            <v>0</v>
          </cell>
        </row>
        <row r="208">
          <cell r="A208" t="str">
            <v>a-1.콘크리트타설</v>
          </cell>
          <cell r="C208">
            <v>593</v>
          </cell>
          <cell r="D208" t="str">
            <v>M3</v>
          </cell>
          <cell r="E208">
            <v>0</v>
          </cell>
          <cell r="F208">
            <v>0</v>
          </cell>
        </row>
        <row r="209">
          <cell r="A209" t="str">
            <v>a-2.콘크리트타설</v>
          </cell>
          <cell r="C209">
            <v>109</v>
          </cell>
          <cell r="D209" t="str">
            <v>M3</v>
          </cell>
          <cell r="E209">
            <v>0</v>
          </cell>
          <cell r="F209">
            <v>0</v>
          </cell>
        </row>
        <row r="210">
          <cell r="A210" t="str">
            <v>b.거푸집</v>
          </cell>
          <cell r="E210">
            <v>0</v>
          </cell>
          <cell r="F210">
            <v>0</v>
          </cell>
        </row>
        <row r="211">
          <cell r="A211" t="str">
            <v>b-1.거푸집</v>
          </cell>
          <cell r="C211">
            <v>2058</v>
          </cell>
          <cell r="D211" t="str">
            <v>M2</v>
          </cell>
          <cell r="E211">
            <v>0</v>
          </cell>
          <cell r="F211">
            <v>0</v>
          </cell>
        </row>
        <row r="212">
          <cell r="A212" t="str">
            <v>b-2.거푸집</v>
          </cell>
          <cell r="C212">
            <v>1949</v>
          </cell>
          <cell r="D212" t="str">
            <v>M2</v>
          </cell>
          <cell r="E212">
            <v>0</v>
          </cell>
          <cell r="F212">
            <v>0</v>
          </cell>
        </row>
        <row r="213">
          <cell r="A213" t="str">
            <v>c.철근가공조립</v>
          </cell>
          <cell r="C213">
            <v>56.902000000000001</v>
          </cell>
          <cell r="D213" t="str">
            <v>TON</v>
          </cell>
          <cell r="E213">
            <v>0</v>
          </cell>
          <cell r="F213">
            <v>0</v>
          </cell>
        </row>
        <row r="214">
          <cell r="A214" t="str">
            <v>d.비계</v>
          </cell>
          <cell r="C214">
            <v>1400</v>
          </cell>
          <cell r="D214" t="str">
            <v>M2</v>
          </cell>
          <cell r="E214">
            <v>0</v>
          </cell>
          <cell r="F214">
            <v>0</v>
          </cell>
        </row>
        <row r="215">
          <cell r="A215" t="str">
            <v>e.지수판</v>
          </cell>
          <cell r="C215">
            <v>79</v>
          </cell>
          <cell r="D215" t="str">
            <v>M</v>
          </cell>
          <cell r="E215">
            <v>0</v>
          </cell>
          <cell r="F215">
            <v>0</v>
          </cell>
        </row>
        <row r="216">
          <cell r="A216" t="str">
            <v>f.JOINT FILLER</v>
          </cell>
          <cell r="C216">
            <v>40</v>
          </cell>
          <cell r="D216" t="str">
            <v>M2</v>
          </cell>
          <cell r="E216">
            <v>0</v>
          </cell>
          <cell r="F216">
            <v>0</v>
          </cell>
        </row>
        <row r="217">
          <cell r="A217" t="str">
            <v>g.동바리</v>
          </cell>
          <cell r="C217">
            <v>79</v>
          </cell>
          <cell r="D217" t="str">
            <v>공/M3</v>
          </cell>
          <cell r="E217">
            <v>0</v>
          </cell>
          <cell r="F217">
            <v>0</v>
          </cell>
        </row>
        <row r="218">
          <cell r="A218" t="str">
            <v>2.10 우수종단관공</v>
          </cell>
          <cell r="E218">
            <v>0</v>
          </cell>
          <cell r="F218">
            <v>0</v>
          </cell>
        </row>
        <row r="219">
          <cell r="A219" t="str">
            <v>a.D=800MM</v>
          </cell>
          <cell r="C219">
            <v>1753</v>
          </cell>
          <cell r="D219" t="str">
            <v>M</v>
          </cell>
          <cell r="E219">
            <v>0</v>
          </cell>
          <cell r="F219">
            <v>0</v>
          </cell>
        </row>
        <row r="220">
          <cell r="A220" t="str">
            <v>2.11 맨홀공</v>
          </cell>
          <cell r="E220">
            <v>0</v>
          </cell>
          <cell r="F220">
            <v>0</v>
          </cell>
        </row>
        <row r="221">
          <cell r="A221" t="str">
            <v>a.콘크리트타설(소형)</v>
          </cell>
          <cell r="C221">
            <v>14</v>
          </cell>
          <cell r="D221" t="str">
            <v>M3</v>
          </cell>
          <cell r="E221">
            <v>0</v>
          </cell>
          <cell r="F221">
            <v>0</v>
          </cell>
        </row>
        <row r="222">
          <cell r="A222" t="str">
            <v>b.콘크리트타설(소형)</v>
          </cell>
          <cell r="C222">
            <v>112</v>
          </cell>
          <cell r="D222" t="str">
            <v>M3</v>
          </cell>
          <cell r="E222">
            <v>0</v>
          </cell>
          <cell r="F222">
            <v>0</v>
          </cell>
        </row>
        <row r="223">
          <cell r="A223" t="str">
            <v>c.거푸집</v>
          </cell>
          <cell r="C223">
            <v>651</v>
          </cell>
          <cell r="D223" t="str">
            <v>M2</v>
          </cell>
          <cell r="E223">
            <v>0</v>
          </cell>
          <cell r="F223">
            <v>0</v>
          </cell>
        </row>
        <row r="224">
          <cell r="A224" t="str">
            <v>d.철근가공조립</v>
          </cell>
          <cell r="C224">
            <v>13.993</v>
          </cell>
          <cell r="D224" t="str">
            <v>TON</v>
          </cell>
          <cell r="E224">
            <v>0</v>
          </cell>
          <cell r="F224">
            <v>0</v>
          </cell>
        </row>
        <row r="225">
          <cell r="A225" t="str">
            <v>e.몰  탈</v>
          </cell>
          <cell r="C225">
            <v>1</v>
          </cell>
          <cell r="D225" t="str">
            <v>M3</v>
          </cell>
          <cell r="E225">
            <v>0</v>
          </cell>
          <cell r="F225">
            <v>0</v>
          </cell>
        </row>
        <row r="226">
          <cell r="A226" t="str">
            <v>f.발디딤쇠(사다리)설치</v>
          </cell>
          <cell r="C226">
            <v>0.38900000000000001</v>
          </cell>
          <cell r="D226" t="str">
            <v>TON</v>
          </cell>
          <cell r="E226">
            <v>0</v>
          </cell>
          <cell r="F226">
            <v>0</v>
          </cell>
        </row>
        <row r="227">
          <cell r="A227" t="str">
            <v>g.맨홀뚜껑설치</v>
          </cell>
          <cell r="E227">
            <v>0</v>
          </cell>
          <cell r="F227">
            <v>0</v>
          </cell>
        </row>
        <row r="228">
          <cell r="A228" t="str">
            <v>g-1.차도측</v>
          </cell>
          <cell r="C228">
            <v>6</v>
          </cell>
          <cell r="D228" t="str">
            <v>EA</v>
          </cell>
          <cell r="E228">
            <v>0</v>
          </cell>
          <cell r="F228">
            <v>0</v>
          </cell>
        </row>
        <row r="229">
          <cell r="A229" t="str">
            <v>g-2.보도측</v>
          </cell>
          <cell r="C229">
            <v>32</v>
          </cell>
          <cell r="D229" t="str">
            <v>EA</v>
          </cell>
          <cell r="E229">
            <v>0</v>
          </cell>
          <cell r="F229">
            <v>0</v>
          </cell>
        </row>
        <row r="230">
          <cell r="A230" t="str">
            <v>2.12 우수받이공</v>
          </cell>
          <cell r="E230">
            <v>0</v>
          </cell>
          <cell r="F230">
            <v>0</v>
          </cell>
        </row>
        <row r="231">
          <cell r="A231" t="str">
            <v>a.우수받이공</v>
          </cell>
          <cell r="C231">
            <v>71</v>
          </cell>
          <cell r="D231" t="str">
            <v>EA</v>
          </cell>
          <cell r="E231">
            <v>0</v>
          </cell>
          <cell r="F231">
            <v>0</v>
          </cell>
        </row>
        <row r="232">
          <cell r="A232" t="str">
            <v>3.구  조  물  공</v>
          </cell>
          <cell r="E232">
            <v>0</v>
          </cell>
          <cell r="F232">
            <v>0</v>
          </cell>
        </row>
        <row r="233">
          <cell r="A233" t="str">
            <v>A.휴암교(R.C 라멘교)</v>
          </cell>
          <cell r="E233">
            <v>0</v>
          </cell>
          <cell r="F233">
            <v>0</v>
          </cell>
        </row>
        <row r="234">
          <cell r="A234" t="str">
            <v>3.01 구조물터파기</v>
          </cell>
          <cell r="E234">
            <v>0</v>
          </cell>
          <cell r="F234">
            <v>0</v>
          </cell>
        </row>
        <row r="235">
          <cell r="A235" t="str">
            <v>a.육상토사</v>
          </cell>
          <cell r="C235">
            <v>120</v>
          </cell>
          <cell r="D235" t="str">
            <v>M3</v>
          </cell>
          <cell r="E235">
            <v>0</v>
          </cell>
          <cell r="F235">
            <v>0</v>
          </cell>
        </row>
        <row r="236">
          <cell r="A236" t="str">
            <v>b.용수토 사</v>
          </cell>
          <cell r="E236">
            <v>0</v>
          </cell>
          <cell r="F236">
            <v>0</v>
          </cell>
        </row>
        <row r="237">
          <cell r="A237" t="str">
            <v>-1.용수토사</v>
          </cell>
          <cell r="C237">
            <v>3300</v>
          </cell>
          <cell r="D237" t="str">
            <v>M3</v>
          </cell>
          <cell r="E237">
            <v>0</v>
          </cell>
          <cell r="F237">
            <v>0</v>
          </cell>
        </row>
        <row r="238">
          <cell r="A238" t="str">
            <v>-2.용수토사</v>
          </cell>
          <cell r="C238">
            <v>340</v>
          </cell>
          <cell r="D238" t="str">
            <v>M3</v>
          </cell>
          <cell r="E238">
            <v>0</v>
          </cell>
          <cell r="F238">
            <v>0</v>
          </cell>
        </row>
        <row r="239">
          <cell r="A239" t="str">
            <v>c.용수풍화암</v>
          </cell>
          <cell r="E239">
            <v>0</v>
          </cell>
          <cell r="F239">
            <v>0</v>
          </cell>
        </row>
        <row r="240">
          <cell r="A240" t="str">
            <v>-1.용수풍화암</v>
          </cell>
          <cell r="C240">
            <v>280</v>
          </cell>
          <cell r="D240" t="str">
            <v>M3</v>
          </cell>
          <cell r="E240">
            <v>0</v>
          </cell>
          <cell r="F240">
            <v>0</v>
          </cell>
        </row>
        <row r="241">
          <cell r="A241" t="str">
            <v>-2.용수풍화암</v>
          </cell>
          <cell r="C241">
            <v>90</v>
          </cell>
          <cell r="D241" t="str">
            <v>M3</v>
          </cell>
          <cell r="E241">
            <v>0</v>
          </cell>
          <cell r="F241">
            <v>0</v>
          </cell>
        </row>
        <row r="242">
          <cell r="A242" t="str">
            <v>d.용수발파암</v>
          </cell>
          <cell r="C242">
            <v>70</v>
          </cell>
          <cell r="D242" t="str">
            <v>M3</v>
          </cell>
          <cell r="E242">
            <v>0</v>
          </cell>
          <cell r="F242">
            <v>0</v>
          </cell>
        </row>
        <row r="243">
          <cell r="A243" t="str">
            <v>3.02 되메우기(기계70%,인력30%)</v>
          </cell>
          <cell r="C243">
            <v>2740</v>
          </cell>
          <cell r="D243" t="str">
            <v>M3</v>
          </cell>
          <cell r="E243">
            <v>0</v>
          </cell>
          <cell r="F243">
            <v>0</v>
          </cell>
        </row>
        <row r="244">
          <cell r="A244" t="str">
            <v>3.03 뒷채움 및 다짐</v>
          </cell>
          <cell r="C244">
            <v>722</v>
          </cell>
          <cell r="D244" t="str">
            <v>M3</v>
          </cell>
          <cell r="E244">
            <v>0</v>
          </cell>
          <cell r="F244">
            <v>0</v>
          </cell>
        </row>
        <row r="245">
          <cell r="A245" t="str">
            <v>3.04 면정리및청소</v>
          </cell>
          <cell r="C245">
            <v>180</v>
          </cell>
          <cell r="D245" t="str">
            <v>M2</v>
          </cell>
          <cell r="E245">
            <v>0</v>
          </cell>
          <cell r="F245">
            <v>0</v>
          </cell>
        </row>
        <row r="246">
          <cell r="A246" t="str">
            <v>3.05 세굴방지용사석채움</v>
          </cell>
          <cell r="C246">
            <v>883</v>
          </cell>
          <cell r="D246" t="str">
            <v>M3</v>
          </cell>
          <cell r="E246">
            <v>0</v>
          </cell>
          <cell r="F246">
            <v>0</v>
          </cell>
        </row>
        <row r="247">
          <cell r="A247" t="str">
            <v>3.06 물 푸 기</v>
          </cell>
          <cell r="C247">
            <v>320</v>
          </cell>
          <cell r="D247" t="str">
            <v>Hr</v>
          </cell>
          <cell r="E247">
            <v>0</v>
          </cell>
          <cell r="F247">
            <v>0</v>
          </cell>
        </row>
        <row r="248">
          <cell r="A248" t="str">
            <v>3.07 석축쌓기</v>
          </cell>
          <cell r="E248">
            <v>0</v>
          </cell>
          <cell r="F248">
            <v>0</v>
          </cell>
        </row>
        <row r="249">
          <cell r="A249" t="str">
            <v>a.찰쌓기</v>
          </cell>
          <cell r="C249">
            <v>192</v>
          </cell>
          <cell r="D249" t="str">
            <v>M2</v>
          </cell>
          <cell r="E249">
            <v>0</v>
          </cell>
          <cell r="F249">
            <v>0</v>
          </cell>
        </row>
        <row r="250">
          <cell r="A250" t="str">
            <v>b.석축쌓기 기초</v>
          </cell>
          <cell r="C250">
            <v>45</v>
          </cell>
          <cell r="D250" t="str">
            <v>M</v>
          </cell>
          <cell r="E250">
            <v>0</v>
          </cell>
          <cell r="F250">
            <v>0</v>
          </cell>
        </row>
        <row r="251">
          <cell r="A251" t="str">
            <v>3.08 콘크리트 타설</v>
          </cell>
          <cell r="E251">
            <v>0</v>
          </cell>
          <cell r="F251">
            <v>0</v>
          </cell>
        </row>
        <row r="252">
          <cell r="A252" t="str">
            <v>a.무       근</v>
          </cell>
          <cell r="C252">
            <v>77</v>
          </cell>
          <cell r="D252" t="str">
            <v>M3</v>
          </cell>
          <cell r="E252">
            <v>0</v>
          </cell>
          <cell r="F252">
            <v>0</v>
          </cell>
        </row>
        <row r="253">
          <cell r="A253" t="str">
            <v>b.무       근</v>
          </cell>
          <cell r="C253">
            <v>439</v>
          </cell>
          <cell r="D253" t="str">
            <v>M3</v>
          </cell>
          <cell r="E253">
            <v>0</v>
          </cell>
          <cell r="F253">
            <v>0</v>
          </cell>
        </row>
        <row r="254">
          <cell r="A254" t="str">
            <v>c.펌프카타설</v>
          </cell>
          <cell r="C254">
            <v>1232</v>
          </cell>
          <cell r="D254" t="str">
            <v>M3</v>
          </cell>
          <cell r="E254">
            <v>0</v>
          </cell>
          <cell r="F254">
            <v>0</v>
          </cell>
        </row>
        <row r="255">
          <cell r="A255" t="str">
            <v>3.09 몰  탈</v>
          </cell>
          <cell r="C255">
            <v>1.89</v>
          </cell>
          <cell r="D255" t="str">
            <v>M3</v>
          </cell>
          <cell r="E255">
            <v>0</v>
          </cell>
          <cell r="F255">
            <v>0</v>
          </cell>
        </row>
        <row r="256">
          <cell r="A256" t="str">
            <v>3.10 PVC PIPE</v>
          </cell>
          <cell r="C256">
            <v>73</v>
          </cell>
          <cell r="D256" t="str">
            <v>M</v>
          </cell>
          <cell r="E256">
            <v>0</v>
          </cell>
          <cell r="F256">
            <v>0</v>
          </cell>
        </row>
        <row r="257">
          <cell r="A257" t="str">
            <v>3.11 거 푸 집 공</v>
          </cell>
          <cell r="E257">
            <v>0</v>
          </cell>
          <cell r="F257">
            <v>0</v>
          </cell>
        </row>
        <row r="258">
          <cell r="A258" t="str">
            <v>a.합 판 거 푸 집</v>
          </cell>
          <cell r="E258">
            <v>0</v>
          </cell>
          <cell r="F258">
            <v>0</v>
          </cell>
        </row>
        <row r="259">
          <cell r="A259" t="str">
            <v>-1.거푸집</v>
          </cell>
          <cell r="C259">
            <v>1277</v>
          </cell>
          <cell r="D259" t="str">
            <v>M2</v>
          </cell>
          <cell r="E259">
            <v>0</v>
          </cell>
          <cell r="F259">
            <v>0</v>
          </cell>
        </row>
        <row r="260">
          <cell r="A260" t="str">
            <v>-2.거푸집</v>
          </cell>
          <cell r="C260">
            <v>272</v>
          </cell>
          <cell r="D260" t="str">
            <v>M2</v>
          </cell>
          <cell r="E260">
            <v>0</v>
          </cell>
          <cell r="F260">
            <v>0</v>
          </cell>
        </row>
        <row r="261">
          <cell r="A261" t="str">
            <v>-3.거푸집</v>
          </cell>
          <cell r="C261">
            <v>332</v>
          </cell>
          <cell r="D261" t="str">
            <v>M2</v>
          </cell>
          <cell r="E261">
            <v>0</v>
          </cell>
          <cell r="F261">
            <v>0</v>
          </cell>
        </row>
        <row r="262">
          <cell r="A262" t="str">
            <v>b.원형거푸집</v>
          </cell>
          <cell r="C262">
            <v>69</v>
          </cell>
          <cell r="D262" t="str">
            <v>M2</v>
          </cell>
          <cell r="E262">
            <v>0</v>
          </cell>
          <cell r="F262">
            <v>0</v>
          </cell>
        </row>
        <row r="263">
          <cell r="A263" t="str">
            <v>3.12 동바리</v>
          </cell>
          <cell r="E263">
            <v>0</v>
          </cell>
          <cell r="F263">
            <v>0</v>
          </cell>
        </row>
        <row r="264">
          <cell r="A264" t="str">
            <v>a.동바리</v>
          </cell>
          <cell r="C264">
            <v>2630</v>
          </cell>
          <cell r="D264" t="str">
            <v>공/M3</v>
          </cell>
          <cell r="E264">
            <v>0</v>
          </cell>
          <cell r="F264">
            <v>0</v>
          </cell>
        </row>
        <row r="265">
          <cell r="A265" t="str">
            <v>b.수평연결재</v>
          </cell>
          <cell r="C265">
            <v>580</v>
          </cell>
          <cell r="D265" t="str">
            <v>M2</v>
          </cell>
          <cell r="E265">
            <v>0</v>
          </cell>
          <cell r="F265">
            <v>0</v>
          </cell>
        </row>
        <row r="266">
          <cell r="A266" t="str">
            <v>3.13 비계</v>
          </cell>
          <cell r="C266">
            <v>330</v>
          </cell>
          <cell r="D266" t="str">
            <v>M2</v>
          </cell>
          <cell r="E266">
            <v>0</v>
          </cell>
          <cell r="F266">
            <v>0</v>
          </cell>
        </row>
        <row r="267">
          <cell r="A267" t="str">
            <v>3.14 모따기</v>
          </cell>
          <cell r="C267">
            <v>75</v>
          </cell>
          <cell r="D267" t="str">
            <v>M</v>
          </cell>
          <cell r="E267">
            <v>0</v>
          </cell>
          <cell r="F267">
            <v>0</v>
          </cell>
        </row>
        <row r="268">
          <cell r="A268" t="str">
            <v>3.15 교명주(화강석)</v>
          </cell>
          <cell r="C268">
            <v>2</v>
          </cell>
          <cell r="D268" t="str">
            <v>EA</v>
          </cell>
          <cell r="E268">
            <v>0</v>
          </cell>
          <cell r="F268">
            <v>0</v>
          </cell>
        </row>
        <row r="269">
          <cell r="A269" t="str">
            <v>3.16 교명판및설명판</v>
          </cell>
          <cell r="E269">
            <v>0</v>
          </cell>
          <cell r="F269">
            <v>0</v>
          </cell>
        </row>
        <row r="270">
          <cell r="A270" t="str">
            <v>a.교명판</v>
          </cell>
          <cell r="C270">
            <v>2</v>
          </cell>
          <cell r="D270" t="str">
            <v>EA</v>
          </cell>
          <cell r="E270">
            <v>0</v>
          </cell>
          <cell r="F270">
            <v>0</v>
          </cell>
        </row>
        <row r="271">
          <cell r="A271" t="str">
            <v>b.설명판</v>
          </cell>
          <cell r="C271">
            <v>2</v>
          </cell>
          <cell r="D271" t="str">
            <v>EA</v>
          </cell>
          <cell r="E271">
            <v>0</v>
          </cell>
          <cell r="F271">
            <v>0</v>
          </cell>
        </row>
        <row r="272">
          <cell r="A272" t="str">
            <v>3.17 표 면 처 리</v>
          </cell>
          <cell r="E272">
            <v>0</v>
          </cell>
          <cell r="F272">
            <v>0</v>
          </cell>
        </row>
        <row r="273">
          <cell r="A273" t="str">
            <v>a.슬라브 양생</v>
          </cell>
          <cell r="C273">
            <v>445</v>
          </cell>
          <cell r="D273" t="str">
            <v>M2</v>
          </cell>
          <cell r="E273">
            <v>0</v>
          </cell>
          <cell r="F273">
            <v>0</v>
          </cell>
        </row>
        <row r="274">
          <cell r="A274" t="str">
            <v>b.데크휘니샤 면고르기</v>
          </cell>
          <cell r="C274">
            <v>445</v>
          </cell>
          <cell r="D274" t="str">
            <v>M2</v>
          </cell>
          <cell r="E274">
            <v>0</v>
          </cell>
          <cell r="F274">
            <v>0</v>
          </cell>
        </row>
        <row r="275">
          <cell r="A275" t="str">
            <v>3.18 교 면 방 수</v>
          </cell>
          <cell r="C275">
            <v>445</v>
          </cell>
          <cell r="D275" t="str">
            <v>M2</v>
          </cell>
          <cell r="E275">
            <v>0</v>
          </cell>
          <cell r="F275">
            <v>0</v>
          </cell>
        </row>
        <row r="276">
          <cell r="A276" t="str">
            <v>3.19 배면방수</v>
          </cell>
          <cell r="C276">
            <v>166</v>
          </cell>
          <cell r="D276" t="str">
            <v>M2</v>
          </cell>
          <cell r="E276">
            <v>0</v>
          </cell>
          <cell r="F276">
            <v>0</v>
          </cell>
        </row>
        <row r="277">
          <cell r="A277" t="str">
            <v>3.20 전선관부설</v>
          </cell>
          <cell r="C277">
            <v>62</v>
          </cell>
          <cell r="D277" t="str">
            <v>M</v>
          </cell>
          <cell r="E277">
            <v>0</v>
          </cell>
          <cell r="F277">
            <v>0</v>
          </cell>
        </row>
        <row r="278">
          <cell r="A278" t="str">
            <v>3.21 T.B.M 설치</v>
          </cell>
          <cell r="C278">
            <v>1</v>
          </cell>
          <cell r="D278" t="str">
            <v>EA</v>
          </cell>
          <cell r="E278">
            <v>0</v>
          </cell>
          <cell r="F278">
            <v>0</v>
          </cell>
        </row>
        <row r="279">
          <cell r="A279" t="str">
            <v>3.22 스페이서 설치</v>
          </cell>
          <cell r="E279">
            <v>0</v>
          </cell>
          <cell r="F279">
            <v>0</v>
          </cell>
        </row>
        <row r="280">
          <cell r="A280" t="str">
            <v>a.스페이서 설치</v>
          </cell>
          <cell r="C280">
            <v>986</v>
          </cell>
          <cell r="D280" t="str">
            <v>M2</v>
          </cell>
          <cell r="E280">
            <v>0</v>
          </cell>
          <cell r="F280">
            <v>0</v>
          </cell>
        </row>
        <row r="281">
          <cell r="A281" t="str">
            <v>b.스페이서 설치</v>
          </cell>
          <cell r="C281">
            <v>531</v>
          </cell>
          <cell r="D281" t="str">
            <v>M2</v>
          </cell>
          <cell r="E281">
            <v>0</v>
          </cell>
          <cell r="F281">
            <v>0</v>
          </cell>
        </row>
        <row r="282">
          <cell r="A282" t="str">
            <v>3.23 철근가공 및 조립</v>
          </cell>
          <cell r="E282">
            <v>0</v>
          </cell>
          <cell r="F282">
            <v>0</v>
          </cell>
        </row>
        <row r="283">
          <cell r="A283" t="str">
            <v>a.보       통</v>
          </cell>
          <cell r="C283">
            <v>17.899000000000001</v>
          </cell>
          <cell r="D283" t="str">
            <v>TON</v>
          </cell>
          <cell r="E283">
            <v>0</v>
          </cell>
          <cell r="F283">
            <v>0</v>
          </cell>
        </row>
        <row r="284">
          <cell r="A284" t="str">
            <v>b.복       잡</v>
          </cell>
          <cell r="C284">
            <v>158.209</v>
          </cell>
          <cell r="D284" t="str">
            <v>TON</v>
          </cell>
          <cell r="E284">
            <v>0</v>
          </cell>
          <cell r="F284">
            <v>0</v>
          </cell>
        </row>
        <row r="285">
          <cell r="A285" t="str">
            <v>3.24 배 수 시 설 공</v>
          </cell>
          <cell r="E285">
            <v>0</v>
          </cell>
          <cell r="F285">
            <v>0</v>
          </cell>
        </row>
        <row r="286">
          <cell r="A286" t="str">
            <v>a.교량배수물빼기공</v>
          </cell>
          <cell r="C286">
            <v>59</v>
          </cell>
          <cell r="D286" t="str">
            <v>M</v>
          </cell>
          <cell r="E286">
            <v>0</v>
          </cell>
          <cell r="F286">
            <v>0</v>
          </cell>
        </row>
        <row r="287">
          <cell r="A287" t="str">
            <v>b.하층줄눈(성형)</v>
          </cell>
          <cell r="C287">
            <v>59</v>
          </cell>
          <cell r="D287" t="str">
            <v>M</v>
          </cell>
          <cell r="E287">
            <v>0</v>
          </cell>
          <cell r="F287">
            <v>0</v>
          </cell>
        </row>
        <row r="288">
          <cell r="A288" t="str">
            <v>c.상층줄눈(주입)</v>
          </cell>
          <cell r="C288">
            <v>59</v>
          </cell>
          <cell r="D288" t="str">
            <v>M</v>
          </cell>
          <cell r="E288">
            <v>0</v>
          </cell>
          <cell r="F288">
            <v>0</v>
          </cell>
        </row>
        <row r="289">
          <cell r="A289" t="str">
            <v>d.표면처리(방수)</v>
          </cell>
          <cell r="C289">
            <v>12</v>
          </cell>
          <cell r="D289" t="str">
            <v>M2</v>
          </cell>
          <cell r="E289">
            <v>0</v>
          </cell>
          <cell r="F289">
            <v>0</v>
          </cell>
        </row>
        <row r="290">
          <cell r="A290" t="str">
            <v>e.집수구(스턴레스)</v>
          </cell>
          <cell r="C290">
            <v>6</v>
          </cell>
          <cell r="D290" t="str">
            <v>EA</v>
          </cell>
          <cell r="E290">
            <v>0</v>
          </cell>
          <cell r="F290">
            <v>0</v>
          </cell>
        </row>
        <row r="291">
          <cell r="A291" t="str">
            <v>f.교량배수용강관(하천용)</v>
          </cell>
          <cell r="C291">
            <v>7</v>
          </cell>
          <cell r="D291" t="str">
            <v>M</v>
          </cell>
          <cell r="E291">
            <v>0</v>
          </cell>
          <cell r="F291">
            <v>0</v>
          </cell>
        </row>
        <row r="292">
          <cell r="A292" t="str">
            <v>g.이음부(스텐레스)</v>
          </cell>
          <cell r="C292">
            <v>6</v>
          </cell>
          <cell r="D292" t="str">
            <v>EA</v>
          </cell>
          <cell r="E292">
            <v>0</v>
          </cell>
          <cell r="F292">
            <v>0</v>
          </cell>
        </row>
        <row r="293">
          <cell r="A293" t="str">
            <v>3.25 DOWEL BAR 설치</v>
          </cell>
          <cell r="C293">
            <v>96</v>
          </cell>
          <cell r="D293" t="str">
            <v>개소</v>
          </cell>
          <cell r="E293">
            <v>0</v>
          </cell>
          <cell r="F293">
            <v>0</v>
          </cell>
        </row>
        <row r="294">
          <cell r="A294" t="str">
            <v>3.26 스치로폴</v>
          </cell>
          <cell r="E294">
            <v>0</v>
          </cell>
          <cell r="F294">
            <v>0</v>
          </cell>
        </row>
        <row r="295">
          <cell r="A295" t="str">
            <v>a.스치로폴</v>
          </cell>
          <cell r="C295">
            <v>77</v>
          </cell>
          <cell r="D295" t="str">
            <v>M2</v>
          </cell>
          <cell r="E295">
            <v>0</v>
          </cell>
          <cell r="F295">
            <v>0</v>
          </cell>
        </row>
        <row r="296">
          <cell r="A296" t="str">
            <v>3.27 방호책난간</v>
          </cell>
          <cell r="C296">
            <v>30</v>
          </cell>
          <cell r="D296" t="str">
            <v>M</v>
          </cell>
          <cell r="E296">
            <v>0</v>
          </cell>
          <cell r="F296">
            <v>0</v>
          </cell>
        </row>
        <row r="297">
          <cell r="A297" t="str">
            <v>3.28 강관파일</v>
          </cell>
          <cell r="E297">
            <v>0</v>
          </cell>
          <cell r="F297">
            <v>0</v>
          </cell>
        </row>
        <row r="298">
          <cell r="A298" t="str">
            <v>a.자재비 (R=508 M/M,T=12 M/M)</v>
          </cell>
          <cell r="C298">
            <v>221</v>
          </cell>
          <cell r="D298" t="str">
            <v>M</v>
          </cell>
          <cell r="E298">
            <v>0</v>
          </cell>
          <cell r="F298">
            <v>0</v>
          </cell>
        </row>
        <row r="299">
          <cell r="A299" t="str">
            <v>b.S.I.P</v>
          </cell>
          <cell r="C299">
            <v>221</v>
          </cell>
          <cell r="D299" t="str">
            <v>M</v>
          </cell>
          <cell r="E299">
            <v>0</v>
          </cell>
          <cell r="F299">
            <v>0</v>
          </cell>
        </row>
        <row r="300">
          <cell r="A300" t="str">
            <v>c.두부보강 (볼트식)</v>
          </cell>
          <cell r="C300">
            <v>42</v>
          </cell>
          <cell r="D300" t="str">
            <v>개소</v>
          </cell>
          <cell r="E300">
            <v>0</v>
          </cell>
          <cell r="F300">
            <v>0</v>
          </cell>
        </row>
        <row r="301">
          <cell r="A301" t="str">
            <v>d.선단 보강</v>
          </cell>
          <cell r="C301">
            <v>42</v>
          </cell>
          <cell r="D301" t="str">
            <v>개소</v>
          </cell>
          <cell r="E301">
            <v>0</v>
          </cell>
          <cell r="F301">
            <v>0</v>
          </cell>
        </row>
        <row r="302">
          <cell r="A302" t="str">
            <v>3.29 부직포</v>
          </cell>
          <cell r="C302">
            <v>126</v>
          </cell>
          <cell r="D302" t="str">
            <v>M2</v>
          </cell>
          <cell r="E302">
            <v>0</v>
          </cell>
          <cell r="F302">
            <v>0</v>
          </cell>
        </row>
        <row r="303">
          <cell r="A303" t="str">
            <v>3.30 가시설공</v>
          </cell>
          <cell r="E303">
            <v>0</v>
          </cell>
          <cell r="F303">
            <v>0</v>
          </cell>
        </row>
        <row r="304">
          <cell r="A304" t="str">
            <v>a.토  사천공(φ16" 3 WING BIT)</v>
          </cell>
          <cell r="C304">
            <v>789</v>
          </cell>
          <cell r="D304" t="str">
            <v>M</v>
          </cell>
          <cell r="E304">
            <v>0</v>
          </cell>
          <cell r="F304">
            <v>0</v>
          </cell>
        </row>
        <row r="305">
          <cell r="A305" t="str">
            <v>b.풍화암천공(φ16" 3 WING BIT)</v>
          </cell>
          <cell r="C305">
            <v>117</v>
          </cell>
          <cell r="D305" t="str">
            <v>M</v>
          </cell>
          <cell r="E305">
            <v>0</v>
          </cell>
          <cell r="F305">
            <v>0</v>
          </cell>
        </row>
        <row r="306">
          <cell r="A306" t="str">
            <v>c.경암천공(T-4)</v>
          </cell>
          <cell r="C306">
            <v>489</v>
          </cell>
          <cell r="D306" t="str">
            <v>M</v>
          </cell>
          <cell r="E306">
            <v>0</v>
          </cell>
          <cell r="F306">
            <v>0</v>
          </cell>
        </row>
        <row r="307">
          <cell r="A307" t="str">
            <v>d.SHEET PILE항타및항발</v>
          </cell>
          <cell r="C307">
            <v>1396</v>
          </cell>
          <cell r="D307" t="str">
            <v>M</v>
          </cell>
          <cell r="E307">
            <v>0</v>
          </cell>
          <cell r="F307">
            <v>0</v>
          </cell>
        </row>
        <row r="308">
          <cell r="A308" t="str">
            <v>e.버팀보 제작</v>
          </cell>
          <cell r="C308">
            <v>16</v>
          </cell>
          <cell r="D308" t="str">
            <v>본</v>
          </cell>
          <cell r="E308">
            <v>0</v>
          </cell>
          <cell r="F308">
            <v>0</v>
          </cell>
        </row>
        <row r="309">
          <cell r="A309" t="str">
            <v>f.버팀보 설치 (6∼8m)</v>
          </cell>
          <cell r="C309">
            <v>16</v>
          </cell>
          <cell r="D309" t="str">
            <v>EA</v>
          </cell>
          <cell r="E309">
            <v>0</v>
          </cell>
          <cell r="F309">
            <v>0</v>
          </cell>
        </row>
        <row r="310">
          <cell r="A310" t="str">
            <v>g.버팀보 철거 (6∼8m)</v>
          </cell>
          <cell r="C310">
            <v>16</v>
          </cell>
          <cell r="D310" t="str">
            <v>EA</v>
          </cell>
          <cell r="E310">
            <v>0</v>
          </cell>
          <cell r="F310">
            <v>0</v>
          </cell>
        </row>
        <row r="311">
          <cell r="A311" t="str">
            <v>h.CORNER STRUT제작</v>
          </cell>
          <cell r="C311">
            <v>8</v>
          </cell>
          <cell r="D311" t="str">
            <v>EA</v>
          </cell>
          <cell r="E311">
            <v>0</v>
          </cell>
          <cell r="F311">
            <v>0</v>
          </cell>
        </row>
        <row r="312">
          <cell r="A312" t="str">
            <v>i.CORNER STRUT 설치 (6∼8m)</v>
          </cell>
          <cell r="C312">
            <v>8</v>
          </cell>
          <cell r="D312" t="str">
            <v>EA</v>
          </cell>
          <cell r="E312">
            <v>0</v>
          </cell>
          <cell r="F312">
            <v>0</v>
          </cell>
        </row>
        <row r="313">
          <cell r="A313" t="str">
            <v>j.CORNER STRUT 철거 (6∼8m)</v>
          </cell>
          <cell r="C313">
            <v>8</v>
          </cell>
          <cell r="D313" t="str">
            <v>EA</v>
          </cell>
          <cell r="E313">
            <v>0</v>
          </cell>
          <cell r="F313">
            <v>0</v>
          </cell>
        </row>
        <row r="314">
          <cell r="A314" t="str">
            <v>k.JACK 설치해체</v>
          </cell>
          <cell r="C314">
            <v>24</v>
          </cell>
          <cell r="D314" t="str">
            <v>개소</v>
          </cell>
          <cell r="E314">
            <v>0</v>
          </cell>
          <cell r="F314">
            <v>0</v>
          </cell>
        </row>
        <row r="315">
          <cell r="A315" t="str">
            <v>l.보걸이설치</v>
          </cell>
          <cell r="C315">
            <v>118</v>
          </cell>
          <cell r="D315" t="str">
            <v>EA</v>
          </cell>
          <cell r="E315">
            <v>0</v>
          </cell>
          <cell r="F315">
            <v>0</v>
          </cell>
        </row>
        <row r="316">
          <cell r="A316" t="str">
            <v>m.보걸이철거</v>
          </cell>
          <cell r="C316">
            <v>118</v>
          </cell>
          <cell r="D316" t="str">
            <v>EA</v>
          </cell>
          <cell r="E316">
            <v>0</v>
          </cell>
          <cell r="F316">
            <v>0</v>
          </cell>
        </row>
        <row r="317">
          <cell r="A317" t="str">
            <v>n.띠장설치</v>
          </cell>
          <cell r="C317">
            <v>220</v>
          </cell>
          <cell r="D317" t="str">
            <v>M</v>
          </cell>
          <cell r="E317">
            <v>0</v>
          </cell>
          <cell r="F317">
            <v>0</v>
          </cell>
        </row>
        <row r="318">
          <cell r="A318" t="str">
            <v>o.띠장철거</v>
          </cell>
          <cell r="C318">
            <v>220</v>
          </cell>
          <cell r="D318" t="str">
            <v>M</v>
          </cell>
          <cell r="E318">
            <v>0</v>
          </cell>
          <cell r="F318">
            <v>0</v>
          </cell>
        </row>
        <row r="319">
          <cell r="A319" t="str">
            <v>p.띠장연결</v>
          </cell>
          <cell r="C319">
            <v>5</v>
          </cell>
          <cell r="D319" t="str">
            <v>EA</v>
          </cell>
          <cell r="E319">
            <v>0</v>
          </cell>
          <cell r="F319">
            <v>0</v>
          </cell>
        </row>
        <row r="320">
          <cell r="A320" t="str">
            <v>q.BRACING BEAM 설치 (15∼18m)</v>
          </cell>
          <cell r="C320">
            <v>2</v>
          </cell>
          <cell r="D320" t="str">
            <v>EA</v>
          </cell>
          <cell r="E320">
            <v>0</v>
          </cell>
          <cell r="F320">
            <v>0</v>
          </cell>
        </row>
        <row r="321">
          <cell r="A321" t="str">
            <v>r.BRACING BEAM 철거 (15∼18m)</v>
          </cell>
          <cell r="C321">
            <v>2</v>
          </cell>
          <cell r="D321" t="str">
            <v>EA</v>
          </cell>
          <cell r="E321">
            <v>0</v>
          </cell>
          <cell r="F321">
            <v>0</v>
          </cell>
        </row>
        <row r="322">
          <cell r="A322" t="str">
            <v>s.L형강설치</v>
          </cell>
          <cell r="C322">
            <v>8</v>
          </cell>
          <cell r="D322" t="str">
            <v>M</v>
          </cell>
          <cell r="E322">
            <v>0</v>
          </cell>
          <cell r="F322">
            <v>0</v>
          </cell>
        </row>
        <row r="323">
          <cell r="A323" t="str">
            <v>t.L형강철거</v>
          </cell>
          <cell r="C323">
            <v>8</v>
          </cell>
          <cell r="D323" t="str">
            <v>M</v>
          </cell>
          <cell r="E323">
            <v>0</v>
          </cell>
          <cell r="F323">
            <v>0</v>
          </cell>
        </row>
        <row r="324">
          <cell r="A324" t="str">
            <v>u.어스앙카공</v>
          </cell>
          <cell r="C324">
            <v>48</v>
          </cell>
          <cell r="D324" t="str">
            <v>EA</v>
          </cell>
          <cell r="E324">
            <v>0</v>
          </cell>
          <cell r="F324">
            <v>0</v>
          </cell>
        </row>
        <row r="325">
          <cell r="A325" t="str">
            <v>v.구조용H형강</v>
          </cell>
          <cell r="C325">
            <v>37.283999999999999</v>
          </cell>
          <cell r="D325" t="str">
            <v>TON</v>
          </cell>
          <cell r="E325">
            <v>0</v>
          </cell>
          <cell r="F325">
            <v>0</v>
          </cell>
        </row>
        <row r="326">
          <cell r="A326" t="str">
            <v>w.구조용H형강</v>
          </cell>
          <cell r="C326">
            <v>2.08</v>
          </cell>
          <cell r="D326" t="str">
            <v>TON</v>
          </cell>
          <cell r="E326">
            <v>0</v>
          </cell>
          <cell r="F326">
            <v>0</v>
          </cell>
        </row>
        <row r="327">
          <cell r="A327" t="str">
            <v>x.강널말뚝</v>
          </cell>
          <cell r="C327">
            <v>100.652</v>
          </cell>
          <cell r="D327" t="str">
            <v>TON</v>
          </cell>
          <cell r="E327">
            <v>0</v>
          </cell>
          <cell r="F327">
            <v>0</v>
          </cell>
        </row>
        <row r="328">
          <cell r="A328" t="str">
            <v>y.강재 및 형강운반비</v>
          </cell>
          <cell r="C328">
            <v>140.23699999999999</v>
          </cell>
          <cell r="D328" t="str">
            <v>TON</v>
          </cell>
          <cell r="E328">
            <v>0</v>
          </cell>
          <cell r="F328">
            <v>0</v>
          </cell>
        </row>
        <row r="329">
          <cell r="A329" t="str">
            <v>3.31 휴암교 철거</v>
          </cell>
          <cell r="C329">
            <v>1</v>
          </cell>
          <cell r="D329" t="str">
            <v>식</v>
          </cell>
          <cell r="E329">
            <v>0</v>
          </cell>
          <cell r="F329">
            <v>0</v>
          </cell>
        </row>
        <row r="330">
          <cell r="A330" t="str">
            <v>B.산수1교(S.T.BOX교)</v>
          </cell>
          <cell r="E330">
            <v>0</v>
          </cell>
          <cell r="F330">
            <v>0</v>
          </cell>
        </row>
        <row r="331">
          <cell r="A331" t="str">
            <v>3.01 터 파 기</v>
          </cell>
          <cell r="E331">
            <v>0</v>
          </cell>
          <cell r="F331">
            <v>0</v>
          </cell>
        </row>
        <row r="332">
          <cell r="A332" t="str">
            <v>a.육상토사</v>
          </cell>
          <cell r="C332">
            <v>480</v>
          </cell>
          <cell r="D332" t="str">
            <v>M3</v>
          </cell>
          <cell r="E332">
            <v>0</v>
          </cell>
          <cell r="F332">
            <v>0</v>
          </cell>
        </row>
        <row r="333">
          <cell r="A333" t="str">
            <v>b.육상풍화암</v>
          </cell>
          <cell r="C333">
            <v>1050</v>
          </cell>
          <cell r="D333" t="str">
            <v>M3</v>
          </cell>
          <cell r="E333">
            <v>0</v>
          </cell>
          <cell r="F333">
            <v>0</v>
          </cell>
        </row>
        <row r="334">
          <cell r="A334" t="str">
            <v>c.용수토사</v>
          </cell>
          <cell r="E334">
            <v>0</v>
          </cell>
          <cell r="F334">
            <v>0</v>
          </cell>
        </row>
        <row r="335">
          <cell r="A335" t="str">
            <v>-1.용수토사</v>
          </cell>
          <cell r="C335">
            <v>4120</v>
          </cell>
          <cell r="D335" t="str">
            <v>M3</v>
          </cell>
          <cell r="E335">
            <v>0</v>
          </cell>
          <cell r="F335">
            <v>0</v>
          </cell>
        </row>
        <row r="336">
          <cell r="A336" t="str">
            <v>-2.용수토사</v>
          </cell>
          <cell r="C336">
            <v>4530</v>
          </cell>
          <cell r="D336" t="str">
            <v>M3</v>
          </cell>
          <cell r="E336">
            <v>0</v>
          </cell>
          <cell r="F336">
            <v>0</v>
          </cell>
        </row>
        <row r="337">
          <cell r="A337" t="str">
            <v>d.용수풍화암</v>
          </cell>
          <cell r="E337">
            <v>0</v>
          </cell>
          <cell r="F337">
            <v>0</v>
          </cell>
        </row>
        <row r="338">
          <cell r="A338" t="str">
            <v>-1.용수풍화암</v>
          </cell>
          <cell r="C338">
            <v>130</v>
          </cell>
          <cell r="D338" t="str">
            <v>M3</v>
          </cell>
          <cell r="E338">
            <v>0</v>
          </cell>
          <cell r="F338">
            <v>0</v>
          </cell>
        </row>
        <row r="339">
          <cell r="A339" t="str">
            <v>e.용수발파암</v>
          </cell>
          <cell r="E339">
            <v>0</v>
          </cell>
          <cell r="F339">
            <v>0</v>
          </cell>
        </row>
        <row r="340">
          <cell r="A340" t="str">
            <v>-1.용수발파암</v>
          </cell>
          <cell r="C340">
            <v>2960</v>
          </cell>
          <cell r="D340" t="str">
            <v>㎥</v>
          </cell>
          <cell r="E340">
            <v>0</v>
          </cell>
          <cell r="F340">
            <v>0</v>
          </cell>
        </row>
        <row r="341">
          <cell r="A341" t="str">
            <v>3.02 되메우기(기계70%,인력30%)</v>
          </cell>
          <cell r="C341">
            <v>880</v>
          </cell>
          <cell r="D341" t="str">
            <v>M3</v>
          </cell>
          <cell r="E341">
            <v>0</v>
          </cell>
          <cell r="F341">
            <v>0</v>
          </cell>
        </row>
        <row r="342">
          <cell r="A342" t="str">
            <v>3.03 뒷채움 및 다짐</v>
          </cell>
          <cell r="C342">
            <v>840</v>
          </cell>
          <cell r="D342" t="str">
            <v>M3</v>
          </cell>
          <cell r="E342">
            <v>0</v>
          </cell>
          <cell r="F342">
            <v>0</v>
          </cell>
        </row>
        <row r="343">
          <cell r="A343" t="str">
            <v>3.04 면정리및청소</v>
          </cell>
          <cell r="C343">
            <v>1032</v>
          </cell>
          <cell r="D343" t="str">
            <v>M2</v>
          </cell>
          <cell r="E343">
            <v>0</v>
          </cell>
          <cell r="F343">
            <v>0</v>
          </cell>
        </row>
        <row r="344">
          <cell r="A344" t="str">
            <v>3.05 앞 성 토</v>
          </cell>
          <cell r="C344">
            <v>2132</v>
          </cell>
          <cell r="D344" t="str">
            <v>M3</v>
          </cell>
          <cell r="E344">
            <v>0</v>
          </cell>
          <cell r="F344">
            <v>0</v>
          </cell>
        </row>
        <row r="345">
          <cell r="A345" t="str">
            <v>3.06 세굴방지용사석채움</v>
          </cell>
          <cell r="C345">
            <v>2950</v>
          </cell>
          <cell r="D345" t="str">
            <v>M3</v>
          </cell>
          <cell r="E345">
            <v>0</v>
          </cell>
          <cell r="F345">
            <v>0</v>
          </cell>
        </row>
        <row r="346">
          <cell r="A346" t="str">
            <v>3.07 물 푸 기</v>
          </cell>
          <cell r="C346">
            <v>2770</v>
          </cell>
          <cell r="D346" t="str">
            <v>Hr</v>
          </cell>
          <cell r="E346">
            <v>0</v>
          </cell>
          <cell r="F346">
            <v>0</v>
          </cell>
        </row>
        <row r="347">
          <cell r="A347" t="str">
            <v>3.08 콘크리트 타설</v>
          </cell>
          <cell r="E347">
            <v>0</v>
          </cell>
          <cell r="F347">
            <v>0</v>
          </cell>
        </row>
        <row r="348">
          <cell r="A348" t="str">
            <v>a.철       근</v>
          </cell>
          <cell r="C348">
            <v>349</v>
          </cell>
          <cell r="D348" t="str">
            <v>M3</v>
          </cell>
          <cell r="E348">
            <v>0</v>
          </cell>
          <cell r="F348">
            <v>0</v>
          </cell>
        </row>
        <row r="349">
          <cell r="A349" t="str">
            <v>b.무       근</v>
          </cell>
          <cell r="C349">
            <v>116</v>
          </cell>
          <cell r="D349" t="str">
            <v>M3</v>
          </cell>
          <cell r="E349">
            <v>0</v>
          </cell>
          <cell r="F349">
            <v>0</v>
          </cell>
        </row>
        <row r="350">
          <cell r="A350" t="str">
            <v>c.무       근</v>
          </cell>
          <cell r="C350">
            <v>362</v>
          </cell>
          <cell r="D350" t="str">
            <v>M3</v>
          </cell>
          <cell r="E350">
            <v>0</v>
          </cell>
          <cell r="F350">
            <v>0</v>
          </cell>
        </row>
        <row r="351">
          <cell r="A351" t="str">
            <v>d.펌프카타설</v>
          </cell>
          <cell r="C351">
            <v>5637</v>
          </cell>
          <cell r="D351" t="str">
            <v>M3</v>
          </cell>
          <cell r="E351">
            <v>0</v>
          </cell>
          <cell r="F351">
            <v>0</v>
          </cell>
        </row>
        <row r="352">
          <cell r="A352" t="str">
            <v>e.펌프카타설</v>
          </cell>
          <cell r="C352">
            <v>719</v>
          </cell>
          <cell r="D352" t="str">
            <v>M3</v>
          </cell>
          <cell r="E352">
            <v>0</v>
          </cell>
          <cell r="F352">
            <v>0</v>
          </cell>
        </row>
        <row r="353">
          <cell r="A353" t="str">
            <v>3.09 무수축 콘크리트</v>
          </cell>
          <cell r="C353">
            <v>10.055999999999999</v>
          </cell>
          <cell r="D353" t="str">
            <v>M3</v>
          </cell>
          <cell r="E353">
            <v>0</v>
          </cell>
          <cell r="F353">
            <v>0</v>
          </cell>
        </row>
        <row r="354">
          <cell r="A354" t="str">
            <v>3.10 무수축 몰탈</v>
          </cell>
          <cell r="C354">
            <v>2.3159999999999998</v>
          </cell>
          <cell r="D354" t="str">
            <v>M3</v>
          </cell>
          <cell r="E354">
            <v>0</v>
          </cell>
          <cell r="F354">
            <v>0</v>
          </cell>
        </row>
        <row r="355">
          <cell r="A355" t="str">
            <v>3.11 거푸집공</v>
          </cell>
          <cell r="E355">
            <v>0</v>
          </cell>
          <cell r="F355">
            <v>0</v>
          </cell>
        </row>
        <row r="356">
          <cell r="A356" t="str">
            <v>a.합 판 거 푸 집</v>
          </cell>
          <cell r="E356">
            <v>0</v>
          </cell>
          <cell r="F356">
            <v>0</v>
          </cell>
        </row>
        <row r="357">
          <cell r="A357" t="str">
            <v>-1.거푸집</v>
          </cell>
          <cell r="C357">
            <v>5959</v>
          </cell>
          <cell r="D357" t="str">
            <v>M2</v>
          </cell>
          <cell r="E357">
            <v>0</v>
          </cell>
          <cell r="F357">
            <v>0</v>
          </cell>
        </row>
        <row r="358">
          <cell r="A358" t="str">
            <v>-2.거푸집</v>
          </cell>
          <cell r="C358">
            <v>46</v>
          </cell>
          <cell r="D358" t="str">
            <v>M2</v>
          </cell>
          <cell r="E358">
            <v>0</v>
          </cell>
          <cell r="F358">
            <v>0</v>
          </cell>
        </row>
        <row r="359">
          <cell r="A359" t="str">
            <v>-3.거푸집</v>
          </cell>
          <cell r="C359">
            <v>123</v>
          </cell>
          <cell r="D359" t="str">
            <v>M2</v>
          </cell>
          <cell r="E359">
            <v>0</v>
          </cell>
          <cell r="F359">
            <v>0</v>
          </cell>
        </row>
        <row r="360">
          <cell r="A360" t="str">
            <v>-4.거푸집</v>
          </cell>
          <cell r="C360">
            <v>142</v>
          </cell>
          <cell r="D360" t="str">
            <v>M2</v>
          </cell>
          <cell r="E360">
            <v>0</v>
          </cell>
          <cell r="F360">
            <v>0</v>
          </cell>
        </row>
        <row r="361">
          <cell r="A361" t="str">
            <v>-5.거푸집</v>
          </cell>
          <cell r="C361">
            <v>284</v>
          </cell>
          <cell r="D361" t="str">
            <v>M2</v>
          </cell>
          <cell r="E361">
            <v>0</v>
          </cell>
          <cell r="F361">
            <v>0</v>
          </cell>
        </row>
        <row r="362">
          <cell r="A362" t="str">
            <v>-6.거푸집</v>
          </cell>
          <cell r="C362">
            <v>17</v>
          </cell>
          <cell r="D362" t="str">
            <v>M2</v>
          </cell>
          <cell r="E362">
            <v>0</v>
          </cell>
          <cell r="F362">
            <v>0</v>
          </cell>
        </row>
        <row r="363">
          <cell r="A363" t="str">
            <v>-7.거푸집</v>
          </cell>
          <cell r="C363">
            <v>899</v>
          </cell>
          <cell r="D363" t="str">
            <v>M2</v>
          </cell>
          <cell r="E363">
            <v>0</v>
          </cell>
          <cell r="F363">
            <v>0</v>
          </cell>
        </row>
        <row r="364">
          <cell r="A364" t="str">
            <v>-8.거푸집</v>
          </cell>
          <cell r="C364">
            <v>243</v>
          </cell>
          <cell r="D364" t="str">
            <v>M2</v>
          </cell>
          <cell r="E364">
            <v>0</v>
          </cell>
          <cell r="F364">
            <v>0</v>
          </cell>
        </row>
        <row r="365">
          <cell r="A365" t="str">
            <v>b.P.E무늬거푸집</v>
          </cell>
          <cell r="E365">
            <v>0</v>
          </cell>
          <cell r="F365">
            <v>0</v>
          </cell>
        </row>
        <row r="366">
          <cell r="A366" t="str">
            <v>-1.P.E무늬거푸집</v>
          </cell>
          <cell r="C366">
            <v>372</v>
          </cell>
          <cell r="D366" t="str">
            <v>㎡</v>
          </cell>
          <cell r="E366">
            <v>0</v>
          </cell>
          <cell r="F366">
            <v>0</v>
          </cell>
        </row>
        <row r="367">
          <cell r="A367" t="str">
            <v>-2.P.E무늬거푸집</v>
          </cell>
          <cell r="C367">
            <v>2</v>
          </cell>
          <cell r="D367" t="str">
            <v>㎡</v>
          </cell>
          <cell r="E367">
            <v>0</v>
          </cell>
          <cell r="F367">
            <v>0</v>
          </cell>
        </row>
        <row r="368">
          <cell r="A368" t="str">
            <v>c.목재 원형 거푸집</v>
          </cell>
          <cell r="E368">
            <v>0</v>
          </cell>
          <cell r="F368">
            <v>0</v>
          </cell>
        </row>
        <row r="369">
          <cell r="A369" t="str">
            <v>-1.원형거푸집</v>
          </cell>
          <cell r="C369">
            <v>616</v>
          </cell>
          <cell r="D369" t="str">
            <v>M2</v>
          </cell>
          <cell r="E369">
            <v>0</v>
          </cell>
          <cell r="F369">
            <v>0</v>
          </cell>
        </row>
        <row r="370">
          <cell r="A370" t="str">
            <v>-2.원형거푸집</v>
          </cell>
          <cell r="C370">
            <v>264</v>
          </cell>
          <cell r="D370" t="str">
            <v>M2</v>
          </cell>
          <cell r="E370">
            <v>0</v>
          </cell>
          <cell r="F370">
            <v>0</v>
          </cell>
        </row>
        <row r="371">
          <cell r="A371" t="str">
            <v>-3.원형거푸집</v>
          </cell>
          <cell r="C371">
            <v>264</v>
          </cell>
          <cell r="D371" t="str">
            <v>M2</v>
          </cell>
          <cell r="E371">
            <v>0</v>
          </cell>
          <cell r="F371">
            <v>0</v>
          </cell>
        </row>
        <row r="372">
          <cell r="A372" t="str">
            <v>-4.원형거푸집</v>
          </cell>
          <cell r="C372">
            <v>228</v>
          </cell>
          <cell r="D372" t="str">
            <v>M2</v>
          </cell>
          <cell r="E372">
            <v>0</v>
          </cell>
          <cell r="F372">
            <v>0</v>
          </cell>
        </row>
        <row r="373">
          <cell r="A373" t="str">
            <v>-5.원형거푸집</v>
          </cell>
          <cell r="C373">
            <v>163</v>
          </cell>
          <cell r="D373" t="str">
            <v>M2</v>
          </cell>
          <cell r="E373">
            <v>0</v>
          </cell>
          <cell r="F373">
            <v>0</v>
          </cell>
        </row>
        <row r="374">
          <cell r="A374" t="str">
            <v>-6.원형거푸집</v>
          </cell>
          <cell r="C374">
            <v>55</v>
          </cell>
          <cell r="D374" t="str">
            <v>M2</v>
          </cell>
          <cell r="E374">
            <v>0</v>
          </cell>
          <cell r="F374">
            <v>0</v>
          </cell>
        </row>
        <row r="375">
          <cell r="A375" t="str">
            <v>-7.원형거푸집</v>
          </cell>
          <cell r="C375">
            <v>2</v>
          </cell>
          <cell r="D375" t="str">
            <v>M2</v>
          </cell>
          <cell r="E375">
            <v>0</v>
          </cell>
          <cell r="F375">
            <v>0</v>
          </cell>
        </row>
        <row r="376">
          <cell r="A376" t="str">
            <v>3.12 동바리</v>
          </cell>
          <cell r="E376">
            <v>0</v>
          </cell>
          <cell r="F376">
            <v>0</v>
          </cell>
        </row>
        <row r="377">
          <cell r="A377" t="str">
            <v>a.동바리</v>
          </cell>
          <cell r="C377">
            <v>3030</v>
          </cell>
          <cell r="D377" t="str">
            <v>공M3</v>
          </cell>
          <cell r="E377">
            <v>0</v>
          </cell>
          <cell r="F377">
            <v>0</v>
          </cell>
        </row>
        <row r="378">
          <cell r="A378" t="str">
            <v>b.동바리</v>
          </cell>
          <cell r="C378">
            <v>850</v>
          </cell>
          <cell r="D378" t="str">
            <v>공M3</v>
          </cell>
          <cell r="E378">
            <v>0</v>
          </cell>
          <cell r="F378">
            <v>0</v>
          </cell>
        </row>
        <row r="379">
          <cell r="A379" t="str">
            <v>c.동바리</v>
          </cell>
          <cell r="C379">
            <v>2530</v>
          </cell>
          <cell r="D379" t="str">
            <v>공/M3</v>
          </cell>
          <cell r="E379">
            <v>0</v>
          </cell>
          <cell r="F379">
            <v>0</v>
          </cell>
        </row>
        <row r="380">
          <cell r="A380" t="str">
            <v>d.수평연결재</v>
          </cell>
          <cell r="C380">
            <v>550</v>
          </cell>
          <cell r="D380" t="str">
            <v>M2</v>
          </cell>
          <cell r="E380">
            <v>0</v>
          </cell>
          <cell r="F380">
            <v>0</v>
          </cell>
        </row>
        <row r="381">
          <cell r="A381" t="str">
            <v>3.13 비계</v>
          </cell>
          <cell r="C381">
            <v>5630</v>
          </cell>
          <cell r="D381" t="str">
            <v>M2</v>
          </cell>
          <cell r="E381">
            <v>0</v>
          </cell>
          <cell r="F381">
            <v>0</v>
          </cell>
        </row>
        <row r="382">
          <cell r="A382" t="str">
            <v>3.14 모따기</v>
          </cell>
          <cell r="C382">
            <v>1437</v>
          </cell>
          <cell r="D382" t="str">
            <v>M</v>
          </cell>
          <cell r="E382">
            <v>0</v>
          </cell>
          <cell r="F382">
            <v>0</v>
          </cell>
        </row>
        <row r="383">
          <cell r="A383" t="str">
            <v>3.15 신축이음장치</v>
          </cell>
          <cell r="C383">
            <v>39</v>
          </cell>
          <cell r="D383" t="str">
            <v>M</v>
          </cell>
          <cell r="E383">
            <v>0</v>
          </cell>
          <cell r="F383">
            <v>0</v>
          </cell>
        </row>
        <row r="384">
          <cell r="A384" t="str">
            <v>3.16 교명주(화강석)</v>
          </cell>
          <cell r="C384">
            <v>4</v>
          </cell>
          <cell r="D384" t="str">
            <v>EA</v>
          </cell>
          <cell r="E384">
            <v>0</v>
          </cell>
          <cell r="F384">
            <v>0</v>
          </cell>
        </row>
        <row r="385">
          <cell r="A385" t="str">
            <v>3.17 교명판및설명판</v>
          </cell>
          <cell r="E385">
            <v>0</v>
          </cell>
          <cell r="F385">
            <v>0</v>
          </cell>
        </row>
        <row r="386">
          <cell r="A386" t="str">
            <v>a.교명판</v>
          </cell>
          <cell r="C386">
            <v>2</v>
          </cell>
          <cell r="D386" t="str">
            <v>EA</v>
          </cell>
          <cell r="E386">
            <v>0</v>
          </cell>
          <cell r="F386">
            <v>0</v>
          </cell>
        </row>
        <row r="387">
          <cell r="A387" t="str">
            <v>b.설명판</v>
          </cell>
          <cell r="C387">
            <v>2</v>
          </cell>
          <cell r="D387" t="str">
            <v>EA</v>
          </cell>
          <cell r="E387">
            <v>0</v>
          </cell>
          <cell r="F387">
            <v>0</v>
          </cell>
        </row>
        <row r="388">
          <cell r="A388" t="str">
            <v>3.18 표면처리</v>
          </cell>
          <cell r="E388">
            <v>0</v>
          </cell>
          <cell r="F388">
            <v>0</v>
          </cell>
        </row>
        <row r="389">
          <cell r="A389" t="str">
            <v>a.슬라브 양생</v>
          </cell>
          <cell r="C389">
            <v>4978</v>
          </cell>
          <cell r="D389" t="str">
            <v>M2</v>
          </cell>
          <cell r="E389">
            <v>0</v>
          </cell>
          <cell r="F389">
            <v>0</v>
          </cell>
        </row>
        <row r="390">
          <cell r="A390" t="str">
            <v>b.데크휘니샤 면고르기</v>
          </cell>
          <cell r="C390">
            <v>4978</v>
          </cell>
          <cell r="D390" t="str">
            <v>M2</v>
          </cell>
          <cell r="E390">
            <v>0</v>
          </cell>
          <cell r="F390">
            <v>0</v>
          </cell>
        </row>
        <row r="391">
          <cell r="A391" t="str">
            <v>3.19 교면방수</v>
          </cell>
          <cell r="C391">
            <v>4978</v>
          </cell>
          <cell r="D391" t="str">
            <v>M2</v>
          </cell>
          <cell r="E391">
            <v>0</v>
          </cell>
          <cell r="F391">
            <v>0</v>
          </cell>
        </row>
        <row r="392">
          <cell r="A392" t="str">
            <v>3.20 배면방수</v>
          </cell>
          <cell r="C392">
            <v>324</v>
          </cell>
          <cell r="D392" t="str">
            <v>M2</v>
          </cell>
          <cell r="E392">
            <v>0</v>
          </cell>
          <cell r="F392">
            <v>0</v>
          </cell>
        </row>
        <row r="393">
          <cell r="A393" t="str">
            <v>3.21 전선관부설</v>
          </cell>
          <cell r="C393">
            <v>1077</v>
          </cell>
          <cell r="D393" t="str">
            <v>M</v>
          </cell>
          <cell r="E393">
            <v>0</v>
          </cell>
          <cell r="F393">
            <v>0</v>
          </cell>
        </row>
        <row r="394">
          <cell r="A394" t="str">
            <v>3.22 T.B.M 설치</v>
          </cell>
          <cell r="C394">
            <v>2</v>
          </cell>
          <cell r="D394" t="str">
            <v>개</v>
          </cell>
          <cell r="E394">
            <v>0</v>
          </cell>
          <cell r="F394">
            <v>0</v>
          </cell>
        </row>
        <row r="395">
          <cell r="A395" t="str">
            <v>3.23 낙하물 방지공</v>
          </cell>
          <cell r="C395">
            <v>5860</v>
          </cell>
          <cell r="D395" t="str">
            <v>M2</v>
          </cell>
          <cell r="E395">
            <v>0</v>
          </cell>
          <cell r="F395">
            <v>0</v>
          </cell>
        </row>
        <row r="396">
          <cell r="A396" t="str">
            <v>3.24 방호벽</v>
          </cell>
          <cell r="C396">
            <v>538</v>
          </cell>
          <cell r="D396" t="str">
            <v>M</v>
          </cell>
          <cell r="E396">
            <v>0</v>
          </cell>
          <cell r="F396">
            <v>0</v>
          </cell>
        </row>
        <row r="397">
          <cell r="A397" t="str">
            <v>3.25 중앙분리대</v>
          </cell>
          <cell r="C397">
            <v>510</v>
          </cell>
          <cell r="D397" t="str">
            <v>M</v>
          </cell>
          <cell r="E397">
            <v>0</v>
          </cell>
          <cell r="F397">
            <v>0</v>
          </cell>
        </row>
        <row r="398">
          <cell r="A398" t="str">
            <v>3.26 NOTCH  설치</v>
          </cell>
          <cell r="C398">
            <v>1020</v>
          </cell>
          <cell r="D398" t="str">
            <v>M</v>
          </cell>
          <cell r="E398">
            <v>0</v>
          </cell>
          <cell r="F398">
            <v>0</v>
          </cell>
        </row>
        <row r="399">
          <cell r="A399" t="str">
            <v>3.27 교량유지관리용표지판</v>
          </cell>
          <cell r="E399">
            <v>0</v>
          </cell>
          <cell r="F399">
            <v>0</v>
          </cell>
        </row>
        <row r="400">
          <cell r="A400" t="str">
            <v>a.강교용</v>
          </cell>
          <cell r="C400">
            <v>40</v>
          </cell>
          <cell r="D400" t="str">
            <v>EA</v>
          </cell>
          <cell r="E400">
            <v>0</v>
          </cell>
          <cell r="F400">
            <v>0</v>
          </cell>
        </row>
        <row r="401">
          <cell r="A401" t="str">
            <v>b.교각,교 대 용</v>
          </cell>
          <cell r="C401">
            <v>18</v>
          </cell>
          <cell r="D401" t="str">
            <v>EA</v>
          </cell>
          <cell r="E401">
            <v>0</v>
          </cell>
          <cell r="F401">
            <v>0</v>
          </cell>
        </row>
        <row r="402">
          <cell r="A402" t="str">
            <v>3.28 스페이서 설치</v>
          </cell>
          <cell r="E402">
            <v>0</v>
          </cell>
          <cell r="F402">
            <v>0</v>
          </cell>
        </row>
        <row r="403">
          <cell r="A403" t="str">
            <v>a.스페이서 설치</v>
          </cell>
          <cell r="C403">
            <v>3351</v>
          </cell>
          <cell r="D403" t="str">
            <v>M2</v>
          </cell>
          <cell r="E403">
            <v>0</v>
          </cell>
          <cell r="F403">
            <v>0</v>
          </cell>
        </row>
        <row r="404">
          <cell r="A404" t="str">
            <v>b.스페이서 설치</v>
          </cell>
          <cell r="C404">
            <v>6452</v>
          </cell>
          <cell r="D404" t="str">
            <v>M2</v>
          </cell>
          <cell r="E404">
            <v>0</v>
          </cell>
          <cell r="F404">
            <v>0</v>
          </cell>
        </row>
        <row r="405">
          <cell r="A405" t="str">
            <v>3.29 철근가공 및 조립</v>
          </cell>
          <cell r="E405">
            <v>0</v>
          </cell>
          <cell r="F405">
            <v>0</v>
          </cell>
        </row>
        <row r="406">
          <cell r="A406" t="str">
            <v>a.보       통</v>
          </cell>
          <cell r="C406">
            <v>69.248999999999995</v>
          </cell>
          <cell r="D406" t="str">
            <v>TON</v>
          </cell>
          <cell r="E406">
            <v>0</v>
          </cell>
          <cell r="F406">
            <v>0</v>
          </cell>
        </row>
        <row r="407">
          <cell r="A407" t="str">
            <v>b.복       잡</v>
          </cell>
          <cell r="C407">
            <v>470.63799999999998</v>
          </cell>
          <cell r="D407" t="str">
            <v>TON</v>
          </cell>
          <cell r="E407">
            <v>0</v>
          </cell>
          <cell r="F407">
            <v>0</v>
          </cell>
        </row>
        <row r="408">
          <cell r="A408" t="str">
            <v>c.매 우 복 잡</v>
          </cell>
          <cell r="C408">
            <v>646.73299999999995</v>
          </cell>
          <cell r="D408" t="str">
            <v>TON</v>
          </cell>
          <cell r="E408">
            <v>0</v>
          </cell>
          <cell r="F408">
            <v>0</v>
          </cell>
        </row>
        <row r="409">
          <cell r="A409" t="str">
            <v>3.30 교량유지관리점검시설</v>
          </cell>
          <cell r="C409">
            <v>4</v>
          </cell>
          <cell r="D409" t="str">
            <v>EA</v>
          </cell>
          <cell r="E409">
            <v>0</v>
          </cell>
          <cell r="F409">
            <v>0</v>
          </cell>
        </row>
        <row r="410">
          <cell r="A410" t="str">
            <v>3.31 배수시설공</v>
          </cell>
          <cell r="E410">
            <v>0</v>
          </cell>
          <cell r="F410">
            <v>0</v>
          </cell>
        </row>
        <row r="411">
          <cell r="A411" t="str">
            <v>a.교량배수물배기공</v>
          </cell>
          <cell r="C411">
            <v>505</v>
          </cell>
          <cell r="D411" t="str">
            <v>M</v>
          </cell>
          <cell r="E411">
            <v>0</v>
          </cell>
          <cell r="F411">
            <v>0</v>
          </cell>
        </row>
        <row r="412">
          <cell r="A412" t="str">
            <v>b.하층줄눈(성형)</v>
          </cell>
          <cell r="C412">
            <v>505</v>
          </cell>
          <cell r="D412" t="str">
            <v>M</v>
          </cell>
          <cell r="E412">
            <v>0</v>
          </cell>
          <cell r="F412">
            <v>0</v>
          </cell>
        </row>
        <row r="413">
          <cell r="A413" t="str">
            <v>c.상층줄눈(주입)</v>
          </cell>
          <cell r="C413">
            <v>505</v>
          </cell>
          <cell r="D413" t="str">
            <v>M</v>
          </cell>
          <cell r="E413">
            <v>0</v>
          </cell>
          <cell r="F413">
            <v>0</v>
          </cell>
        </row>
        <row r="414">
          <cell r="A414" t="str">
            <v>d.표면처리(방수)</v>
          </cell>
          <cell r="C414">
            <v>101</v>
          </cell>
          <cell r="D414" t="str">
            <v>M2</v>
          </cell>
          <cell r="E414">
            <v>0</v>
          </cell>
          <cell r="F414">
            <v>0</v>
          </cell>
        </row>
        <row r="415">
          <cell r="A415" t="str">
            <v>e.하천용 집수구(스턴레스)</v>
          </cell>
          <cell r="C415">
            <v>38</v>
          </cell>
          <cell r="D415" t="str">
            <v>EA</v>
          </cell>
          <cell r="E415">
            <v>0</v>
          </cell>
          <cell r="F415">
            <v>0</v>
          </cell>
        </row>
        <row r="416">
          <cell r="A416" t="str">
            <v>f.교량배수용강관(하천용)</v>
          </cell>
          <cell r="C416">
            <v>235</v>
          </cell>
          <cell r="D416" t="str">
            <v>M</v>
          </cell>
          <cell r="E416">
            <v>0</v>
          </cell>
          <cell r="F416">
            <v>0</v>
          </cell>
        </row>
        <row r="417">
          <cell r="A417" t="str">
            <v>g.이음부(스텐레스)</v>
          </cell>
          <cell r="C417">
            <v>46</v>
          </cell>
          <cell r="D417" t="str">
            <v>EA</v>
          </cell>
          <cell r="E417">
            <v>0</v>
          </cell>
          <cell r="F417">
            <v>0</v>
          </cell>
        </row>
        <row r="418">
          <cell r="A418" t="str">
            <v>h.곡관(스텐레스)</v>
          </cell>
          <cell r="C418">
            <v>8</v>
          </cell>
          <cell r="D418" t="str">
            <v>EA</v>
          </cell>
          <cell r="E418">
            <v>0</v>
          </cell>
          <cell r="F418">
            <v>0</v>
          </cell>
        </row>
        <row r="419">
          <cell r="A419" t="str">
            <v>3.32 DOWEL BAR 설치</v>
          </cell>
          <cell r="C419">
            <v>96</v>
          </cell>
          <cell r="D419" t="str">
            <v>EA</v>
          </cell>
          <cell r="E419">
            <v>0</v>
          </cell>
          <cell r="F419">
            <v>0</v>
          </cell>
        </row>
        <row r="420">
          <cell r="A420" t="str">
            <v>3.33 스치로폴</v>
          </cell>
          <cell r="E420">
            <v>0</v>
          </cell>
          <cell r="F420">
            <v>0</v>
          </cell>
        </row>
        <row r="421">
          <cell r="A421" t="str">
            <v>a.스치로폴</v>
          </cell>
          <cell r="C421">
            <v>557</v>
          </cell>
          <cell r="D421" t="str">
            <v>M2</v>
          </cell>
          <cell r="E421">
            <v>0</v>
          </cell>
          <cell r="F421">
            <v>0</v>
          </cell>
        </row>
        <row r="422">
          <cell r="A422" t="str">
            <v>3.34 교량받침</v>
          </cell>
          <cell r="E422">
            <v>0</v>
          </cell>
          <cell r="F422">
            <v>0</v>
          </cell>
        </row>
        <row r="423">
          <cell r="A423" t="str">
            <v>a.교좌장치(일방향)POT</v>
          </cell>
          <cell r="C423">
            <v>4</v>
          </cell>
          <cell r="D423" t="str">
            <v>EA</v>
          </cell>
          <cell r="E423">
            <v>0</v>
          </cell>
          <cell r="F423">
            <v>0</v>
          </cell>
        </row>
        <row r="424">
          <cell r="A424" t="str">
            <v>b.교좌장치(양방향)POT</v>
          </cell>
          <cell r="C424">
            <v>12</v>
          </cell>
          <cell r="D424" t="str">
            <v>EA</v>
          </cell>
          <cell r="E424">
            <v>0</v>
          </cell>
          <cell r="F424">
            <v>0</v>
          </cell>
        </row>
        <row r="425">
          <cell r="A425" t="str">
            <v>c.교좌장치(일방향)POT</v>
          </cell>
          <cell r="C425">
            <v>16</v>
          </cell>
          <cell r="D425" t="str">
            <v>EA</v>
          </cell>
          <cell r="E425">
            <v>0</v>
          </cell>
          <cell r="F425">
            <v>0</v>
          </cell>
        </row>
        <row r="426">
          <cell r="A426" t="str">
            <v>d.교좌장치(양방향)POT</v>
          </cell>
          <cell r="C426">
            <v>12</v>
          </cell>
          <cell r="D426" t="str">
            <v>EA</v>
          </cell>
          <cell r="E426">
            <v>0</v>
          </cell>
          <cell r="F426">
            <v>0</v>
          </cell>
        </row>
        <row r="427">
          <cell r="A427" t="str">
            <v>e.교좌장치(고정단)POT</v>
          </cell>
          <cell r="C427">
            <v>4</v>
          </cell>
          <cell r="D427" t="str">
            <v>EA</v>
          </cell>
          <cell r="E427">
            <v>0</v>
          </cell>
          <cell r="F427">
            <v>0</v>
          </cell>
        </row>
        <row r="428">
          <cell r="A428" t="str">
            <v>3.35 강   교</v>
          </cell>
          <cell r="E428">
            <v>0</v>
          </cell>
          <cell r="F428">
            <v>0</v>
          </cell>
        </row>
        <row r="429">
          <cell r="A429" t="str">
            <v>a.강교제작(산수1교)</v>
          </cell>
          <cell r="C429">
            <v>1953.0050000000001</v>
          </cell>
          <cell r="D429" t="str">
            <v>TON</v>
          </cell>
          <cell r="E429">
            <v>0</v>
          </cell>
          <cell r="F429">
            <v>0</v>
          </cell>
        </row>
        <row r="430">
          <cell r="A430" t="str">
            <v>b.강교운반(산수1교)</v>
          </cell>
          <cell r="C430">
            <v>1953.0050000000001</v>
          </cell>
          <cell r="D430" t="str">
            <v>TON</v>
          </cell>
          <cell r="E430">
            <v>0</v>
          </cell>
          <cell r="F430">
            <v>0</v>
          </cell>
        </row>
        <row r="431">
          <cell r="A431" t="str">
            <v>c.강교가설(산수1교)</v>
          </cell>
          <cell r="C431">
            <v>1953.0050000000001</v>
          </cell>
          <cell r="D431" t="str">
            <v>TON</v>
          </cell>
          <cell r="E431">
            <v>0</v>
          </cell>
          <cell r="F431">
            <v>0</v>
          </cell>
        </row>
        <row r="432">
          <cell r="A432" t="str">
            <v>3.36 강교 도장</v>
          </cell>
          <cell r="E432">
            <v>0</v>
          </cell>
          <cell r="F432">
            <v>0</v>
          </cell>
        </row>
        <row r="433">
          <cell r="A433" t="str">
            <v>a.내부도장</v>
          </cell>
          <cell r="C433">
            <v>16828</v>
          </cell>
          <cell r="D433" t="str">
            <v>M2</v>
          </cell>
          <cell r="E433">
            <v>0</v>
          </cell>
          <cell r="F433">
            <v>0</v>
          </cell>
        </row>
        <row r="434">
          <cell r="A434" t="str">
            <v>b.외부포장면도장</v>
          </cell>
          <cell r="C434">
            <v>3328</v>
          </cell>
          <cell r="D434" t="str">
            <v>M2</v>
          </cell>
          <cell r="E434">
            <v>0</v>
          </cell>
          <cell r="F434">
            <v>0</v>
          </cell>
        </row>
        <row r="435">
          <cell r="A435" t="str">
            <v>c.연결판도장</v>
          </cell>
          <cell r="C435">
            <v>4076</v>
          </cell>
          <cell r="D435" t="str">
            <v>M2</v>
          </cell>
          <cell r="E435">
            <v>0</v>
          </cell>
          <cell r="F435">
            <v>0</v>
          </cell>
        </row>
        <row r="436">
          <cell r="A436" t="str">
            <v>d.외부도장</v>
          </cell>
          <cell r="C436">
            <v>9793</v>
          </cell>
          <cell r="D436" t="str">
            <v>M2</v>
          </cell>
          <cell r="E436">
            <v>0</v>
          </cell>
          <cell r="F436">
            <v>0</v>
          </cell>
        </row>
        <row r="437">
          <cell r="A437" t="str">
            <v>e.외부도장</v>
          </cell>
          <cell r="C437">
            <v>8940</v>
          </cell>
          <cell r="D437" t="str">
            <v>M2</v>
          </cell>
          <cell r="E437">
            <v>0</v>
          </cell>
          <cell r="F437">
            <v>0</v>
          </cell>
        </row>
        <row r="438">
          <cell r="A438" t="str">
            <v>f.내부볼트및연결판도장</v>
          </cell>
          <cell r="C438">
            <v>881</v>
          </cell>
          <cell r="D438" t="str">
            <v>M2</v>
          </cell>
          <cell r="E438">
            <v>0</v>
          </cell>
          <cell r="F438">
            <v>0</v>
          </cell>
        </row>
        <row r="439">
          <cell r="A439" t="str">
            <v>g.외부볼트및연결판도장</v>
          </cell>
          <cell r="C439">
            <v>926</v>
          </cell>
          <cell r="D439" t="str">
            <v>M2</v>
          </cell>
          <cell r="E439">
            <v>0</v>
          </cell>
          <cell r="F439">
            <v>0</v>
          </cell>
        </row>
        <row r="440">
          <cell r="A440" t="str">
            <v>3.37 강교 비파괴 검사비</v>
          </cell>
          <cell r="E440">
            <v>0</v>
          </cell>
          <cell r="F440">
            <v>0</v>
          </cell>
        </row>
        <row r="441">
          <cell r="A441" t="str">
            <v>a.강교 비파괴 검사비</v>
          </cell>
          <cell r="C441">
            <v>2528</v>
          </cell>
          <cell r="D441" t="str">
            <v>매</v>
          </cell>
          <cell r="E441">
            <v>0</v>
          </cell>
          <cell r="F441">
            <v>0</v>
          </cell>
        </row>
        <row r="442">
          <cell r="A442" t="str">
            <v>b.강교 비파괴 검사비</v>
          </cell>
          <cell r="C442">
            <v>2243</v>
          </cell>
          <cell r="D442" t="str">
            <v>M</v>
          </cell>
          <cell r="E442">
            <v>0</v>
          </cell>
          <cell r="F442">
            <v>0</v>
          </cell>
        </row>
        <row r="443">
          <cell r="A443" t="str">
            <v>c.강교 비파괴 검사비</v>
          </cell>
          <cell r="C443">
            <v>430</v>
          </cell>
          <cell r="D443" t="str">
            <v>M</v>
          </cell>
          <cell r="E443">
            <v>0</v>
          </cell>
          <cell r="F443">
            <v>0</v>
          </cell>
        </row>
        <row r="444">
          <cell r="A444" t="str">
            <v>3.38 가시설공</v>
          </cell>
          <cell r="E444">
            <v>0</v>
          </cell>
          <cell r="F444">
            <v>0</v>
          </cell>
        </row>
        <row r="445">
          <cell r="A445" t="str">
            <v>a.토사천공(φ16" 3 WING BIT)</v>
          </cell>
          <cell r="C445">
            <v>4327</v>
          </cell>
          <cell r="D445" t="str">
            <v>M</v>
          </cell>
          <cell r="E445">
            <v>0</v>
          </cell>
          <cell r="F445">
            <v>0</v>
          </cell>
        </row>
        <row r="446">
          <cell r="A446" t="str">
            <v>b.연암천공(T-4)</v>
          </cell>
          <cell r="C446">
            <v>2641</v>
          </cell>
          <cell r="D446" t="str">
            <v>M</v>
          </cell>
          <cell r="E446">
            <v>0</v>
          </cell>
          <cell r="F446">
            <v>0</v>
          </cell>
        </row>
        <row r="447">
          <cell r="A447" t="str">
            <v>c.SHEET PILE 천공후 항타및항발</v>
          </cell>
          <cell r="C447">
            <v>6968</v>
          </cell>
          <cell r="D447" t="str">
            <v>M</v>
          </cell>
          <cell r="E447">
            <v>0</v>
          </cell>
          <cell r="F447">
            <v>0</v>
          </cell>
        </row>
        <row r="448">
          <cell r="A448" t="str">
            <v>d.버팀보 제작</v>
          </cell>
          <cell r="C448">
            <v>80</v>
          </cell>
          <cell r="D448" t="str">
            <v>본</v>
          </cell>
          <cell r="E448">
            <v>0</v>
          </cell>
          <cell r="F448">
            <v>0</v>
          </cell>
        </row>
        <row r="449">
          <cell r="A449" t="str">
            <v>e.버팀보 설치 (12∼14m)</v>
          </cell>
          <cell r="C449">
            <v>80</v>
          </cell>
          <cell r="D449" t="str">
            <v>EA</v>
          </cell>
          <cell r="E449">
            <v>0</v>
          </cell>
          <cell r="F449">
            <v>0</v>
          </cell>
        </row>
        <row r="450">
          <cell r="A450" t="str">
            <v>f.버팀보 철거 (12∼14m)</v>
          </cell>
          <cell r="C450">
            <v>80</v>
          </cell>
          <cell r="D450" t="str">
            <v>EA</v>
          </cell>
          <cell r="E450">
            <v>0</v>
          </cell>
          <cell r="F450">
            <v>0</v>
          </cell>
        </row>
        <row r="451">
          <cell r="A451" t="str">
            <v>g.CORNER STRUT 제작</v>
          </cell>
          <cell r="C451">
            <v>400</v>
          </cell>
          <cell r="D451" t="str">
            <v>EA</v>
          </cell>
          <cell r="E451">
            <v>0</v>
          </cell>
          <cell r="F451">
            <v>0</v>
          </cell>
        </row>
        <row r="452">
          <cell r="A452" t="str">
            <v>h.CORNER STRUT 설치 (3∼5m)</v>
          </cell>
          <cell r="C452">
            <v>320</v>
          </cell>
          <cell r="D452" t="str">
            <v>EA</v>
          </cell>
          <cell r="E452">
            <v>0</v>
          </cell>
          <cell r="F452">
            <v>0</v>
          </cell>
        </row>
        <row r="453">
          <cell r="A453" t="str">
            <v>i.CORNER STRUT 철거 (3∼5m)</v>
          </cell>
          <cell r="C453">
            <v>320</v>
          </cell>
          <cell r="D453" t="str">
            <v>EA</v>
          </cell>
          <cell r="E453">
            <v>0</v>
          </cell>
          <cell r="F453">
            <v>0</v>
          </cell>
        </row>
        <row r="454">
          <cell r="A454" t="str">
            <v>j.CORNER STRUT 설치 (6∼8m)</v>
          </cell>
          <cell r="C454">
            <v>32</v>
          </cell>
          <cell r="D454" t="str">
            <v>EA</v>
          </cell>
          <cell r="E454">
            <v>0</v>
          </cell>
          <cell r="F454">
            <v>0</v>
          </cell>
        </row>
        <row r="455">
          <cell r="A455" t="str">
            <v>k.CORNER STRUT 철거 (6∼8m)</v>
          </cell>
          <cell r="C455">
            <v>32</v>
          </cell>
          <cell r="D455" t="str">
            <v>EA</v>
          </cell>
          <cell r="E455">
            <v>0</v>
          </cell>
          <cell r="F455">
            <v>0</v>
          </cell>
        </row>
        <row r="456">
          <cell r="A456" t="str">
            <v>l.CORNER STRUT 설치 (9∼11m)</v>
          </cell>
          <cell r="C456">
            <v>48</v>
          </cell>
          <cell r="D456" t="str">
            <v>EA</v>
          </cell>
          <cell r="E456">
            <v>0</v>
          </cell>
          <cell r="F456">
            <v>0</v>
          </cell>
        </row>
        <row r="457">
          <cell r="A457" t="str">
            <v>m.CORNER STRUT 철거 (9∼11m)</v>
          </cell>
          <cell r="C457">
            <v>48</v>
          </cell>
          <cell r="D457" t="str">
            <v>EA</v>
          </cell>
          <cell r="E457">
            <v>0</v>
          </cell>
          <cell r="F457">
            <v>0</v>
          </cell>
        </row>
        <row r="458">
          <cell r="A458" t="str">
            <v>n.JACK 설치해체</v>
          </cell>
          <cell r="C458">
            <v>240</v>
          </cell>
          <cell r="D458" t="str">
            <v>EA</v>
          </cell>
          <cell r="E458">
            <v>0</v>
          </cell>
          <cell r="F458">
            <v>0</v>
          </cell>
        </row>
        <row r="459">
          <cell r="A459" t="str">
            <v>o.보걸이설치</v>
          </cell>
          <cell r="C459">
            <v>800</v>
          </cell>
          <cell r="D459" t="str">
            <v>EA</v>
          </cell>
          <cell r="E459">
            <v>0</v>
          </cell>
          <cell r="F459">
            <v>0</v>
          </cell>
        </row>
        <row r="460">
          <cell r="A460" t="str">
            <v>p.보걸이철거</v>
          </cell>
          <cell r="C460">
            <v>800</v>
          </cell>
          <cell r="D460" t="str">
            <v>EA</v>
          </cell>
          <cell r="E460">
            <v>0</v>
          </cell>
          <cell r="F460">
            <v>0</v>
          </cell>
        </row>
        <row r="461">
          <cell r="A461" t="str">
            <v>q.띠장설치</v>
          </cell>
          <cell r="C461">
            <v>1428</v>
          </cell>
          <cell r="D461" t="str">
            <v>M</v>
          </cell>
          <cell r="E461">
            <v>0</v>
          </cell>
          <cell r="F461">
            <v>0</v>
          </cell>
        </row>
        <row r="462">
          <cell r="A462" t="str">
            <v>r.띠장철거</v>
          </cell>
          <cell r="C462">
            <v>1428</v>
          </cell>
          <cell r="D462" t="str">
            <v>M</v>
          </cell>
          <cell r="E462">
            <v>0</v>
          </cell>
          <cell r="F462">
            <v>0</v>
          </cell>
        </row>
        <row r="463">
          <cell r="A463" t="str">
            <v>s.띠장연결</v>
          </cell>
          <cell r="C463">
            <v>20</v>
          </cell>
          <cell r="D463" t="str">
            <v>EA</v>
          </cell>
          <cell r="E463">
            <v>0</v>
          </cell>
          <cell r="F463">
            <v>0</v>
          </cell>
        </row>
        <row r="464">
          <cell r="A464" t="str">
            <v>t.BRACING BEAM 설치 (3∼5m)</v>
          </cell>
          <cell r="C464">
            <v>80</v>
          </cell>
          <cell r="D464" t="str">
            <v>EA</v>
          </cell>
          <cell r="E464">
            <v>0</v>
          </cell>
          <cell r="F464">
            <v>0</v>
          </cell>
        </row>
        <row r="465">
          <cell r="A465" t="str">
            <v>u.BRACING BEAM 철거 (3∼5m)</v>
          </cell>
          <cell r="C465">
            <v>80</v>
          </cell>
          <cell r="D465" t="str">
            <v>EA</v>
          </cell>
          <cell r="E465">
            <v>0</v>
          </cell>
          <cell r="F465">
            <v>0</v>
          </cell>
        </row>
        <row r="466">
          <cell r="A466" t="str">
            <v>v.BRACING BEAM 설치 (6∼8m)</v>
          </cell>
          <cell r="C466">
            <v>20</v>
          </cell>
          <cell r="D466" t="str">
            <v>EA</v>
          </cell>
          <cell r="E466">
            <v>0</v>
          </cell>
          <cell r="F466">
            <v>0</v>
          </cell>
        </row>
        <row r="467">
          <cell r="A467" t="str">
            <v>w.BRACING BEAM 철거 (6∼8m)</v>
          </cell>
          <cell r="C467">
            <v>20</v>
          </cell>
          <cell r="D467" t="str">
            <v>EA</v>
          </cell>
          <cell r="E467">
            <v>0</v>
          </cell>
          <cell r="F467">
            <v>0</v>
          </cell>
        </row>
        <row r="468">
          <cell r="A468" t="str">
            <v>x.피스브라켓 설치 및 철거</v>
          </cell>
          <cell r="C468">
            <v>240</v>
          </cell>
          <cell r="D468" t="str">
            <v>EA</v>
          </cell>
          <cell r="E468">
            <v>0</v>
          </cell>
          <cell r="F468">
            <v>0</v>
          </cell>
        </row>
        <row r="469">
          <cell r="A469" t="str">
            <v>y.H-PILE항타</v>
          </cell>
          <cell r="C469">
            <v>168</v>
          </cell>
          <cell r="D469" t="str">
            <v>M</v>
          </cell>
          <cell r="E469">
            <v>0</v>
          </cell>
          <cell r="F469">
            <v>0</v>
          </cell>
        </row>
        <row r="470">
          <cell r="A470" t="str">
            <v>z.H-PILE항발</v>
          </cell>
          <cell r="C470">
            <v>168</v>
          </cell>
          <cell r="D470" t="str">
            <v>M</v>
          </cell>
          <cell r="E470">
            <v>0</v>
          </cell>
          <cell r="F470">
            <v>0</v>
          </cell>
        </row>
        <row r="471">
          <cell r="A471" t="str">
            <v>aa.구조용H형강</v>
          </cell>
          <cell r="C471">
            <v>397.28199999999998</v>
          </cell>
          <cell r="D471" t="str">
            <v>TON</v>
          </cell>
          <cell r="E471">
            <v>0</v>
          </cell>
          <cell r="F471">
            <v>0</v>
          </cell>
        </row>
        <row r="472">
          <cell r="A472" t="str">
            <v>ab.구조용H형강</v>
          </cell>
          <cell r="C472">
            <v>54.082999999999998</v>
          </cell>
          <cell r="D472" t="str">
            <v>TON</v>
          </cell>
          <cell r="E472">
            <v>0</v>
          </cell>
          <cell r="F472">
            <v>0</v>
          </cell>
        </row>
        <row r="473">
          <cell r="A473" t="str">
            <v>ac.강널말뚝</v>
          </cell>
          <cell r="C473">
            <v>502.39299999999997</v>
          </cell>
          <cell r="D473" t="str">
            <v>TON</v>
          </cell>
          <cell r="E473">
            <v>0</v>
          </cell>
          <cell r="F473">
            <v>0</v>
          </cell>
        </row>
        <row r="474">
          <cell r="A474" t="str">
            <v>ad.강재 및 형강운반비</v>
          </cell>
          <cell r="C474">
            <v>953.75800000000004</v>
          </cell>
          <cell r="D474" t="str">
            <v>TON</v>
          </cell>
          <cell r="E474">
            <v>0</v>
          </cell>
          <cell r="F474">
            <v>0</v>
          </cell>
        </row>
        <row r="475">
          <cell r="A475" t="str">
            <v>3.39 가교가설(산수1교)</v>
          </cell>
          <cell r="C475">
            <v>1</v>
          </cell>
          <cell r="D475" t="str">
            <v>식</v>
          </cell>
          <cell r="E475">
            <v>0</v>
          </cell>
          <cell r="F475">
            <v>0</v>
          </cell>
        </row>
        <row r="476">
          <cell r="A476" t="str">
            <v>3.40 점검등설비공사(산수1교)</v>
          </cell>
          <cell r="C476">
            <v>1</v>
          </cell>
          <cell r="D476" t="str">
            <v>식</v>
          </cell>
          <cell r="E476">
            <v>0</v>
          </cell>
          <cell r="F476">
            <v>0</v>
          </cell>
        </row>
        <row r="477">
          <cell r="A477" t="str">
            <v>3.41 한전인입비(산수1교)</v>
          </cell>
          <cell r="C477">
            <v>1</v>
          </cell>
          <cell r="D477" t="str">
            <v>P.S</v>
          </cell>
          <cell r="E477">
            <v>0</v>
          </cell>
          <cell r="F477">
            <v>0</v>
          </cell>
        </row>
        <row r="478">
          <cell r="A478" t="str">
            <v>C.산수2교(S.T.BOX교)</v>
          </cell>
          <cell r="E478">
            <v>0</v>
          </cell>
          <cell r="F478">
            <v>0</v>
          </cell>
        </row>
        <row r="479">
          <cell r="A479" t="str">
            <v>3.01 터 파 기</v>
          </cell>
          <cell r="E479">
            <v>0</v>
          </cell>
          <cell r="F479">
            <v>0</v>
          </cell>
        </row>
        <row r="480">
          <cell r="A480" t="str">
            <v>a.육상토사</v>
          </cell>
          <cell r="C480">
            <v>310</v>
          </cell>
          <cell r="D480" t="str">
            <v>M3</v>
          </cell>
          <cell r="E480">
            <v>0</v>
          </cell>
          <cell r="F480">
            <v>0</v>
          </cell>
        </row>
        <row r="481">
          <cell r="A481" t="str">
            <v>b.육상풍화암</v>
          </cell>
          <cell r="E481">
            <v>0</v>
          </cell>
          <cell r="F481">
            <v>0</v>
          </cell>
        </row>
        <row r="482">
          <cell r="A482" t="str">
            <v>-1.육상풍화암</v>
          </cell>
          <cell r="C482">
            <v>1560</v>
          </cell>
          <cell r="D482" t="str">
            <v>M3</v>
          </cell>
          <cell r="E482">
            <v>0</v>
          </cell>
          <cell r="F482">
            <v>0</v>
          </cell>
        </row>
        <row r="483">
          <cell r="A483" t="str">
            <v>-2.육상풍화암</v>
          </cell>
          <cell r="C483">
            <v>20</v>
          </cell>
          <cell r="D483" t="str">
            <v>M3</v>
          </cell>
          <cell r="E483">
            <v>0</v>
          </cell>
          <cell r="F483">
            <v>0</v>
          </cell>
        </row>
        <row r="484">
          <cell r="A484" t="str">
            <v>c.용수토사</v>
          </cell>
          <cell r="E484">
            <v>0</v>
          </cell>
          <cell r="F484">
            <v>0</v>
          </cell>
        </row>
        <row r="485">
          <cell r="A485" t="str">
            <v>-1.용수토사</v>
          </cell>
          <cell r="C485">
            <v>2160</v>
          </cell>
          <cell r="D485" t="str">
            <v>M3</v>
          </cell>
          <cell r="E485">
            <v>0</v>
          </cell>
          <cell r="F485">
            <v>0</v>
          </cell>
        </row>
        <row r="486">
          <cell r="A486" t="str">
            <v>-2.용수토사</v>
          </cell>
          <cell r="C486">
            <v>420</v>
          </cell>
          <cell r="D486" t="str">
            <v>M3</v>
          </cell>
          <cell r="E486">
            <v>0</v>
          </cell>
          <cell r="F486">
            <v>0</v>
          </cell>
        </row>
        <row r="487">
          <cell r="A487" t="str">
            <v>d.용수풍화암</v>
          </cell>
          <cell r="C487">
            <v>310</v>
          </cell>
          <cell r="D487" t="str">
            <v>M3</v>
          </cell>
          <cell r="E487">
            <v>0</v>
          </cell>
          <cell r="F487">
            <v>0</v>
          </cell>
        </row>
        <row r="488">
          <cell r="A488" t="str">
            <v>e.용수발파암</v>
          </cell>
          <cell r="C488">
            <v>490</v>
          </cell>
          <cell r="D488" t="str">
            <v>M3</v>
          </cell>
          <cell r="E488">
            <v>0</v>
          </cell>
          <cell r="F488">
            <v>0</v>
          </cell>
        </row>
        <row r="489">
          <cell r="A489" t="str">
            <v>3.02 되메우기(기계70%,인력30%)</v>
          </cell>
          <cell r="C489">
            <v>1370</v>
          </cell>
          <cell r="D489" t="str">
            <v>M3</v>
          </cell>
          <cell r="E489">
            <v>0</v>
          </cell>
          <cell r="F489">
            <v>0</v>
          </cell>
        </row>
        <row r="490">
          <cell r="A490" t="str">
            <v>3.03 뒷채움 및 다짐</v>
          </cell>
          <cell r="C490">
            <v>611</v>
          </cell>
          <cell r="D490" t="str">
            <v>M3</v>
          </cell>
          <cell r="E490">
            <v>0</v>
          </cell>
          <cell r="F490">
            <v>0</v>
          </cell>
        </row>
        <row r="491">
          <cell r="A491" t="str">
            <v>3.04 면정리및청소</v>
          </cell>
          <cell r="C491">
            <v>525</v>
          </cell>
          <cell r="D491" t="str">
            <v>M2</v>
          </cell>
          <cell r="E491">
            <v>0</v>
          </cell>
          <cell r="F491">
            <v>0</v>
          </cell>
        </row>
        <row r="492">
          <cell r="A492" t="str">
            <v>3.05 앞 성 토</v>
          </cell>
          <cell r="C492">
            <v>50</v>
          </cell>
          <cell r="D492" t="str">
            <v>M3</v>
          </cell>
          <cell r="E492">
            <v>0</v>
          </cell>
          <cell r="F492">
            <v>0</v>
          </cell>
        </row>
        <row r="493">
          <cell r="A493" t="str">
            <v>3.06 세굴방지용사석채움</v>
          </cell>
          <cell r="C493">
            <v>1812</v>
          </cell>
          <cell r="D493" t="str">
            <v>M3</v>
          </cell>
          <cell r="E493">
            <v>0</v>
          </cell>
          <cell r="F493">
            <v>0</v>
          </cell>
        </row>
        <row r="494">
          <cell r="A494" t="str">
            <v>3.07 물 푸 기</v>
          </cell>
          <cell r="C494">
            <v>450</v>
          </cell>
          <cell r="D494" t="str">
            <v>Hr</v>
          </cell>
          <cell r="E494">
            <v>0</v>
          </cell>
          <cell r="F494">
            <v>0</v>
          </cell>
        </row>
        <row r="495">
          <cell r="A495" t="str">
            <v>3.08 콘크리트 타설</v>
          </cell>
          <cell r="E495">
            <v>0</v>
          </cell>
          <cell r="F495">
            <v>0</v>
          </cell>
        </row>
        <row r="496">
          <cell r="A496" t="str">
            <v>a.철       근</v>
          </cell>
          <cell r="C496">
            <v>175</v>
          </cell>
          <cell r="D496" t="str">
            <v>M3</v>
          </cell>
          <cell r="E496">
            <v>0</v>
          </cell>
          <cell r="F496">
            <v>0</v>
          </cell>
        </row>
        <row r="497">
          <cell r="A497" t="str">
            <v>b.무       근</v>
          </cell>
          <cell r="C497">
            <v>80</v>
          </cell>
          <cell r="D497" t="str">
            <v>M3</v>
          </cell>
          <cell r="E497">
            <v>0</v>
          </cell>
          <cell r="F497">
            <v>0</v>
          </cell>
        </row>
        <row r="498">
          <cell r="A498" t="str">
            <v>c.무       근</v>
          </cell>
          <cell r="C498">
            <v>53</v>
          </cell>
          <cell r="D498" t="str">
            <v>M3</v>
          </cell>
          <cell r="E498">
            <v>0</v>
          </cell>
          <cell r="F498">
            <v>0</v>
          </cell>
        </row>
        <row r="499">
          <cell r="A499" t="str">
            <v>d.펌프카 타설</v>
          </cell>
          <cell r="C499">
            <v>2838</v>
          </cell>
          <cell r="D499" t="str">
            <v>M3</v>
          </cell>
          <cell r="E499">
            <v>0</v>
          </cell>
          <cell r="F499">
            <v>0</v>
          </cell>
        </row>
        <row r="500">
          <cell r="A500" t="str">
            <v>e.펌프카 타설</v>
          </cell>
          <cell r="C500">
            <v>84</v>
          </cell>
          <cell r="D500" t="str">
            <v>M3</v>
          </cell>
          <cell r="E500">
            <v>0</v>
          </cell>
          <cell r="F500">
            <v>0</v>
          </cell>
        </row>
        <row r="501">
          <cell r="A501" t="str">
            <v>3.09 무수축 콘크리트</v>
          </cell>
          <cell r="C501">
            <v>10.125999999999999</v>
          </cell>
          <cell r="D501" t="str">
            <v>M3</v>
          </cell>
          <cell r="E501">
            <v>0</v>
          </cell>
          <cell r="F501">
            <v>0</v>
          </cell>
        </row>
        <row r="502">
          <cell r="A502" t="str">
            <v>3.10 무수축 몰탈</v>
          </cell>
          <cell r="C502">
            <v>1.3720000000000001</v>
          </cell>
          <cell r="D502" t="str">
            <v>M3</v>
          </cell>
          <cell r="E502">
            <v>0</v>
          </cell>
          <cell r="F502">
            <v>0</v>
          </cell>
        </row>
        <row r="503">
          <cell r="A503" t="str">
            <v>3.11 거푸집공</v>
          </cell>
          <cell r="E503">
            <v>0</v>
          </cell>
          <cell r="F503">
            <v>0</v>
          </cell>
        </row>
        <row r="504">
          <cell r="A504" t="str">
            <v>a.합판거푸집</v>
          </cell>
          <cell r="E504">
            <v>0</v>
          </cell>
          <cell r="F504">
            <v>0</v>
          </cell>
        </row>
        <row r="505">
          <cell r="A505" t="str">
            <v>-1.거푸집</v>
          </cell>
          <cell r="C505">
            <v>3338</v>
          </cell>
          <cell r="D505" t="str">
            <v>M2</v>
          </cell>
          <cell r="E505">
            <v>0</v>
          </cell>
          <cell r="F505">
            <v>0</v>
          </cell>
        </row>
        <row r="506">
          <cell r="A506" t="str">
            <v>-2.거푸집</v>
          </cell>
          <cell r="C506">
            <v>81</v>
          </cell>
          <cell r="D506" t="str">
            <v>M2</v>
          </cell>
          <cell r="E506">
            <v>0</v>
          </cell>
          <cell r="F506">
            <v>0</v>
          </cell>
        </row>
        <row r="507">
          <cell r="A507" t="str">
            <v>-3.거푸집</v>
          </cell>
          <cell r="C507">
            <v>39</v>
          </cell>
          <cell r="D507" t="str">
            <v>M2</v>
          </cell>
          <cell r="E507">
            <v>0</v>
          </cell>
          <cell r="F507">
            <v>0</v>
          </cell>
        </row>
        <row r="508">
          <cell r="A508" t="str">
            <v>-4.거푸집</v>
          </cell>
          <cell r="C508">
            <v>266</v>
          </cell>
          <cell r="D508" t="str">
            <v>M2</v>
          </cell>
          <cell r="E508">
            <v>0</v>
          </cell>
          <cell r="F508">
            <v>0</v>
          </cell>
        </row>
        <row r="509">
          <cell r="A509" t="str">
            <v>-5.거푸집</v>
          </cell>
          <cell r="C509">
            <v>15</v>
          </cell>
          <cell r="D509" t="str">
            <v>M2</v>
          </cell>
          <cell r="E509">
            <v>0</v>
          </cell>
          <cell r="F509">
            <v>0</v>
          </cell>
        </row>
        <row r="510">
          <cell r="A510" t="str">
            <v>-6.거푸집</v>
          </cell>
          <cell r="C510">
            <v>433</v>
          </cell>
          <cell r="D510" t="str">
            <v>M2</v>
          </cell>
          <cell r="E510">
            <v>0</v>
          </cell>
          <cell r="F510">
            <v>0</v>
          </cell>
        </row>
        <row r="511">
          <cell r="A511" t="str">
            <v>-7.거푸집</v>
          </cell>
          <cell r="C511">
            <v>68</v>
          </cell>
          <cell r="D511" t="str">
            <v>M2</v>
          </cell>
          <cell r="E511">
            <v>0</v>
          </cell>
          <cell r="F511">
            <v>0</v>
          </cell>
        </row>
        <row r="512">
          <cell r="A512" t="str">
            <v>b.PE무늬거푸집</v>
          </cell>
          <cell r="E512">
            <v>0</v>
          </cell>
          <cell r="F512">
            <v>0</v>
          </cell>
        </row>
        <row r="513">
          <cell r="A513" t="str">
            <v>-1.P.E무늬거푸집</v>
          </cell>
          <cell r="C513">
            <v>202</v>
          </cell>
          <cell r="D513" t="str">
            <v>㎡</v>
          </cell>
          <cell r="E513">
            <v>0</v>
          </cell>
          <cell r="F513">
            <v>0</v>
          </cell>
        </row>
        <row r="514">
          <cell r="A514" t="str">
            <v>-2.P.E무늬거푸집</v>
          </cell>
          <cell r="C514">
            <v>4</v>
          </cell>
          <cell r="D514" t="str">
            <v>㎡</v>
          </cell>
          <cell r="E514">
            <v>0</v>
          </cell>
          <cell r="F514">
            <v>0</v>
          </cell>
        </row>
        <row r="515">
          <cell r="A515" t="str">
            <v>c.목재 원형거푸집</v>
          </cell>
          <cell r="E515">
            <v>0</v>
          </cell>
          <cell r="F515">
            <v>0</v>
          </cell>
        </row>
        <row r="516">
          <cell r="A516" t="str">
            <v>-1.원형거푸집</v>
          </cell>
          <cell r="C516">
            <v>264</v>
          </cell>
          <cell r="D516" t="str">
            <v>M2</v>
          </cell>
          <cell r="E516">
            <v>0</v>
          </cell>
          <cell r="F516">
            <v>0</v>
          </cell>
        </row>
        <row r="517">
          <cell r="A517" t="str">
            <v>-2.원형거푸집</v>
          </cell>
          <cell r="C517">
            <v>113</v>
          </cell>
          <cell r="D517" t="str">
            <v>M2</v>
          </cell>
          <cell r="E517">
            <v>0</v>
          </cell>
          <cell r="F517">
            <v>0</v>
          </cell>
        </row>
        <row r="518">
          <cell r="A518" t="str">
            <v>-3.원형거푸집</v>
          </cell>
          <cell r="C518">
            <v>101</v>
          </cell>
          <cell r="D518" t="str">
            <v>M2</v>
          </cell>
          <cell r="E518">
            <v>0</v>
          </cell>
          <cell r="F518">
            <v>0</v>
          </cell>
        </row>
        <row r="519">
          <cell r="A519" t="str">
            <v>-4.원형거푸집</v>
          </cell>
          <cell r="C519">
            <v>9</v>
          </cell>
          <cell r="D519" t="str">
            <v>M2</v>
          </cell>
          <cell r="E519">
            <v>0</v>
          </cell>
          <cell r="F519">
            <v>0</v>
          </cell>
        </row>
        <row r="520">
          <cell r="A520" t="str">
            <v>3.12 동바리</v>
          </cell>
          <cell r="E520">
            <v>0</v>
          </cell>
          <cell r="F520">
            <v>0</v>
          </cell>
        </row>
        <row r="521">
          <cell r="A521" t="str">
            <v>a.동바리</v>
          </cell>
          <cell r="C521">
            <v>1350</v>
          </cell>
          <cell r="D521" t="str">
            <v>공M3</v>
          </cell>
          <cell r="E521">
            <v>0</v>
          </cell>
          <cell r="F521">
            <v>0</v>
          </cell>
        </row>
        <row r="522">
          <cell r="A522" t="str">
            <v>b.동바리</v>
          </cell>
          <cell r="C522">
            <v>360</v>
          </cell>
          <cell r="D522" t="str">
            <v>공M3</v>
          </cell>
          <cell r="E522">
            <v>0</v>
          </cell>
          <cell r="F522">
            <v>0</v>
          </cell>
        </row>
        <row r="523">
          <cell r="A523" t="str">
            <v>c.동바리</v>
          </cell>
          <cell r="C523">
            <v>981</v>
          </cell>
          <cell r="D523" t="str">
            <v>공M3</v>
          </cell>
          <cell r="E523">
            <v>0</v>
          </cell>
          <cell r="F523">
            <v>0</v>
          </cell>
        </row>
        <row r="524">
          <cell r="A524" t="str">
            <v>d.동바리 수평연결재</v>
          </cell>
          <cell r="C524">
            <v>390</v>
          </cell>
          <cell r="D524" t="str">
            <v>M2</v>
          </cell>
          <cell r="E524">
            <v>0</v>
          </cell>
          <cell r="F524">
            <v>0</v>
          </cell>
        </row>
        <row r="525">
          <cell r="A525" t="str">
            <v>3.13 비계</v>
          </cell>
          <cell r="C525">
            <v>2450</v>
          </cell>
          <cell r="D525" t="str">
            <v>M2</v>
          </cell>
          <cell r="E525">
            <v>0</v>
          </cell>
          <cell r="F525">
            <v>0</v>
          </cell>
        </row>
        <row r="526">
          <cell r="A526" t="str">
            <v>3.14 모따기</v>
          </cell>
          <cell r="C526">
            <v>756</v>
          </cell>
          <cell r="D526" t="str">
            <v>M</v>
          </cell>
          <cell r="E526">
            <v>0</v>
          </cell>
          <cell r="F526">
            <v>0</v>
          </cell>
        </row>
        <row r="527">
          <cell r="A527" t="str">
            <v>3.15 신축이음장치</v>
          </cell>
          <cell r="E527">
            <v>0</v>
          </cell>
          <cell r="F527">
            <v>0</v>
          </cell>
        </row>
        <row r="528">
          <cell r="A528" t="str">
            <v>a.신축이음장치</v>
          </cell>
          <cell r="C528">
            <v>19</v>
          </cell>
          <cell r="D528" t="str">
            <v>M</v>
          </cell>
          <cell r="E528">
            <v>0</v>
          </cell>
          <cell r="F528">
            <v>0</v>
          </cell>
        </row>
        <row r="529">
          <cell r="A529" t="str">
            <v>b.신축이음장치</v>
          </cell>
          <cell r="C529">
            <v>19</v>
          </cell>
          <cell r="D529" t="str">
            <v>M</v>
          </cell>
          <cell r="E529">
            <v>0</v>
          </cell>
          <cell r="F529">
            <v>0</v>
          </cell>
        </row>
        <row r="530">
          <cell r="A530" t="str">
            <v>3.16 교명주(화강석)</v>
          </cell>
          <cell r="C530">
            <v>4</v>
          </cell>
          <cell r="D530" t="str">
            <v>EA</v>
          </cell>
          <cell r="E530">
            <v>0</v>
          </cell>
          <cell r="F530">
            <v>0</v>
          </cell>
        </row>
        <row r="531">
          <cell r="A531" t="str">
            <v>3.17 교명판및설명판</v>
          </cell>
          <cell r="E531">
            <v>0</v>
          </cell>
          <cell r="F531">
            <v>0</v>
          </cell>
        </row>
        <row r="532">
          <cell r="A532" t="str">
            <v>a.교명판</v>
          </cell>
          <cell r="C532">
            <v>2</v>
          </cell>
          <cell r="D532" t="str">
            <v>EA</v>
          </cell>
          <cell r="E532">
            <v>0</v>
          </cell>
          <cell r="F532">
            <v>0</v>
          </cell>
        </row>
        <row r="533">
          <cell r="A533" t="str">
            <v>b.설명판</v>
          </cell>
          <cell r="C533">
            <v>2</v>
          </cell>
          <cell r="D533" t="str">
            <v>EA</v>
          </cell>
          <cell r="E533">
            <v>0</v>
          </cell>
          <cell r="F533">
            <v>0</v>
          </cell>
        </row>
        <row r="534">
          <cell r="A534" t="str">
            <v>3.18 표면처리</v>
          </cell>
        </row>
        <row r="535">
          <cell r="A535" t="str">
            <v>a.슬라브 양생</v>
          </cell>
        </row>
        <row r="536">
          <cell r="A536" t="str">
            <v>b.데크휘니샤 면고르기</v>
          </cell>
        </row>
        <row r="537">
          <cell r="A537" t="str">
            <v>3.19 교면방수</v>
          </cell>
        </row>
        <row r="538">
          <cell r="A538" t="str">
            <v>3.20 배면방수</v>
          </cell>
        </row>
        <row r="539">
          <cell r="A539" t="str">
            <v>3.21 전선관부설</v>
          </cell>
        </row>
        <row r="540">
          <cell r="A540" t="str">
            <v>3.22 T.B.M 설치</v>
          </cell>
        </row>
        <row r="541">
          <cell r="A541" t="str">
            <v>3.23 낙하물 방지공</v>
          </cell>
        </row>
        <row r="542">
          <cell r="A542" t="str">
            <v>3.24 방호벽</v>
          </cell>
        </row>
        <row r="543">
          <cell r="A543" t="str">
            <v>3.25 중앙분리대</v>
          </cell>
        </row>
        <row r="544">
          <cell r="A544" t="str">
            <v>3.26 NOTCH  설치</v>
          </cell>
        </row>
        <row r="545">
          <cell r="A545" t="str">
            <v>3.27 교량유지관리용표지판</v>
          </cell>
        </row>
        <row r="546">
          <cell r="A546" t="str">
            <v>a.강교용</v>
          </cell>
        </row>
        <row r="547">
          <cell r="A547" t="str">
            <v>b.교각,교 대 용</v>
          </cell>
        </row>
        <row r="548">
          <cell r="A548" t="str">
            <v>3.28 스페이서 설치</v>
          </cell>
        </row>
        <row r="549">
          <cell r="A549" t="str">
            <v>a.스페이서 설치</v>
          </cell>
        </row>
        <row r="550">
          <cell r="A550" t="str">
            <v>b.스페이서 설치</v>
          </cell>
        </row>
        <row r="551">
          <cell r="A551" t="str">
            <v>3.29 철근가공 및 조립</v>
          </cell>
        </row>
        <row r="552">
          <cell r="A552" t="str">
            <v>a.보       통</v>
          </cell>
        </row>
        <row r="553">
          <cell r="A553" t="str">
            <v>b.복       잡</v>
          </cell>
        </row>
        <row r="554">
          <cell r="A554" t="str">
            <v>c.매 우 복 잡</v>
          </cell>
        </row>
        <row r="555">
          <cell r="A555" t="str">
            <v>3.30 교량유지관리점검시설</v>
          </cell>
        </row>
        <row r="556">
          <cell r="A556" t="str">
            <v>a.교대부</v>
          </cell>
        </row>
        <row r="557">
          <cell r="A557" t="str">
            <v>b.교각부(P1)</v>
          </cell>
        </row>
        <row r="558">
          <cell r="A558" t="str">
            <v>c.교각부(P2)</v>
          </cell>
        </row>
        <row r="559">
          <cell r="A559" t="str">
            <v>3.31 배수시설공</v>
          </cell>
        </row>
        <row r="560">
          <cell r="A560" t="str">
            <v>a.교량배수물배기공</v>
          </cell>
        </row>
        <row r="561">
          <cell r="A561" t="str">
            <v>b.하층줄눈(성형)</v>
          </cell>
        </row>
        <row r="562">
          <cell r="A562" t="str">
            <v>c.상층줄눈(주입)</v>
          </cell>
        </row>
        <row r="563">
          <cell r="A563" t="str">
            <v>d.표면처리(방수)</v>
          </cell>
        </row>
        <row r="564">
          <cell r="A564" t="str">
            <v>e.하천용 집수구(스턴레스)</v>
          </cell>
        </row>
        <row r="565">
          <cell r="A565" t="str">
            <v>f.교량배수용강관(하천용)</v>
          </cell>
        </row>
        <row r="566">
          <cell r="A566" t="str">
            <v>g.이음부(스텐레스)</v>
          </cell>
        </row>
        <row r="567">
          <cell r="A567" t="str">
            <v>h.곡관(스텐레스)</v>
          </cell>
        </row>
        <row r="568">
          <cell r="A568" t="str">
            <v>3.32 옹벽배수시설</v>
          </cell>
        </row>
        <row r="569">
          <cell r="A569" t="str">
            <v>a.DRAIN BOARD</v>
          </cell>
        </row>
        <row r="570">
          <cell r="A570" t="str">
            <v>b.PVC PIPE</v>
          </cell>
        </row>
        <row r="571">
          <cell r="A571" t="str">
            <v>c.부직포</v>
          </cell>
        </row>
        <row r="572">
          <cell r="A572" t="str">
            <v>3.33 DOWEL BAR 설치</v>
          </cell>
        </row>
        <row r="573">
          <cell r="A573" t="str">
            <v>3.34 스치로폴</v>
          </cell>
        </row>
        <row r="574">
          <cell r="A574" t="str">
            <v>3.35 교량받침</v>
          </cell>
        </row>
        <row r="575">
          <cell r="A575" t="str">
            <v>a.교좌장치(일방향)POT</v>
          </cell>
        </row>
        <row r="576">
          <cell r="A576" t="str">
            <v>b.교좌장치(양방향)POT</v>
          </cell>
        </row>
        <row r="577">
          <cell r="A577" t="str">
            <v>c.교좌장치(일방향)POT</v>
          </cell>
        </row>
        <row r="578">
          <cell r="A578" t="str">
            <v>d.교좌장치(양방향)POT</v>
          </cell>
        </row>
        <row r="579">
          <cell r="A579" t="str">
            <v>e.교좌장치(고정단)POT</v>
          </cell>
        </row>
        <row r="580">
          <cell r="A580" t="str">
            <v>f.교좌장치(일방향)POT</v>
          </cell>
        </row>
        <row r="581">
          <cell r="A581" t="str">
            <v>g.교좌장치(양방향)POT</v>
          </cell>
        </row>
        <row r="582">
          <cell r="A582" t="str">
            <v>h.교좌장치(고정단)POT</v>
          </cell>
        </row>
        <row r="583">
          <cell r="A583" t="str">
            <v>3.36 강   교</v>
          </cell>
        </row>
        <row r="584">
          <cell r="A584" t="str">
            <v>a.강교제작(산수2교)</v>
          </cell>
        </row>
        <row r="585">
          <cell r="A585" t="str">
            <v>b.강교운반(산수2교)</v>
          </cell>
        </row>
        <row r="586">
          <cell r="A586" t="str">
            <v>c.강교가설(산수2교)</v>
          </cell>
        </row>
        <row r="587">
          <cell r="A587" t="str">
            <v>3.37 강교 도장</v>
          </cell>
        </row>
        <row r="588">
          <cell r="A588" t="str">
            <v>a.내부도장</v>
          </cell>
        </row>
        <row r="589">
          <cell r="A589" t="str">
            <v>b.외부포장면도장</v>
          </cell>
        </row>
        <row r="590">
          <cell r="A590" t="str">
            <v>c.연결판도장</v>
          </cell>
        </row>
        <row r="591">
          <cell r="A591" t="str">
            <v>d.외부도장</v>
          </cell>
        </row>
        <row r="592">
          <cell r="A592" t="str">
            <v>e.외부도장</v>
          </cell>
        </row>
        <row r="593">
          <cell r="A593" t="str">
            <v>f.내부볼트및연결판도장</v>
          </cell>
        </row>
        <row r="594">
          <cell r="A594" t="str">
            <v>g.외부볼트및연결판도장</v>
          </cell>
        </row>
        <row r="595">
          <cell r="A595" t="str">
            <v>3.38 강교 비파괴 검사비</v>
          </cell>
        </row>
        <row r="596">
          <cell r="A596" t="str">
            <v>a.강교 비파괴 검사비</v>
          </cell>
        </row>
        <row r="597">
          <cell r="A597" t="str">
            <v>b.강교 비파괴 검사비</v>
          </cell>
        </row>
        <row r="598">
          <cell r="A598" t="str">
            <v>c.강교 비파괴 검사비</v>
          </cell>
        </row>
        <row r="599">
          <cell r="A599" t="str">
            <v>3.39 보강토옹벽공</v>
          </cell>
        </row>
        <row r="600">
          <cell r="A600" t="str">
            <v>a.잔토처리</v>
          </cell>
        </row>
        <row r="601">
          <cell r="A601" t="str">
            <v>b.노  체</v>
          </cell>
        </row>
        <row r="602">
          <cell r="A602" t="str">
            <v>c.속채움골재</v>
          </cell>
        </row>
        <row r="603">
          <cell r="A603" t="str">
            <v>d.기초잡석깔기</v>
          </cell>
        </row>
        <row r="604">
          <cell r="A604" t="str">
            <v>e.블럭식 보강토 옹벽쌓기</v>
          </cell>
        </row>
        <row r="605">
          <cell r="A605" t="str">
            <v>f.블럭식 보강토 옹벽쌓기</v>
          </cell>
        </row>
        <row r="606">
          <cell r="A606" t="str">
            <v>g.지오그리드 설치</v>
          </cell>
        </row>
        <row r="607">
          <cell r="A607" t="str">
            <v>3.40 가시설공</v>
          </cell>
        </row>
        <row r="608">
          <cell r="A608" t="str">
            <v>a.토사천공(φ16" 3 WING BIT)</v>
          </cell>
        </row>
        <row r="609">
          <cell r="A609" t="str">
            <v>b.풍화암천공(φ16" 3 WING BIT)</v>
          </cell>
        </row>
        <row r="610">
          <cell r="A610" t="str">
            <v>c.연암천공(T-4)</v>
          </cell>
        </row>
        <row r="611">
          <cell r="A611" t="str">
            <v>d.SHEET PILE 천공후 항타및항발</v>
          </cell>
        </row>
        <row r="612">
          <cell r="A612" t="str">
            <v>e.버팀보 제작</v>
          </cell>
        </row>
        <row r="613">
          <cell r="A613" t="str">
            <v>f.버팀보 설치 (9∼11m)</v>
          </cell>
        </row>
        <row r="614">
          <cell r="A614" t="str">
            <v>g.버팀보 철거 (9∼11m)</v>
          </cell>
        </row>
        <row r="615">
          <cell r="A615" t="str">
            <v>h.CORNER STRUT 제작</v>
          </cell>
        </row>
        <row r="616">
          <cell r="A616" t="str">
            <v>i.CORNER STRUT 설치 (3∼5m)</v>
          </cell>
        </row>
        <row r="617">
          <cell r="A617" t="str">
            <v>j.CORNER STRUT 철거 (3∼5m)</v>
          </cell>
        </row>
        <row r="618">
          <cell r="A618" t="str">
            <v>k.CORNER STRUT 설치 (6∼8m)</v>
          </cell>
        </row>
        <row r="619">
          <cell r="A619" t="str">
            <v>l.CORNER STRUT 철거 (6∼8m)</v>
          </cell>
        </row>
        <row r="620">
          <cell r="A620" t="str">
            <v>m.JACK 설치해체</v>
          </cell>
        </row>
        <row r="621">
          <cell r="A621" t="str">
            <v>n.보걸이설치</v>
          </cell>
        </row>
        <row r="622">
          <cell r="A622" t="str">
            <v>o.보걸이철거</v>
          </cell>
        </row>
        <row r="623">
          <cell r="A623" t="str">
            <v>p.띠장설치</v>
          </cell>
        </row>
        <row r="624">
          <cell r="A624" t="str">
            <v>q.띠장철거</v>
          </cell>
        </row>
        <row r="625">
          <cell r="A625" t="str">
            <v>r.띠장연결</v>
          </cell>
        </row>
        <row r="626">
          <cell r="A626" t="str">
            <v>s.피스브라켓 설치 및 철거</v>
          </cell>
        </row>
        <row r="627">
          <cell r="A627" t="str">
            <v>t.H-PILE항타(300x300x10x15)</v>
          </cell>
        </row>
        <row r="628">
          <cell r="A628" t="str">
            <v>u.H-PILE항발(300x300x10x15)</v>
          </cell>
        </row>
        <row r="629">
          <cell r="A629" t="str">
            <v>v.BRACING BEAM 설치 (3∼5m)</v>
          </cell>
        </row>
        <row r="630">
          <cell r="A630" t="str">
            <v>w.BRACING BEAM 철거 (3∼5m)</v>
          </cell>
        </row>
        <row r="631">
          <cell r="A631" t="str">
            <v>x.BRACING BEAM 설치 (6∼8m)</v>
          </cell>
        </row>
        <row r="632">
          <cell r="A632" t="str">
            <v>y.BRACING BEAM 철거 (6∼8m)</v>
          </cell>
        </row>
        <row r="633">
          <cell r="A633" t="str">
            <v>z.L형강 설치</v>
          </cell>
        </row>
        <row r="634">
          <cell r="A634" t="str">
            <v>aa.L형강 철거</v>
          </cell>
        </row>
        <row r="635">
          <cell r="A635" t="str">
            <v>ab.구조용H형강</v>
          </cell>
        </row>
        <row r="636">
          <cell r="A636" t="str">
            <v>ac.구조용H형강</v>
          </cell>
        </row>
        <row r="637">
          <cell r="A637" t="str">
            <v>ad.강널말뚝</v>
          </cell>
        </row>
        <row r="638">
          <cell r="A638" t="str">
            <v>ae.강재 및 형강운반비</v>
          </cell>
        </row>
        <row r="639">
          <cell r="A639" t="str">
            <v>3.41 점검등설비공사(산수2교)</v>
          </cell>
        </row>
        <row r="640">
          <cell r="A640" t="str">
            <v>3.42 한전인입비(산수2교)</v>
          </cell>
        </row>
        <row r="641">
          <cell r="A641" t="str">
            <v>D.대곡보도육교(S.T.RAHMEM)</v>
          </cell>
        </row>
        <row r="642">
          <cell r="A642" t="str">
            <v>3.01.터 파 기</v>
          </cell>
        </row>
        <row r="643">
          <cell r="A643" t="str">
            <v>a.육상토사</v>
          </cell>
        </row>
        <row r="644">
          <cell r="A644" t="str">
            <v>3.02 되메우기(기계70%,인력30%)</v>
          </cell>
        </row>
        <row r="645">
          <cell r="A645" t="str">
            <v>3.03 콘크리트 타설</v>
          </cell>
        </row>
        <row r="646">
          <cell r="A646" t="str">
            <v>a.무      근</v>
          </cell>
        </row>
        <row r="647">
          <cell r="A647" t="str">
            <v>b.펌프카타설</v>
          </cell>
        </row>
        <row r="648">
          <cell r="A648" t="str">
            <v>3.04 무수축 몰탈</v>
          </cell>
        </row>
        <row r="649">
          <cell r="A649" t="str">
            <v>3.05 거푸집공</v>
          </cell>
        </row>
        <row r="650">
          <cell r="A650" t="str">
            <v>a.합판거푸집</v>
          </cell>
        </row>
        <row r="651">
          <cell r="A651" t="str">
            <v>-1.거푸집</v>
          </cell>
        </row>
        <row r="652">
          <cell r="A652" t="str">
            <v>-2.거푸집</v>
          </cell>
        </row>
        <row r="653">
          <cell r="A653" t="str">
            <v>3.06 모따기</v>
          </cell>
        </row>
        <row r="654">
          <cell r="A654" t="str">
            <v>3.07 T.B.M 설치</v>
          </cell>
        </row>
        <row r="655">
          <cell r="A655" t="str">
            <v>3.08 스페이서 설치</v>
          </cell>
        </row>
        <row r="656">
          <cell r="A656" t="str">
            <v>3.09 화강석포장</v>
          </cell>
        </row>
        <row r="657">
          <cell r="A657" t="str">
            <v>3.10 교면방수</v>
          </cell>
        </row>
        <row r="658">
          <cell r="A658" t="str">
            <v>3.11 철근가공 및 조립</v>
          </cell>
        </row>
        <row r="659">
          <cell r="A659" t="str">
            <v>a.보       통</v>
          </cell>
        </row>
        <row r="660">
          <cell r="A660" t="str">
            <v>3.12 배수시설공</v>
          </cell>
        </row>
        <row r="661">
          <cell r="A661" t="str">
            <v>a.육교용 집수구(스턴레스)</v>
          </cell>
        </row>
        <row r="662">
          <cell r="A662" t="str">
            <v>b.육교용 이음부(스텐레스)</v>
          </cell>
        </row>
        <row r="663">
          <cell r="A663" t="str">
            <v>c.배수용용강관(육교용)</v>
          </cell>
        </row>
        <row r="664">
          <cell r="A664" t="str">
            <v>3.13 육교용난간</v>
          </cell>
        </row>
        <row r="665">
          <cell r="A665" t="str">
            <v>3.14 강관말뚝</v>
          </cell>
        </row>
        <row r="666">
          <cell r="A666" t="str">
            <v>a.강관말뚝-자재비</v>
          </cell>
        </row>
        <row r="667">
          <cell r="A667" t="str">
            <v>b.S.I.P</v>
          </cell>
        </row>
        <row r="668">
          <cell r="A668" t="str">
            <v>c.강관파일 두부보강(볼트식)</v>
          </cell>
        </row>
        <row r="669">
          <cell r="A669" t="str">
            <v>d.선단 보강</v>
          </cell>
        </row>
        <row r="670">
          <cell r="A670" t="str">
            <v>3.15 강   교</v>
          </cell>
        </row>
        <row r="671">
          <cell r="A671" t="str">
            <v>a.강교제작(대곡보도육교)</v>
          </cell>
        </row>
        <row r="672">
          <cell r="A672" t="str">
            <v>b.강교운반(대곡보도육교)</v>
          </cell>
        </row>
        <row r="673">
          <cell r="A673" t="str">
            <v>c.강교가설(대곡보도육교)</v>
          </cell>
        </row>
        <row r="674">
          <cell r="A674" t="str">
            <v>3.16 강교 도장</v>
          </cell>
        </row>
        <row r="675">
          <cell r="A675" t="str">
            <v>a.내부도장</v>
          </cell>
        </row>
        <row r="676">
          <cell r="A676" t="str">
            <v>b.외부포장면도장</v>
          </cell>
        </row>
        <row r="677">
          <cell r="A677" t="str">
            <v>c.연결판도장</v>
          </cell>
        </row>
        <row r="678">
          <cell r="A678" t="str">
            <v>d.외부도장</v>
          </cell>
        </row>
        <row r="679">
          <cell r="A679" t="str">
            <v>e.외부도장</v>
          </cell>
        </row>
        <row r="680">
          <cell r="A680" t="str">
            <v>f.내부볼트및연결판도장</v>
          </cell>
        </row>
        <row r="681">
          <cell r="A681" t="str">
            <v>g.외부볼트및연결판도장</v>
          </cell>
        </row>
        <row r="682">
          <cell r="A682" t="str">
            <v>3.17 강교 비파괴 검사비</v>
          </cell>
        </row>
        <row r="683">
          <cell r="A683" t="str">
            <v>a.강교 비파괴 검사비</v>
          </cell>
        </row>
        <row r="684">
          <cell r="A684" t="str">
            <v>b.강교 비파괴 검사비</v>
          </cell>
        </row>
        <row r="685">
          <cell r="A685" t="str">
            <v>3.18 칼라투수콘포장</v>
          </cell>
        </row>
        <row r="686">
          <cell r="A686" t="str">
            <v>3.19가로등설비공사(보도육교)</v>
          </cell>
        </row>
        <row r="687">
          <cell r="A687" t="str">
            <v>3.20한전인입비(보도육교)</v>
          </cell>
        </row>
        <row r="688">
          <cell r="A688" t="str">
            <v>E.송덕암교(R.C 라멘교)</v>
          </cell>
        </row>
        <row r="689">
          <cell r="A689" t="str">
            <v>3.01 터 파 기</v>
          </cell>
        </row>
        <row r="690">
          <cell r="A690" t="str">
            <v>a.육상토사</v>
          </cell>
        </row>
        <row r="691">
          <cell r="A691" t="str">
            <v>b 육상풍화암</v>
          </cell>
        </row>
        <row r="692">
          <cell r="A692" t="str">
            <v>3.02 되메우기(기계70%,인력30%)</v>
          </cell>
        </row>
        <row r="693">
          <cell r="A693" t="str">
            <v>3.03 뒷채움 및 다짐</v>
          </cell>
        </row>
        <row r="694">
          <cell r="A694" t="str">
            <v>3.04 콘크리트 타설</v>
          </cell>
        </row>
        <row r="695">
          <cell r="A695" t="str">
            <v>a.철       근</v>
          </cell>
        </row>
        <row r="696">
          <cell r="A696" t="str">
            <v>b.무       근</v>
          </cell>
        </row>
        <row r="697">
          <cell r="A697" t="str">
            <v>c.펌프카 타설</v>
          </cell>
        </row>
        <row r="698">
          <cell r="A698" t="str">
            <v>3.05 무수축 콘크리트</v>
          </cell>
        </row>
        <row r="699">
          <cell r="A699" t="str">
            <v>3.06 거푸집공</v>
          </cell>
        </row>
        <row r="700">
          <cell r="A700" t="str">
            <v>a.합판거푸집</v>
          </cell>
        </row>
        <row r="701">
          <cell r="A701" t="str">
            <v>-1.거푸집</v>
          </cell>
        </row>
        <row r="702">
          <cell r="A702" t="str">
            <v>-2.거푸집</v>
          </cell>
        </row>
        <row r="703">
          <cell r="A703" t="str">
            <v>-3.거푸집</v>
          </cell>
        </row>
        <row r="704">
          <cell r="A704" t="str">
            <v>b.P.E무늬거푸집</v>
          </cell>
        </row>
        <row r="705">
          <cell r="A705" t="str">
            <v>3.07 동바리</v>
          </cell>
        </row>
        <row r="706">
          <cell r="A706" t="str">
            <v>a.동바리</v>
          </cell>
        </row>
        <row r="707">
          <cell r="A707" t="str">
            <v>b.동바리</v>
          </cell>
        </row>
        <row r="708">
          <cell r="A708" t="str">
            <v>c.강재 동바리공</v>
          </cell>
        </row>
        <row r="709">
          <cell r="A709" t="str">
            <v>d.동바리 수평연결재</v>
          </cell>
        </row>
        <row r="710">
          <cell r="A710" t="str">
            <v>3.08 비계</v>
          </cell>
        </row>
        <row r="711">
          <cell r="A711" t="str">
            <v>3.09 모따기</v>
          </cell>
        </row>
        <row r="712">
          <cell r="A712" t="str">
            <v>3.10 교명주(화강석)</v>
          </cell>
        </row>
        <row r="713">
          <cell r="A713" t="str">
            <v>3.11 교명판및설명판</v>
          </cell>
        </row>
        <row r="714">
          <cell r="A714" t="str">
            <v>a.교명판</v>
          </cell>
        </row>
        <row r="715">
          <cell r="A715" t="str">
            <v>b.설명판</v>
          </cell>
        </row>
        <row r="716">
          <cell r="A716" t="str">
            <v>3.12 표면처리</v>
          </cell>
        </row>
        <row r="717">
          <cell r="A717" t="str">
            <v>a.슬라브 양생</v>
          </cell>
        </row>
        <row r="718">
          <cell r="A718" t="str">
            <v>b.데크휘니샤 면고르기</v>
          </cell>
        </row>
        <row r="719">
          <cell r="A719" t="str">
            <v>3.13 교면방수</v>
          </cell>
        </row>
        <row r="720">
          <cell r="A720" t="str">
            <v>3.14 배면방수</v>
          </cell>
        </row>
        <row r="721">
          <cell r="A721" t="str">
            <v>3.15 전선관부설</v>
          </cell>
        </row>
        <row r="722">
          <cell r="A722" t="str">
            <v>3.16 T.B.M 설치</v>
          </cell>
        </row>
        <row r="723">
          <cell r="A723" t="str">
            <v>3.17 방 호 벽</v>
          </cell>
        </row>
        <row r="724">
          <cell r="A724" t="str">
            <v>a.방호벽(TYPE-2)</v>
          </cell>
        </row>
        <row r="725">
          <cell r="A725" t="str">
            <v>b.방호벽(TYPE-3)</v>
          </cell>
        </row>
        <row r="726">
          <cell r="A726" t="str">
            <v>3.18 중앙분리대</v>
          </cell>
        </row>
        <row r="727">
          <cell r="A727" t="str">
            <v>3.19 스페이서 설치</v>
          </cell>
        </row>
        <row r="728">
          <cell r="A728" t="str">
            <v>a.스페이서 설치</v>
          </cell>
        </row>
        <row r="729">
          <cell r="A729" t="str">
            <v>b.스페이서 설치</v>
          </cell>
        </row>
        <row r="730">
          <cell r="A730" t="str">
            <v>3.20 철근가공 및 조립</v>
          </cell>
        </row>
        <row r="731">
          <cell r="A731" t="str">
            <v>a.보       통</v>
          </cell>
        </row>
        <row r="732">
          <cell r="A732" t="str">
            <v>b.복       잡</v>
          </cell>
        </row>
        <row r="733">
          <cell r="A733" t="str">
            <v>3.21 배수시설공</v>
          </cell>
        </row>
        <row r="734">
          <cell r="A734" t="str">
            <v>a.교량배수물배기공</v>
          </cell>
        </row>
        <row r="735">
          <cell r="A735" t="str">
            <v>b.하층줄눈(성형)</v>
          </cell>
        </row>
        <row r="736">
          <cell r="A736" t="str">
            <v>c.상층줄눈(주입)</v>
          </cell>
        </row>
        <row r="737">
          <cell r="A737" t="str">
            <v>d.표면처리(방수)</v>
          </cell>
        </row>
        <row r="738">
          <cell r="A738" t="str">
            <v>e.하천용 집수구(스턴레스)</v>
          </cell>
        </row>
        <row r="739">
          <cell r="A739" t="str">
            <v>f.교량배수용강관(하천용)</v>
          </cell>
        </row>
        <row r="740">
          <cell r="A740" t="str">
            <v>g.이음부(스텐레스)</v>
          </cell>
        </row>
        <row r="741">
          <cell r="A741" t="str">
            <v>3.22 DOWEL BAR 설치</v>
          </cell>
        </row>
        <row r="742">
          <cell r="A742" t="str">
            <v>3.23 스치로폴</v>
          </cell>
        </row>
        <row r="743">
          <cell r="A743" t="str">
            <v>a.스치로폴</v>
          </cell>
        </row>
        <row r="744">
          <cell r="A744" t="str">
            <v>b.스치로폴</v>
          </cell>
        </row>
        <row r="745">
          <cell r="A745" t="str">
            <v>3.24 교량난간</v>
          </cell>
        </row>
        <row r="746">
          <cell r="A746" t="str">
            <v>F.옹벽공</v>
          </cell>
        </row>
        <row r="747">
          <cell r="A747" t="str">
            <v>3.01 구조물 터파기</v>
          </cell>
        </row>
        <row r="748">
          <cell r="A748" t="str">
            <v>3.02 되메우기(기계70%,인력30%)</v>
          </cell>
        </row>
        <row r="749">
          <cell r="A749" t="str">
            <v>3.03 물 푸 기</v>
          </cell>
        </row>
        <row r="750">
          <cell r="A750" t="str">
            <v>3.04 콘크리트 타설</v>
          </cell>
        </row>
        <row r="751">
          <cell r="A751" t="str">
            <v>a.무      근</v>
          </cell>
        </row>
        <row r="752">
          <cell r="A752" t="str">
            <v>b.무      근</v>
          </cell>
        </row>
        <row r="753">
          <cell r="A753" t="str">
            <v>c.펌프카 타설</v>
          </cell>
        </row>
        <row r="754">
          <cell r="A754" t="str">
            <v>3.05 거푸집공</v>
          </cell>
        </row>
        <row r="755">
          <cell r="A755" t="str">
            <v>a.합판거푸집</v>
          </cell>
        </row>
        <row r="756">
          <cell r="A756" t="str">
            <v>-1.거푸집</v>
          </cell>
        </row>
        <row r="757">
          <cell r="A757" t="str">
            <v>-2.거푸집</v>
          </cell>
        </row>
        <row r="758">
          <cell r="A758" t="str">
            <v>-3.거푸집</v>
          </cell>
        </row>
        <row r="759">
          <cell r="A759" t="str">
            <v>3.06 동바리</v>
          </cell>
        </row>
        <row r="760">
          <cell r="A760" t="str">
            <v>3.07 비계</v>
          </cell>
        </row>
        <row r="761">
          <cell r="A761" t="str">
            <v>3.08 모따기</v>
          </cell>
        </row>
        <row r="762">
          <cell r="A762" t="str">
            <v>3.09 스페이서 설치</v>
          </cell>
        </row>
        <row r="763">
          <cell r="A763" t="str">
            <v>a.스페이서 설치</v>
          </cell>
        </row>
        <row r="764">
          <cell r="A764" t="str">
            <v>b.스페이서 설치</v>
          </cell>
        </row>
        <row r="765">
          <cell r="A765" t="str">
            <v>3.10 철근가공조립</v>
          </cell>
        </row>
        <row r="766">
          <cell r="A766" t="str">
            <v>3.11 옹벽배수시설</v>
          </cell>
        </row>
        <row r="767">
          <cell r="A767" t="str">
            <v>a.DRAIN BOARD</v>
          </cell>
        </row>
        <row r="768">
          <cell r="A768" t="str">
            <v>b.배수 PVC PIPE</v>
          </cell>
        </row>
        <row r="769">
          <cell r="A769" t="str">
            <v>3.12 다웰바 설치(D=32M/M)</v>
          </cell>
        </row>
        <row r="770">
          <cell r="A770" t="str">
            <v>3.13 실런트</v>
          </cell>
        </row>
        <row r="771">
          <cell r="A771" t="str">
            <v>3.14 스치로폴</v>
          </cell>
        </row>
        <row r="772">
          <cell r="A772" t="str">
            <v>3.15 가시설</v>
          </cell>
        </row>
        <row r="773">
          <cell r="A773" t="str">
            <v>a.H-PILE항타(300x300x10x15)</v>
          </cell>
        </row>
        <row r="774">
          <cell r="A774" t="str">
            <v>b.H-PILE항발(300x300x10x15)</v>
          </cell>
        </row>
        <row r="775">
          <cell r="A775" t="str">
            <v>c.RAKER 제작</v>
          </cell>
        </row>
        <row r="776">
          <cell r="A776" t="str">
            <v>d.RAKER 설치 (6∼8m)</v>
          </cell>
        </row>
        <row r="777">
          <cell r="A777" t="str">
            <v>e.RAKER 철거 (6∼8m)</v>
          </cell>
        </row>
        <row r="778">
          <cell r="A778" t="str">
            <v>f.JACK 설치해체</v>
          </cell>
        </row>
        <row r="779">
          <cell r="A779" t="str">
            <v>g.보걸이설치</v>
          </cell>
        </row>
        <row r="780">
          <cell r="A780" t="str">
            <v>h.보걸이철거</v>
          </cell>
        </row>
        <row r="781">
          <cell r="A781" t="str">
            <v>i.띠장설치</v>
          </cell>
        </row>
        <row r="782">
          <cell r="A782" t="str">
            <v>j.띠장철거</v>
          </cell>
        </row>
        <row r="783">
          <cell r="A783" t="str">
            <v>k.토류판 설치</v>
          </cell>
        </row>
        <row r="784">
          <cell r="A784" t="str">
            <v>l.토류판 철거</v>
          </cell>
        </row>
        <row r="785">
          <cell r="A785" t="str">
            <v>m.구조용H형강</v>
          </cell>
        </row>
        <row r="786">
          <cell r="A786" t="str">
            <v>n.구조용H형강</v>
          </cell>
        </row>
        <row r="787">
          <cell r="A787" t="str">
            <v>3.16 부직포</v>
          </cell>
        </row>
        <row r="788">
          <cell r="A788" t="str">
            <v>3.17 기초잡석깔기</v>
          </cell>
        </row>
        <row r="789">
          <cell r="A789" t="str">
            <v>G.블럭식보강옹벽</v>
          </cell>
        </row>
        <row r="790">
          <cell r="A790" t="str">
            <v>3.01 구조물 터파기</v>
          </cell>
        </row>
        <row r="791">
          <cell r="A791" t="str">
            <v>a.육상토사</v>
          </cell>
        </row>
        <row r="792">
          <cell r="A792" t="str">
            <v>b.육상풍화암</v>
          </cell>
        </row>
        <row r="793">
          <cell r="A793" t="str">
            <v>c.육상발파암</v>
          </cell>
        </row>
        <row r="794">
          <cell r="A794" t="str">
            <v>3.02 되메우기(기계70%,인력30%)</v>
          </cell>
        </row>
        <row r="795">
          <cell r="A795" t="str">
            <v>3.03 성토(노  체)</v>
          </cell>
        </row>
        <row r="796">
          <cell r="A796" t="str">
            <v>3.04 기초잡석깔기</v>
          </cell>
        </row>
        <row r="797">
          <cell r="A797" t="str">
            <v>3.05 속채움골재</v>
          </cell>
        </row>
        <row r="798">
          <cell r="A798" t="str">
            <v>3.06 블럭쌓기</v>
          </cell>
        </row>
        <row r="799">
          <cell r="A799" t="str">
            <v>3.07 블럭쌓기</v>
          </cell>
        </row>
        <row r="800">
          <cell r="A800" t="str">
            <v>3.08 지오그리드 설치</v>
          </cell>
        </row>
        <row r="801">
          <cell r="A801" t="str">
            <v>3.09 지오그리드 설치</v>
          </cell>
        </row>
        <row r="802">
          <cell r="A802" t="str">
            <v>3.10 지오그리드 설치</v>
          </cell>
        </row>
        <row r="803">
          <cell r="A803" t="str">
            <v>4.포    장    공</v>
          </cell>
        </row>
        <row r="804">
          <cell r="A804" t="str">
            <v>4.01.동상방지층 포설 및 다짐</v>
          </cell>
        </row>
        <row r="805">
          <cell r="A805" t="str">
            <v>a.T = 40cm</v>
          </cell>
        </row>
        <row r="806">
          <cell r="A806" t="str">
            <v>4.02.보조기층 포설 및 다짐</v>
          </cell>
        </row>
        <row r="807">
          <cell r="A807" t="str">
            <v>a.T = 20cm</v>
          </cell>
        </row>
        <row r="808">
          <cell r="A808" t="str">
            <v>b.T = 30cm</v>
          </cell>
        </row>
        <row r="809">
          <cell r="A809" t="str">
            <v>c.백호우포설</v>
          </cell>
        </row>
        <row r="810">
          <cell r="A810" t="str">
            <v>4.03.콘크리트포설및양생</v>
          </cell>
        </row>
        <row r="811">
          <cell r="A811" t="str">
            <v>4.04.비닐깔기</v>
          </cell>
        </row>
        <row r="812">
          <cell r="A812" t="str">
            <v>4.05.콘크리트 포장용 거푸집</v>
          </cell>
        </row>
        <row r="813">
          <cell r="A813" t="str">
            <v>4.06.와이어메쉬설치</v>
          </cell>
        </row>
        <row r="814">
          <cell r="A814" t="str">
            <v>4.07.부체도로용 줄눈</v>
          </cell>
        </row>
        <row r="815">
          <cell r="A815" t="str">
            <v>4.08 프라임코팅</v>
          </cell>
        </row>
        <row r="816">
          <cell r="A816" t="str">
            <v>4.09.택코팅</v>
          </cell>
        </row>
        <row r="817">
          <cell r="A817" t="str">
            <v>a.택코팅</v>
          </cell>
        </row>
        <row r="818">
          <cell r="A818" t="str">
            <v>b.택코팅</v>
          </cell>
        </row>
        <row r="819">
          <cell r="A819" t="str">
            <v>4.10.캠크리트 기층 포설 및 다짐</v>
          </cell>
        </row>
        <row r="820">
          <cell r="A820" t="str">
            <v>4.11.아스콘 표층 포설 및 다짐</v>
          </cell>
        </row>
        <row r="821">
          <cell r="A821" t="str">
            <v>a.아스콘포설및다짐</v>
          </cell>
        </row>
        <row r="822">
          <cell r="A822" t="str">
            <v>b.아스콘포설및다짐</v>
          </cell>
        </row>
        <row r="823">
          <cell r="A823" t="str">
            <v>4.12.골재구입 및 운반</v>
          </cell>
        </row>
        <row r="824">
          <cell r="A824" t="str">
            <v>a.세골재(모래)</v>
          </cell>
        </row>
        <row r="825">
          <cell r="A825" t="str">
            <v>b.동상방지층재</v>
          </cell>
        </row>
        <row r="826">
          <cell r="A826" t="str">
            <v>c.보조기층재</v>
          </cell>
        </row>
        <row r="827">
          <cell r="A827" t="str">
            <v>d.세굴방지용재</v>
          </cell>
        </row>
        <row r="828">
          <cell r="A828" t="str">
            <v>e.자갈(Ø19m/m)</v>
          </cell>
        </row>
        <row r="829">
          <cell r="A829" t="str">
            <v>f.자갈(D=200M/M)</v>
          </cell>
        </row>
        <row r="830">
          <cell r="A830" t="str">
            <v>g.견치돌(T=35(25*25))</v>
          </cell>
        </row>
        <row r="831">
          <cell r="A831" t="str">
            <v>5.부    대    공</v>
          </cell>
        </row>
        <row r="832">
          <cell r="A832" t="str">
            <v>5.01 교 통 표 지 판</v>
          </cell>
        </row>
        <row r="833">
          <cell r="A833" t="str">
            <v>a.삼각표지판</v>
          </cell>
        </row>
        <row r="834">
          <cell r="A834" t="str">
            <v>b.삼각이중표지판</v>
          </cell>
        </row>
        <row r="835">
          <cell r="A835" t="str">
            <v>c.삼각표지판(부착식)</v>
          </cell>
        </row>
        <row r="836">
          <cell r="A836" t="str">
            <v>d.원형표지판</v>
          </cell>
        </row>
        <row r="837">
          <cell r="A837" t="str">
            <v>e.원형이중표지판</v>
          </cell>
        </row>
        <row r="838">
          <cell r="A838" t="str">
            <v>f.원형표지판(부착식)</v>
          </cell>
        </row>
        <row r="839">
          <cell r="A839" t="str">
            <v>5.02 안 내 표 지 판</v>
          </cell>
        </row>
        <row r="840">
          <cell r="A840" t="str">
            <v>a. 복 주 식</v>
          </cell>
        </row>
        <row r="841">
          <cell r="A841" t="str">
            <v>-1.1지명방향표지판(403-7)</v>
          </cell>
        </row>
        <row r="842">
          <cell r="A842" t="str">
            <v>-2.군계표지판(401-2)</v>
          </cell>
        </row>
        <row r="843">
          <cell r="A843" t="str">
            <v>-3.2지명 이정표지판(402-2)</v>
          </cell>
        </row>
        <row r="844">
          <cell r="A844" t="str">
            <v>-4.2지명 방향표지판(425-2)</v>
          </cell>
        </row>
        <row r="845">
          <cell r="A845" t="str">
            <v>-5.버스정류장표지(427-5)</v>
          </cell>
        </row>
        <row r="846">
          <cell r="A846" t="str">
            <v>b.편 지 식</v>
          </cell>
        </row>
        <row r="847">
          <cell r="A847" t="str">
            <v>-1.2방향예고표지(403-3)</v>
          </cell>
        </row>
        <row r="848">
          <cell r="A848" t="str">
            <v>-2.2방향예고표지(403-5)</v>
          </cell>
        </row>
        <row r="849">
          <cell r="A849" t="str">
            <v>-3.2방향표지(403-4)</v>
          </cell>
        </row>
        <row r="850">
          <cell r="A850" t="str">
            <v>-4.2방향표지(403-6)</v>
          </cell>
        </row>
        <row r="851">
          <cell r="A851" t="str">
            <v>5.03 시선유도표지</v>
          </cell>
        </row>
        <row r="852">
          <cell r="A852" t="str">
            <v>a.델리네이터</v>
          </cell>
        </row>
        <row r="853">
          <cell r="A853" t="str">
            <v>-1.델리네이터</v>
          </cell>
        </row>
        <row r="854">
          <cell r="A854" t="str">
            <v>-2.델리네이터</v>
          </cell>
        </row>
        <row r="855">
          <cell r="A855" t="str">
            <v>-3.델리네이터</v>
          </cell>
        </row>
        <row r="856">
          <cell r="A856" t="str">
            <v>-4.델리네이터</v>
          </cell>
        </row>
        <row r="857">
          <cell r="A857" t="str">
            <v>-5.델리네이터</v>
          </cell>
        </row>
        <row r="858">
          <cell r="A858" t="str">
            <v>b.도로표지병</v>
          </cell>
        </row>
        <row r="859">
          <cell r="A859" t="str">
            <v>-1.도로표지병</v>
          </cell>
        </row>
        <row r="860">
          <cell r="A860" t="str">
            <v>-2.도로표지병</v>
          </cell>
        </row>
        <row r="861">
          <cell r="A861" t="str">
            <v>c.갈매기표지판</v>
          </cell>
        </row>
        <row r="862">
          <cell r="A862" t="str">
            <v>d.소분리대 반사판</v>
          </cell>
        </row>
        <row r="863">
          <cell r="A863" t="str">
            <v>5.04 차선도색</v>
          </cell>
        </row>
        <row r="864">
          <cell r="A864" t="str">
            <v>a.백  색</v>
          </cell>
        </row>
        <row r="865">
          <cell r="A865" t="str">
            <v>-1.실 선</v>
          </cell>
        </row>
        <row r="866">
          <cell r="A866" t="str">
            <v>-2.파 선</v>
          </cell>
        </row>
        <row r="867">
          <cell r="A867" t="str">
            <v>-3.실 선</v>
          </cell>
        </row>
        <row r="868">
          <cell r="A868" t="str">
            <v>b.황  색</v>
          </cell>
        </row>
        <row r="869">
          <cell r="A869" t="str">
            <v>-1.실 선</v>
          </cell>
        </row>
        <row r="870">
          <cell r="A870" t="str">
            <v>-2.실 선</v>
          </cell>
        </row>
        <row r="871">
          <cell r="A871" t="str">
            <v>5.05 가드레일</v>
          </cell>
        </row>
        <row r="872">
          <cell r="A872" t="str">
            <v>a.가드레일</v>
          </cell>
        </row>
        <row r="873">
          <cell r="A873" t="str">
            <v>-1.가드레일</v>
          </cell>
        </row>
        <row r="874">
          <cell r="A874" t="str">
            <v>-2.가드레일</v>
          </cell>
        </row>
        <row r="875">
          <cell r="A875" t="str">
            <v>b.레일포스트</v>
          </cell>
        </row>
        <row r="876">
          <cell r="A876" t="str">
            <v>-1.가드레일</v>
          </cell>
        </row>
        <row r="877">
          <cell r="A877" t="str">
            <v>-2.가드레일</v>
          </cell>
        </row>
        <row r="878">
          <cell r="A878" t="str">
            <v>c.단부레일</v>
          </cell>
        </row>
        <row r="879">
          <cell r="A879" t="str">
            <v>-1.단부레일</v>
          </cell>
        </row>
        <row r="880">
          <cell r="A880" t="str">
            <v>-2.단부레일</v>
          </cell>
        </row>
        <row r="881">
          <cell r="A881" t="str">
            <v>d.가드레일</v>
          </cell>
        </row>
        <row r="882">
          <cell r="A882" t="str">
            <v>e.단부콘크리트</v>
          </cell>
        </row>
        <row r="883">
          <cell r="A883" t="str">
            <v>5.06.중앙분리대</v>
          </cell>
        </row>
        <row r="884">
          <cell r="A884" t="str">
            <v>a.레일포스트</v>
          </cell>
        </row>
        <row r="885">
          <cell r="A885" t="str">
            <v>b.양면가드레일</v>
          </cell>
        </row>
        <row r="886">
          <cell r="A886" t="str">
            <v>c.양면가드레일</v>
          </cell>
        </row>
        <row r="887">
          <cell r="A887" t="str">
            <v>d.라운드레일</v>
          </cell>
        </row>
        <row r="888">
          <cell r="A888" t="str">
            <v>5.07 차 광 망</v>
          </cell>
        </row>
        <row r="889">
          <cell r="A889" t="str">
            <v>a. 토 공 용</v>
          </cell>
        </row>
        <row r="890">
          <cell r="A890" t="str">
            <v>5.08 낙석방지책및낙석방지망</v>
          </cell>
        </row>
        <row r="891">
          <cell r="A891" t="str">
            <v>a 낙석방지책</v>
          </cell>
        </row>
        <row r="892">
          <cell r="A892" t="str">
            <v>-1.낙석방지책</v>
          </cell>
        </row>
        <row r="893">
          <cell r="A893" t="str">
            <v>-1-1.낙석방지책(TYPE-1)</v>
          </cell>
        </row>
        <row r="894">
          <cell r="A894" t="str">
            <v>-1-2.낙석방지책(TYPE-2)</v>
          </cell>
        </row>
        <row r="895">
          <cell r="A895" t="str">
            <v>-2.낙석방지책</v>
          </cell>
        </row>
        <row r="896">
          <cell r="A896" t="str">
            <v>-2-1.낙석방지책(TYPE-1)</v>
          </cell>
        </row>
        <row r="897">
          <cell r="A897" t="str">
            <v>-2-2.낙석방지책(TYPE-2)</v>
          </cell>
        </row>
        <row r="898">
          <cell r="A898" t="str">
            <v>b.낙석방지망</v>
          </cell>
        </row>
        <row r="899">
          <cell r="A899" t="str">
            <v>5.09 미끄럼방지포장</v>
          </cell>
        </row>
        <row r="900">
          <cell r="A900" t="str">
            <v>5.10 충격흡수시설</v>
          </cell>
        </row>
        <row r="901">
          <cell r="A901" t="str">
            <v>5.11 반사경</v>
          </cell>
        </row>
        <row r="902">
          <cell r="A902" t="str">
            <v>5.12 방호시설</v>
          </cell>
        </row>
        <row r="903">
          <cell r="A903" t="str">
            <v>a.암파쇄방호시설</v>
          </cell>
        </row>
        <row r="904">
          <cell r="A904" t="str">
            <v>-1 암파쇄방호시설</v>
          </cell>
        </row>
        <row r="905">
          <cell r="A905" t="str">
            <v>-1-1.설치</v>
          </cell>
        </row>
        <row r="906">
          <cell r="A906" t="str">
            <v>-1-2.철거</v>
          </cell>
        </row>
        <row r="907">
          <cell r="A907" t="str">
            <v>b.안전시설목</v>
          </cell>
        </row>
        <row r="908">
          <cell r="A908" t="str">
            <v>5.13 방 음 벽</v>
          </cell>
        </row>
        <row r="909">
          <cell r="A909" t="str">
            <v>a.방음벽(토공용)</v>
          </cell>
        </row>
        <row r="910">
          <cell r="A910" t="str">
            <v>-1.방음벽</v>
          </cell>
        </row>
        <row r="911">
          <cell r="A911" t="str">
            <v>-2.방음벽</v>
          </cell>
        </row>
        <row r="912">
          <cell r="A912" t="str">
            <v>b.방음벽(교량용)</v>
          </cell>
        </row>
        <row r="913">
          <cell r="A913" t="str">
            <v>-1.방음벽</v>
          </cell>
        </row>
        <row r="914">
          <cell r="A914" t="str">
            <v>c.방음벽기초</v>
          </cell>
        </row>
        <row r="915">
          <cell r="A915" t="str">
            <v>-1. 콘크리트타설</v>
          </cell>
        </row>
        <row r="916">
          <cell r="A916" t="str">
            <v>-2. 콘크리트타설</v>
          </cell>
        </row>
        <row r="917">
          <cell r="A917" t="str">
            <v>-3.거푸집</v>
          </cell>
        </row>
        <row r="918">
          <cell r="A918" t="str">
            <v>-3-1.거푸집</v>
          </cell>
        </row>
        <row r="919">
          <cell r="A919" t="str">
            <v>-3-2.거푸집</v>
          </cell>
        </row>
        <row r="920">
          <cell r="A920" t="str">
            <v>-4.철근가공조립</v>
          </cell>
        </row>
        <row r="921">
          <cell r="A921" t="str">
            <v>-5.비계</v>
          </cell>
        </row>
        <row r="922">
          <cell r="A922" t="str">
            <v>-6.기초잡석깔기</v>
          </cell>
        </row>
        <row r="923">
          <cell r="A923" t="str">
            <v>5.14 절토부 점검로</v>
          </cell>
        </row>
        <row r="924">
          <cell r="A924" t="str">
            <v>a.절토부 점검로</v>
          </cell>
        </row>
        <row r="925">
          <cell r="A925" t="str">
            <v>-1.절토부 점검로</v>
          </cell>
        </row>
        <row r="926">
          <cell r="A926" t="str">
            <v>-2.절토부 점검로</v>
          </cell>
        </row>
        <row r="927">
          <cell r="A927" t="str">
            <v>-3.절토부 점검로</v>
          </cell>
        </row>
        <row r="928">
          <cell r="A928" t="str">
            <v>b.측면부 점검로</v>
          </cell>
        </row>
        <row r="929">
          <cell r="A929" t="str">
            <v>-1.측면부 점검로</v>
          </cell>
        </row>
        <row r="930">
          <cell r="A930" t="str">
            <v>-2.측면부 점검로</v>
          </cell>
        </row>
        <row r="931">
          <cell r="A931" t="str">
            <v>5.15 버스정차대</v>
          </cell>
        </row>
        <row r="932">
          <cell r="A932" t="str">
            <v>a.승강장</v>
          </cell>
        </row>
        <row r="933">
          <cell r="A933" t="str">
            <v>5.16.공사중 환경피해저감시설</v>
          </cell>
        </row>
        <row r="934">
          <cell r="A934" t="str">
            <v>a.가설방음벽및방진망</v>
          </cell>
        </row>
        <row r="935">
          <cell r="A935" t="str">
            <v>b. 오탁방지시설</v>
          </cell>
        </row>
        <row r="936">
          <cell r="A936" t="str">
            <v>c. 오일휀스 설치</v>
          </cell>
        </row>
        <row r="937">
          <cell r="A937" t="str">
            <v>d. 침사지 설치</v>
          </cell>
        </row>
        <row r="938">
          <cell r="A938" t="str">
            <v>-1.터파기</v>
          </cell>
        </row>
        <row r="939">
          <cell r="A939" t="str">
            <v>-2.표토제거</v>
          </cell>
        </row>
        <row r="940">
          <cell r="A940" t="str">
            <v>-3.되메우기</v>
          </cell>
        </row>
        <row r="941">
          <cell r="A941" t="str">
            <v>-4.잔토처리</v>
          </cell>
        </row>
        <row r="942">
          <cell r="A942" t="str">
            <v>5.17 기존가옥철거</v>
          </cell>
        </row>
        <row r="943">
          <cell r="A943" t="str">
            <v>a.가옥 철거</v>
          </cell>
        </row>
        <row r="944">
          <cell r="A944" t="str">
            <v>5.18 접도구역표주 및 준공표지석</v>
          </cell>
        </row>
        <row r="945">
          <cell r="A945" t="str">
            <v>a.접도구역 경계표주</v>
          </cell>
        </row>
        <row r="946">
          <cell r="A946" t="str">
            <v>b.준공표지석</v>
          </cell>
        </row>
        <row r="947">
          <cell r="A947" t="str">
            <v>5.19 보도블럭포장</v>
          </cell>
        </row>
        <row r="948">
          <cell r="A948" t="str">
            <v>a.소형고압블럭</v>
          </cell>
        </row>
        <row r="949">
          <cell r="A949" t="str">
            <v>b.소형고압블럭</v>
          </cell>
        </row>
        <row r="950">
          <cell r="A950" t="str">
            <v>c.도로경계석</v>
          </cell>
        </row>
        <row r="951">
          <cell r="A951" t="str">
            <v>d.보차도경계석</v>
          </cell>
        </row>
        <row r="952">
          <cell r="A952" t="str">
            <v>5.20 비탈면 보호공</v>
          </cell>
        </row>
        <row r="953">
          <cell r="A953" t="str">
            <v>a.돌쌓기</v>
          </cell>
        </row>
        <row r="954">
          <cell r="A954" t="str">
            <v>-1.돌쌓기 기초</v>
          </cell>
        </row>
        <row r="955">
          <cell r="A955" t="str">
            <v>-2.돌쌓기</v>
          </cell>
        </row>
        <row r="956">
          <cell r="A956" t="str">
            <v>b.호안보호블럭</v>
          </cell>
        </row>
        <row r="957">
          <cell r="A957" t="str">
            <v>-1.호안보호블럭기초</v>
          </cell>
        </row>
        <row r="958">
          <cell r="A958" t="str">
            <v>-2.호안보호블럭</v>
          </cell>
        </row>
        <row r="959">
          <cell r="A959" t="str">
            <v>c.기어형블럭</v>
          </cell>
        </row>
        <row r="960">
          <cell r="A960" t="str">
            <v>-1.콘크리트 블럭</v>
          </cell>
        </row>
        <row r="961">
          <cell r="A961" t="str">
            <v>-2.블럭운반</v>
          </cell>
        </row>
        <row r="962">
          <cell r="A962" t="str">
            <v>-3.수상블럭거치</v>
          </cell>
        </row>
        <row r="963">
          <cell r="A963" t="str">
            <v>-4.저면매트부설</v>
          </cell>
        </row>
        <row r="964">
          <cell r="A964" t="str">
            <v>-5.제작장 정지</v>
          </cell>
        </row>
        <row r="965">
          <cell r="A965" t="str">
            <v>-6.달아올림틀 제작</v>
          </cell>
        </row>
        <row r="966">
          <cell r="A966" t="str">
            <v>5.21 세륜세차시설</v>
          </cell>
        </row>
        <row r="967">
          <cell r="A967" t="str">
            <v>5.22 가도공</v>
          </cell>
        </row>
        <row r="968">
          <cell r="A968" t="str">
            <v>-1.흙깍기(토사)</v>
          </cell>
        </row>
        <row r="969">
          <cell r="A969" t="str">
            <v>-2.흙 쌓 기</v>
          </cell>
        </row>
        <row r="970">
          <cell r="A970" t="str">
            <v>-3.가마니쌓기및헐기</v>
          </cell>
        </row>
        <row r="971">
          <cell r="A971" t="str">
            <v>-4.가배수관부설(흄관)</v>
          </cell>
        </row>
        <row r="972">
          <cell r="A972" t="str">
            <v>5.23 가설사무실</v>
          </cell>
        </row>
        <row r="973">
          <cell r="A973" t="str">
            <v>5.24 시공측량비</v>
          </cell>
        </row>
        <row r="974">
          <cell r="A974" t="str">
            <v>5.25 도로대장작성비</v>
          </cell>
        </row>
        <row r="975">
          <cell r="A975" t="str">
            <v>5.26 중기운반비</v>
          </cell>
        </row>
        <row r="976">
          <cell r="A976" t="str">
            <v>5.27 시험비</v>
          </cell>
        </row>
        <row r="977">
          <cell r="A977" t="str">
            <v>5.28 품질관리 차량비</v>
          </cell>
        </row>
        <row r="978">
          <cell r="A978" t="str">
            <v>5.29 살수차운영</v>
          </cell>
        </row>
        <row r="979">
          <cell r="A979" t="str">
            <v>5.30 소 각 장</v>
          </cell>
        </row>
        <row r="980">
          <cell r="A980" t="str">
            <v>5.31 폐기물처리비</v>
          </cell>
        </row>
        <row r="981">
          <cell r="A981" t="str">
            <v>-1.폐아스콘처리비</v>
          </cell>
        </row>
        <row r="982">
          <cell r="A982" t="str">
            <v>-2.폐콘크리트처리비</v>
          </cell>
        </row>
        <row r="983">
          <cell r="A983" t="str">
            <v>-3.혼합폐기물처리비</v>
          </cell>
        </row>
        <row r="984">
          <cell r="A984" t="str">
            <v>5.32 시공상세도 작성비</v>
          </cell>
        </row>
        <row r="985">
          <cell r="A985" t="str">
            <v>5.33 기존도로유지관리비</v>
          </cell>
        </row>
        <row r="986">
          <cell r="A986" t="str">
            <v>a.소파보수</v>
          </cell>
        </row>
        <row r="987">
          <cell r="A987" t="str">
            <v>-1.아스팔트 포장 절단</v>
          </cell>
        </row>
        <row r="988">
          <cell r="A988" t="str">
            <v>-2.아스콘 포장 깨기</v>
          </cell>
        </row>
        <row r="989">
          <cell r="A989" t="str">
            <v>-3.프라임코팅</v>
          </cell>
        </row>
        <row r="990">
          <cell r="A990" t="str">
            <v>-4.택 코 팅</v>
          </cell>
        </row>
        <row r="991">
          <cell r="A991" t="str">
            <v>-5.기층아스콘포설및다짐</v>
          </cell>
        </row>
        <row r="992">
          <cell r="A992" t="str">
            <v>-6.표층아스콘포설및다짐</v>
          </cell>
        </row>
        <row r="993">
          <cell r="A993" t="str">
            <v>-7.자재 및 운반비</v>
          </cell>
        </row>
        <row r="994">
          <cell r="A994" t="str">
            <v>b.덧씌우기</v>
          </cell>
        </row>
        <row r="995">
          <cell r="A995" t="str">
            <v>-1.택 코 팅</v>
          </cell>
        </row>
        <row r="996">
          <cell r="A996" t="str">
            <v>-2.표층아스콘포설및다짐</v>
          </cell>
        </row>
        <row r="997">
          <cell r="A997" t="str">
            <v>-3.자재대 및 운반비</v>
          </cell>
        </row>
        <row r="998">
          <cell r="A998" t="str">
            <v>-3-1.아스팔트 운반</v>
          </cell>
        </row>
        <row r="999">
          <cell r="A999" t="str">
            <v>-3-2.표층</v>
          </cell>
        </row>
        <row r="1000">
          <cell r="A1000" t="str">
            <v>-3-3.아스팔트(유제)</v>
          </cell>
        </row>
        <row r="1001">
          <cell r="A1001" t="str">
            <v>c.차선도색</v>
          </cell>
        </row>
        <row r="1002">
          <cell r="A1002" t="str">
            <v>-1.황색실선</v>
          </cell>
        </row>
        <row r="1003">
          <cell r="A1003" t="str">
            <v>-2.백색실선</v>
          </cell>
        </row>
        <row r="1004">
          <cell r="A1004" t="str">
            <v>5.34 교통관리비</v>
          </cell>
        </row>
        <row r="1005">
          <cell r="A1005" t="str">
            <v>5.35 준공도서작성비</v>
          </cell>
        </row>
        <row r="1006">
          <cell r="A1006" t="str">
            <v>5.36 교량부 시추조사비</v>
          </cell>
        </row>
        <row r="1007">
          <cell r="A1007" t="str">
            <v>-1.기구설치비</v>
          </cell>
        </row>
        <row r="1008">
          <cell r="A1008" t="str">
            <v>-2.토사층</v>
          </cell>
        </row>
        <row r="1009">
          <cell r="A1009" t="str">
            <v>-3.연암층</v>
          </cell>
        </row>
        <row r="1010">
          <cell r="A1010" t="str">
            <v>-4.경암층</v>
          </cell>
        </row>
        <row r="1011">
          <cell r="A1011" t="str">
            <v>5.37 초기안전점검비</v>
          </cell>
        </row>
        <row r="1012">
          <cell r="A1012" t="str">
            <v>5.38 자재운반비</v>
          </cell>
        </row>
        <row r="1013">
          <cell r="A1013" t="str">
            <v>a.시멘트 운반</v>
          </cell>
        </row>
        <row r="1014">
          <cell r="A1014" t="str">
            <v>b.철근 운반</v>
          </cell>
        </row>
        <row r="1015">
          <cell r="A1015" t="str">
            <v>c. 아스팔트 운반</v>
          </cell>
        </row>
        <row r="1016">
          <cell r="A1016" t="str">
            <v>5.39 자 재 대</v>
          </cell>
        </row>
        <row r="1017">
          <cell r="A1017" t="str">
            <v>a.시 멘 트</v>
          </cell>
        </row>
        <row r="1018">
          <cell r="A1018" t="str">
            <v>b.철    근</v>
          </cell>
        </row>
        <row r="1019">
          <cell r="A1019" t="str">
            <v>-1. H13 M/M</v>
          </cell>
        </row>
        <row r="1020">
          <cell r="A1020" t="str">
            <v>-2. H16~32 M/M</v>
          </cell>
        </row>
        <row r="1021">
          <cell r="A1021" t="str">
            <v>-3  D10 M/M</v>
          </cell>
        </row>
        <row r="1022">
          <cell r="A1022" t="str">
            <v>-4  D13 M/M</v>
          </cell>
        </row>
        <row r="1023">
          <cell r="A1023" t="str">
            <v>-5  D16~32 M/M</v>
          </cell>
        </row>
        <row r="1024">
          <cell r="A1024" t="str">
            <v>-6  Ø32 M/M</v>
          </cell>
        </row>
        <row r="1025">
          <cell r="A1025" t="str">
            <v>-7  Ø25 M/M</v>
          </cell>
        </row>
        <row r="1026">
          <cell r="A1026" t="str">
            <v>c.레 미 콘</v>
          </cell>
        </row>
        <row r="1027">
          <cell r="A1027" t="str">
            <v>-1 레 미 콘</v>
          </cell>
        </row>
        <row r="1028">
          <cell r="A1028" t="str">
            <v>-2.레 미 콘(섬유보강)</v>
          </cell>
        </row>
        <row r="1029">
          <cell r="A1029" t="str">
            <v>-3 레 미 콘</v>
          </cell>
        </row>
        <row r="1030">
          <cell r="A1030" t="str">
            <v>-4 레 미 콘</v>
          </cell>
        </row>
        <row r="1031">
          <cell r="A1031" t="str">
            <v>-5 레 미 콘</v>
          </cell>
        </row>
        <row r="1032">
          <cell r="A1032" t="str">
            <v>-6 레 미 콘</v>
          </cell>
        </row>
        <row r="1033">
          <cell r="A1033" t="str">
            <v>-7 레 미 콘</v>
          </cell>
        </row>
        <row r="1034">
          <cell r="A1034" t="str">
            <v>-8 레 미 콘</v>
          </cell>
        </row>
        <row r="1035">
          <cell r="A1035" t="str">
            <v>-9 레 미 콘</v>
          </cell>
        </row>
        <row r="1036">
          <cell r="A1036" t="str">
            <v>-10 레 미 콘</v>
          </cell>
        </row>
        <row r="1037">
          <cell r="A1037" t="str">
            <v>-11 레 미 콘</v>
          </cell>
        </row>
        <row r="1038">
          <cell r="A1038" t="str">
            <v>-12 레 미 콘</v>
          </cell>
        </row>
        <row r="1039">
          <cell r="A1039" t="str">
            <v>-13 레 미 콘</v>
          </cell>
        </row>
        <row r="1040">
          <cell r="A1040" t="str">
            <v>d.아스팔트 콘크리트</v>
          </cell>
        </row>
        <row r="1041">
          <cell r="A1041" t="str">
            <v>-1.기  층</v>
          </cell>
        </row>
        <row r="1042">
          <cell r="A1042" t="str">
            <v>-2.표  층</v>
          </cell>
        </row>
        <row r="1043">
          <cell r="A1043" t="str">
            <v>-3.캠크리트</v>
          </cell>
        </row>
        <row r="1044">
          <cell r="A1044" t="str">
            <v>e..아스팔트</v>
          </cell>
        </row>
        <row r="1045">
          <cell r="A1045" t="str">
            <v>-1.아스팔트</v>
          </cell>
        </row>
        <row r="1046">
          <cell r="A1046" t="str">
            <v>-2.아스팔트</v>
          </cell>
        </row>
        <row r="1047">
          <cell r="A1047" t="str">
            <v>f.VR관</v>
          </cell>
        </row>
        <row r="1048">
          <cell r="A1048" t="str">
            <v>-1.VR관</v>
          </cell>
        </row>
        <row r="1049">
          <cell r="A1049" t="str">
            <v>-2 VR관</v>
          </cell>
        </row>
        <row r="1050">
          <cell r="A1050" t="str">
            <v>-3.VR관</v>
          </cell>
        </row>
        <row r="1051">
          <cell r="A1051" t="str">
            <v>-4.VR관</v>
          </cell>
        </row>
        <row r="1052">
          <cell r="A1052" t="str">
            <v>-5.VR관</v>
          </cell>
        </row>
        <row r="1053">
          <cell r="A1053" t="str">
            <v>-6.VR관</v>
          </cell>
        </row>
        <row r="1054">
          <cell r="A1054" t="str">
            <v>g.흄관</v>
          </cell>
        </row>
        <row r="1055">
          <cell r="A1055" t="str">
            <v>-1.흄관</v>
          </cell>
        </row>
        <row r="1056">
          <cell r="A1056" t="str">
            <v>-2.흄관</v>
          </cell>
        </row>
        <row r="1057">
          <cell r="A1057" t="str">
            <v>h.고재대</v>
          </cell>
        </row>
        <row r="1058">
          <cell r="A1058" t="str">
            <v>간 접 노 무 비</v>
          </cell>
        </row>
        <row r="1059">
          <cell r="A1059" t="str">
            <v>산 재 보 험 료</v>
          </cell>
        </row>
        <row r="1060">
          <cell r="A1060" t="str">
            <v>안 전 관 리 비</v>
          </cell>
        </row>
        <row r="1061">
          <cell r="A1061" t="str">
            <v>기  타  경  비</v>
          </cell>
        </row>
        <row r="1062">
          <cell r="A1062" t="str">
            <v>일 반 관 리 비</v>
          </cell>
        </row>
        <row r="1063">
          <cell r="A1063" t="str">
            <v>이          윤</v>
          </cell>
        </row>
        <row r="1064">
          <cell r="A1064" t="str">
            <v>고 용 보 험 료</v>
          </cell>
        </row>
        <row r="1065">
          <cell r="A1065" t="str">
            <v>퇴직공제 부금비</v>
          </cell>
        </row>
        <row r="1066">
          <cell r="A1066" t="str">
            <v>정기안전 점검비</v>
          </cell>
        </row>
        <row r="1067">
          <cell r="A1067" t="str">
            <v>사후환경영향평가비</v>
          </cell>
        </row>
        <row r="1068">
          <cell r="A1068" t="str">
            <v>공사송해보험료</v>
          </cell>
        </row>
        <row r="1069">
          <cell r="A1069" t="str">
            <v>부 가 가 치 세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체내역 (2)"/>
      <sheetName val="전체내역 _2_"/>
      <sheetName val="CONCRETE"/>
      <sheetName val="수리결과"/>
      <sheetName val="노임"/>
      <sheetName val="관람석제출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표지"/>
      <sheetName val="도급표지 "/>
      <sheetName val="부대표지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내역갑지"/>
      <sheetName val="가격조사서"/>
      <sheetName val="BID"/>
      <sheetName val="#REF"/>
      <sheetName val="평가데이터"/>
      <sheetName val="실행대비"/>
      <sheetName val="연결임시"/>
      <sheetName val="JUCKEYK"/>
      <sheetName val="JUCK"/>
      <sheetName val="2000전체분"/>
      <sheetName val="2000년1차"/>
      <sheetName val="청천내"/>
      <sheetName val="200"/>
      <sheetName val="충주"/>
      <sheetName val="내역서"/>
      <sheetName val="현장관리비 산출내역"/>
      <sheetName val="전기"/>
      <sheetName val="설계"/>
      <sheetName val="일위대가"/>
      <sheetName val="입출재고현황 (2)"/>
      <sheetName val="설 계"/>
      <sheetName val="내역"/>
      <sheetName val="차액보증"/>
      <sheetName val="입찰안"/>
      <sheetName val="결과조달"/>
      <sheetName val="총괄표"/>
      <sheetName val="간접실행"/>
      <sheetName val="관리비산출근거"/>
      <sheetName val="운영산출"/>
      <sheetName val="운영산출(도계경주)"/>
      <sheetName val="부대산출(도계경주)"/>
      <sheetName val="도급표지  (4)"/>
      <sheetName val="부대표지 (4)"/>
      <sheetName val="귀래 설계 공내역서"/>
      <sheetName val="o현장경비"/>
      <sheetName val="Ⅴ-2.공종별내역"/>
      <sheetName val="VII-2현장경비"/>
      <sheetName val="상용계획"/>
      <sheetName val="도급"/>
      <sheetName val="본공사"/>
      <sheetName val="집계표"/>
      <sheetName val="건축공사"/>
      <sheetName val="9509"/>
      <sheetName val="여과지동"/>
      <sheetName val="MOTOR"/>
      <sheetName val="시공여유율"/>
      <sheetName val="에너지동"/>
      <sheetName val="FILE1"/>
      <sheetName val="기초자료"/>
      <sheetName val="DATA98"/>
      <sheetName val="S0"/>
      <sheetName val="9902"/>
      <sheetName val="기타공사비"/>
      <sheetName val="관리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"/>
      <sheetName val="목차"/>
      <sheetName val="운영방안"/>
      <sheetName val="승진시행안"/>
      <sheetName val="년도별승진인원"/>
      <sheetName val="그룹사 97년승진률"/>
      <sheetName val="년도별승진인원 (2)"/>
      <sheetName val="년도별승진인원 (3)"/>
      <sheetName val="TO운영안변경"/>
      <sheetName val="TO운영안변경 (2)"/>
      <sheetName val="그룹현황"/>
      <sheetName val="승진대상표지"/>
      <sheetName val="부대"/>
      <sheetName val="차장"/>
      <sheetName val="과장"/>
      <sheetName val="대리"/>
      <sheetName val="4사"/>
      <sheetName val="5사남"/>
      <sheetName val="노임단가"/>
      <sheetName val="단가조사"/>
      <sheetName val="도급견적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년종합"/>
      <sheetName val="10월 현황"/>
      <sheetName val="11월현황"/>
      <sheetName val="종합현황"/>
      <sheetName val="종합"/>
      <sheetName val="수리결과"/>
      <sheetName val="단가"/>
      <sheetName val="5사남"/>
      <sheetName val="남양시작동010313100%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안"/>
      <sheetName val="적격"/>
      <sheetName val="평가"/>
      <sheetName val="적정"/>
      <sheetName val="관리"/>
      <sheetName val="표지"/>
      <sheetName val="총괄"/>
      <sheetName val="내역"/>
      <sheetName val="하도"/>
      <sheetName val="별지"/>
      <sheetName val="견적"/>
      <sheetName val="조사"/>
      <sheetName val="합의서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2000년1차"/>
      <sheetName val="2000전체분"/>
      <sheetName val="교통대책내역"/>
      <sheetName val="집계표"/>
      <sheetName val="99총공사내역서"/>
      <sheetName val="조명율표"/>
      <sheetName val="투찰내역"/>
      <sheetName val="조경일람"/>
      <sheetName val="내역서"/>
      <sheetName val="간접1"/>
      <sheetName val="부대공사비"/>
      <sheetName val="퍼스트"/>
      <sheetName val="차액보증"/>
      <sheetName val="#REF"/>
      <sheetName val="BID"/>
      <sheetName val="조명일위"/>
      <sheetName val="단가일람"/>
      <sheetName val="SLAB데이터"/>
      <sheetName val="노임"/>
      <sheetName val="정부노임단가"/>
      <sheetName val="접지수량"/>
      <sheetName val="약품공급2"/>
      <sheetName val="C1ㅇ"/>
      <sheetName val="실행내역"/>
      <sheetName val="지질조사"/>
      <sheetName val="원가계산서"/>
      <sheetName val="Total 단위경유량집계"/>
      <sheetName val="MOTOR"/>
      <sheetName val="CALCULATION"/>
      <sheetName val="전체제잡비"/>
      <sheetName val="산근"/>
      <sheetName val="RE9604"/>
      <sheetName val="sheet1"/>
      <sheetName val="기계경비(시간당)"/>
      <sheetName val="마산월령동골조물량변경"/>
      <sheetName val="DB"/>
      <sheetName val="조명시설"/>
      <sheetName val="DANGA"/>
      <sheetName val="일위대가"/>
      <sheetName val="설계조건"/>
      <sheetName val="건축내역"/>
      <sheetName val="단가"/>
      <sheetName val="1,2공구원가계산서"/>
      <sheetName val="2공구산출내역"/>
      <sheetName val="1공구산출내역서"/>
      <sheetName val="실행철강하도"/>
      <sheetName val="잡철물"/>
      <sheetName val="제경비"/>
      <sheetName val="구조물공"/>
      <sheetName val="부대공"/>
      <sheetName val="배수공"/>
      <sheetName val="토공"/>
      <sheetName val="포장공"/>
      <sheetName val="토공유동표(전체.당초)"/>
      <sheetName val="총공사내역서"/>
      <sheetName val="관급"/>
      <sheetName val="기본단가표"/>
      <sheetName val="재료집계표"/>
      <sheetName val="준검 내역서"/>
      <sheetName val="SIL98"/>
      <sheetName val="내역(원안-대안)"/>
      <sheetName val="내역서(전기)"/>
      <sheetName val="산출근거"/>
      <sheetName val="하남내역"/>
      <sheetName val="대포2교접속"/>
      <sheetName val="천방교접속"/>
      <sheetName val="교각1"/>
      <sheetName val="금액내역서"/>
      <sheetName val="항목(1)"/>
      <sheetName val="총괄표"/>
      <sheetName val="1001"/>
      <sheetName val="당진1,2호기전선관설치및접지4차공사내역서-을지"/>
      <sheetName val="기계내역서"/>
      <sheetName val="공사개요"/>
      <sheetName val="매입세율"/>
      <sheetName val="적점"/>
      <sheetName val="내역(중앙)"/>
      <sheetName val="품셈TABLE"/>
      <sheetName val="노임단가"/>
      <sheetName val="단위단가"/>
      <sheetName val="수량산출서"/>
      <sheetName val="공사비예산서(토목분)"/>
      <sheetName val="1.수인터널"/>
      <sheetName val="구조물수량집계표"/>
      <sheetName val="기계경비일람"/>
      <sheetName val="일위목록"/>
      <sheetName val="요율"/>
      <sheetName val="5회토적"/>
      <sheetName val="자재일람"/>
      <sheetName val="예산서"/>
      <sheetName val="NYS"/>
      <sheetName val="N賃率-職"/>
      <sheetName val="관리비비계상"/>
      <sheetName val="예가내역서"/>
      <sheetName val="경비2내역"/>
      <sheetName val="일반공사"/>
      <sheetName val="현장설명"/>
      <sheetName val="도급"/>
      <sheetName val="DATA"/>
      <sheetName val="노원열병합  건축공사기성내역서"/>
      <sheetName val="현장지지물물량"/>
      <sheetName val="운반"/>
      <sheetName val="터파기및재료"/>
      <sheetName val="초기화면"/>
      <sheetName val="폐기물"/>
      <sheetName val="인원계획"/>
      <sheetName val="4.전기"/>
      <sheetName val="hvac(제어동)"/>
      <sheetName val="BH-1 (2)"/>
      <sheetName val="도급-집계"/>
      <sheetName val="I.설계조건"/>
      <sheetName val="표  지"/>
      <sheetName val="설비2차"/>
      <sheetName val="참조-(1)"/>
      <sheetName val="원가계산서구조조정"/>
      <sheetName val="ABUT수량-A1"/>
      <sheetName val="제안서"/>
      <sheetName val="행정표준(1)"/>
      <sheetName val="행정표준(2)"/>
      <sheetName val="작성방법"/>
      <sheetName val="증감내역서"/>
      <sheetName val="세부내역"/>
      <sheetName val="총괄내역서"/>
      <sheetName val="산출내역서"/>
      <sheetName val="데이타"/>
      <sheetName val="여수토토적"/>
      <sheetName val="신호등일위대가"/>
      <sheetName val="보증수수료산출"/>
      <sheetName val="을"/>
      <sheetName val="공문"/>
      <sheetName val="일반부표"/>
      <sheetName val="ancillary"/>
      <sheetName val="금융비용"/>
      <sheetName val="오저간내역서"/>
      <sheetName val="타공종이기"/>
      <sheetName val="대전21토목내역서"/>
      <sheetName val="말뚝지지력산정"/>
      <sheetName val="이형관"/>
      <sheetName val="간접비계산"/>
      <sheetName val="001"/>
      <sheetName val="결재갑지"/>
      <sheetName val="직노"/>
      <sheetName val="자료"/>
      <sheetName val="ITEM"/>
      <sheetName val="직공비"/>
      <sheetName val="간접(90)"/>
      <sheetName val="참조"/>
      <sheetName val="문학간접"/>
      <sheetName val="1.설계조건"/>
      <sheetName val="조도계산서 (도서)"/>
      <sheetName val="3련 BOX"/>
      <sheetName val="분전반"/>
      <sheetName val="인부노임"/>
      <sheetName val="전체"/>
      <sheetName val="INPUT"/>
      <sheetName val="앉음벽 (2)"/>
      <sheetName val="6호기"/>
      <sheetName val="일위대가표"/>
      <sheetName val="98지급계획"/>
      <sheetName val="적용단가"/>
      <sheetName val="분뇨"/>
      <sheetName val="우수관매설및 우수받이"/>
      <sheetName val="간이영수증"/>
      <sheetName val="사업전망"/>
      <sheetName val="현장업무"/>
      <sheetName val="PIPING"/>
      <sheetName val="MSS 2"/>
      <sheetName val="전주2本1"/>
      <sheetName val="적용표"/>
      <sheetName val="횡배위치"/>
      <sheetName val="기초일위"/>
      <sheetName val="시설일위"/>
      <sheetName val="대비"/>
      <sheetName val="을-ATYPE"/>
      <sheetName val="제1호단위수량"/>
      <sheetName val="접지1종"/>
      <sheetName val="조경"/>
      <sheetName val="설계내역서"/>
      <sheetName val="여과지동"/>
      <sheetName val="기초자료"/>
      <sheetName val="Sheet3"/>
      <sheetName val="일위대가(가설)"/>
      <sheetName val="전기"/>
      <sheetName val="운반비"/>
      <sheetName val="2000양배"/>
      <sheetName val="보고서 기기리스트"/>
      <sheetName val="소포내역 (2)"/>
      <sheetName val="명세서"/>
      <sheetName val="설계서(7)"/>
      <sheetName val="예산서(6)"/>
      <sheetName val="견적조건"/>
      <sheetName val="실행(1)"/>
      <sheetName val="예산변경원인분석"/>
      <sheetName val="신림자금"/>
      <sheetName val="11.산출(전열)"/>
      <sheetName val="6.산출(동력)"/>
      <sheetName val="7.산출(TRAY)"/>
      <sheetName val="11.우각부 보강"/>
      <sheetName val="제출내역 (2)"/>
      <sheetName val="구조물견적서"/>
      <sheetName val="부재예실1월"/>
      <sheetName val="할증"/>
      <sheetName val="연결임시"/>
      <sheetName val="코드표"/>
      <sheetName val="프로젝트"/>
      <sheetName val="2.1  노무비 평균단가산출"/>
      <sheetName val="경비"/>
      <sheetName val="A-4"/>
      <sheetName val="I一般比"/>
      <sheetName val="내역_ver1.0"/>
      <sheetName val="자재단가비교표"/>
      <sheetName val="단가대비표"/>
      <sheetName val="plan&amp;section of foundation"/>
      <sheetName val="pile bearing capa &amp; arrenge"/>
      <sheetName val="working load at the btm ft."/>
      <sheetName val="stability check"/>
      <sheetName val="design criteria"/>
      <sheetName val="단가산출"/>
      <sheetName val="품셈"/>
      <sheetName val="현장관리비"/>
      <sheetName val="상-교대(A1-A2)"/>
      <sheetName val="일위대가(1)"/>
      <sheetName val="마산방향"/>
      <sheetName val="진주방향"/>
      <sheetName val="토목내역"/>
      <sheetName val="사급자재"/>
      <sheetName val="기계공사"/>
      <sheetName val="7. 현장관리비 "/>
      <sheetName val="6. 안전관리비"/>
      <sheetName val="봉양~조차장간고하개명(신설)"/>
      <sheetName val="소야공정계획표"/>
      <sheetName val="역T형옹벽단위수량"/>
      <sheetName val="Resource2"/>
      <sheetName val="입력데이타"/>
      <sheetName val="전기내역서(총계)"/>
      <sheetName val="내   역"/>
      <sheetName val="EUPDAT2"/>
      <sheetName val="5호광장_(만점)"/>
      <sheetName val="인천국제_(만점)_(2)"/>
      <sheetName val="Total_단위경유량집계"/>
      <sheetName val="준검_내역서"/>
      <sheetName val="토공유동표(전체_당초)"/>
      <sheetName val="1_수인터널"/>
      <sheetName val="제품원재"/>
      <sheetName val="단가조사-2"/>
      <sheetName val="내역(창신)"/>
      <sheetName val="Total"/>
      <sheetName val="건설성적"/>
      <sheetName val="재료비"/>
      <sheetName val="토목주소"/>
      <sheetName val="13LPMCC"/>
      <sheetName val="시멘트"/>
      <sheetName val="WORK"/>
      <sheetName val="자재단가"/>
      <sheetName val="배수내역"/>
      <sheetName val="배수내역 (2)"/>
      <sheetName val="측구터파기공수량집계"/>
      <sheetName val="배수공 시멘트 및 골재량 산출"/>
      <sheetName val=" HIT-&gt;HMC 견적(3900)"/>
      <sheetName val="lee"/>
      <sheetName val="집계표소트"/>
      <sheetName val="토공A"/>
      <sheetName val="투찰추정"/>
      <sheetName val="검토"/>
      <sheetName val="갑지"/>
      <sheetName val="결과조달"/>
      <sheetName val="INPUT-DATA"/>
      <sheetName val="용소리교"/>
      <sheetName val="총괄-1"/>
      <sheetName val="COVER"/>
      <sheetName val="교량"/>
      <sheetName val="Macro(차단기)"/>
      <sheetName val="8설7발"/>
      <sheetName val="현금흐름"/>
      <sheetName val="일위집계(기존)"/>
      <sheetName val="_HIT__HMC 견적_3900_"/>
      <sheetName val="날개벽수량표"/>
      <sheetName val="조건표"/>
      <sheetName val="기초수량집"/>
      <sheetName val="원가"/>
      <sheetName val="설계예산서"/>
      <sheetName val="ilch"/>
      <sheetName val="산출내역서집계표"/>
      <sheetName val="토목"/>
      <sheetName val="입력"/>
      <sheetName val="일위대가목록"/>
      <sheetName val="예산총괄"/>
      <sheetName val="공사원가계산서"/>
      <sheetName val="추가예산"/>
      <sheetName val="99-0002"/>
      <sheetName val="A 견적"/>
      <sheetName val="전기일위목록"/>
      <sheetName val="인사자료총집계"/>
      <sheetName val="설계"/>
      <sheetName val="Macro1"/>
      <sheetName val="금호"/>
      <sheetName val="수정2"/>
      <sheetName val="소비자가"/>
      <sheetName val="원가+내역"/>
      <sheetName val="JUCKEYK"/>
      <sheetName val="type-F"/>
      <sheetName val="내역원본"/>
      <sheetName val="데리네이타현황"/>
      <sheetName val="중기"/>
      <sheetName val="내역(가지)"/>
      <sheetName val="일용노임단가"/>
      <sheetName val="원계약고시공및준비구분"/>
      <sheetName val="99월별경비계획"/>
      <sheetName val="자재단가표"/>
      <sheetName val="EBSDATA"/>
      <sheetName val="부대내역"/>
      <sheetName val="설 계"/>
      <sheetName val="정렬"/>
      <sheetName val="별첨1-임식"/>
      <sheetName val="기본자료"/>
      <sheetName val="부속동"/>
      <sheetName val="APT"/>
      <sheetName val="구간별관경"/>
      <sheetName val="노임단가표"/>
      <sheetName val="5.산출(전력)"/>
      <sheetName val="공사비총괄"/>
      <sheetName val="화재 탐지 설비"/>
      <sheetName val="시설물일위"/>
      <sheetName val="기초코드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1"/>
      <sheetName val="bearing"/>
      <sheetName val="가격조사서"/>
      <sheetName val="검암내역"/>
      <sheetName val="01AC"/>
      <sheetName val="정화조내역"/>
      <sheetName val="물량표S"/>
      <sheetName val="중기일위대가"/>
      <sheetName val="플랜트 설치"/>
      <sheetName val="광산내역"/>
      <sheetName val="70%"/>
      <sheetName val="단가조건(02년)"/>
      <sheetName val="수량산출서(전력간선_지하1)"/>
      <sheetName val="수량산출서(전력간선_지하발전)"/>
      <sheetName val="수량산출서(전력간선_지하D.C)"/>
      <sheetName val="수량산출서(전력간선_동관)"/>
      <sheetName val="수량산출서(전력간선_서관)"/>
      <sheetName val="수량산출서(전력간선_TRAY)"/>
      <sheetName val="수량산출서(특고압케이블)"/>
      <sheetName val="수량산출서(전열)"/>
      <sheetName val="편입토지조서"/>
      <sheetName val="배수통관(좌)"/>
      <sheetName val="건축공사"/>
      <sheetName val="TYPE-A"/>
      <sheetName val="6PILE  (돌출)"/>
      <sheetName val="소방사항"/>
      <sheetName val="단가집"/>
      <sheetName val="기성내역"/>
      <sheetName val="전기실-1"/>
      <sheetName val="목차 "/>
      <sheetName val="파일구성"/>
      <sheetName val="동방설계서"/>
      <sheetName val="유입량"/>
      <sheetName val="spc 배관견적"/>
      <sheetName val="1.취수장"/>
      <sheetName val="전체_1설계"/>
      <sheetName val="200"/>
      <sheetName val="SLAB"/>
      <sheetName val="단가조사표"/>
      <sheetName val="SHEET PILE단가"/>
      <sheetName val="갑지(추정)"/>
      <sheetName val="b_balju"/>
      <sheetName val="일위"/>
      <sheetName val="장비단가표"/>
      <sheetName val="asd"/>
      <sheetName val="Customer Databas"/>
      <sheetName val="CORE#2"/>
      <sheetName val="중기비"/>
      <sheetName val="신천3호용수로"/>
      <sheetName val="정산내역"/>
      <sheetName val="Cash Flow-1"/>
      <sheetName val="Y-WORK"/>
      <sheetName val="3.1공사현황 공정표"/>
      <sheetName val="단가(적용)"/>
      <sheetName val="전라자금"/>
      <sheetName val="기기리스트"/>
      <sheetName val="전기일위대가"/>
      <sheetName val="투입내역"/>
      <sheetName val="SG"/>
      <sheetName val="공정증감대ㅈ표"/>
      <sheetName val="시설물기초"/>
      <sheetName val="예가표"/>
      <sheetName val="일위대가목차"/>
      <sheetName val="지불내역(자재외)"/>
      <sheetName val="바닥판"/>
      <sheetName val="입력DATA"/>
      <sheetName val="안정계산"/>
      <sheetName val="단면검토"/>
      <sheetName val="d118"/>
      <sheetName val="계수시트"/>
      <sheetName val="FM"/>
      <sheetName val="세골재  T2 변경 현황"/>
      <sheetName val="전 기"/>
      <sheetName val="관급자재"/>
      <sheetName val="현장관리비참조"/>
      <sheetName val="공통가설"/>
      <sheetName val="원가총괄"/>
      <sheetName val="귀래 설계 공내역서"/>
      <sheetName val="내역표지"/>
      <sheetName val="재집"/>
      <sheetName val="총"/>
      <sheetName val="물량표"/>
      <sheetName val="오산갈곳"/>
      <sheetName val="견적서"/>
      <sheetName val="unit 4"/>
      <sheetName val="BH_1 _2_"/>
      <sheetName val="설계서(본관)"/>
      <sheetName val="백암비스타내역"/>
      <sheetName val="6공구(당초)"/>
      <sheetName val="공통단가"/>
      <sheetName val="1월"/>
      <sheetName val="ELEC"/>
      <sheetName val="1유리"/>
      <sheetName val="재료"/>
      <sheetName val="저장소"/>
      <sheetName val="내역집계"/>
      <sheetName val="직접경비호표"/>
      <sheetName val="공사비집계"/>
      <sheetName val="자료입력"/>
      <sheetName val="적용단위길이"/>
      <sheetName val="전기혼잡제경비(45)"/>
      <sheetName val="입찰"/>
      <sheetName val="현경"/>
      <sheetName val="#2_일위대가목록"/>
      <sheetName val="원형1호맨홀토공수량"/>
      <sheetName val="내역서1"/>
      <sheetName val="WING3"/>
      <sheetName val="전입"/>
      <sheetName val="주관사업"/>
      <sheetName val="C97상"/>
      <sheetName val="제노임"/>
      <sheetName val="제잡비"/>
      <sheetName val="개요"/>
      <sheetName val="조경수목"/>
      <sheetName val="퇴직공제부금"/>
      <sheetName val="평균노임"/>
      <sheetName val="노임 단가"/>
      <sheetName val="접속도로1"/>
      <sheetName val="퇴직금(울산천상)"/>
      <sheetName val="직재"/>
      <sheetName val="전동기"/>
      <sheetName val="일위대가(집계)"/>
      <sheetName val="수량산출서집계(1-4차)"/>
      <sheetName val="내역서 "/>
      <sheetName val="중사"/>
      <sheetName val="골조시행"/>
      <sheetName val="재료비단가"/>
      <sheetName val="PAY"/>
      <sheetName val="2000년하반기"/>
      <sheetName val="연습"/>
      <sheetName val="장비단가"/>
      <sheetName val="수지예산"/>
      <sheetName val="BH-1_(2)"/>
      <sheetName val="I_설계조건"/>
      <sheetName val="표__지"/>
      <sheetName val="노원열병합__건축공사기성내역서"/>
      <sheetName val="4_전기"/>
      <sheetName val="MSS_2"/>
      <sheetName val="시운전연료비"/>
      <sheetName val="시운전연료"/>
      <sheetName val="실행"/>
      <sheetName val="분석"/>
      <sheetName val="입찰보고"/>
      <sheetName val="8.현장관리비"/>
      <sheetName val="7.안전관리비"/>
      <sheetName val="가설건물"/>
      <sheetName val="대공종"/>
      <sheetName val="집 계 표"/>
      <sheetName val="집계장(대목_실행)"/>
      <sheetName val="POL6차-PIPING"/>
      <sheetName val="PAINT"/>
      <sheetName val="정리계획CF평가"/>
      <sheetName val="증감분석"/>
      <sheetName val="EQT-ESTN"/>
      <sheetName val="장비"/>
      <sheetName val="노무"/>
      <sheetName val="1.설계기준"/>
      <sheetName val="공기압축기실"/>
      <sheetName val="원도급"/>
      <sheetName val="하도급"/>
      <sheetName val="한전일위"/>
      <sheetName val="Sheet5"/>
      <sheetName val="101동"/>
      <sheetName val="SUMMARY(S)"/>
      <sheetName val="노임이"/>
      <sheetName val="기본일위"/>
      <sheetName val="모델명"/>
      <sheetName val="수량산출"/>
      <sheetName val="설치"/>
      <sheetName val="유림골조"/>
      <sheetName val="중기사용료산출근거"/>
      <sheetName val="단가산출1"/>
      <sheetName val="별표 "/>
      <sheetName val="인건비"/>
      <sheetName val="실행(ALT1)"/>
      <sheetName val="개인별 순위표"/>
      <sheetName val="INDEX"/>
      <sheetName val="프랜트면허"/>
      <sheetName val="냉천부속동"/>
      <sheetName val="네고율"/>
      <sheetName val="Eq. Mobilization"/>
      <sheetName val="가시설단위수량"/>
      <sheetName val="손익분석"/>
      <sheetName val="1안"/>
      <sheetName val="단가조사서"/>
      <sheetName val="준공정산"/>
      <sheetName val="상수도토공집계표"/>
      <sheetName val="건축2"/>
      <sheetName val="Sheet2"/>
      <sheetName val="덕전리"/>
      <sheetName val="1,2,3,4,5단위수량"/>
      <sheetName val="계산표지"/>
      <sheetName val="노임변동률"/>
      <sheetName val="업체자료"/>
      <sheetName val="재료값"/>
      <sheetName val="단가산출서"/>
      <sheetName val="BQ"/>
      <sheetName val="집계및폼"/>
      <sheetName val="04_10_11"/>
      <sheetName val="협력업체"/>
      <sheetName val="코드1"/>
      <sheetName val="코드2"/>
      <sheetName val="원가서"/>
      <sheetName val="건축내역서"/>
      <sheetName val="코드"/>
      <sheetName val="DATE"/>
      <sheetName val="앉음벽_(2)"/>
      <sheetName val="1_설계조건"/>
      <sheetName val="조도계산서_(도서)"/>
      <sheetName val="내역_ver1_0"/>
      <sheetName val="11_우각부_보강"/>
      <sheetName val="제출내역_(2)"/>
      <sheetName val="우수관매설및_우수받이"/>
      <sheetName val="11_산출(전열)"/>
      <sheetName val="6_산출(동력)"/>
      <sheetName val="7_산출(TRAY)"/>
      <sheetName val="plan&amp;section_of_foundation"/>
      <sheetName val="pile_bearing_capa_&amp;_arrenge"/>
      <sheetName val="working_load_at_the_btm_ft_"/>
      <sheetName val="stability_check"/>
      <sheetName val="design_criteria"/>
      <sheetName val="7__현장관리비_"/>
      <sheetName val="6__안전관리비"/>
      <sheetName val="_HIT__HMC_견적_3900_"/>
      <sheetName val="소포내역_(2)"/>
      <sheetName val="3련_BOX"/>
      <sheetName val="(1)본선수량집계"/>
      <sheetName val="Macro(전선)"/>
      <sheetName val="개산공사비"/>
      <sheetName val="재개발"/>
      <sheetName val="결재란"/>
      <sheetName val="부서코드표"/>
      <sheetName val="목차"/>
      <sheetName val="분전반일위대가"/>
      <sheetName val="직접비"/>
      <sheetName val="자재co"/>
      <sheetName val="INSTR"/>
      <sheetName val="#3_일위대가목록"/>
      <sheetName val="전기공사"/>
      <sheetName val="청천내"/>
      <sheetName val="환율change"/>
      <sheetName val="당초"/>
      <sheetName val="단가표"/>
      <sheetName val="시화점실행"/>
      <sheetName val="기별(종합)"/>
      <sheetName val="도담구내 개소별 명세"/>
      <sheetName val="AS복구"/>
      <sheetName val="중기터파기"/>
      <sheetName val="변수값"/>
      <sheetName val="중기상차"/>
      <sheetName val="합계"/>
      <sheetName val="건축"/>
      <sheetName val="미드수량"/>
      <sheetName val="부대공(BOQ)"/>
      <sheetName val="공량산출서"/>
      <sheetName val="횡배수관토공수량"/>
      <sheetName val="자금청구"/>
      <sheetName val="공사비총괄표"/>
      <sheetName val="CC16-내역서"/>
      <sheetName val="9GNG운반"/>
      <sheetName val="남양내역"/>
      <sheetName val="MAIN_TABLE"/>
      <sheetName val="TOT"/>
      <sheetName val="98수문일위"/>
      <sheetName val="손익차9월2"/>
      <sheetName val="득점현황"/>
      <sheetName val="품목납기"/>
      <sheetName val="대림경상68억"/>
      <sheetName val="TCDB"/>
      <sheetName val="3.공통공사대비"/>
      <sheetName val="sub"/>
      <sheetName val="관공일위대가"/>
      <sheetName val="관자재"/>
      <sheetName val="단가 및 재료비"/>
      <sheetName val="관접합및자재집계표"/>
      <sheetName val="단중표"/>
      <sheetName val="7"/>
      <sheetName val="投标材料清单 "/>
      <sheetName val="일위대가표48"/>
      <sheetName val="10공구일위"/>
      <sheetName val="인천제철"/>
      <sheetName val="MILL"/>
      <sheetName val="단면가정"/>
      <sheetName val="공사비산출내역"/>
      <sheetName val="토공계산서(부체도로)"/>
      <sheetName val="코드일람표2001년10월"/>
      <sheetName val="철거산출근거"/>
      <sheetName val="CODE"/>
      <sheetName val="시중노임단가"/>
      <sheetName val="장비비 명세서1"/>
      <sheetName val="입찰견적보고서"/>
      <sheetName val="RETAIL (ABOVE)"/>
      <sheetName val="지구단위계획"/>
      <sheetName val="단   산"/>
      <sheetName val="실    단"/>
      <sheetName val="점수계산1-2"/>
      <sheetName val="2000노임기준"/>
      <sheetName val="사유서제출현황-2"/>
      <sheetName val="교각계산"/>
      <sheetName val="검색방"/>
      <sheetName val="평3"/>
      <sheetName val="자동제어"/>
      <sheetName val="옥내소화전계산서"/>
      <sheetName val="단가적용"/>
      <sheetName val="통신물량"/>
      <sheetName val="-배수구조총재료"/>
      <sheetName val="입력정보"/>
      <sheetName val="세부추진"/>
      <sheetName val="상용보강"/>
      <sheetName val="2.대외공문"/>
      <sheetName val="기본"/>
      <sheetName val="단가(반정1교-원주)"/>
      <sheetName val="SHEET"/>
      <sheetName val="현관"/>
      <sheetName val="투찰가"/>
      <sheetName val="노임단가 (2)"/>
      <sheetName val="수량집계"/>
      <sheetName val="5. 현장관리비(new) "/>
      <sheetName val="원본"/>
      <sheetName val="암거"/>
      <sheetName val="VE절감"/>
      <sheetName val="청주(철골발주의뢰서)"/>
      <sheetName val="분전함신설"/>
      <sheetName val="차수"/>
      <sheetName val="식재인부"/>
      <sheetName val="일위총괄"/>
      <sheetName val="대치판정"/>
      <sheetName val="내역서비교"/>
      <sheetName val="비주거용"/>
      <sheetName val="하중계산"/>
      <sheetName val="중기사용료"/>
      <sheetName val="소화실적"/>
      <sheetName val="현금예금"/>
      <sheetName val="Sheet4"/>
      <sheetName val="심사물량"/>
      <sheetName val="인부신상자료"/>
      <sheetName val="BJJIN"/>
      <sheetName val="관리,공감"/>
      <sheetName val="Sheet6"/>
      <sheetName val="인력터파기"/>
      <sheetName val="월별수입"/>
      <sheetName val="인원"/>
      <sheetName val="48평단가"/>
      <sheetName val="57단가"/>
      <sheetName val="54평단가"/>
      <sheetName val="66평단가"/>
      <sheetName val="61단가"/>
      <sheetName val="89평단가"/>
      <sheetName val="84평단가"/>
      <sheetName val="현장관리비데이타"/>
      <sheetName val="자동세륜기"/>
      <sheetName val="입력데이타(비인쇄용)"/>
      <sheetName val="96수출"/>
      <sheetName val="내역서을지"/>
      <sheetName val="장비 (2)"/>
      <sheetName val="신고조서"/>
      <sheetName val="정산을지"/>
      <sheetName val="COST"/>
      <sheetName val="DHEQSUPT"/>
      <sheetName val="토사(PE)"/>
      <sheetName val="2련간지"/>
      <sheetName val="몰탈"/>
      <sheetName val="5.동별횡주관경"/>
      <sheetName val="1공구(입찰내역)"/>
      <sheetName val="구의33고"/>
      <sheetName val="유림총괄"/>
      <sheetName val="N賃率_職"/>
      <sheetName val="간접비(1)"/>
      <sheetName val="Macro3"/>
      <sheetName val="기본단가"/>
      <sheetName val="주beam"/>
      <sheetName val="일위_파일"/>
      <sheetName val="이토변실(A3-LINE)"/>
      <sheetName val="guard(mac)"/>
      <sheetName val="현장별"/>
      <sheetName val="1단계"/>
      <sheetName val="제수변 수량집계표(보통)"/>
      <sheetName val="기계실냉난방"/>
      <sheetName val="수량명세서"/>
      <sheetName val="위치"/>
      <sheetName val="현장경비"/>
      <sheetName val="전선 및 전선관"/>
      <sheetName val="공조기"/>
      <sheetName val="김해토지조서"/>
      <sheetName val="실지수기호표"/>
      <sheetName val="Baby일위대가"/>
      <sheetName val="골조"/>
      <sheetName val="공정코드"/>
      <sheetName val="공통(20-91)"/>
      <sheetName val="표준건축비"/>
      <sheetName val="실행(표지,갑,을)"/>
      <sheetName val="제품목록"/>
      <sheetName val="EJ"/>
      <sheetName val="7.공정표"/>
      <sheetName val="단면 (2)"/>
      <sheetName val="울산자금"/>
      <sheetName val="CM 1"/>
      <sheetName val=" 갑지"/>
      <sheetName val="확정분요약"/>
      <sheetName val="확정분세부"/>
      <sheetName val="일위(시설)"/>
      <sheetName val="노무비 근거"/>
      <sheetName val="양식_자재단가조사표"/>
      <sheetName val="실행대비"/>
      <sheetName val="용수간선"/>
      <sheetName val="부총"/>
      <sheetName val="재료비노무비"/>
      <sheetName val="A1"/>
      <sheetName val="단가조사"/>
      <sheetName val="CODE1"/>
      <sheetName val="SHL"/>
      <sheetName val="적용환율"/>
      <sheetName val="범례표"/>
      <sheetName val="가설식당"/>
      <sheetName val="이월"/>
      <sheetName val="본사인상전"/>
      <sheetName val="동해title"/>
      <sheetName val="HVAC"/>
      <sheetName val="학생내역"/>
      <sheetName val="일정"/>
      <sheetName val="일위단가"/>
      <sheetName val="기안"/>
      <sheetName val="참조 (2)"/>
      <sheetName val="도실건시"/>
      <sheetName val="제경비산출서"/>
      <sheetName val="전산망"/>
      <sheetName val="맨홀토공"/>
      <sheetName val="맨홀수량산출"/>
      <sheetName val="일위대가1"/>
      <sheetName val=""/>
      <sheetName val="공사수행방안"/>
      <sheetName val="수량산출서 (2)"/>
      <sheetName val="LF자재단가"/>
      <sheetName val="3BL공동구 수량"/>
      <sheetName val="APT내역"/>
      <sheetName val="부대시설"/>
      <sheetName val="Sheet17"/>
      <sheetName val="금리계산"/>
      <sheetName val="환경평가"/>
      <sheetName val="95MAKER"/>
      <sheetName val="계정"/>
      <sheetName val="1회"/>
      <sheetName val="구성비"/>
      <sheetName val="Sheet1 (2)"/>
      <sheetName val="산식3"/>
      <sheetName val="암거 제원표"/>
      <sheetName val="본사공가현황"/>
      <sheetName val="도수로현황"/>
      <sheetName val="도급FORM"/>
      <sheetName val="콘크리트타설집계표"/>
      <sheetName val="대운반(철재)"/>
      <sheetName val="단위수량"/>
      <sheetName val="장비집계"/>
      <sheetName val="조작대(1연)"/>
      <sheetName val="위치조서"/>
      <sheetName val="6. 수량산출서"/>
      <sheetName val="단가비교"/>
      <sheetName val="5호광장_(만점)1"/>
      <sheetName val="인천국제_(만점)_(2)1"/>
      <sheetName val="Total_단위경유량집계1"/>
      <sheetName val="준검_내역서1"/>
      <sheetName val="토공유동표(전체_당초)1"/>
      <sheetName val="BH-1_(2)1"/>
      <sheetName val="1_수인터널1"/>
      <sheetName val="4_전기1"/>
      <sheetName val="표__지1"/>
      <sheetName val="앉음벽_(2)1"/>
      <sheetName val="1_설계조건1"/>
      <sheetName val="조도계산서_(도서)1"/>
      <sheetName val="노원열병합__건축공사기성내역서1"/>
      <sheetName val="I_설계조건1"/>
      <sheetName val="MSS_21"/>
      <sheetName val="2_1__노무비_평균단가산출"/>
      <sheetName val="우수관매설및_우수받이1"/>
      <sheetName val="제출내역_(2)1"/>
      <sheetName val="내역_ver1_01"/>
      <sheetName val="plan&amp;section_of_foundation1"/>
      <sheetName val="pile_bearing_capa_&amp;_arrenge1"/>
      <sheetName val="working_load_at_the_btm_ft_1"/>
      <sheetName val="stability_check1"/>
      <sheetName val="design_criteria1"/>
      <sheetName val="11_우각부_보강1"/>
      <sheetName val="보고서_기기리스트"/>
      <sheetName val="3련_BOX1"/>
      <sheetName val="소포내역_(2)1"/>
      <sheetName val="11_산출(전열)1"/>
      <sheetName val="6_산출(동력)1"/>
      <sheetName val="7_산출(TRAY)1"/>
      <sheetName val="7__현장관리비_1"/>
      <sheetName val="6__안전관리비1"/>
      <sheetName val="배수내역_(2)"/>
      <sheetName val="배수공_시멘트_및_골재량_산출"/>
      <sheetName val="_HIT-&gt;HMC_견적(3900)"/>
      <sheetName val="_HIT__HMC_견적_3900_1"/>
      <sheetName val="A_견적"/>
      <sheetName val="내___역"/>
      <sheetName val="플랜트_설치"/>
      <sheetName val="5_산출(전력)"/>
      <sheetName val="전_기"/>
      <sheetName val="수량산출서(전력간선_지하D_C)"/>
      <sheetName val="SHEET_PILE단가"/>
      <sheetName val="1_설계기준"/>
      <sheetName val="목차_"/>
      <sheetName val="Customer_Databas"/>
      <sheetName val="집_계_표"/>
      <sheetName val="6PILE__(돌출)"/>
      <sheetName val="spc_배관견적"/>
      <sheetName val="1_취수장"/>
      <sheetName val="unit_4"/>
      <sheetName val="화재_탐지_설비"/>
      <sheetName val="2차전체변경예정_(2)"/>
      <sheetName val="Cash_Flow-1"/>
      <sheetName val="3_1공사현황_공정표"/>
      <sheetName val="세골재__T2_변경_현황"/>
      <sheetName val="BH_1__2_"/>
      <sheetName val="귀래_설계_공내역서"/>
      <sheetName val="설_계"/>
      <sheetName val="노임_단가"/>
      <sheetName val="8_현장관리비"/>
      <sheetName val="7_안전관리비"/>
      <sheetName val="별표_"/>
      <sheetName val="개인별_순위표"/>
      <sheetName val="Eq__Mobilization"/>
      <sheetName val="내역서_"/>
      <sheetName val="도담구내_개소별_명세"/>
      <sheetName val="投标材料清单_"/>
      <sheetName val="3_공통공사대비"/>
      <sheetName val="단가_및_재료비"/>
      <sheetName val="장비비_명세서1"/>
      <sheetName val="7_공정표"/>
      <sheetName val="단면_(2)"/>
      <sheetName val="5__현장관리비(new)_"/>
      <sheetName val="2_대외공문"/>
      <sheetName val="노임단가_(2)"/>
      <sheetName val="RETAIL_(ABOVE)"/>
      <sheetName val="건축기술부대조건"/>
      <sheetName val="옥외외등집계표"/>
      <sheetName val="산출"/>
      <sheetName val="소방"/>
      <sheetName val="예산코드"/>
      <sheetName val="원가입력"/>
      <sheetName val="기준"/>
      <sheetName val="철근량"/>
      <sheetName val="일위대_x0000__x0000_Ԁ_x0000_䀀"/>
      <sheetName val="일위산출근거"/>
      <sheetName val="내역서1999.8최종"/>
      <sheetName val="집계표(육상)"/>
      <sheetName val="목록표"/>
      <sheetName val="설계명세서"/>
      <sheetName val="자재"/>
      <sheetName val="산근1"/>
      <sheetName val="조립1부실적"/>
      <sheetName val="수문일1"/>
      <sheetName val="재정비내역"/>
      <sheetName val="지적고시내역"/>
      <sheetName val="B"/>
      <sheetName val="기성(1차) "/>
      <sheetName val="NOMUBI"/>
      <sheetName val="sw1"/>
      <sheetName val="목록"/>
      <sheetName val="49일위"/>
      <sheetName val="22일위"/>
      <sheetName val="I_설계조_x0000_"/>
      <sheetName val="간접"/>
      <sheetName val="기계실"/>
      <sheetName val="수우미양가(Vlookup)"/>
      <sheetName val="보고서_기기리스트1"/>
      <sheetName val="형상"/>
      <sheetName val="일위대가집계"/>
      <sheetName val="NNV"/>
      <sheetName val="제품정보"/>
      <sheetName val="상품수불(합산)"/>
      <sheetName val="동물이동통로"/>
      <sheetName val="노무비"/>
      <sheetName val="wall"/>
      <sheetName val="견적시담(송포2공구)"/>
      <sheetName val="공기압舓⿫_x0005_"/>
      <sheetName val="공기압妐&quot;姜"/>
      <sheetName val="토공 total"/>
      <sheetName val="투찰"/>
      <sheetName val="콘_재료분리(1)"/>
      <sheetName val="효율표"/>
      <sheetName val="일위대㐀븁_x0000__x0000_退"/>
      <sheetName val="비교1"/>
      <sheetName val="일위CODE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 소방공사 산출근거"/>
      <sheetName val="실행내역서(DCU)"/>
      <sheetName val="경비_원본"/>
      <sheetName val="1.CB"/>
      <sheetName val="변수"/>
      <sheetName val="전철"/>
      <sheetName val="안정검토"/>
      <sheetName val="CON'C"/>
      <sheetName val="간접비"/>
      <sheetName val="상반기손익차2총괄"/>
      <sheetName val="골재산출"/>
      <sheetName val="자재단가리스트"/>
      <sheetName val="재적표"/>
      <sheetName val="공종별(공용부위)"/>
      <sheetName val="공사실행(공용부위)"/>
      <sheetName val="공종분리"/>
      <sheetName val="실행예산보고서"/>
      <sheetName val="실행예산보고서-제출용"/>
      <sheetName val="가설"/>
      <sheetName val="설비"/>
      <sheetName val="에어컨"/>
      <sheetName val="공조설비"/>
      <sheetName val="경량"/>
      <sheetName val="금속"/>
      <sheetName val="도장"/>
      <sheetName val="대관업무"/>
      <sheetName val="대리석"/>
      <sheetName val="롤스크린"/>
      <sheetName val="목공"/>
      <sheetName val="방수"/>
      <sheetName val="베이스판넬"/>
      <sheetName val="습식및 셀프레벨링"/>
      <sheetName val="유리"/>
      <sheetName val="자동문"/>
      <sheetName val="준공청소"/>
      <sheetName val="직영노무비"/>
      <sheetName val="철거"/>
      <sheetName val="카펫트"/>
      <sheetName val="타일"/>
      <sheetName val="폐자재"/>
      <sheetName val="플로링"/>
      <sheetName val="하드웨어"/>
      <sheetName val="p-타일"/>
      <sheetName val="건축공사원가계산서"/>
      <sheetName val="건축집계표"/>
      <sheetName val="인테리어내역서"/>
      <sheetName val="1-1"/>
      <sheetName val="1차 내역서"/>
      <sheetName val="Space"/>
      <sheetName val="Final"/>
      <sheetName val="구조물"/>
      <sheetName val="대전(세창동)"/>
      <sheetName val="정보"/>
      <sheetName val="설계명세서(선로)"/>
      <sheetName val="BSD (2)"/>
      <sheetName val="바.한일양산"/>
      <sheetName val="판테온실행내역"/>
      <sheetName val="회사정보"/>
      <sheetName val="해외(원화)"/>
      <sheetName val="hvac내역서(제어동)"/>
      <sheetName val="Project Brief"/>
      <sheetName val="UNIT"/>
      <sheetName val="Breakdown"/>
      <sheetName val="UnitRate"/>
      <sheetName val="영업.일1"/>
      <sheetName val="일위대가(건축)"/>
      <sheetName val="습식및_셀프레벨링"/>
      <sheetName val="1차_내역서"/>
      <sheetName val="카쎫트"/>
      <sheetName val="COPING"/>
      <sheetName val="간선계산"/>
      <sheetName val="#REF!"/>
      <sheetName val="기기 내역서"/>
      <sheetName val="환산"/>
      <sheetName val="일산실행내역"/>
      <sheetName val="J直材4"/>
      <sheetName val="연부97-1"/>
      <sheetName val="갑지1"/>
      <sheetName val="EACT10"/>
      <sheetName val="실행간접비용"/>
      <sheetName val="부대tu"/>
      <sheetName val="시추주상도"/>
      <sheetName val="CLAUSE"/>
      <sheetName val="BOJUNGGM"/>
      <sheetName val="세금자료"/>
      <sheetName val="말고개터널조명전압강하"/>
      <sheetName val="유치원내역"/>
      <sheetName val="에어샵공사"/>
      <sheetName val="Sheet16"/>
      <sheetName val="견내"/>
      <sheetName val="5사남"/>
      <sheetName val="토공 토적표"/>
      <sheetName val="실적공사비"/>
      <sheetName val="주bea_xdcf0_"/>
      <sheetName val="일위대가 "/>
      <sheetName val="1ST"/>
      <sheetName val="4 LINE"/>
      <sheetName val="7 th"/>
      <sheetName val="CTEMCOST"/>
      <sheetName val="ELECTRIC"/>
      <sheetName val="SCHEDULE"/>
      <sheetName val="관경별내역서"/>
      <sheetName val="수배전(갑)"/>
      <sheetName val="95년12월말"/>
      <sheetName val="esc"/>
      <sheetName val="수량산출서집계"/>
      <sheetName val="맨홀수량"/>
      <sheetName val="일위대가목록표"/>
      <sheetName val="MSS"/>
      <sheetName val="정화조"/>
      <sheetName val="토공(1)"/>
      <sheetName val="준공조서갑지"/>
      <sheetName val="일위대가(계측기설치)"/>
      <sheetName val="조도계산서_(도서_x0000_"/>
      <sheetName val="04변경-상하"/>
      <sheetName val="설계서"/>
      <sheetName val="20관리비율"/>
      <sheetName val="LIST"/>
      <sheetName val="新철폐복2"/>
      <sheetName val="新철폐복3"/>
      <sheetName val="新철폐복"/>
      <sheetName val="자재집계"/>
      <sheetName val="단위중량"/>
      <sheetName val="단양 00 아파트-세부내역"/>
      <sheetName val="포장(수량)-관로부"/>
      <sheetName val="REDUCER"/>
      <sheetName val="WE'T"/>
      <sheetName val="인건-측정"/>
      <sheetName val="조직"/>
      <sheetName val="전사 (2)"/>
      <sheetName val="BA (2)"/>
      <sheetName val="CP (2)"/>
      <sheetName val="시산표"/>
      <sheetName val="전기단가조사서"/>
      <sheetName val="울산자동제어"/>
      <sheetName val="기성갑지"/>
      <sheetName val="MIJIBI"/>
      <sheetName val="0Title"/>
      <sheetName val="할빙수"/>
      <sheetName val="하수급견적대비"/>
      <sheetName val="토목내역서"/>
      <sheetName val="난간벽단위"/>
      <sheetName val="정산서"/>
      <sheetName val="변경내역"/>
      <sheetName val="전압강하자료"/>
      <sheetName val="식음료"/>
      <sheetName val="apt수량"/>
      <sheetName val="현금"/>
      <sheetName val="첨부1"/>
      <sheetName val="지급자재"/>
      <sheetName val="내역서(100%)"/>
      <sheetName val="견적의뢰서"/>
      <sheetName val="포장수량집계"/>
      <sheetName val="예산조서(전송)"/>
      <sheetName val="간접경상비"/>
      <sheetName val="현장조사"/>
      <sheetName val="J"/>
      <sheetName val="월별손익"/>
      <sheetName val="PI"/>
      <sheetName val="건축공사실행"/>
      <sheetName val="건축원가"/>
      <sheetName val="내역서2안"/>
      <sheetName val="물량내역서"/>
      <sheetName val="수목표준대가"/>
      <sheetName val="기초목"/>
      <sheetName val="database"/>
      <sheetName val="마스터원본"/>
      <sheetName val="접속도수량집계표"/>
      <sheetName val="변경명신물량 (2)"/>
      <sheetName val="감가상각비대체내역"/>
      <sheetName val="기존단가 (2)"/>
      <sheetName val="날개수집"/>
      <sheetName val="실_인건비(5월부터)"/>
      <sheetName val="현장별정리"/>
      <sheetName val="대_x0000__x0000_"/>
      <sheetName val="GDP"/>
      <sheetName val="일일입력"/>
      <sheetName val="품목등록"/>
      <sheetName val="2"/>
      <sheetName val="F4-F7"/>
      <sheetName val="FAB별"/>
      <sheetName val="아파트 "/>
      <sheetName val="현황산출서"/>
      <sheetName val="갑지.을지"/>
      <sheetName val="기타"/>
      <sheetName val="각종양식"/>
      <sheetName val="&lt;--"/>
      <sheetName val="K1자재(3차등)"/>
      <sheetName val="제수변수량"/>
      <sheetName val="송전기본"/>
      <sheetName val="물류최종8월7"/>
      <sheetName val="부대대비"/>
      <sheetName val="냉연집계"/>
      <sheetName val="15100"/>
      <sheetName val="도담구내 개소별 명柖"/>
      <sheetName val="ACMV"/>
      <sheetName val="P&amp;S"/>
      <sheetName val="danh muc vat tu"/>
      <sheetName val="Register-BG NCC"/>
      <sheetName val="Data 2"/>
      <sheetName val="TB chính"/>
      <sheetName val="AHU-PAU-FCU"/>
      <sheetName val="FANS"/>
      <sheetName val="Steel pipe"/>
      <sheetName val="Ref pipe+Ins"/>
      <sheetName val="Plastic pipe"/>
      <sheetName val="Duct"/>
      <sheetName val="Air Grilles"/>
      <sheetName val="Valves"/>
      <sheetName val="주식"/>
      <sheetName val="Cost bd-&quot;A&quot;"/>
      <sheetName val="표지 (2)"/>
      <sheetName val="집계"/>
      <sheetName val="을부담운반비"/>
      <sheetName val="간지"/>
      <sheetName val="Scenario"/>
      <sheetName val="건축집계"/>
      <sheetName val="교대(A1)"/>
      <sheetName val="유효폭의 계산"/>
      <sheetName val="다곡2교"/>
      <sheetName val="화설내"/>
      <sheetName val="수정계획3"/>
      <sheetName val="건축원가계산서"/>
      <sheetName val="가시설(TYPE-A)"/>
      <sheetName val="1-1평균터파기고(1)"/>
      <sheetName val="미납품 현황"/>
      <sheetName val=" 견적서"/>
      <sheetName val="임차비용"/>
      <sheetName val="조경수량"/>
      <sheetName val="한일양산"/>
      <sheetName val="2-2.매출분석"/>
      <sheetName val="만년달력"/>
      <sheetName val="세목별"/>
      <sheetName val="설-원가"/>
      <sheetName val="(당평)자재"/>
      <sheetName val="부하LOAD"/>
      <sheetName val="설계내역(2001)"/>
      <sheetName val="H-pile(298x299)"/>
      <sheetName val="H-pile(250x250)"/>
      <sheetName val="전도품의"/>
      <sheetName val="기준액"/>
      <sheetName val="담보"/>
      <sheetName val="I_설계조多"/>
      <sheetName val="선정요령"/>
      <sheetName val="시추조사비"/>
      <sheetName val="보할"/>
      <sheetName val="배수관연장조서"/>
      <sheetName val="내역1"/>
      <sheetName val="수량계산"/>
      <sheetName val="일위산출"/>
      <sheetName val="개요2"/>
      <sheetName val="자재테이블"/>
      <sheetName val="건축공사집계"/>
      <sheetName val="자갈,시멘트,모래산출"/>
      <sheetName val="2분기"/>
      <sheetName val="예산실적전체당월"/>
      <sheetName val="일위1"/>
      <sheetName val="하조서"/>
      <sheetName val="2002상반기노임기준"/>
      <sheetName val="STEEL BOX 단면설계(SEC.8)"/>
      <sheetName val="S0"/>
      <sheetName val="사업부구분코드"/>
      <sheetName val="급,배기팬"/>
      <sheetName val="집계장"/>
      <sheetName val="종단계산"/>
      <sheetName val="제조노임"/>
      <sheetName val="인입관수량총괄"/>
      <sheetName val="용산1(해보)"/>
      <sheetName val="영업소실적"/>
      <sheetName val="데이터유효성검사자료"/>
      <sheetName val="자격 땡겨오기"/>
      <sheetName val="설명서 "/>
      <sheetName val="FACTOR"/>
      <sheetName val="인적사항(누적)"/>
      <sheetName val="11"/>
      <sheetName val="JUCK"/>
      <sheetName val="내역_verᔈ_x0000__x0000_"/>
      <sheetName val="계산_x0000__x0000_"/>
      <sheetName val="우석문틀"/>
      <sheetName val="DTCT"/>
      <sheetName val="5호광장_(만점)2"/>
      <sheetName val="인천국제_(만점)_(2)2"/>
      <sheetName val="Total_단위경유량집계2"/>
      <sheetName val="토공유동표(전체_당초)2"/>
      <sheetName val="준검_내역서2"/>
      <sheetName val="1_수인터널2"/>
      <sheetName val="BH-1_(2)2"/>
      <sheetName val="표__지2"/>
      <sheetName val="投标材料清单_1"/>
      <sheetName val="앉음벽_(2)2"/>
      <sheetName val="4_전기2"/>
      <sheetName val="_HIT__HMC_견적_3900_2"/>
      <sheetName val="I_설계조건2"/>
      <sheetName val="7__현장관리비_2"/>
      <sheetName val="6__안전관리비2"/>
      <sheetName val="노원열병합__건축공사기성내역서2"/>
      <sheetName val="1_설계조건2"/>
      <sheetName val="조도계산서_(도서)2"/>
      <sheetName val="소포내역_(2)2"/>
      <sheetName val="MSS_22"/>
      <sheetName val="11_산출(전열)2"/>
      <sheetName val="6_산출(동력)2"/>
      <sheetName val="7_산출(TRAY)2"/>
      <sheetName val="5_산출(전력)1"/>
      <sheetName val="수량산출서(전력간선_지하D_C)1"/>
      <sheetName val="우수관매설및_우수받이2"/>
      <sheetName val="11_우각부_보강2"/>
      <sheetName val="제출내역_(2)2"/>
      <sheetName val="내___역1"/>
      <sheetName val="내역_ver1_02"/>
      <sheetName val="플랜트_설치1"/>
      <sheetName val="plan&amp;section_of_foundation2"/>
      <sheetName val="pile_bearing_capa_&amp;_arrenge2"/>
      <sheetName val="working_load_at_the_btm_ft_2"/>
      <sheetName val="stability_check2"/>
      <sheetName val="design_criteria2"/>
      <sheetName val="2_1__노무비_평균단가산출1"/>
      <sheetName val="3련_BOX2"/>
      <sheetName val="배수내역_(2)1"/>
      <sheetName val="배수공_시멘트_및_골재량_산출1"/>
      <sheetName val="A_견적1"/>
      <sheetName val="unit_41"/>
      <sheetName val="_HIT-&gt;HMC_견적(3900)1"/>
      <sheetName val="Customer_Databas1"/>
      <sheetName val="spc_배관견적1"/>
      <sheetName val="전_기1"/>
      <sheetName val="SHEET_PILE단가1"/>
      <sheetName val="목차_1"/>
      <sheetName val="화재_탐지_설비1"/>
      <sheetName val="6PILE__(돌출)1"/>
      <sheetName val="세골재__T2_변경_현황1"/>
      <sheetName val="BH_1__2_1"/>
      <sheetName val="개인별_순위표1"/>
      <sheetName val="1_취수장1"/>
      <sheetName val="Cash_Flow-11"/>
      <sheetName val="3_1공사현황_공정표1"/>
      <sheetName val="2차전체변경예정_(2)1"/>
      <sheetName val="노임_단가1"/>
      <sheetName val="내역서_1"/>
      <sheetName val="8_현장관리비1"/>
      <sheetName val="7_안전관리비1"/>
      <sheetName val="귀래_설계_공내역서1"/>
      <sheetName val="설_계1"/>
      <sheetName val="1_설계기준1"/>
      <sheetName val="집_계_표1"/>
      <sheetName val="별표_1"/>
      <sheetName val="도담구내_개소별_명세1"/>
      <sheetName val="노임단가_(2)1"/>
      <sheetName val="3_공통공사대비1"/>
      <sheetName val="단가_및_재료비1"/>
      <sheetName val="RETAIL_(ABOVE)1"/>
      <sheetName val="장비비_명세서11"/>
      <sheetName val="단___산"/>
      <sheetName val="실____단"/>
      <sheetName val="전선_및_전선관"/>
      <sheetName val="7_공정표1"/>
      <sheetName val="단면_(2)1"/>
      <sheetName val="5__현장관리비(new)_1"/>
      <sheetName val="내역서1999_8최종"/>
      <sheetName val="2_대외공문1"/>
      <sheetName val="Eq__Mobilization1"/>
      <sheetName val="노무비_근거"/>
      <sheetName val="제수변_수량집계표(보통)"/>
      <sheetName val="Sheet1_(2)"/>
      <sheetName val="장비_(2)"/>
      <sheetName val="3BL공동구_수량"/>
      <sheetName val="5_동별횡주관경"/>
      <sheetName val="암거_제원표"/>
      <sheetName val="도담구내_개소별_명柖"/>
      <sheetName val="CM_1"/>
      <sheetName val="_갑지"/>
      <sheetName val="6__수량산출서"/>
      <sheetName val="참조_(2)"/>
      <sheetName val="일위대가_"/>
      <sheetName val="4_LINE"/>
      <sheetName val="7_th"/>
      <sheetName val="danh_muc_vat_tu"/>
      <sheetName val="Register-BG_NCC"/>
      <sheetName val="Data_2"/>
      <sheetName val="TB_chính"/>
      <sheetName val="Steel_pipe"/>
      <sheetName val="Ref_pipe+Ins"/>
      <sheetName val="Plastic_pipe"/>
      <sheetName val="Air_Grilles"/>
      <sheetName val="Cost_bd-&quot;A&quot;"/>
      <sheetName val="제1영업소"/>
      <sheetName val="제2영업소"/>
      <sheetName val="제3영업소"/>
      <sheetName val="ITB COST"/>
      <sheetName val="결재_x0000_"/>
      <sheetName val="직접뀀鞖/_x0000_"/>
      <sheetName val="수완하도"/>
      <sheetName val="김포내역"/>
      <sheetName val="일위대"/>
      <sheetName val="일위대㐀븁"/>
      <sheetName val=" FURNACE현설"/>
      <sheetName val="97 사업추정(WEKI)"/>
      <sheetName val="코_x0000_"/>
      <sheetName val="LD"/>
      <sheetName val="덤프트럭계수"/>
      <sheetName val="매입"/>
      <sheetName val="4.2.1 마루높이 검토"/>
      <sheetName val="10"/>
      <sheetName val="12"/>
      <sheetName val="13"/>
      <sheetName val="14"/>
      <sheetName val="15"/>
      <sheetName val="16"/>
      <sheetName val="3"/>
      <sheetName val="4"/>
      <sheetName val="5"/>
      <sheetName val="6"/>
      <sheetName val="8"/>
      <sheetName val="9"/>
      <sheetName val="기본설계기준"/>
      <sheetName val="건명"/>
      <sheetName val="수자재단위당"/>
      <sheetName val="수계"/>
      <sheetName val="토지가격산출기초"/>
      <sheetName val="공시지가"/>
      <sheetName val="인원계획-미화"/>
      <sheetName val="안산기계장치"/>
      <sheetName val="토목도급"/>
      <sheetName val="점유현황"/>
      <sheetName val="판정1교토공"/>
      <sheetName val="WEON"/>
      <sheetName val="단가조사-1"/>
      <sheetName val="갑지_설계 내역서"/>
      <sheetName val="현장실사자료"/>
      <sheetName val="과업지시서"/>
      <sheetName val="유지정비"/>
      <sheetName val="용역인건비"/>
      <sheetName val="문10"/>
      <sheetName val="원료"/>
      <sheetName val="7_산출(⠀榅弁䘿_x0000_"/>
      <sheetName val="수량산출서 갑지"/>
      <sheetName val="기타#9"/>
      <sheetName val="미장"/>
      <sheetName val="철골"/>
      <sheetName val="재료할증"/>
      <sheetName val="관급현황"/>
      <sheetName val="기술조건"/>
      <sheetName val="1.내역(청.하역장전등)"/>
      <sheetName val="기계"/>
      <sheetName val="램머"/>
      <sheetName val="1,2,3,4_x0000__x0000_界Þ多⽬"/>
      <sheetName val="1,2,3,4_x0005__x0000__x0000__x0000__x0000_"/>
      <sheetName val="2.단면가정 (양곡1교)"/>
      <sheetName val="단가비교표_공통1"/>
      <sheetName val="05년 상"/>
      <sheetName val="영흥TL(UP,DOWN) "/>
      <sheetName val="8.PILE  (돌출)"/>
      <sheetName val="중기조종사 단위단가"/>
      <sheetName val="인구"/>
      <sheetName val="6월세계"/>
      <sheetName val="19.07월.세.계"/>
      <sheetName val="19.07항목별(시트복사금지100번쓰기)"/>
      <sheetName val="7월정리"/>
      <sheetName val="카드전표"/>
      <sheetName val="05월"/>
      <sheetName val="05월정리"/>
      <sheetName val="4월항목별"/>
      <sheetName val="19.05월"/>
      <sheetName val="용역식대명세"/>
      <sheetName val="10공-_x0000_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/>
      <sheetData sheetId="817"/>
      <sheetData sheetId="818"/>
      <sheetData sheetId="819"/>
      <sheetData sheetId="820"/>
      <sheetData sheetId="821"/>
      <sheetData sheetId="822" refreshError="1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/>
      <sheetData sheetId="920"/>
      <sheetData sheetId="921"/>
      <sheetData sheetId="922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/>
      <sheetData sheetId="1165"/>
      <sheetData sheetId="1166"/>
      <sheetData sheetId="1167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/>
      <sheetData sheetId="1466"/>
      <sheetData sheetId="1467"/>
      <sheetData sheetId="1468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M52"/>
  <sheetViews>
    <sheetView view="pageBreakPreview" zoomScaleSheetLayoutView="100" workbookViewId="0">
      <selection activeCell="J23" sqref="J23"/>
    </sheetView>
  </sheetViews>
  <sheetFormatPr defaultRowHeight="16.5"/>
  <cols>
    <col min="1" max="1" width="3.21875" style="48" customWidth="1"/>
    <col min="2" max="2" width="3.44140625" style="48" customWidth="1"/>
    <col min="3" max="3" width="25.33203125" style="48" customWidth="1"/>
    <col min="4" max="4" width="22" style="49" customWidth="1"/>
    <col min="5" max="5" width="56.5546875" style="48" customWidth="1"/>
    <col min="6" max="6" width="8.77734375" style="48" hidden="1" customWidth="1"/>
    <col min="7" max="7" width="8.88671875" style="48" hidden="1" customWidth="1"/>
    <col min="8" max="8" width="14.33203125" style="49" customWidth="1"/>
    <col min="9" max="10" width="8.88671875" style="48"/>
    <col min="11" max="11" width="13.33203125" style="48" customWidth="1"/>
    <col min="12" max="12" width="14.6640625" style="48" customWidth="1"/>
    <col min="13" max="13" width="13.5546875" style="48" customWidth="1"/>
    <col min="14" max="16384" width="8.88671875" style="48"/>
  </cols>
  <sheetData>
    <row r="1" spans="1:13" ht="41.25">
      <c r="A1" s="165" t="s">
        <v>7</v>
      </c>
      <c r="B1" s="165"/>
      <c r="C1" s="165"/>
      <c r="D1" s="165"/>
      <c r="E1" s="165"/>
    </row>
    <row r="2" spans="1:13" ht="24.75" customHeight="1"/>
    <row r="3" spans="1:13" ht="17.25" thickBot="1">
      <c r="A3" s="166" t="s">
        <v>109</v>
      </c>
      <c r="B3" s="166"/>
      <c r="C3" s="161" t="s">
        <v>1312</v>
      </c>
      <c r="D3" s="161"/>
      <c r="E3" s="50" t="s">
        <v>1315</v>
      </c>
    </row>
    <row r="4" spans="1:13" ht="21.75" customHeight="1" thickBot="1">
      <c r="A4" s="167" t="s">
        <v>8</v>
      </c>
      <c r="B4" s="168"/>
      <c r="C4" s="51" t="s">
        <v>9</v>
      </c>
      <c r="D4" s="52" t="s">
        <v>10</v>
      </c>
      <c r="E4" s="53" t="s">
        <v>45</v>
      </c>
      <c r="F4" s="48" t="s">
        <v>4</v>
      </c>
      <c r="I4" s="54" t="s">
        <v>104</v>
      </c>
      <c r="J4" s="54" t="s">
        <v>105</v>
      </c>
      <c r="K4" s="54" t="s">
        <v>103</v>
      </c>
      <c r="L4" s="54" t="s">
        <v>107</v>
      </c>
      <c r="M4" s="54" t="s">
        <v>106</v>
      </c>
    </row>
    <row r="5" spans="1:13" ht="14.1" customHeight="1">
      <c r="A5" s="60"/>
      <c r="B5" s="162" t="s">
        <v>46</v>
      </c>
      <c r="C5" s="148" t="s">
        <v>1189</v>
      </c>
      <c r="D5" s="55">
        <f>옵션!$B$2</f>
        <v>0</v>
      </c>
      <c r="E5" s="56"/>
      <c r="G5" s="48" t="s">
        <v>4</v>
      </c>
      <c r="J5" s="48">
        <v>1</v>
      </c>
      <c r="K5" s="49">
        <f>D5*J5</f>
        <v>0</v>
      </c>
      <c r="L5" s="49"/>
      <c r="M5" s="49"/>
    </row>
    <row r="6" spans="1:13" ht="14.1" customHeight="1">
      <c r="A6" s="60"/>
      <c r="B6" s="162"/>
      <c r="C6" s="66" t="s">
        <v>1190</v>
      </c>
      <c r="D6" s="58"/>
      <c r="E6" s="59"/>
      <c r="K6" s="49">
        <f t="shared" ref="K6:K34" si="0">D6*J6</f>
        <v>0</v>
      </c>
      <c r="L6" s="49"/>
      <c r="M6" s="49"/>
    </row>
    <row r="7" spans="1:13" ht="14.1" customHeight="1">
      <c r="A7" s="60" t="s">
        <v>4</v>
      </c>
      <c r="B7" s="163"/>
      <c r="C7" s="66" t="s">
        <v>1161</v>
      </c>
      <c r="D7" s="58">
        <f>SUM(D5:D6)</f>
        <v>0</v>
      </c>
      <c r="E7" s="59"/>
      <c r="K7" s="49">
        <f t="shared" si="0"/>
        <v>0</v>
      </c>
      <c r="L7" s="49"/>
      <c r="M7" s="49"/>
    </row>
    <row r="8" spans="1:13" ht="14.1" customHeight="1">
      <c r="A8" s="60" t="s">
        <v>47</v>
      </c>
      <c r="B8" s="164" t="s">
        <v>48</v>
      </c>
      <c r="C8" s="66" t="s">
        <v>1191</v>
      </c>
      <c r="D8" s="58">
        <f>옵션!$C$2</f>
        <v>0</v>
      </c>
      <c r="E8" s="59"/>
      <c r="J8" s="48">
        <v>1</v>
      </c>
      <c r="K8" s="49">
        <f t="shared" si="0"/>
        <v>0</v>
      </c>
      <c r="L8" s="49"/>
      <c r="M8" s="49"/>
    </row>
    <row r="9" spans="1:13" ht="14.1" customHeight="1">
      <c r="A9" s="60"/>
      <c r="B9" s="162"/>
      <c r="C9" s="66" t="s">
        <v>1159</v>
      </c>
      <c r="D9" s="58">
        <f>TRUNC(D8*I9/100)</f>
        <v>0</v>
      </c>
      <c r="E9" s="59" t="s">
        <v>1192</v>
      </c>
      <c r="I9" s="48">
        <v>16.7</v>
      </c>
      <c r="J9" s="48">
        <v>1</v>
      </c>
      <c r="K9" s="49">
        <f t="shared" si="0"/>
        <v>0</v>
      </c>
      <c r="L9" s="49"/>
      <c r="M9" s="49"/>
    </row>
    <row r="10" spans="1:13" ht="14.1" customHeight="1">
      <c r="A10" s="60"/>
      <c r="B10" s="163"/>
      <c r="C10" s="66" t="s">
        <v>1161</v>
      </c>
      <c r="D10" s="58">
        <f>SUM(D8:D9)</f>
        <v>0</v>
      </c>
      <c r="E10" s="59"/>
      <c r="K10" s="49">
        <f t="shared" si="0"/>
        <v>0</v>
      </c>
      <c r="L10" s="49"/>
      <c r="M10" s="49"/>
    </row>
    <row r="11" spans="1:13" ht="14.1" customHeight="1">
      <c r="A11" s="60" t="s">
        <v>4</v>
      </c>
      <c r="B11" s="61"/>
      <c r="C11" s="66" t="s">
        <v>1162</v>
      </c>
      <c r="D11" s="58">
        <f>옵션!$D$2</f>
        <v>0</v>
      </c>
      <c r="E11" s="59"/>
      <c r="J11" s="48">
        <v>1</v>
      </c>
      <c r="K11" s="49">
        <f t="shared" si="0"/>
        <v>0</v>
      </c>
      <c r="L11" s="49"/>
      <c r="M11" s="49"/>
    </row>
    <row r="12" spans="1:13" ht="14.1" customHeight="1">
      <c r="A12" s="60"/>
      <c r="B12" s="61"/>
      <c r="C12" s="66" t="s">
        <v>1163</v>
      </c>
      <c r="D12" s="58">
        <f>TRUNC(D10*I12/100)</f>
        <v>0</v>
      </c>
      <c r="E12" s="59" t="s">
        <v>1164</v>
      </c>
      <c r="I12" s="48">
        <v>3.56</v>
      </c>
      <c r="J12" s="48">
        <v>1</v>
      </c>
      <c r="K12" s="49">
        <f t="shared" si="0"/>
        <v>0</v>
      </c>
      <c r="L12" s="49"/>
      <c r="M12" s="49"/>
    </row>
    <row r="13" spans="1:13" ht="14.1" customHeight="1">
      <c r="A13" s="60" t="s">
        <v>49</v>
      </c>
      <c r="B13" s="78"/>
      <c r="C13" s="66" t="s">
        <v>1165</v>
      </c>
      <c r="D13" s="58">
        <f>TRUNC(D10*I13/100)</f>
        <v>0</v>
      </c>
      <c r="E13" s="59" t="s">
        <v>1166</v>
      </c>
      <c r="I13" s="48">
        <v>1.01</v>
      </c>
      <c r="J13" s="48">
        <v>1</v>
      </c>
      <c r="K13" s="49">
        <f t="shared" si="0"/>
        <v>0</v>
      </c>
      <c r="L13" s="49"/>
      <c r="M13" s="49"/>
    </row>
    <row r="14" spans="1:13" ht="14.1" customHeight="1">
      <c r="A14" s="60"/>
      <c r="B14" s="61" t="s">
        <v>50</v>
      </c>
      <c r="C14" s="66" t="s">
        <v>1173</v>
      </c>
      <c r="D14" s="58">
        <f>TRUNC(D8*I14/100)</f>
        <v>0</v>
      </c>
      <c r="E14" s="59" t="s">
        <v>1174</v>
      </c>
      <c r="I14" s="48">
        <v>2.2999999999999998</v>
      </c>
      <c r="J14" s="48">
        <v>1</v>
      </c>
      <c r="K14" s="49">
        <f t="shared" si="0"/>
        <v>0</v>
      </c>
      <c r="L14" s="49"/>
      <c r="M14" s="49"/>
    </row>
    <row r="15" spans="1:13" ht="14.1" customHeight="1">
      <c r="A15" s="60" t="s">
        <v>4</v>
      </c>
      <c r="B15" s="61"/>
      <c r="C15" s="66" t="s">
        <v>1176</v>
      </c>
      <c r="D15" s="58">
        <f>TRUNC((D7+D8)*I15/100)</f>
        <v>0</v>
      </c>
      <c r="E15" s="59" t="s">
        <v>1313</v>
      </c>
      <c r="I15" s="48">
        <v>2.0699999999999998</v>
      </c>
      <c r="J15" s="48">
        <v>1</v>
      </c>
      <c r="K15" s="49">
        <f t="shared" si="0"/>
        <v>0</v>
      </c>
      <c r="L15" s="49"/>
      <c r="M15" s="49"/>
    </row>
    <row r="16" spans="1:13" ht="14.1" customHeight="1">
      <c r="A16" s="60"/>
      <c r="B16" s="61"/>
      <c r="C16" s="66" t="s">
        <v>1178</v>
      </c>
      <c r="D16" s="58">
        <f>TRUNC((D7+D10)*I16/100)</f>
        <v>0</v>
      </c>
      <c r="E16" s="59" t="s">
        <v>1314</v>
      </c>
      <c r="H16" s="49">
        <f>D7+D10</f>
        <v>0</v>
      </c>
      <c r="I16" s="48">
        <v>5.3</v>
      </c>
      <c r="J16" s="48">
        <v>1</v>
      </c>
      <c r="K16" s="49">
        <f t="shared" si="0"/>
        <v>0</v>
      </c>
      <c r="L16" s="49"/>
      <c r="M16" s="49"/>
    </row>
    <row r="17" spans="1:13" ht="14.1" customHeight="1">
      <c r="A17" s="60"/>
      <c r="B17" s="61"/>
      <c r="C17" s="66" t="s">
        <v>1167</v>
      </c>
      <c r="D17" s="58">
        <f>TRUNC(D8*I17/100)</f>
        <v>0</v>
      </c>
      <c r="E17" s="59" t="s">
        <v>1168</v>
      </c>
      <c r="I17" s="48">
        <v>3.5950000000000002</v>
      </c>
      <c r="J17" s="48">
        <v>1</v>
      </c>
      <c r="K17" s="49">
        <f t="shared" si="0"/>
        <v>0</v>
      </c>
      <c r="L17" s="49"/>
      <c r="M17" s="49"/>
    </row>
    <row r="18" spans="1:13" ht="14.1" customHeight="1">
      <c r="A18" s="60" t="s">
        <v>51</v>
      </c>
      <c r="B18" s="61"/>
      <c r="C18" s="66" t="s">
        <v>1170</v>
      </c>
      <c r="D18" s="58">
        <f>TRUNC(D8*I18/100)</f>
        <v>0</v>
      </c>
      <c r="E18" s="59" t="s">
        <v>1171</v>
      </c>
      <c r="I18" s="48">
        <v>4.75</v>
      </c>
      <c r="J18" s="48">
        <v>1</v>
      </c>
      <c r="K18" s="49">
        <f t="shared" si="0"/>
        <v>0</v>
      </c>
      <c r="L18" s="49"/>
      <c r="M18" s="49"/>
    </row>
    <row r="19" spans="1:13" ht="14.1" customHeight="1">
      <c r="A19" s="60" t="s">
        <v>4</v>
      </c>
      <c r="B19" s="61" t="s">
        <v>4</v>
      </c>
      <c r="C19" s="66" t="s">
        <v>1180</v>
      </c>
      <c r="D19" s="58">
        <f>TRUNC(D17*I19/100)</f>
        <v>0</v>
      </c>
      <c r="E19" s="59" t="s">
        <v>1181</v>
      </c>
      <c r="I19" s="48">
        <v>13.14</v>
      </c>
      <c r="J19" s="48">
        <v>1</v>
      </c>
      <c r="K19" s="49">
        <f t="shared" si="0"/>
        <v>0</v>
      </c>
      <c r="L19" s="49"/>
      <c r="M19" s="49"/>
    </row>
    <row r="20" spans="1:13" ht="14.1" customHeight="1">
      <c r="A20" s="60"/>
      <c r="B20" s="78"/>
      <c r="C20" s="66" t="s">
        <v>1196</v>
      </c>
      <c r="D20" s="58">
        <f>TRUNC(D10*I20/100)</f>
        <v>0</v>
      </c>
      <c r="E20" s="59" t="s">
        <v>1198</v>
      </c>
      <c r="I20" s="48">
        <v>6.0000000000000001E-3</v>
      </c>
      <c r="J20" s="48">
        <v>1</v>
      </c>
      <c r="K20" s="49">
        <f t="shared" ref="K20:K21" si="1">D20*J20</f>
        <v>0</v>
      </c>
      <c r="L20" s="49"/>
      <c r="M20" s="49"/>
    </row>
    <row r="21" spans="1:13" ht="14.1" customHeight="1">
      <c r="A21" s="60"/>
      <c r="B21" s="61"/>
      <c r="C21" s="66" t="s">
        <v>1197</v>
      </c>
      <c r="D21" s="58">
        <f>TRUNC(D10*I21/100)</f>
        <v>0</v>
      </c>
      <c r="E21" s="59" t="s">
        <v>1199</v>
      </c>
      <c r="I21" s="48">
        <v>0.09</v>
      </c>
      <c r="J21" s="48">
        <v>1</v>
      </c>
      <c r="K21" s="49">
        <f t="shared" si="1"/>
        <v>0</v>
      </c>
      <c r="L21" s="49"/>
      <c r="M21" s="49"/>
    </row>
    <row r="22" spans="1:13" ht="14.1" customHeight="1">
      <c r="A22" s="60"/>
      <c r="B22" s="61" t="s">
        <v>52</v>
      </c>
      <c r="C22" s="66" t="s">
        <v>4</v>
      </c>
      <c r="D22" s="58"/>
      <c r="E22" s="59"/>
      <c r="K22" s="49">
        <f t="shared" si="0"/>
        <v>0</v>
      </c>
      <c r="L22" s="49"/>
      <c r="M22" s="49"/>
    </row>
    <row r="23" spans="1:13" ht="14.1" customHeight="1">
      <c r="A23" s="60" t="s">
        <v>52</v>
      </c>
      <c r="B23" s="61"/>
      <c r="C23" s="66" t="s">
        <v>4</v>
      </c>
      <c r="D23" s="58"/>
      <c r="E23" s="59"/>
      <c r="K23" s="49">
        <f t="shared" si="0"/>
        <v>0</v>
      </c>
      <c r="L23" s="49"/>
      <c r="M23" s="49"/>
    </row>
    <row r="24" spans="1:13" ht="14.1" customHeight="1">
      <c r="A24" s="60"/>
      <c r="B24" s="61"/>
      <c r="C24" s="66" t="s">
        <v>4</v>
      </c>
      <c r="D24" s="58"/>
      <c r="E24" s="59"/>
      <c r="K24" s="49">
        <f t="shared" si="0"/>
        <v>0</v>
      </c>
      <c r="L24" s="49"/>
      <c r="M24" s="49"/>
    </row>
    <row r="25" spans="1:13" ht="14.1" customHeight="1">
      <c r="A25" s="60"/>
      <c r="B25" s="61"/>
      <c r="C25" s="68" t="s">
        <v>1161</v>
      </c>
      <c r="D25" s="58">
        <f>SUM(D11:D24)</f>
        <v>0</v>
      </c>
      <c r="E25" s="59"/>
      <c r="K25" s="49">
        <f t="shared" si="0"/>
        <v>0</v>
      </c>
      <c r="L25" s="49"/>
      <c r="M25" s="49"/>
    </row>
    <row r="26" spans="1:13" ht="14.1" customHeight="1">
      <c r="A26" s="60"/>
      <c r="B26" s="169" t="s">
        <v>1194</v>
      </c>
      <c r="C26" s="170"/>
      <c r="D26" s="58">
        <f>D7+D10+D25</f>
        <v>0</v>
      </c>
      <c r="E26" s="59"/>
      <c r="K26" s="49">
        <f t="shared" si="0"/>
        <v>0</v>
      </c>
      <c r="L26" s="49"/>
      <c r="M26" s="49"/>
    </row>
    <row r="27" spans="1:13" ht="14.1" customHeight="1">
      <c r="A27" s="175" t="s">
        <v>1182</v>
      </c>
      <c r="B27" s="151"/>
      <c r="C27" s="151"/>
      <c r="D27" s="58">
        <f>TRUNC((D7+D10+D25)*I27/100)</f>
        <v>0</v>
      </c>
      <c r="E27" s="59" t="s">
        <v>1193</v>
      </c>
      <c r="H27" s="49">
        <f>D7+D10+D25</f>
        <v>0</v>
      </c>
      <c r="I27" s="48">
        <v>6.5</v>
      </c>
      <c r="J27" s="48">
        <v>1</v>
      </c>
      <c r="K27" s="49">
        <f t="shared" si="0"/>
        <v>0</v>
      </c>
      <c r="L27" s="49"/>
      <c r="M27" s="49"/>
    </row>
    <row r="28" spans="1:13" ht="14.1" customHeight="1">
      <c r="A28" s="175" t="s">
        <v>1184</v>
      </c>
      <c r="B28" s="151"/>
      <c r="C28" s="151"/>
      <c r="D28" s="58">
        <f>L28-((SUM(K5:K27)+L28-TRUNC((SUM(K5:K27)+L28)/M28)*M28))</f>
        <v>0</v>
      </c>
      <c r="E28" s="59" t="s">
        <v>1185</v>
      </c>
      <c r="I28" s="48">
        <v>15</v>
      </c>
      <c r="J28" s="48">
        <v>1</v>
      </c>
      <c r="K28" s="49">
        <f t="shared" si="0"/>
        <v>0</v>
      </c>
      <c r="L28" s="49">
        <f>TRUNC((D10+D25+D27)*I28/100)</f>
        <v>0</v>
      </c>
      <c r="M28" s="49">
        <v>100000</v>
      </c>
    </row>
    <row r="29" spans="1:13" ht="14.1" customHeight="1">
      <c r="A29" s="175" t="s">
        <v>1186</v>
      </c>
      <c r="B29" s="151"/>
      <c r="C29" s="151"/>
      <c r="D29" s="58">
        <f>SUM(K5:K28)</f>
        <v>0</v>
      </c>
      <c r="E29" s="59"/>
      <c r="K29" s="49">
        <f t="shared" si="0"/>
        <v>0</v>
      </c>
      <c r="L29" s="49"/>
      <c r="M29" s="49"/>
    </row>
    <row r="30" spans="1:13" ht="14.1" customHeight="1">
      <c r="A30" s="175" t="s">
        <v>1187</v>
      </c>
      <c r="B30" s="151"/>
      <c r="C30" s="151"/>
      <c r="D30" s="58">
        <f>TRUNC(D29*I30/100)</f>
        <v>0</v>
      </c>
      <c r="E30" s="59"/>
      <c r="I30" s="48">
        <v>10</v>
      </c>
      <c r="J30" s="48">
        <v>1</v>
      </c>
      <c r="K30" s="49">
        <f t="shared" si="0"/>
        <v>0</v>
      </c>
      <c r="L30" s="49"/>
      <c r="M30" s="49"/>
    </row>
    <row r="31" spans="1:13" ht="14.1" customHeight="1">
      <c r="A31" s="175" t="s">
        <v>1311</v>
      </c>
      <c r="B31" s="151"/>
      <c r="C31" s="151"/>
      <c r="D31" s="58">
        <f>'한전인입공사비 (지구내)'!H25</f>
        <v>5131000</v>
      </c>
      <c r="E31" s="59"/>
      <c r="J31" s="48">
        <v>1</v>
      </c>
      <c r="K31" s="49">
        <f t="shared" si="0"/>
        <v>5131000</v>
      </c>
      <c r="L31" s="49"/>
      <c r="M31" s="49"/>
    </row>
    <row r="32" spans="1:13" ht="14.1" customHeight="1">
      <c r="A32" s="175" t="s">
        <v>4</v>
      </c>
      <c r="B32" s="151"/>
      <c r="C32" s="151"/>
      <c r="D32" s="58"/>
      <c r="E32" s="59"/>
      <c r="K32" s="49">
        <f t="shared" si="0"/>
        <v>0</v>
      </c>
      <c r="L32" s="49"/>
      <c r="M32" s="49"/>
    </row>
    <row r="33" spans="1:13" ht="14.1" customHeight="1">
      <c r="A33" s="171" t="s">
        <v>4</v>
      </c>
      <c r="B33" s="172"/>
      <c r="C33" s="172"/>
      <c r="D33" s="58"/>
      <c r="E33" s="59"/>
      <c r="K33" s="49">
        <f t="shared" si="0"/>
        <v>0</v>
      </c>
      <c r="L33" s="49"/>
      <c r="M33" s="49"/>
    </row>
    <row r="34" spans="1:13" ht="14.1" customHeight="1">
      <c r="A34" s="171" t="s">
        <v>4</v>
      </c>
      <c r="B34" s="172"/>
      <c r="C34" s="172"/>
      <c r="D34" s="58"/>
      <c r="E34" s="59"/>
      <c r="K34" s="49">
        <f t="shared" si="0"/>
        <v>0</v>
      </c>
      <c r="L34" s="49"/>
      <c r="M34" s="49"/>
    </row>
    <row r="35" spans="1:13" ht="14.1" customHeight="1" thickBot="1">
      <c r="A35" s="173" t="s">
        <v>1188</v>
      </c>
      <c r="B35" s="174"/>
      <c r="C35" s="174"/>
      <c r="D35" s="62">
        <f>K35</f>
        <v>5131000</v>
      </c>
      <c r="E35" s="63"/>
      <c r="K35" s="49">
        <f>SUM(K5:K34)</f>
        <v>5131000</v>
      </c>
      <c r="L35" s="49"/>
      <c r="M35" s="49"/>
    </row>
    <row r="36" spans="1:13" ht="14.1" customHeight="1">
      <c r="K36" s="49"/>
      <c r="L36" s="49"/>
      <c r="M36" s="49"/>
    </row>
    <row r="37" spans="1:13">
      <c r="K37" s="49"/>
      <c r="L37" s="49"/>
      <c r="M37" s="49"/>
    </row>
    <row r="38" spans="1:13">
      <c r="K38" s="49"/>
      <c r="L38" s="49"/>
      <c r="M38" s="49"/>
    </row>
    <row r="39" spans="1:13">
      <c r="K39" s="49"/>
      <c r="L39" s="49"/>
      <c r="M39" s="49"/>
    </row>
    <row r="40" spans="1:13">
      <c r="K40" s="49"/>
      <c r="L40" s="49"/>
      <c r="M40" s="49"/>
    </row>
    <row r="41" spans="1:13">
      <c r="K41" s="49"/>
      <c r="L41" s="49"/>
      <c r="M41" s="49"/>
    </row>
    <row r="42" spans="1:13">
      <c r="K42" s="49"/>
      <c r="L42" s="49"/>
      <c r="M42" s="49"/>
    </row>
    <row r="43" spans="1:13">
      <c r="K43" s="49"/>
      <c r="L43" s="49"/>
      <c r="M43" s="49"/>
    </row>
    <row r="44" spans="1:13">
      <c r="K44" s="49"/>
      <c r="L44" s="49"/>
      <c r="M44" s="49"/>
    </row>
    <row r="45" spans="1:13">
      <c r="K45" s="49"/>
      <c r="L45" s="49"/>
      <c r="M45" s="49"/>
    </row>
    <row r="46" spans="1:13">
      <c r="K46" s="49"/>
      <c r="L46" s="49"/>
      <c r="M46" s="49"/>
    </row>
    <row r="47" spans="1:13">
      <c r="K47" s="49"/>
      <c r="L47" s="49"/>
      <c r="M47" s="49"/>
    </row>
    <row r="48" spans="1:13">
      <c r="K48" s="49"/>
      <c r="L48" s="49"/>
      <c r="M48" s="49"/>
    </row>
    <row r="49" spans="11:13">
      <c r="K49" s="49"/>
      <c r="L49" s="49"/>
      <c r="M49" s="49"/>
    </row>
    <row r="50" spans="11:13">
      <c r="K50" s="49"/>
      <c r="L50" s="49"/>
      <c r="M50" s="49"/>
    </row>
    <row r="51" spans="11:13">
      <c r="K51" s="49"/>
      <c r="L51" s="49"/>
      <c r="M51" s="49"/>
    </row>
    <row r="52" spans="11:13">
      <c r="K52" s="49"/>
      <c r="L52" s="49"/>
      <c r="M52" s="49"/>
    </row>
  </sheetData>
  <mergeCells count="16">
    <mergeCell ref="B26:C26"/>
    <mergeCell ref="A34:C34"/>
    <mergeCell ref="A35:C35"/>
    <mergeCell ref="A32:C32"/>
    <mergeCell ref="A27:C27"/>
    <mergeCell ref="A28:C28"/>
    <mergeCell ref="A29:C29"/>
    <mergeCell ref="A33:C33"/>
    <mergeCell ref="A30:C30"/>
    <mergeCell ref="A31:C31"/>
    <mergeCell ref="C3:D3"/>
    <mergeCell ref="B5:B7"/>
    <mergeCell ref="B8:B10"/>
    <mergeCell ref="A1:E1"/>
    <mergeCell ref="A3:B3"/>
    <mergeCell ref="A4:B4"/>
  </mergeCells>
  <phoneticPr fontId="2" type="noConversion"/>
  <printOptions horizontalCentered="1" verticalCentered="1"/>
  <pageMargins left="0.74803149606299213" right="0.35433070866141736" top="0.19685039370078741" bottom="0.39370078740157483" header="0.51181102362204722" footer="0.39370078740157483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A81"/>
  <sheetViews>
    <sheetView view="pageBreakPreview" topLeftCell="D1" zoomScaleSheetLayoutView="100" workbookViewId="0">
      <pane ySplit="3" topLeftCell="A31" activePane="bottomLeft" state="frozen"/>
      <selection activeCell="A2" sqref="A2"/>
      <selection pane="bottomLeft" activeCell="H22" sqref="H22"/>
    </sheetView>
  </sheetViews>
  <sheetFormatPr defaultRowHeight="20.45" customHeight="1"/>
  <cols>
    <col min="1" max="1" width="5.77734375" style="48" hidden="1" customWidth="1"/>
    <col min="2" max="2" width="6.5546875" style="64" hidden="1" customWidth="1"/>
    <col min="3" max="3" width="13.6640625" style="64" hidden="1" customWidth="1"/>
    <col min="4" max="4" width="36.21875" style="64" customWidth="1"/>
    <col min="5" max="5" width="9.109375" style="48" hidden="1" customWidth="1"/>
    <col min="6" max="6" width="4.21875" style="78" customWidth="1"/>
    <col min="7" max="7" width="4.6640625" style="49" customWidth="1"/>
    <col min="8" max="8" width="13" style="49" customWidth="1"/>
    <col min="9" max="9" width="13.109375" style="49" customWidth="1"/>
    <col min="10" max="10" width="5.109375" style="49" hidden="1" customWidth="1"/>
    <col min="11" max="11" width="11.21875" style="49" bestFit="1" customWidth="1"/>
    <col min="12" max="12" width="11.5546875" style="49" customWidth="1"/>
    <col min="13" max="14" width="9.44140625" style="49" customWidth="1"/>
    <col min="15" max="15" width="8.77734375" style="49" hidden="1" customWidth="1"/>
    <col min="16" max="16" width="13.21875" style="49" customWidth="1"/>
    <col min="17" max="17" width="10.44140625" style="64" customWidth="1"/>
    <col min="18" max="16384" width="8.88671875" style="48"/>
  </cols>
  <sheetData>
    <row r="1" spans="1:27" ht="20.45" customHeight="1">
      <c r="A1" s="48" t="s">
        <v>566</v>
      </c>
      <c r="B1" s="64" t="s">
        <v>913</v>
      </c>
      <c r="C1" s="64" t="s">
        <v>1137</v>
      </c>
      <c r="D1" s="176" t="s">
        <v>1064</v>
      </c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AA1" s="48" t="s">
        <v>178</v>
      </c>
    </row>
    <row r="2" spans="1:27" s="78" customFormat="1" ht="20.45" customHeight="1">
      <c r="A2" s="149" t="s">
        <v>72</v>
      </c>
      <c r="B2" s="149" t="s">
        <v>30</v>
      </c>
      <c r="C2" s="149" t="s">
        <v>37</v>
      </c>
      <c r="D2" s="151" t="s">
        <v>77</v>
      </c>
      <c r="E2" s="154" t="s">
        <v>31</v>
      </c>
      <c r="F2" s="154" t="s">
        <v>1</v>
      </c>
      <c r="G2" s="153" t="s">
        <v>2</v>
      </c>
      <c r="H2" s="153" t="s">
        <v>32</v>
      </c>
      <c r="I2" s="153"/>
      <c r="J2" s="153" t="s">
        <v>33</v>
      </c>
      <c r="K2" s="153"/>
      <c r="L2" s="153"/>
      <c r="M2" s="153" t="s">
        <v>34</v>
      </c>
      <c r="N2" s="153"/>
      <c r="O2" s="67"/>
      <c r="P2" s="153" t="s">
        <v>38</v>
      </c>
      <c r="Q2" s="151" t="s">
        <v>36</v>
      </c>
    </row>
    <row r="3" spans="1:27" s="78" customFormat="1" ht="20.45" customHeight="1">
      <c r="A3" s="149"/>
      <c r="B3" s="149"/>
      <c r="C3" s="149"/>
      <c r="D3" s="152"/>
      <c r="E3" s="155"/>
      <c r="F3" s="155"/>
      <c r="G3" s="156"/>
      <c r="H3" s="69" t="s">
        <v>39</v>
      </c>
      <c r="I3" s="69" t="s">
        <v>40</v>
      </c>
      <c r="J3" s="69" t="s">
        <v>2</v>
      </c>
      <c r="K3" s="69" t="s">
        <v>39</v>
      </c>
      <c r="L3" s="69" t="s">
        <v>40</v>
      </c>
      <c r="M3" s="69" t="s">
        <v>41</v>
      </c>
      <c r="N3" s="69" t="s">
        <v>40</v>
      </c>
      <c r="O3" s="69" t="s">
        <v>42</v>
      </c>
      <c r="P3" s="156"/>
      <c r="Q3" s="152"/>
    </row>
    <row r="4" spans="1:27" ht="20.45" customHeight="1">
      <c r="B4" s="64" t="s">
        <v>573</v>
      </c>
      <c r="D4" s="158" t="s">
        <v>1138</v>
      </c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60"/>
    </row>
    <row r="5" spans="1:27" ht="20.45" customHeight="1">
      <c r="B5" s="64" t="s">
        <v>1139</v>
      </c>
      <c r="D5" s="74" t="s">
        <v>1140</v>
      </c>
      <c r="E5" s="80"/>
      <c r="F5" s="54" t="s">
        <v>458</v>
      </c>
      <c r="G5" s="58">
        <v>1</v>
      </c>
      <c r="H5" s="58">
        <f>총괄표!I55</f>
        <v>0</v>
      </c>
      <c r="I5" s="58">
        <f t="shared" ref="I5:I28" si="0">G5*H5</f>
        <v>0</v>
      </c>
      <c r="J5" s="58"/>
      <c r="K5" s="58">
        <f>총괄표!L55</f>
        <v>0</v>
      </c>
      <c r="L5" s="58">
        <f t="shared" ref="L5:L28" si="1">G5*K5</f>
        <v>0</v>
      </c>
      <c r="M5" s="58">
        <f>총괄표!N55</f>
        <v>0</v>
      </c>
      <c r="N5" s="58">
        <f t="shared" ref="N5:N28" si="2">G5*M5</f>
        <v>0</v>
      </c>
      <c r="O5" s="58"/>
      <c r="P5" s="58">
        <f t="shared" ref="P5:P28" si="3">SUM(I5,L5,N5)</f>
        <v>0</v>
      </c>
      <c r="Q5" s="74"/>
    </row>
    <row r="6" spans="1:27" ht="20.45" customHeight="1">
      <c r="D6" s="74"/>
      <c r="E6" s="80"/>
      <c r="F6" s="54"/>
      <c r="G6" s="58"/>
      <c r="H6" s="58"/>
      <c r="I6" s="58"/>
      <c r="J6" s="58"/>
      <c r="K6" s="58"/>
      <c r="L6" s="58"/>
      <c r="M6" s="58"/>
      <c r="N6" s="58"/>
      <c r="O6" s="58"/>
      <c r="P6" s="58"/>
      <c r="Q6" s="74"/>
    </row>
    <row r="7" spans="1:27" ht="20.45" customHeight="1">
      <c r="D7" s="74"/>
      <c r="E7" s="80"/>
      <c r="F7" s="54"/>
      <c r="G7" s="58"/>
      <c r="H7" s="58"/>
      <c r="I7" s="58">
        <f t="shared" si="0"/>
        <v>0</v>
      </c>
      <c r="J7" s="58"/>
      <c r="K7" s="58"/>
      <c r="L7" s="58">
        <f t="shared" si="1"/>
        <v>0</v>
      </c>
      <c r="M7" s="58"/>
      <c r="N7" s="58">
        <f t="shared" si="2"/>
        <v>0</v>
      </c>
      <c r="O7" s="58"/>
      <c r="P7" s="58">
        <f t="shared" si="3"/>
        <v>0</v>
      </c>
      <c r="Q7" s="74"/>
    </row>
    <row r="8" spans="1:27" ht="20.45" customHeight="1">
      <c r="D8" s="74"/>
      <c r="E8" s="80"/>
      <c r="F8" s="54"/>
      <c r="G8" s="58"/>
      <c r="H8" s="58"/>
      <c r="I8" s="58">
        <f t="shared" si="0"/>
        <v>0</v>
      </c>
      <c r="J8" s="58"/>
      <c r="K8" s="58"/>
      <c r="L8" s="58">
        <f t="shared" si="1"/>
        <v>0</v>
      </c>
      <c r="M8" s="58"/>
      <c r="N8" s="58">
        <f t="shared" si="2"/>
        <v>0</v>
      </c>
      <c r="O8" s="58"/>
      <c r="P8" s="58">
        <f t="shared" si="3"/>
        <v>0</v>
      </c>
      <c r="Q8" s="74"/>
    </row>
    <row r="9" spans="1:27" ht="20.45" customHeight="1">
      <c r="D9" s="74"/>
      <c r="E9" s="80"/>
      <c r="F9" s="54"/>
      <c r="G9" s="58"/>
      <c r="H9" s="58"/>
      <c r="I9" s="58">
        <f t="shared" si="0"/>
        <v>0</v>
      </c>
      <c r="J9" s="58"/>
      <c r="K9" s="58"/>
      <c r="L9" s="58">
        <f t="shared" si="1"/>
        <v>0</v>
      </c>
      <c r="M9" s="58"/>
      <c r="N9" s="58">
        <f t="shared" si="2"/>
        <v>0</v>
      </c>
      <c r="O9" s="58"/>
      <c r="P9" s="58">
        <f t="shared" si="3"/>
        <v>0</v>
      </c>
      <c r="Q9" s="74"/>
    </row>
    <row r="10" spans="1:27" ht="20.45" customHeight="1">
      <c r="D10" s="74"/>
      <c r="E10" s="80"/>
      <c r="F10" s="54"/>
      <c r="G10" s="58"/>
      <c r="H10" s="58"/>
      <c r="I10" s="58">
        <f t="shared" si="0"/>
        <v>0</v>
      </c>
      <c r="J10" s="58"/>
      <c r="K10" s="58"/>
      <c r="L10" s="58">
        <f t="shared" si="1"/>
        <v>0</v>
      </c>
      <c r="M10" s="58"/>
      <c r="N10" s="58">
        <f t="shared" si="2"/>
        <v>0</v>
      </c>
      <c r="O10" s="58"/>
      <c r="P10" s="58">
        <f t="shared" si="3"/>
        <v>0</v>
      </c>
      <c r="Q10" s="74"/>
    </row>
    <row r="11" spans="1:27" ht="20.45" customHeight="1">
      <c r="D11" s="74"/>
      <c r="E11" s="80"/>
      <c r="F11" s="54"/>
      <c r="G11" s="58"/>
      <c r="H11" s="58"/>
      <c r="I11" s="58">
        <f t="shared" si="0"/>
        <v>0</v>
      </c>
      <c r="J11" s="58"/>
      <c r="K11" s="58"/>
      <c r="L11" s="58">
        <f t="shared" si="1"/>
        <v>0</v>
      </c>
      <c r="M11" s="58"/>
      <c r="N11" s="58">
        <f t="shared" si="2"/>
        <v>0</v>
      </c>
      <c r="O11" s="58"/>
      <c r="P11" s="58">
        <f t="shared" si="3"/>
        <v>0</v>
      </c>
      <c r="Q11" s="74"/>
    </row>
    <row r="12" spans="1:27" ht="20.45" customHeight="1">
      <c r="D12" s="74"/>
      <c r="E12" s="80"/>
      <c r="F12" s="54"/>
      <c r="G12" s="58"/>
      <c r="H12" s="58"/>
      <c r="I12" s="58">
        <f t="shared" si="0"/>
        <v>0</v>
      </c>
      <c r="J12" s="58"/>
      <c r="K12" s="58"/>
      <c r="L12" s="58">
        <f t="shared" si="1"/>
        <v>0</v>
      </c>
      <c r="M12" s="58"/>
      <c r="N12" s="58">
        <f t="shared" si="2"/>
        <v>0</v>
      </c>
      <c r="O12" s="58"/>
      <c r="P12" s="58">
        <f t="shared" si="3"/>
        <v>0</v>
      </c>
      <c r="Q12" s="74"/>
    </row>
    <row r="13" spans="1:27" ht="20.45" customHeight="1">
      <c r="D13" s="74"/>
      <c r="E13" s="80"/>
      <c r="F13" s="54"/>
      <c r="G13" s="58"/>
      <c r="H13" s="58"/>
      <c r="I13" s="58">
        <f t="shared" si="0"/>
        <v>0</v>
      </c>
      <c r="J13" s="58"/>
      <c r="K13" s="58"/>
      <c r="L13" s="58">
        <f t="shared" si="1"/>
        <v>0</v>
      </c>
      <c r="M13" s="58"/>
      <c r="N13" s="58">
        <f t="shared" si="2"/>
        <v>0</v>
      </c>
      <c r="O13" s="58"/>
      <c r="P13" s="58">
        <f t="shared" si="3"/>
        <v>0</v>
      </c>
      <c r="Q13" s="74"/>
    </row>
    <row r="14" spans="1:27" ht="20.45" customHeight="1">
      <c r="D14" s="74"/>
      <c r="E14" s="80"/>
      <c r="F14" s="54"/>
      <c r="G14" s="58"/>
      <c r="H14" s="58"/>
      <c r="I14" s="58">
        <f t="shared" si="0"/>
        <v>0</v>
      </c>
      <c r="J14" s="58"/>
      <c r="K14" s="58"/>
      <c r="L14" s="58">
        <f t="shared" si="1"/>
        <v>0</v>
      </c>
      <c r="M14" s="58"/>
      <c r="N14" s="58">
        <f t="shared" si="2"/>
        <v>0</v>
      </c>
      <c r="O14" s="58"/>
      <c r="P14" s="58">
        <f t="shared" si="3"/>
        <v>0</v>
      </c>
      <c r="Q14" s="74"/>
    </row>
    <row r="15" spans="1:27" ht="20.45" customHeight="1">
      <c r="D15" s="74"/>
      <c r="E15" s="80"/>
      <c r="F15" s="54"/>
      <c r="G15" s="58"/>
      <c r="H15" s="58"/>
      <c r="I15" s="58">
        <f t="shared" si="0"/>
        <v>0</v>
      </c>
      <c r="J15" s="58"/>
      <c r="K15" s="58"/>
      <c r="L15" s="58">
        <f t="shared" si="1"/>
        <v>0</v>
      </c>
      <c r="M15" s="58"/>
      <c r="N15" s="58">
        <f t="shared" si="2"/>
        <v>0</v>
      </c>
      <c r="O15" s="58"/>
      <c r="P15" s="58">
        <f t="shared" si="3"/>
        <v>0</v>
      </c>
      <c r="Q15" s="74"/>
    </row>
    <row r="16" spans="1:27" ht="20.45" customHeight="1">
      <c r="D16" s="74"/>
      <c r="E16" s="80"/>
      <c r="F16" s="54"/>
      <c r="G16" s="58"/>
      <c r="H16" s="58"/>
      <c r="I16" s="58">
        <f t="shared" si="0"/>
        <v>0</v>
      </c>
      <c r="J16" s="58"/>
      <c r="K16" s="58"/>
      <c r="L16" s="58">
        <f t="shared" si="1"/>
        <v>0</v>
      </c>
      <c r="M16" s="58"/>
      <c r="N16" s="58">
        <f t="shared" si="2"/>
        <v>0</v>
      </c>
      <c r="O16" s="58"/>
      <c r="P16" s="58">
        <f t="shared" si="3"/>
        <v>0</v>
      </c>
      <c r="Q16" s="74"/>
    </row>
    <row r="17" spans="2:17" ht="20.45" customHeight="1">
      <c r="D17" s="74"/>
      <c r="E17" s="80"/>
      <c r="F17" s="54"/>
      <c r="G17" s="58"/>
      <c r="H17" s="58"/>
      <c r="I17" s="58">
        <f t="shared" si="0"/>
        <v>0</v>
      </c>
      <c r="J17" s="58"/>
      <c r="K17" s="58"/>
      <c r="L17" s="58">
        <f t="shared" si="1"/>
        <v>0</v>
      </c>
      <c r="M17" s="58"/>
      <c r="N17" s="58">
        <f t="shared" si="2"/>
        <v>0</v>
      </c>
      <c r="O17" s="58"/>
      <c r="P17" s="58">
        <f t="shared" si="3"/>
        <v>0</v>
      </c>
      <c r="Q17" s="74"/>
    </row>
    <row r="18" spans="2:17" ht="20.45" customHeight="1">
      <c r="D18" s="74"/>
      <c r="E18" s="80"/>
      <c r="F18" s="54"/>
      <c r="G18" s="58"/>
      <c r="H18" s="58"/>
      <c r="I18" s="58">
        <f t="shared" si="0"/>
        <v>0</v>
      </c>
      <c r="J18" s="58"/>
      <c r="K18" s="58"/>
      <c r="L18" s="58">
        <f t="shared" si="1"/>
        <v>0</v>
      </c>
      <c r="M18" s="58"/>
      <c r="N18" s="58">
        <f t="shared" si="2"/>
        <v>0</v>
      </c>
      <c r="O18" s="58"/>
      <c r="P18" s="58">
        <f t="shared" si="3"/>
        <v>0</v>
      </c>
      <c r="Q18" s="74"/>
    </row>
    <row r="19" spans="2:17" ht="20.45" customHeight="1">
      <c r="D19" s="74"/>
      <c r="E19" s="80"/>
      <c r="F19" s="54"/>
      <c r="G19" s="58"/>
      <c r="H19" s="58"/>
      <c r="I19" s="58">
        <f t="shared" si="0"/>
        <v>0</v>
      </c>
      <c r="J19" s="58"/>
      <c r="K19" s="58"/>
      <c r="L19" s="58">
        <f t="shared" si="1"/>
        <v>0</v>
      </c>
      <c r="M19" s="58"/>
      <c r="N19" s="58">
        <f t="shared" si="2"/>
        <v>0</v>
      </c>
      <c r="O19" s="58"/>
      <c r="P19" s="58">
        <f t="shared" si="3"/>
        <v>0</v>
      </c>
      <c r="Q19" s="74"/>
    </row>
    <row r="20" spans="2:17" ht="20.45" customHeight="1">
      <c r="D20" s="74"/>
      <c r="E20" s="80"/>
      <c r="F20" s="54"/>
      <c r="G20" s="58"/>
      <c r="H20" s="58"/>
      <c r="I20" s="58">
        <f t="shared" si="0"/>
        <v>0</v>
      </c>
      <c r="J20" s="58"/>
      <c r="K20" s="58"/>
      <c r="L20" s="58">
        <f t="shared" si="1"/>
        <v>0</v>
      </c>
      <c r="M20" s="58"/>
      <c r="N20" s="58">
        <f t="shared" si="2"/>
        <v>0</v>
      </c>
      <c r="O20" s="58"/>
      <c r="P20" s="58">
        <f t="shared" si="3"/>
        <v>0</v>
      </c>
      <c r="Q20" s="74"/>
    </row>
    <row r="21" spans="2:17" ht="20.45" customHeight="1">
      <c r="D21" s="74"/>
      <c r="E21" s="80"/>
      <c r="F21" s="54"/>
      <c r="G21" s="58"/>
      <c r="H21" s="58"/>
      <c r="I21" s="58">
        <f t="shared" si="0"/>
        <v>0</v>
      </c>
      <c r="J21" s="58"/>
      <c r="K21" s="58"/>
      <c r="L21" s="58">
        <f t="shared" si="1"/>
        <v>0</v>
      </c>
      <c r="M21" s="58"/>
      <c r="N21" s="58">
        <f t="shared" si="2"/>
        <v>0</v>
      </c>
      <c r="O21" s="58"/>
      <c r="P21" s="58">
        <f t="shared" si="3"/>
        <v>0</v>
      </c>
      <c r="Q21" s="74"/>
    </row>
    <row r="22" spans="2:17" ht="20.45" customHeight="1">
      <c r="D22" s="74"/>
      <c r="E22" s="80"/>
      <c r="F22" s="54"/>
      <c r="G22" s="58"/>
      <c r="H22" s="58"/>
      <c r="I22" s="58">
        <f t="shared" si="0"/>
        <v>0</v>
      </c>
      <c r="J22" s="58"/>
      <c r="K22" s="58"/>
      <c r="L22" s="58">
        <f t="shared" si="1"/>
        <v>0</v>
      </c>
      <c r="M22" s="58"/>
      <c r="N22" s="58">
        <f t="shared" si="2"/>
        <v>0</v>
      </c>
      <c r="O22" s="58"/>
      <c r="P22" s="58">
        <f t="shared" si="3"/>
        <v>0</v>
      </c>
      <c r="Q22" s="74"/>
    </row>
    <row r="23" spans="2:17" ht="20.45" customHeight="1">
      <c r="D23" s="74"/>
      <c r="E23" s="80"/>
      <c r="F23" s="54"/>
      <c r="G23" s="58"/>
      <c r="H23" s="58"/>
      <c r="I23" s="58">
        <f t="shared" si="0"/>
        <v>0</v>
      </c>
      <c r="J23" s="58"/>
      <c r="K23" s="58"/>
      <c r="L23" s="58">
        <f t="shared" si="1"/>
        <v>0</v>
      </c>
      <c r="M23" s="58"/>
      <c r="N23" s="58">
        <f t="shared" si="2"/>
        <v>0</v>
      </c>
      <c r="O23" s="58"/>
      <c r="P23" s="58">
        <f t="shared" si="3"/>
        <v>0</v>
      </c>
      <c r="Q23" s="74"/>
    </row>
    <row r="24" spans="2:17" ht="20.45" customHeight="1">
      <c r="D24" s="74"/>
      <c r="E24" s="80"/>
      <c r="F24" s="54"/>
      <c r="G24" s="58"/>
      <c r="H24" s="58"/>
      <c r="I24" s="58">
        <f t="shared" si="0"/>
        <v>0</v>
      </c>
      <c r="J24" s="58"/>
      <c r="K24" s="58"/>
      <c r="L24" s="58">
        <f t="shared" si="1"/>
        <v>0</v>
      </c>
      <c r="M24" s="58"/>
      <c r="N24" s="58">
        <f t="shared" si="2"/>
        <v>0</v>
      </c>
      <c r="O24" s="58"/>
      <c r="P24" s="58">
        <f t="shared" si="3"/>
        <v>0</v>
      </c>
      <c r="Q24" s="74"/>
    </row>
    <row r="25" spans="2:17" ht="20.45" customHeight="1">
      <c r="D25" s="74"/>
      <c r="E25" s="80"/>
      <c r="F25" s="54"/>
      <c r="G25" s="58"/>
      <c r="H25" s="58"/>
      <c r="I25" s="58">
        <f t="shared" si="0"/>
        <v>0</v>
      </c>
      <c r="J25" s="58"/>
      <c r="K25" s="58"/>
      <c r="L25" s="58">
        <f t="shared" si="1"/>
        <v>0</v>
      </c>
      <c r="M25" s="58"/>
      <c r="N25" s="58">
        <f t="shared" si="2"/>
        <v>0</v>
      </c>
      <c r="O25" s="58"/>
      <c r="P25" s="58">
        <f t="shared" si="3"/>
        <v>0</v>
      </c>
      <c r="Q25" s="74"/>
    </row>
    <row r="26" spans="2:17" ht="20.45" customHeight="1">
      <c r="D26" s="74"/>
      <c r="E26" s="80"/>
      <c r="F26" s="54"/>
      <c r="G26" s="58"/>
      <c r="H26" s="58"/>
      <c r="I26" s="58">
        <f t="shared" si="0"/>
        <v>0</v>
      </c>
      <c r="J26" s="58"/>
      <c r="K26" s="58"/>
      <c r="L26" s="58">
        <f t="shared" si="1"/>
        <v>0</v>
      </c>
      <c r="M26" s="58"/>
      <c r="N26" s="58">
        <f t="shared" si="2"/>
        <v>0</v>
      </c>
      <c r="O26" s="58"/>
      <c r="P26" s="58">
        <f t="shared" si="3"/>
        <v>0</v>
      </c>
      <c r="Q26" s="74"/>
    </row>
    <row r="27" spans="2:17" ht="20.45" customHeight="1">
      <c r="D27" s="74"/>
      <c r="E27" s="80"/>
      <c r="F27" s="54"/>
      <c r="G27" s="58"/>
      <c r="H27" s="58"/>
      <c r="I27" s="58">
        <f t="shared" si="0"/>
        <v>0</v>
      </c>
      <c r="J27" s="58"/>
      <c r="K27" s="58"/>
      <c r="L27" s="58">
        <f t="shared" si="1"/>
        <v>0</v>
      </c>
      <c r="M27" s="58"/>
      <c r="N27" s="58">
        <f t="shared" si="2"/>
        <v>0</v>
      </c>
      <c r="O27" s="58"/>
      <c r="P27" s="58">
        <f t="shared" si="3"/>
        <v>0</v>
      </c>
      <c r="Q27" s="74"/>
    </row>
    <row r="28" spans="2:17" ht="20.45" customHeight="1">
      <c r="D28" s="74"/>
      <c r="E28" s="80"/>
      <c r="F28" s="54"/>
      <c r="G28" s="58"/>
      <c r="H28" s="58"/>
      <c r="I28" s="58">
        <f t="shared" si="0"/>
        <v>0</v>
      </c>
      <c r="J28" s="58"/>
      <c r="K28" s="58"/>
      <c r="L28" s="58">
        <f t="shared" si="1"/>
        <v>0</v>
      </c>
      <c r="M28" s="58"/>
      <c r="N28" s="58">
        <f t="shared" si="2"/>
        <v>0</v>
      </c>
      <c r="O28" s="58"/>
      <c r="P28" s="58">
        <f t="shared" si="3"/>
        <v>0</v>
      </c>
      <c r="Q28" s="74"/>
    </row>
    <row r="29" spans="2:17" ht="20.45" customHeight="1">
      <c r="C29" s="64" t="s">
        <v>1142</v>
      </c>
      <c r="D29" s="74" t="s">
        <v>922</v>
      </c>
      <c r="E29" s="80"/>
      <c r="F29" s="54"/>
      <c r="G29" s="58"/>
      <c r="H29" s="58"/>
      <c r="I29" s="58">
        <f>TRUNC(SUM(I4:I28))</f>
        <v>0</v>
      </c>
      <c r="J29" s="58"/>
      <c r="K29" s="58"/>
      <c r="L29" s="58">
        <f>TRUNC(SUM(L4:L28))</f>
        <v>0</v>
      </c>
      <c r="M29" s="58"/>
      <c r="N29" s="58">
        <f>TRUNC(SUM(N4:N28))</f>
        <v>0</v>
      </c>
      <c r="O29" s="58"/>
      <c r="P29" s="58">
        <f>TRUNC(SUM(P4:P28))</f>
        <v>0</v>
      </c>
      <c r="Q29" s="74"/>
    </row>
    <row r="30" spans="2:17" ht="20.45" customHeight="1">
      <c r="B30" s="64" t="s">
        <v>573</v>
      </c>
      <c r="D30" s="158" t="s">
        <v>1143</v>
      </c>
      <c r="E30" s="159"/>
      <c r="F30" s="159"/>
      <c r="G30" s="159"/>
      <c r="H30" s="159"/>
      <c r="I30" s="159"/>
      <c r="J30" s="159"/>
      <c r="K30" s="159"/>
      <c r="L30" s="159"/>
      <c r="M30" s="159"/>
      <c r="N30" s="159"/>
      <c r="O30" s="159"/>
      <c r="P30" s="159"/>
      <c r="Q30" s="160"/>
    </row>
    <row r="31" spans="2:17" ht="20.45" customHeight="1">
      <c r="B31" s="64" t="s">
        <v>1066</v>
      </c>
      <c r="D31" s="74" t="s">
        <v>184</v>
      </c>
      <c r="E31" s="80"/>
      <c r="F31" s="54" t="s">
        <v>458</v>
      </c>
      <c r="G31" s="58">
        <v>1</v>
      </c>
      <c r="H31" s="58">
        <f>내역서!I55</f>
        <v>0</v>
      </c>
      <c r="I31" s="58">
        <f t="shared" ref="I31:I54" si="4">G31*H31</f>
        <v>0</v>
      </c>
      <c r="J31" s="58"/>
      <c r="K31" s="58">
        <f>내역서!L55</f>
        <v>0</v>
      </c>
      <c r="L31" s="58">
        <f t="shared" ref="L31:L54" si="5">G31*K31</f>
        <v>0</v>
      </c>
      <c r="M31" s="58">
        <f>내역서!N55</f>
        <v>0</v>
      </c>
      <c r="N31" s="58">
        <f t="shared" ref="N31:N54" si="6">G31*M31</f>
        <v>0</v>
      </c>
      <c r="O31" s="58"/>
      <c r="P31" s="58">
        <f t="shared" ref="P31:P54" si="7">SUM(I31,L31,N31)</f>
        <v>0</v>
      </c>
      <c r="Q31" s="74"/>
    </row>
    <row r="32" spans="2:17" ht="20.45" customHeight="1">
      <c r="B32" s="64" t="s">
        <v>1077</v>
      </c>
      <c r="D32" s="74" t="s">
        <v>185</v>
      </c>
      <c r="E32" s="80"/>
      <c r="F32" s="54" t="s">
        <v>458</v>
      </c>
      <c r="G32" s="58">
        <v>1</v>
      </c>
      <c r="H32" s="58">
        <f>내역서!I107</f>
        <v>0</v>
      </c>
      <c r="I32" s="58">
        <f t="shared" si="4"/>
        <v>0</v>
      </c>
      <c r="J32" s="58"/>
      <c r="K32" s="58">
        <f>내역서!L107</f>
        <v>0</v>
      </c>
      <c r="L32" s="58">
        <f t="shared" si="5"/>
        <v>0</v>
      </c>
      <c r="M32" s="58">
        <f>내역서!N107</f>
        <v>0</v>
      </c>
      <c r="N32" s="58">
        <f t="shared" si="6"/>
        <v>0</v>
      </c>
      <c r="O32" s="58"/>
      <c r="P32" s="58">
        <f t="shared" si="7"/>
        <v>0</v>
      </c>
      <c r="Q32" s="74"/>
    </row>
    <row r="33" spans="2:17" ht="20.45" customHeight="1">
      <c r="B33" s="64" t="s">
        <v>1082</v>
      </c>
      <c r="D33" s="74" t="s">
        <v>186</v>
      </c>
      <c r="E33" s="80"/>
      <c r="F33" s="54" t="s">
        <v>458</v>
      </c>
      <c r="G33" s="58">
        <v>1</v>
      </c>
      <c r="H33" s="58">
        <f>내역서!I133</f>
        <v>0</v>
      </c>
      <c r="I33" s="58">
        <f t="shared" si="4"/>
        <v>0</v>
      </c>
      <c r="J33" s="58"/>
      <c r="K33" s="58">
        <f>내역서!L133</f>
        <v>0</v>
      </c>
      <c r="L33" s="58">
        <f t="shared" si="5"/>
        <v>0</v>
      </c>
      <c r="M33" s="58">
        <f>내역서!N133</f>
        <v>0</v>
      </c>
      <c r="N33" s="58">
        <f t="shared" si="6"/>
        <v>0</v>
      </c>
      <c r="O33" s="58"/>
      <c r="P33" s="58">
        <f t="shared" si="7"/>
        <v>0</v>
      </c>
      <c r="Q33" s="74"/>
    </row>
    <row r="34" spans="2:17" ht="20.45" customHeight="1">
      <c r="B34" s="64" t="s">
        <v>1093</v>
      </c>
      <c r="D34" s="74" t="s">
        <v>187</v>
      </c>
      <c r="E34" s="80"/>
      <c r="F34" s="54" t="s">
        <v>458</v>
      </c>
      <c r="G34" s="58">
        <v>1</v>
      </c>
      <c r="H34" s="58">
        <f>내역서!I185</f>
        <v>0</v>
      </c>
      <c r="I34" s="58">
        <f t="shared" si="4"/>
        <v>0</v>
      </c>
      <c r="J34" s="58"/>
      <c r="K34" s="58">
        <f>내역서!L185</f>
        <v>0</v>
      </c>
      <c r="L34" s="58">
        <f t="shared" si="5"/>
        <v>0</v>
      </c>
      <c r="M34" s="58">
        <f>내역서!N185</f>
        <v>0</v>
      </c>
      <c r="N34" s="58">
        <f t="shared" si="6"/>
        <v>0</v>
      </c>
      <c r="O34" s="58"/>
      <c r="P34" s="58">
        <f t="shared" si="7"/>
        <v>0</v>
      </c>
      <c r="Q34" s="74"/>
    </row>
    <row r="35" spans="2:17" ht="20.45" customHeight="1">
      <c r="B35" s="64" t="s">
        <v>1124</v>
      </c>
      <c r="D35" s="74" t="s">
        <v>188</v>
      </c>
      <c r="E35" s="80"/>
      <c r="F35" s="54" t="s">
        <v>458</v>
      </c>
      <c r="G35" s="58">
        <v>1</v>
      </c>
      <c r="H35" s="58">
        <f>내역서!I211</f>
        <v>0</v>
      </c>
      <c r="I35" s="58">
        <f t="shared" si="4"/>
        <v>0</v>
      </c>
      <c r="J35" s="58"/>
      <c r="K35" s="58">
        <f>내역서!L211</f>
        <v>0</v>
      </c>
      <c r="L35" s="58">
        <f t="shared" si="5"/>
        <v>0</v>
      </c>
      <c r="M35" s="58">
        <f>내역서!N211</f>
        <v>0</v>
      </c>
      <c r="N35" s="58">
        <f t="shared" si="6"/>
        <v>0</v>
      </c>
      <c r="O35" s="58"/>
      <c r="P35" s="58">
        <f t="shared" si="7"/>
        <v>0</v>
      </c>
      <c r="Q35" s="74"/>
    </row>
    <row r="36" spans="2:17" ht="20.45" customHeight="1">
      <c r="D36" s="74"/>
      <c r="E36" s="80"/>
      <c r="F36" s="54"/>
      <c r="G36" s="58"/>
      <c r="H36" s="58"/>
      <c r="I36" s="58">
        <f t="shared" si="4"/>
        <v>0</v>
      </c>
      <c r="J36" s="58"/>
      <c r="K36" s="58"/>
      <c r="L36" s="58">
        <f t="shared" si="5"/>
        <v>0</v>
      </c>
      <c r="M36" s="58"/>
      <c r="N36" s="58">
        <f t="shared" si="6"/>
        <v>0</v>
      </c>
      <c r="O36" s="58"/>
      <c r="P36" s="58">
        <f t="shared" si="7"/>
        <v>0</v>
      </c>
      <c r="Q36" s="74"/>
    </row>
    <row r="37" spans="2:17" ht="20.45" customHeight="1">
      <c r="D37" s="74"/>
      <c r="E37" s="80"/>
      <c r="F37" s="54"/>
      <c r="G37" s="58"/>
      <c r="H37" s="58"/>
      <c r="I37" s="58">
        <f t="shared" si="4"/>
        <v>0</v>
      </c>
      <c r="J37" s="58"/>
      <c r="K37" s="58"/>
      <c r="L37" s="58">
        <f t="shared" si="5"/>
        <v>0</v>
      </c>
      <c r="M37" s="58"/>
      <c r="N37" s="58">
        <f t="shared" si="6"/>
        <v>0</v>
      </c>
      <c r="O37" s="58"/>
      <c r="P37" s="58">
        <f t="shared" si="7"/>
        <v>0</v>
      </c>
      <c r="Q37" s="74"/>
    </row>
    <row r="38" spans="2:17" ht="20.45" customHeight="1">
      <c r="D38" s="74"/>
      <c r="E38" s="80"/>
      <c r="F38" s="54"/>
      <c r="G38" s="58"/>
      <c r="H38" s="58"/>
      <c r="I38" s="58">
        <f t="shared" si="4"/>
        <v>0</v>
      </c>
      <c r="J38" s="58"/>
      <c r="K38" s="58"/>
      <c r="L38" s="58">
        <f t="shared" si="5"/>
        <v>0</v>
      </c>
      <c r="M38" s="58"/>
      <c r="N38" s="58">
        <f t="shared" si="6"/>
        <v>0</v>
      </c>
      <c r="O38" s="58"/>
      <c r="P38" s="58">
        <f t="shared" si="7"/>
        <v>0</v>
      </c>
      <c r="Q38" s="74"/>
    </row>
    <row r="39" spans="2:17" ht="20.45" customHeight="1">
      <c r="D39" s="74"/>
      <c r="E39" s="80"/>
      <c r="F39" s="54"/>
      <c r="G39" s="58"/>
      <c r="H39" s="58"/>
      <c r="I39" s="58">
        <f t="shared" si="4"/>
        <v>0</v>
      </c>
      <c r="J39" s="58"/>
      <c r="K39" s="58"/>
      <c r="L39" s="58">
        <f t="shared" si="5"/>
        <v>0</v>
      </c>
      <c r="M39" s="58"/>
      <c r="N39" s="58">
        <f t="shared" si="6"/>
        <v>0</v>
      </c>
      <c r="O39" s="58"/>
      <c r="P39" s="58">
        <f t="shared" si="7"/>
        <v>0</v>
      </c>
      <c r="Q39" s="74"/>
    </row>
    <row r="40" spans="2:17" ht="20.45" customHeight="1">
      <c r="D40" s="74"/>
      <c r="E40" s="80"/>
      <c r="F40" s="54"/>
      <c r="G40" s="58"/>
      <c r="H40" s="58"/>
      <c r="I40" s="58">
        <f t="shared" si="4"/>
        <v>0</v>
      </c>
      <c r="J40" s="58"/>
      <c r="K40" s="58"/>
      <c r="L40" s="58">
        <f t="shared" si="5"/>
        <v>0</v>
      </c>
      <c r="M40" s="58"/>
      <c r="N40" s="58">
        <f t="shared" si="6"/>
        <v>0</v>
      </c>
      <c r="O40" s="58"/>
      <c r="P40" s="58">
        <f t="shared" si="7"/>
        <v>0</v>
      </c>
      <c r="Q40" s="74"/>
    </row>
    <row r="41" spans="2:17" ht="20.45" customHeight="1">
      <c r="D41" s="74"/>
      <c r="E41" s="80"/>
      <c r="F41" s="54"/>
      <c r="G41" s="58"/>
      <c r="H41" s="58"/>
      <c r="I41" s="58">
        <f t="shared" si="4"/>
        <v>0</v>
      </c>
      <c r="J41" s="58"/>
      <c r="K41" s="58"/>
      <c r="L41" s="58">
        <f t="shared" si="5"/>
        <v>0</v>
      </c>
      <c r="M41" s="58"/>
      <c r="N41" s="58">
        <f t="shared" si="6"/>
        <v>0</v>
      </c>
      <c r="O41" s="58"/>
      <c r="P41" s="58">
        <f t="shared" si="7"/>
        <v>0</v>
      </c>
      <c r="Q41" s="74"/>
    </row>
    <row r="42" spans="2:17" ht="20.45" customHeight="1">
      <c r="D42" s="74"/>
      <c r="E42" s="80"/>
      <c r="F42" s="54"/>
      <c r="G42" s="58"/>
      <c r="H42" s="58"/>
      <c r="I42" s="58">
        <f t="shared" si="4"/>
        <v>0</v>
      </c>
      <c r="J42" s="58"/>
      <c r="K42" s="58"/>
      <c r="L42" s="58">
        <f t="shared" si="5"/>
        <v>0</v>
      </c>
      <c r="M42" s="58"/>
      <c r="N42" s="58">
        <f t="shared" si="6"/>
        <v>0</v>
      </c>
      <c r="O42" s="58"/>
      <c r="P42" s="58">
        <f t="shared" si="7"/>
        <v>0</v>
      </c>
      <c r="Q42" s="74"/>
    </row>
    <row r="43" spans="2:17" ht="20.45" customHeight="1">
      <c r="D43" s="74"/>
      <c r="E43" s="80"/>
      <c r="F43" s="54"/>
      <c r="G43" s="58"/>
      <c r="H43" s="58"/>
      <c r="I43" s="58">
        <f t="shared" si="4"/>
        <v>0</v>
      </c>
      <c r="J43" s="58"/>
      <c r="K43" s="58"/>
      <c r="L43" s="58">
        <f t="shared" si="5"/>
        <v>0</v>
      </c>
      <c r="M43" s="58"/>
      <c r="N43" s="58">
        <f t="shared" si="6"/>
        <v>0</v>
      </c>
      <c r="O43" s="58"/>
      <c r="P43" s="58">
        <f t="shared" si="7"/>
        <v>0</v>
      </c>
      <c r="Q43" s="74"/>
    </row>
    <row r="44" spans="2:17" ht="20.45" customHeight="1">
      <c r="D44" s="74"/>
      <c r="E44" s="80"/>
      <c r="F44" s="54"/>
      <c r="G44" s="58"/>
      <c r="H44" s="58"/>
      <c r="I44" s="58">
        <f t="shared" si="4"/>
        <v>0</v>
      </c>
      <c r="J44" s="58"/>
      <c r="K44" s="58"/>
      <c r="L44" s="58">
        <f t="shared" si="5"/>
        <v>0</v>
      </c>
      <c r="M44" s="58"/>
      <c r="N44" s="58">
        <f t="shared" si="6"/>
        <v>0</v>
      </c>
      <c r="O44" s="58"/>
      <c r="P44" s="58">
        <f t="shared" si="7"/>
        <v>0</v>
      </c>
      <c r="Q44" s="74"/>
    </row>
    <row r="45" spans="2:17" ht="20.45" customHeight="1">
      <c r="D45" s="74"/>
      <c r="E45" s="80"/>
      <c r="F45" s="54"/>
      <c r="G45" s="58"/>
      <c r="H45" s="58"/>
      <c r="I45" s="58">
        <f t="shared" si="4"/>
        <v>0</v>
      </c>
      <c r="J45" s="58"/>
      <c r="K45" s="58"/>
      <c r="L45" s="58">
        <f t="shared" si="5"/>
        <v>0</v>
      </c>
      <c r="M45" s="58"/>
      <c r="N45" s="58">
        <f t="shared" si="6"/>
        <v>0</v>
      </c>
      <c r="O45" s="58"/>
      <c r="P45" s="58">
        <f t="shared" si="7"/>
        <v>0</v>
      </c>
      <c r="Q45" s="74"/>
    </row>
    <row r="46" spans="2:17" ht="20.45" customHeight="1">
      <c r="D46" s="74"/>
      <c r="E46" s="80"/>
      <c r="F46" s="54"/>
      <c r="G46" s="58"/>
      <c r="H46" s="58"/>
      <c r="I46" s="58">
        <f t="shared" si="4"/>
        <v>0</v>
      </c>
      <c r="J46" s="58"/>
      <c r="K46" s="58"/>
      <c r="L46" s="58">
        <f t="shared" si="5"/>
        <v>0</v>
      </c>
      <c r="M46" s="58"/>
      <c r="N46" s="58">
        <f t="shared" si="6"/>
        <v>0</v>
      </c>
      <c r="O46" s="58"/>
      <c r="P46" s="58">
        <f t="shared" si="7"/>
        <v>0</v>
      </c>
      <c r="Q46" s="74"/>
    </row>
    <row r="47" spans="2:17" ht="20.45" customHeight="1">
      <c r="D47" s="74"/>
      <c r="E47" s="80"/>
      <c r="F47" s="54"/>
      <c r="G47" s="58"/>
      <c r="H47" s="58"/>
      <c r="I47" s="58">
        <f t="shared" si="4"/>
        <v>0</v>
      </c>
      <c r="J47" s="58"/>
      <c r="K47" s="58"/>
      <c r="L47" s="58">
        <f t="shared" si="5"/>
        <v>0</v>
      </c>
      <c r="M47" s="58"/>
      <c r="N47" s="58">
        <f t="shared" si="6"/>
        <v>0</v>
      </c>
      <c r="O47" s="58"/>
      <c r="P47" s="58">
        <f t="shared" si="7"/>
        <v>0</v>
      </c>
      <c r="Q47" s="74"/>
    </row>
    <row r="48" spans="2:17" ht="20.45" customHeight="1">
      <c r="D48" s="74"/>
      <c r="E48" s="80"/>
      <c r="F48" s="54"/>
      <c r="G48" s="58"/>
      <c r="H48" s="58"/>
      <c r="I48" s="58">
        <f t="shared" si="4"/>
        <v>0</v>
      </c>
      <c r="J48" s="58"/>
      <c r="K48" s="58"/>
      <c r="L48" s="58">
        <f t="shared" si="5"/>
        <v>0</v>
      </c>
      <c r="M48" s="58"/>
      <c r="N48" s="58">
        <f t="shared" si="6"/>
        <v>0</v>
      </c>
      <c r="O48" s="58"/>
      <c r="P48" s="58">
        <f t="shared" si="7"/>
        <v>0</v>
      </c>
      <c r="Q48" s="74"/>
    </row>
    <row r="49" spans="2:17" ht="20.45" customHeight="1">
      <c r="D49" s="74"/>
      <c r="E49" s="80"/>
      <c r="F49" s="54"/>
      <c r="G49" s="58"/>
      <c r="H49" s="58"/>
      <c r="I49" s="58">
        <f t="shared" si="4"/>
        <v>0</v>
      </c>
      <c r="J49" s="58"/>
      <c r="K49" s="58"/>
      <c r="L49" s="58">
        <f t="shared" si="5"/>
        <v>0</v>
      </c>
      <c r="M49" s="58"/>
      <c r="N49" s="58">
        <f t="shared" si="6"/>
        <v>0</v>
      </c>
      <c r="O49" s="58"/>
      <c r="P49" s="58">
        <f t="shared" si="7"/>
        <v>0</v>
      </c>
      <c r="Q49" s="74"/>
    </row>
    <row r="50" spans="2:17" ht="20.45" customHeight="1">
      <c r="D50" s="74"/>
      <c r="E50" s="80"/>
      <c r="F50" s="54"/>
      <c r="G50" s="58"/>
      <c r="H50" s="58"/>
      <c r="I50" s="58">
        <f t="shared" si="4"/>
        <v>0</v>
      </c>
      <c r="J50" s="58"/>
      <c r="K50" s="58"/>
      <c r="L50" s="58">
        <f t="shared" si="5"/>
        <v>0</v>
      </c>
      <c r="M50" s="58"/>
      <c r="N50" s="58">
        <f t="shared" si="6"/>
        <v>0</v>
      </c>
      <c r="O50" s="58"/>
      <c r="P50" s="58">
        <f t="shared" si="7"/>
        <v>0</v>
      </c>
      <c r="Q50" s="74"/>
    </row>
    <row r="51" spans="2:17" ht="20.45" customHeight="1">
      <c r="D51" s="74"/>
      <c r="E51" s="80"/>
      <c r="F51" s="54"/>
      <c r="G51" s="58"/>
      <c r="H51" s="58"/>
      <c r="I51" s="58">
        <f t="shared" si="4"/>
        <v>0</v>
      </c>
      <c r="J51" s="58"/>
      <c r="K51" s="58"/>
      <c r="L51" s="58">
        <f t="shared" si="5"/>
        <v>0</v>
      </c>
      <c r="M51" s="58"/>
      <c r="N51" s="58">
        <f t="shared" si="6"/>
        <v>0</v>
      </c>
      <c r="O51" s="58"/>
      <c r="P51" s="58">
        <f t="shared" si="7"/>
        <v>0</v>
      </c>
      <c r="Q51" s="74"/>
    </row>
    <row r="52" spans="2:17" ht="20.45" customHeight="1">
      <c r="D52" s="74"/>
      <c r="E52" s="80"/>
      <c r="F52" s="54"/>
      <c r="G52" s="58"/>
      <c r="H52" s="58"/>
      <c r="I52" s="58">
        <f t="shared" si="4"/>
        <v>0</v>
      </c>
      <c r="J52" s="58"/>
      <c r="K52" s="58"/>
      <c r="L52" s="58">
        <f t="shared" si="5"/>
        <v>0</v>
      </c>
      <c r="M52" s="58"/>
      <c r="N52" s="58">
        <f t="shared" si="6"/>
        <v>0</v>
      </c>
      <c r="O52" s="58"/>
      <c r="P52" s="58">
        <f t="shared" si="7"/>
        <v>0</v>
      </c>
      <c r="Q52" s="74"/>
    </row>
    <row r="53" spans="2:17" ht="20.45" customHeight="1">
      <c r="D53" s="74"/>
      <c r="E53" s="80"/>
      <c r="F53" s="54"/>
      <c r="G53" s="58"/>
      <c r="H53" s="58"/>
      <c r="I53" s="58">
        <f t="shared" si="4"/>
        <v>0</v>
      </c>
      <c r="J53" s="58"/>
      <c r="K53" s="58"/>
      <c r="L53" s="58">
        <f t="shared" si="5"/>
        <v>0</v>
      </c>
      <c r="M53" s="58"/>
      <c r="N53" s="58">
        <f t="shared" si="6"/>
        <v>0</v>
      </c>
      <c r="O53" s="58"/>
      <c r="P53" s="58">
        <f t="shared" si="7"/>
        <v>0</v>
      </c>
      <c r="Q53" s="74"/>
    </row>
    <row r="54" spans="2:17" ht="20.45" customHeight="1">
      <c r="D54" s="74"/>
      <c r="E54" s="80"/>
      <c r="F54" s="54"/>
      <c r="G54" s="58"/>
      <c r="H54" s="58"/>
      <c r="I54" s="58">
        <f t="shared" si="4"/>
        <v>0</v>
      </c>
      <c r="J54" s="58"/>
      <c r="K54" s="58"/>
      <c r="L54" s="58">
        <f t="shared" si="5"/>
        <v>0</v>
      </c>
      <c r="M54" s="58"/>
      <c r="N54" s="58">
        <f t="shared" si="6"/>
        <v>0</v>
      </c>
      <c r="O54" s="58"/>
      <c r="P54" s="58">
        <f t="shared" si="7"/>
        <v>0</v>
      </c>
      <c r="Q54" s="74"/>
    </row>
    <row r="55" spans="2:17" ht="20.45" customHeight="1">
      <c r="B55" s="64" t="s">
        <v>1139</v>
      </c>
      <c r="C55" s="64" t="s">
        <v>1142</v>
      </c>
      <c r="D55" s="74" t="s">
        <v>922</v>
      </c>
      <c r="E55" s="80"/>
      <c r="F55" s="54"/>
      <c r="G55" s="58"/>
      <c r="H55" s="58"/>
      <c r="I55" s="58">
        <f>TRUNC(SUM(I30:I54))</f>
        <v>0</v>
      </c>
      <c r="J55" s="58"/>
      <c r="K55" s="58"/>
      <c r="L55" s="58">
        <f>TRUNC(SUM(L30:L54))</f>
        <v>0</v>
      </c>
      <c r="M55" s="58"/>
      <c r="N55" s="58">
        <f>TRUNC(SUM(N30:N54))</f>
        <v>0</v>
      </c>
      <c r="O55" s="58"/>
      <c r="P55" s="58">
        <f>TRUNC(SUM(P30:P54))</f>
        <v>0</v>
      </c>
      <c r="Q55" s="74"/>
    </row>
    <row r="56" spans="2:17" ht="20.45" hidden="1" customHeight="1">
      <c r="B56" s="64" t="s">
        <v>573</v>
      </c>
      <c r="D56" s="158" t="s">
        <v>1144</v>
      </c>
      <c r="E56" s="159"/>
      <c r="F56" s="159"/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Q56" s="160"/>
    </row>
    <row r="57" spans="2:17" ht="20.45" hidden="1" customHeight="1">
      <c r="B57" s="64" t="s">
        <v>1126</v>
      </c>
      <c r="D57" s="74" t="s">
        <v>189</v>
      </c>
      <c r="E57" s="80"/>
      <c r="F57" s="54" t="s">
        <v>458</v>
      </c>
      <c r="G57" s="58">
        <v>1</v>
      </c>
      <c r="H57" s="58">
        <f>내역서!I263</f>
        <v>107230642</v>
      </c>
      <c r="I57" s="58">
        <f t="shared" ref="I57:I80" si="8">G57*H57</f>
        <v>107230642</v>
      </c>
      <c r="J57" s="58"/>
      <c r="K57" s="58">
        <f>내역서!L263</f>
        <v>45325499</v>
      </c>
      <c r="L57" s="58">
        <f t="shared" ref="L57:L80" si="9">G57*K57</f>
        <v>45325499</v>
      </c>
      <c r="M57" s="58">
        <f>내역서!N263</f>
        <v>1944213</v>
      </c>
      <c r="N57" s="58">
        <f t="shared" ref="N57:N80" si="10">G57*M57</f>
        <v>1944213</v>
      </c>
      <c r="O57" s="58"/>
      <c r="P57" s="58">
        <f t="shared" ref="P57:P80" si="11">SUM(I57,L57,N57)</f>
        <v>154500354</v>
      </c>
      <c r="Q57" s="74"/>
    </row>
    <row r="58" spans="2:17" ht="20.45" hidden="1" customHeight="1">
      <c r="B58" s="64" t="s">
        <v>1129</v>
      </c>
      <c r="D58" s="74" t="s">
        <v>190</v>
      </c>
      <c r="E58" s="80"/>
      <c r="F58" s="54" t="s">
        <v>458</v>
      </c>
      <c r="G58" s="58">
        <v>1</v>
      </c>
      <c r="H58" s="58">
        <f>내역서!I315</f>
        <v>34517753</v>
      </c>
      <c r="I58" s="58">
        <f t="shared" si="8"/>
        <v>34517753</v>
      </c>
      <c r="J58" s="58"/>
      <c r="K58" s="58">
        <f>내역서!L315</f>
        <v>15392717</v>
      </c>
      <c r="L58" s="58">
        <f t="shared" si="9"/>
        <v>15392717</v>
      </c>
      <c r="M58" s="58">
        <f>내역서!N315</f>
        <v>100126</v>
      </c>
      <c r="N58" s="58">
        <f t="shared" si="10"/>
        <v>100126</v>
      </c>
      <c r="O58" s="58"/>
      <c r="P58" s="58">
        <f t="shared" si="11"/>
        <v>50010596</v>
      </c>
      <c r="Q58" s="74"/>
    </row>
    <row r="59" spans="2:17" ht="20.45" hidden="1" customHeight="1">
      <c r="B59" s="64" t="s">
        <v>1135</v>
      </c>
      <c r="D59" s="74" t="s">
        <v>191</v>
      </c>
      <c r="E59" s="80"/>
      <c r="F59" s="54" t="s">
        <v>458</v>
      </c>
      <c r="G59" s="58">
        <v>1</v>
      </c>
      <c r="H59" s="58">
        <f>내역서!I341</f>
        <v>23670000</v>
      </c>
      <c r="I59" s="58">
        <f t="shared" si="8"/>
        <v>23670000</v>
      </c>
      <c r="J59" s="58"/>
      <c r="K59" s="58">
        <f>내역서!L341</f>
        <v>0</v>
      </c>
      <c r="L59" s="58">
        <f t="shared" si="9"/>
        <v>0</v>
      </c>
      <c r="M59" s="58">
        <f>내역서!N341</f>
        <v>0</v>
      </c>
      <c r="N59" s="58">
        <f t="shared" si="10"/>
        <v>0</v>
      </c>
      <c r="O59" s="58"/>
      <c r="P59" s="58">
        <f t="shared" si="11"/>
        <v>23670000</v>
      </c>
      <c r="Q59" s="74"/>
    </row>
    <row r="60" spans="2:17" ht="20.45" hidden="1" customHeight="1">
      <c r="D60" s="74"/>
      <c r="E60" s="80"/>
      <c r="F60" s="54"/>
      <c r="G60" s="58"/>
      <c r="H60" s="58"/>
      <c r="I60" s="58">
        <f t="shared" si="8"/>
        <v>0</v>
      </c>
      <c r="J60" s="58"/>
      <c r="K60" s="58"/>
      <c r="L60" s="58">
        <f t="shared" si="9"/>
        <v>0</v>
      </c>
      <c r="M60" s="58"/>
      <c r="N60" s="58">
        <f t="shared" si="10"/>
        <v>0</v>
      </c>
      <c r="O60" s="58"/>
      <c r="P60" s="58">
        <f t="shared" si="11"/>
        <v>0</v>
      </c>
      <c r="Q60" s="74"/>
    </row>
    <row r="61" spans="2:17" ht="20.45" hidden="1" customHeight="1">
      <c r="D61" s="74"/>
      <c r="E61" s="80"/>
      <c r="F61" s="54"/>
      <c r="G61" s="58"/>
      <c r="H61" s="58"/>
      <c r="I61" s="58">
        <f t="shared" si="8"/>
        <v>0</v>
      </c>
      <c r="J61" s="58"/>
      <c r="K61" s="58"/>
      <c r="L61" s="58">
        <f t="shared" si="9"/>
        <v>0</v>
      </c>
      <c r="M61" s="58"/>
      <c r="N61" s="58">
        <f t="shared" si="10"/>
        <v>0</v>
      </c>
      <c r="O61" s="58"/>
      <c r="P61" s="58">
        <f t="shared" si="11"/>
        <v>0</v>
      </c>
      <c r="Q61" s="74"/>
    </row>
    <row r="62" spans="2:17" ht="20.45" hidden="1" customHeight="1">
      <c r="D62" s="74"/>
      <c r="E62" s="80"/>
      <c r="F62" s="54"/>
      <c r="G62" s="58"/>
      <c r="H62" s="58"/>
      <c r="I62" s="58">
        <f t="shared" si="8"/>
        <v>0</v>
      </c>
      <c r="J62" s="58"/>
      <c r="K62" s="58"/>
      <c r="L62" s="58">
        <f t="shared" si="9"/>
        <v>0</v>
      </c>
      <c r="M62" s="58"/>
      <c r="N62" s="58">
        <f t="shared" si="10"/>
        <v>0</v>
      </c>
      <c r="O62" s="58"/>
      <c r="P62" s="58">
        <f t="shared" si="11"/>
        <v>0</v>
      </c>
      <c r="Q62" s="74"/>
    </row>
    <row r="63" spans="2:17" ht="20.45" hidden="1" customHeight="1">
      <c r="D63" s="74"/>
      <c r="E63" s="80"/>
      <c r="F63" s="54"/>
      <c r="G63" s="58"/>
      <c r="H63" s="58"/>
      <c r="I63" s="58">
        <f t="shared" si="8"/>
        <v>0</v>
      </c>
      <c r="J63" s="58"/>
      <c r="K63" s="58"/>
      <c r="L63" s="58">
        <f t="shared" si="9"/>
        <v>0</v>
      </c>
      <c r="M63" s="58"/>
      <c r="N63" s="58">
        <f t="shared" si="10"/>
        <v>0</v>
      </c>
      <c r="O63" s="58"/>
      <c r="P63" s="58">
        <f t="shared" si="11"/>
        <v>0</v>
      </c>
      <c r="Q63" s="74"/>
    </row>
    <row r="64" spans="2:17" ht="20.45" hidden="1" customHeight="1">
      <c r="D64" s="74"/>
      <c r="E64" s="80"/>
      <c r="F64" s="54"/>
      <c r="G64" s="58"/>
      <c r="H64" s="58"/>
      <c r="I64" s="58">
        <f t="shared" si="8"/>
        <v>0</v>
      </c>
      <c r="J64" s="58"/>
      <c r="K64" s="58"/>
      <c r="L64" s="58">
        <f t="shared" si="9"/>
        <v>0</v>
      </c>
      <c r="M64" s="58"/>
      <c r="N64" s="58">
        <f t="shared" si="10"/>
        <v>0</v>
      </c>
      <c r="O64" s="58"/>
      <c r="P64" s="58">
        <f t="shared" si="11"/>
        <v>0</v>
      </c>
      <c r="Q64" s="74"/>
    </row>
    <row r="65" spans="4:17" ht="20.45" hidden="1" customHeight="1">
      <c r="D65" s="74"/>
      <c r="E65" s="80"/>
      <c r="F65" s="54"/>
      <c r="G65" s="58"/>
      <c r="H65" s="58"/>
      <c r="I65" s="58">
        <f t="shared" si="8"/>
        <v>0</v>
      </c>
      <c r="J65" s="58"/>
      <c r="K65" s="58"/>
      <c r="L65" s="58">
        <f t="shared" si="9"/>
        <v>0</v>
      </c>
      <c r="M65" s="58"/>
      <c r="N65" s="58">
        <f t="shared" si="10"/>
        <v>0</v>
      </c>
      <c r="O65" s="58"/>
      <c r="P65" s="58">
        <f t="shared" si="11"/>
        <v>0</v>
      </c>
      <c r="Q65" s="74"/>
    </row>
    <row r="66" spans="4:17" ht="20.45" hidden="1" customHeight="1">
      <c r="D66" s="74"/>
      <c r="E66" s="80"/>
      <c r="F66" s="54"/>
      <c r="G66" s="58"/>
      <c r="H66" s="58"/>
      <c r="I66" s="58">
        <f t="shared" si="8"/>
        <v>0</v>
      </c>
      <c r="J66" s="58"/>
      <c r="K66" s="58"/>
      <c r="L66" s="58">
        <f t="shared" si="9"/>
        <v>0</v>
      </c>
      <c r="M66" s="58"/>
      <c r="N66" s="58">
        <f t="shared" si="10"/>
        <v>0</v>
      </c>
      <c r="O66" s="58"/>
      <c r="P66" s="58">
        <f t="shared" si="11"/>
        <v>0</v>
      </c>
      <c r="Q66" s="74"/>
    </row>
    <row r="67" spans="4:17" ht="20.45" hidden="1" customHeight="1">
      <c r="D67" s="74"/>
      <c r="E67" s="80"/>
      <c r="F67" s="54"/>
      <c r="G67" s="58"/>
      <c r="H67" s="58"/>
      <c r="I67" s="58">
        <f t="shared" si="8"/>
        <v>0</v>
      </c>
      <c r="J67" s="58"/>
      <c r="K67" s="58"/>
      <c r="L67" s="58">
        <f t="shared" si="9"/>
        <v>0</v>
      </c>
      <c r="M67" s="58"/>
      <c r="N67" s="58">
        <f t="shared" si="10"/>
        <v>0</v>
      </c>
      <c r="O67" s="58"/>
      <c r="P67" s="58">
        <f t="shared" si="11"/>
        <v>0</v>
      </c>
      <c r="Q67" s="74"/>
    </row>
    <row r="68" spans="4:17" ht="20.45" hidden="1" customHeight="1">
      <c r="D68" s="74"/>
      <c r="E68" s="80"/>
      <c r="F68" s="54"/>
      <c r="G68" s="58"/>
      <c r="H68" s="58"/>
      <c r="I68" s="58">
        <f t="shared" si="8"/>
        <v>0</v>
      </c>
      <c r="J68" s="58"/>
      <c r="K68" s="58"/>
      <c r="L68" s="58">
        <f t="shared" si="9"/>
        <v>0</v>
      </c>
      <c r="M68" s="58"/>
      <c r="N68" s="58">
        <f t="shared" si="10"/>
        <v>0</v>
      </c>
      <c r="O68" s="58"/>
      <c r="P68" s="58">
        <f t="shared" si="11"/>
        <v>0</v>
      </c>
      <c r="Q68" s="74"/>
    </row>
    <row r="69" spans="4:17" ht="20.45" hidden="1" customHeight="1">
      <c r="D69" s="74"/>
      <c r="E69" s="80"/>
      <c r="F69" s="54"/>
      <c r="G69" s="58"/>
      <c r="H69" s="58"/>
      <c r="I69" s="58">
        <f t="shared" si="8"/>
        <v>0</v>
      </c>
      <c r="J69" s="58"/>
      <c r="K69" s="58"/>
      <c r="L69" s="58">
        <f t="shared" si="9"/>
        <v>0</v>
      </c>
      <c r="M69" s="58"/>
      <c r="N69" s="58">
        <f t="shared" si="10"/>
        <v>0</v>
      </c>
      <c r="O69" s="58"/>
      <c r="P69" s="58">
        <f t="shared" si="11"/>
        <v>0</v>
      </c>
      <c r="Q69" s="74"/>
    </row>
    <row r="70" spans="4:17" ht="20.45" hidden="1" customHeight="1">
      <c r="D70" s="74"/>
      <c r="E70" s="80"/>
      <c r="F70" s="54"/>
      <c r="G70" s="58"/>
      <c r="H70" s="58"/>
      <c r="I70" s="58">
        <f t="shared" si="8"/>
        <v>0</v>
      </c>
      <c r="J70" s="58"/>
      <c r="K70" s="58"/>
      <c r="L70" s="58">
        <f t="shared" si="9"/>
        <v>0</v>
      </c>
      <c r="M70" s="58"/>
      <c r="N70" s="58">
        <f t="shared" si="10"/>
        <v>0</v>
      </c>
      <c r="O70" s="58"/>
      <c r="P70" s="58">
        <f t="shared" si="11"/>
        <v>0</v>
      </c>
      <c r="Q70" s="74"/>
    </row>
    <row r="71" spans="4:17" ht="20.45" hidden="1" customHeight="1">
      <c r="D71" s="74"/>
      <c r="E71" s="80"/>
      <c r="F71" s="54"/>
      <c r="G71" s="58"/>
      <c r="H71" s="58"/>
      <c r="I71" s="58">
        <f t="shared" si="8"/>
        <v>0</v>
      </c>
      <c r="J71" s="58"/>
      <c r="K71" s="58"/>
      <c r="L71" s="58">
        <f t="shared" si="9"/>
        <v>0</v>
      </c>
      <c r="M71" s="58"/>
      <c r="N71" s="58">
        <f t="shared" si="10"/>
        <v>0</v>
      </c>
      <c r="O71" s="58"/>
      <c r="P71" s="58">
        <f t="shared" si="11"/>
        <v>0</v>
      </c>
      <c r="Q71" s="74"/>
    </row>
    <row r="72" spans="4:17" ht="20.45" hidden="1" customHeight="1">
      <c r="D72" s="74"/>
      <c r="E72" s="80"/>
      <c r="F72" s="54"/>
      <c r="G72" s="58"/>
      <c r="H72" s="58"/>
      <c r="I72" s="58">
        <f t="shared" si="8"/>
        <v>0</v>
      </c>
      <c r="J72" s="58"/>
      <c r="K72" s="58"/>
      <c r="L72" s="58">
        <f t="shared" si="9"/>
        <v>0</v>
      </c>
      <c r="M72" s="58"/>
      <c r="N72" s="58">
        <f t="shared" si="10"/>
        <v>0</v>
      </c>
      <c r="O72" s="58"/>
      <c r="P72" s="58">
        <f t="shared" si="11"/>
        <v>0</v>
      </c>
      <c r="Q72" s="74"/>
    </row>
    <row r="73" spans="4:17" ht="20.45" hidden="1" customHeight="1">
      <c r="D73" s="74"/>
      <c r="E73" s="80"/>
      <c r="F73" s="54"/>
      <c r="G73" s="58"/>
      <c r="H73" s="58"/>
      <c r="I73" s="58">
        <f t="shared" si="8"/>
        <v>0</v>
      </c>
      <c r="J73" s="58"/>
      <c r="K73" s="58"/>
      <c r="L73" s="58">
        <f t="shared" si="9"/>
        <v>0</v>
      </c>
      <c r="M73" s="58"/>
      <c r="N73" s="58">
        <f t="shared" si="10"/>
        <v>0</v>
      </c>
      <c r="O73" s="58"/>
      <c r="P73" s="58">
        <f t="shared" si="11"/>
        <v>0</v>
      </c>
      <c r="Q73" s="74"/>
    </row>
    <row r="74" spans="4:17" ht="20.45" hidden="1" customHeight="1">
      <c r="D74" s="74"/>
      <c r="E74" s="80"/>
      <c r="F74" s="54"/>
      <c r="G74" s="58"/>
      <c r="H74" s="58"/>
      <c r="I74" s="58">
        <f t="shared" si="8"/>
        <v>0</v>
      </c>
      <c r="J74" s="58"/>
      <c r="K74" s="58"/>
      <c r="L74" s="58">
        <f t="shared" si="9"/>
        <v>0</v>
      </c>
      <c r="M74" s="58"/>
      <c r="N74" s="58">
        <f t="shared" si="10"/>
        <v>0</v>
      </c>
      <c r="O74" s="58"/>
      <c r="P74" s="58">
        <f t="shared" si="11"/>
        <v>0</v>
      </c>
      <c r="Q74" s="74"/>
    </row>
    <row r="75" spans="4:17" ht="20.45" hidden="1" customHeight="1">
      <c r="D75" s="74"/>
      <c r="E75" s="80"/>
      <c r="F75" s="54"/>
      <c r="G75" s="58"/>
      <c r="H75" s="58"/>
      <c r="I75" s="58">
        <f t="shared" si="8"/>
        <v>0</v>
      </c>
      <c r="J75" s="58"/>
      <c r="K75" s="58"/>
      <c r="L75" s="58">
        <f t="shared" si="9"/>
        <v>0</v>
      </c>
      <c r="M75" s="58"/>
      <c r="N75" s="58">
        <f t="shared" si="10"/>
        <v>0</v>
      </c>
      <c r="O75" s="58"/>
      <c r="P75" s="58">
        <f t="shared" si="11"/>
        <v>0</v>
      </c>
      <c r="Q75" s="74"/>
    </row>
    <row r="76" spans="4:17" ht="20.45" hidden="1" customHeight="1">
      <c r="D76" s="74"/>
      <c r="E76" s="80"/>
      <c r="F76" s="54"/>
      <c r="G76" s="58"/>
      <c r="H76" s="58"/>
      <c r="I76" s="58">
        <f t="shared" si="8"/>
        <v>0</v>
      </c>
      <c r="J76" s="58"/>
      <c r="K76" s="58"/>
      <c r="L76" s="58">
        <f t="shared" si="9"/>
        <v>0</v>
      </c>
      <c r="M76" s="58"/>
      <c r="N76" s="58">
        <f t="shared" si="10"/>
        <v>0</v>
      </c>
      <c r="O76" s="58"/>
      <c r="P76" s="58">
        <f t="shared" si="11"/>
        <v>0</v>
      </c>
      <c r="Q76" s="74"/>
    </row>
    <row r="77" spans="4:17" ht="20.45" hidden="1" customHeight="1">
      <c r="D77" s="74"/>
      <c r="E77" s="80"/>
      <c r="F77" s="54"/>
      <c r="G77" s="58"/>
      <c r="H77" s="58"/>
      <c r="I77" s="58">
        <f t="shared" si="8"/>
        <v>0</v>
      </c>
      <c r="J77" s="58"/>
      <c r="K77" s="58"/>
      <c r="L77" s="58">
        <f t="shared" si="9"/>
        <v>0</v>
      </c>
      <c r="M77" s="58"/>
      <c r="N77" s="58">
        <f t="shared" si="10"/>
        <v>0</v>
      </c>
      <c r="O77" s="58"/>
      <c r="P77" s="58">
        <f t="shared" si="11"/>
        <v>0</v>
      </c>
      <c r="Q77" s="74"/>
    </row>
    <row r="78" spans="4:17" ht="20.45" hidden="1" customHeight="1">
      <c r="D78" s="74"/>
      <c r="E78" s="80"/>
      <c r="F78" s="54"/>
      <c r="G78" s="58"/>
      <c r="H78" s="58"/>
      <c r="I78" s="58">
        <f t="shared" si="8"/>
        <v>0</v>
      </c>
      <c r="J78" s="58"/>
      <c r="K78" s="58"/>
      <c r="L78" s="58">
        <f t="shared" si="9"/>
        <v>0</v>
      </c>
      <c r="M78" s="58"/>
      <c r="N78" s="58">
        <f t="shared" si="10"/>
        <v>0</v>
      </c>
      <c r="O78" s="58"/>
      <c r="P78" s="58">
        <f t="shared" si="11"/>
        <v>0</v>
      </c>
      <c r="Q78" s="74"/>
    </row>
    <row r="79" spans="4:17" ht="20.45" hidden="1" customHeight="1">
      <c r="D79" s="74"/>
      <c r="E79" s="80"/>
      <c r="F79" s="54"/>
      <c r="G79" s="58"/>
      <c r="H79" s="58"/>
      <c r="I79" s="58">
        <f t="shared" si="8"/>
        <v>0</v>
      </c>
      <c r="J79" s="58"/>
      <c r="K79" s="58"/>
      <c r="L79" s="58">
        <f t="shared" si="9"/>
        <v>0</v>
      </c>
      <c r="M79" s="58"/>
      <c r="N79" s="58">
        <f t="shared" si="10"/>
        <v>0</v>
      </c>
      <c r="O79" s="58"/>
      <c r="P79" s="58">
        <f t="shared" si="11"/>
        <v>0</v>
      </c>
      <c r="Q79" s="74"/>
    </row>
    <row r="80" spans="4:17" ht="20.45" hidden="1" customHeight="1">
      <c r="D80" s="74"/>
      <c r="E80" s="80"/>
      <c r="F80" s="54"/>
      <c r="G80" s="58"/>
      <c r="H80" s="58"/>
      <c r="I80" s="58">
        <f t="shared" si="8"/>
        <v>0</v>
      </c>
      <c r="J80" s="58"/>
      <c r="K80" s="58"/>
      <c r="L80" s="58">
        <f t="shared" si="9"/>
        <v>0</v>
      </c>
      <c r="M80" s="58"/>
      <c r="N80" s="58">
        <f t="shared" si="10"/>
        <v>0</v>
      </c>
      <c r="O80" s="58"/>
      <c r="P80" s="58">
        <f t="shared" si="11"/>
        <v>0</v>
      </c>
      <c r="Q80" s="74"/>
    </row>
    <row r="81" spans="2:17" ht="20.45" hidden="1" customHeight="1">
      <c r="B81" s="64" t="s">
        <v>1141</v>
      </c>
      <c r="C81" s="64" t="s">
        <v>1142</v>
      </c>
      <c r="D81" s="74" t="s">
        <v>922</v>
      </c>
      <c r="E81" s="80"/>
      <c r="F81" s="54"/>
      <c r="G81" s="58"/>
      <c r="H81" s="58"/>
      <c r="I81" s="58">
        <f>TRUNC(SUM(I56:I80))</f>
        <v>165418395</v>
      </c>
      <c r="J81" s="58"/>
      <c r="K81" s="58"/>
      <c r="L81" s="58">
        <f>TRUNC(SUM(L56:L80))</f>
        <v>60718216</v>
      </c>
      <c r="M81" s="58"/>
      <c r="N81" s="58">
        <f>TRUNC(SUM(N56:N80))</f>
        <v>2044339</v>
      </c>
      <c r="O81" s="58"/>
      <c r="P81" s="58">
        <f>TRUNC(SUM(P56:P80))</f>
        <v>228180950</v>
      </c>
      <c r="Q81" s="74"/>
    </row>
  </sheetData>
  <mergeCells count="16">
    <mergeCell ref="D4:Q4"/>
    <mergeCell ref="D30:Q30"/>
    <mergeCell ref="D56:Q56"/>
    <mergeCell ref="J2:L2"/>
    <mergeCell ref="M2:N2"/>
    <mergeCell ref="D1:Q1"/>
    <mergeCell ref="A2:A3"/>
    <mergeCell ref="Q2:Q3"/>
    <mergeCell ref="B2:B3"/>
    <mergeCell ref="C2:C3"/>
    <mergeCell ref="E2:E3"/>
    <mergeCell ref="F2:F3"/>
    <mergeCell ref="G2:G3"/>
    <mergeCell ref="H2:I2"/>
    <mergeCell ref="P2:P3"/>
    <mergeCell ref="D2:D3"/>
  </mergeCells>
  <phoneticPr fontId="2" type="noConversion"/>
  <printOptions horizontalCentered="1" verticalCentered="1"/>
  <pageMargins left="0.74803149606299213" right="0.35433070866141736" top="0.59055118110236227" bottom="0.59055118110236227" header="0.51181102362204722" footer="0.47244094488188981"/>
  <pageSetup paperSize="9" scale="8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AE341"/>
  <sheetViews>
    <sheetView tabSelected="1" view="pageBreakPreview" topLeftCell="D1" zoomScaleSheetLayoutView="100" workbookViewId="0">
      <pane ySplit="3" topLeftCell="A4" activePane="bottomLeft" state="frozen"/>
      <selection activeCell="A2" sqref="A2"/>
      <selection pane="bottomLeft" activeCell="D212" sqref="D212:Q212"/>
    </sheetView>
  </sheetViews>
  <sheetFormatPr defaultRowHeight="23.1" customHeight="1"/>
  <cols>
    <col min="1" max="1" width="12.109375" style="64" hidden="1" customWidth="1"/>
    <col min="2" max="2" width="17.44140625" style="64" hidden="1" customWidth="1"/>
    <col min="3" max="3" width="20.6640625" style="64" hidden="1" customWidth="1"/>
    <col min="4" max="4" width="24.33203125" style="64" customWidth="1"/>
    <col min="5" max="5" width="25.33203125" style="64" customWidth="1"/>
    <col min="6" max="6" width="4.21875" style="78" customWidth="1"/>
    <col min="7" max="7" width="10" style="48" customWidth="1"/>
    <col min="8" max="8" width="13" style="49" customWidth="1"/>
    <col min="9" max="9" width="13.21875" style="49" customWidth="1"/>
    <col min="10" max="10" width="5.5546875" style="49" hidden="1" customWidth="1"/>
    <col min="11" max="11" width="10.44140625" style="49" customWidth="1"/>
    <col min="12" max="12" width="11.77734375" style="49" customWidth="1"/>
    <col min="13" max="13" width="8.44140625" style="49" customWidth="1"/>
    <col min="14" max="14" width="9.109375" style="49" customWidth="1"/>
    <col min="15" max="15" width="6" style="49" hidden="1" customWidth="1"/>
    <col min="16" max="16" width="13" style="49" customWidth="1"/>
    <col min="17" max="17" width="11.109375" style="64" customWidth="1"/>
    <col min="18" max="26" width="8.88671875" style="48"/>
    <col min="27" max="31" width="11.77734375" style="49" customWidth="1"/>
    <col min="32" max="16384" width="8.88671875" style="48"/>
  </cols>
  <sheetData>
    <row r="1" spans="1:31" ht="23.1" customHeight="1">
      <c r="A1" s="64" t="s">
        <v>566</v>
      </c>
      <c r="B1" s="64" t="s">
        <v>1136</v>
      </c>
      <c r="C1" s="64" t="s">
        <v>1137</v>
      </c>
      <c r="D1" s="157" t="s">
        <v>1064</v>
      </c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W1" s="150" t="s">
        <v>84</v>
      </c>
      <c r="X1" s="150"/>
      <c r="Y1" s="150"/>
      <c r="Z1" s="78"/>
      <c r="AA1" s="78" t="s">
        <v>89</v>
      </c>
      <c r="AB1" s="78"/>
      <c r="AC1" s="78"/>
      <c r="AD1" s="78"/>
      <c r="AE1" s="78"/>
    </row>
    <row r="2" spans="1:31" s="78" customFormat="1" ht="23.1" customHeight="1">
      <c r="A2" s="149" t="s">
        <v>71</v>
      </c>
      <c r="B2" s="149" t="s">
        <v>30</v>
      </c>
      <c r="C2" s="149" t="s">
        <v>26</v>
      </c>
      <c r="D2" s="151" t="s">
        <v>78</v>
      </c>
      <c r="E2" s="151" t="s">
        <v>79</v>
      </c>
      <c r="F2" s="154" t="s">
        <v>1</v>
      </c>
      <c r="G2" s="154" t="s">
        <v>2</v>
      </c>
      <c r="H2" s="153" t="s">
        <v>32</v>
      </c>
      <c r="I2" s="153"/>
      <c r="J2" s="153" t="s">
        <v>33</v>
      </c>
      <c r="K2" s="153"/>
      <c r="L2" s="153"/>
      <c r="M2" s="153" t="s">
        <v>34</v>
      </c>
      <c r="N2" s="153"/>
      <c r="O2" s="67"/>
      <c r="P2" s="153" t="s">
        <v>38</v>
      </c>
      <c r="Q2" s="151" t="s">
        <v>36</v>
      </c>
      <c r="W2" s="78" t="s">
        <v>85</v>
      </c>
      <c r="X2" s="78" t="s">
        <v>86</v>
      </c>
      <c r="Y2" s="78" t="s">
        <v>87</v>
      </c>
      <c r="Z2" s="78" t="s">
        <v>88</v>
      </c>
      <c r="AA2" s="82" t="s">
        <v>148</v>
      </c>
      <c r="AB2" s="82" t="s">
        <v>147</v>
      </c>
      <c r="AC2" s="82" t="s">
        <v>90</v>
      </c>
      <c r="AD2" s="82" t="s">
        <v>92</v>
      </c>
      <c r="AE2" s="82" t="s">
        <v>91</v>
      </c>
    </row>
    <row r="3" spans="1:31" s="78" customFormat="1" ht="23.1" customHeight="1">
      <c r="A3" s="149"/>
      <c r="B3" s="149"/>
      <c r="C3" s="149"/>
      <c r="D3" s="152"/>
      <c r="E3" s="152"/>
      <c r="F3" s="155"/>
      <c r="G3" s="155"/>
      <c r="H3" s="69" t="s">
        <v>39</v>
      </c>
      <c r="I3" s="69" t="s">
        <v>40</v>
      </c>
      <c r="J3" s="69" t="s">
        <v>2</v>
      </c>
      <c r="K3" s="69" t="s">
        <v>39</v>
      </c>
      <c r="L3" s="69" t="s">
        <v>40</v>
      </c>
      <c r="M3" s="69" t="s">
        <v>41</v>
      </c>
      <c r="N3" s="69" t="s">
        <v>40</v>
      </c>
      <c r="O3" s="69" t="s">
        <v>42</v>
      </c>
      <c r="P3" s="156"/>
      <c r="Q3" s="152"/>
      <c r="W3" s="48"/>
      <c r="X3" s="48"/>
      <c r="Y3" s="48"/>
      <c r="Z3" s="48"/>
      <c r="AA3" s="49"/>
      <c r="AB3" s="49"/>
      <c r="AC3" s="49"/>
      <c r="AD3" s="49">
        <f>IF(옵션!$C$11 =0, "1", 옵션!$C$11)</f>
        <v>1</v>
      </c>
      <c r="AE3" s="49">
        <f>IF(옵션!$C$12 =0, "1", 옵션!$C$12)</f>
        <v>1</v>
      </c>
    </row>
    <row r="4" spans="1:31" ht="23.1" customHeight="1">
      <c r="B4" s="64" t="s">
        <v>573</v>
      </c>
      <c r="D4" s="158" t="s">
        <v>1065</v>
      </c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60"/>
    </row>
    <row r="5" spans="1:31" ht="23.1" customHeight="1">
      <c r="A5" s="64" t="s">
        <v>741</v>
      </c>
      <c r="B5" s="64" t="s">
        <v>1066</v>
      </c>
      <c r="C5" s="64" t="s">
        <v>742</v>
      </c>
      <c r="D5" s="74" t="s">
        <v>194</v>
      </c>
      <c r="E5" s="74" t="s">
        <v>195</v>
      </c>
      <c r="F5" s="54" t="s">
        <v>196</v>
      </c>
      <c r="G5" s="80">
        <v>2061</v>
      </c>
      <c r="H5" s="58"/>
      <c r="I5" s="85"/>
      <c r="J5" s="58"/>
      <c r="K5" s="58"/>
      <c r="L5" s="85"/>
      <c r="M5" s="58"/>
      <c r="N5" s="85"/>
      <c r="O5" s="58"/>
      <c r="P5" s="58"/>
      <c r="Q5" s="74" t="s">
        <v>743</v>
      </c>
      <c r="AB5" s="49">
        <f>G5*H5</f>
        <v>0</v>
      </c>
      <c r="AC5" s="49">
        <f t="shared" ref="AC5:AC14" si="0">G5*H5</f>
        <v>0</v>
      </c>
    </row>
    <row r="6" spans="1:31" ht="23.1" customHeight="1">
      <c r="A6" s="64" t="s">
        <v>745</v>
      </c>
      <c r="B6" s="64" t="s">
        <v>1066</v>
      </c>
      <c r="C6" s="64" t="s">
        <v>746</v>
      </c>
      <c r="D6" s="74" t="s">
        <v>194</v>
      </c>
      <c r="E6" s="74" t="s">
        <v>200</v>
      </c>
      <c r="F6" s="54" t="s">
        <v>196</v>
      </c>
      <c r="G6" s="80">
        <v>105</v>
      </c>
      <c r="H6" s="58"/>
      <c r="I6" s="58"/>
      <c r="J6" s="58"/>
      <c r="K6" s="58"/>
      <c r="L6" s="58"/>
      <c r="M6" s="58"/>
      <c r="N6" s="58"/>
      <c r="O6" s="58"/>
      <c r="P6" s="58"/>
      <c r="Q6" s="74" t="s">
        <v>747</v>
      </c>
      <c r="AB6" s="49">
        <f>G6*H6</f>
        <v>0</v>
      </c>
      <c r="AC6" s="49">
        <f t="shared" si="0"/>
        <v>0</v>
      </c>
    </row>
    <row r="7" spans="1:31" ht="23.1" customHeight="1">
      <c r="A7" s="64" t="s">
        <v>766</v>
      </c>
      <c r="B7" s="64" t="s">
        <v>1066</v>
      </c>
      <c r="C7" s="64" t="s">
        <v>767</v>
      </c>
      <c r="D7" s="74" t="s">
        <v>217</v>
      </c>
      <c r="E7" s="74" t="s">
        <v>218</v>
      </c>
      <c r="F7" s="54" t="s">
        <v>196</v>
      </c>
      <c r="G7" s="80">
        <v>35</v>
      </c>
      <c r="H7" s="58"/>
      <c r="I7" s="58"/>
      <c r="J7" s="58"/>
      <c r="K7" s="58"/>
      <c r="L7" s="58"/>
      <c r="M7" s="58"/>
      <c r="N7" s="58"/>
      <c r="O7" s="58"/>
      <c r="P7" s="58"/>
      <c r="Q7" s="74" t="s">
        <v>768</v>
      </c>
      <c r="AC7" s="49">
        <f t="shared" si="0"/>
        <v>0</v>
      </c>
    </row>
    <row r="8" spans="1:31" ht="23.1" customHeight="1">
      <c r="A8" s="64" t="s">
        <v>769</v>
      </c>
      <c r="B8" s="64" t="s">
        <v>1066</v>
      </c>
      <c r="C8" s="64" t="s">
        <v>770</v>
      </c>
      <c r="D8" s="74" t="s">
        <v>222</v>
      </c>
      <c r="E8" s="74" t="s">
        <v>223</v>
      </c>
      <c r="F8" s="54" t="s">
        <v>196</v>
      </c>
      <c r="G8" s="80">
        <v>2157</v>
      </c>
      <c r="H8" s="58"/>
      <c r="I8" s="58"/>
      <c r="J8" s="58"/>
      <c r="K8" s="58"/>
      <c r="L8" s="58"/>
      <c r="M8" s="58"/>
      <c r="N8" s="58"/>
      <c r="O8" s="58"/>
      <c r="P8" s="58"/>
      <c r="Q8" s="74" t="s">
        <v>771</v>
      </c>
      <c r="AC8" s="49">
        <f t="shared" si="0"/>
        <v>0</v>
      </c>
    </row>
    <row r="9" spans="1:31" ht="23.1" customHeight="1">
      <c r="A9" s="64" t="s">
        <v>772</v>
      </c>
      <c r="B9" s="64" t="s">
        <v>1066</v>
      </c>
      <c r="C9" s="64" t="s">
        <v>773</v>
      </c>
      <c r="D9" s="74" t="s">
        <v>222</v>
      </c>
      <c r="E9" s="74" t="s">
        <v>225</v>
      </c>
      <c r="F9" s="54" t="s">
        <v>196</v>
      </c>
      <c r="G9" s="80">
        <v>39</v>
      </c>
      <c r="H9" s="58"/>
      <c r="I9" s="58"/>
      <c r="J9" s="58"/>
      <c r="K9" s="58"/>
      <c r="L9" s="58"/>
      <c r="M9" s="58"/>
      <c r="N9" s="58"/>
      <c r="O9" s="58"/>
      <c r="P9" s="58"/>
      <c r="Q9" s="74" t="s">
        <v>774</v>
      </c>
      <c r="AC9" s="49">
        <f t="shared" si="0"/>
        <v>0</v>
      </c>
    </row>
    <row r="10" spans="1:31" ht="23.1" customHeight="1">
      <c r="A10" s="64" t="s">
        <v>775</v>
      </c>
      <c r="B10" s="64" t="s">
        <v>1066</v>
      </c>
      <c r="C10" s="64" t="s">
        <v>776</v>
      </c>
      <c r="D10" s="74" t="s">
        <v>227</v>
      </c>
      <c r="E10" s="74" t="s">
        <v>228</v>
      </c>
      <c r="F10" s="54" t="s">
        <v>196</v>
      </c>
      <c r="G10" s="80">
        <v>780</v>
      </c>
      <c r="H10" s="58"/>
      <c r="I10" s="58"/>
      <c r="J10" s="58"/>
      <c r="K10" s="58"/>
      <c r="L10" s="58"/>
      <c r="M10" s="58"/>
      <c r="N10" s="58"/>
      <c r="O10" s="58"/>
      <c r="P10" s="58"/>
      <c r="Q10" s="74" t="s">
        <v>777</v>
      </c>
      <c r="AC10" s="49">
        <f t="shared" si="0"/>
        <v>0</v>
      </c>
    </row>
    <row r="11" spans="1:31" ht="23.1" customHeight="1">
      <c r="A11" s="64" t="s">
        <v>1067</v>
      </c>
      <c r="B11" s="64" t="s">
        <v>1066</v>
      </c>
      <c r="C11" s="64" t="s">
        <v>235</v>
      </c>
      <c r="D11" s="74" t="s">
        <v>232</v>
      </c>
      <c r="E11" s="74" t="s">
        <v>236</v>
      </c>
      <c r="F11" s="54" t="s">
        <v>196</v>
      </c>
      <c r="G11" s="80">
        <v>487</v>
      </c>
      <c r="H11" s="58"/>
      <c r="I11" s="58"/>
      <c r="J11" s="58"/>
      <c r="K11" s="58"/>
      <c r="L11" s="58"/>
      <c r="M11" s="58"/>
      <c r="N11" s="58"/>
      <c r="O11" s="58"/>
      <c r="P11" s="58"/>
      <c r="Q11" s="74"/>
      <c r="AC11" s="49">
        <f t="shared" si="0"/>
        <v>0</v>
      </c>
    </row>
    <row r="12" spans="1:31" ht="23.1" customHeight="1">
      <c r="A12" s="64" t="s">
        <v>1068</v>
      </c>
      <c r="B12" s="64" t="s">
        <v>1066</v>
      </c>
      <c r="C12" s="64" t="s">
        <v>239</v>
      </c>
      <c r="D12" s="74" t="s">
        <v>232</v>
      </c>
      <c r="E12" s="74" t="s">
        <v>240</v>
      </c>
      <c r="F12" s="54" t="s">
        <v>196</v>
      </c>
      <c r="G12" s="80">
        <v>105</v>
      </c>
      <c r="H12" s="58"/>
      <c r="I12" s="58"/>
      <c r="J12" s="58"/>
      <c r="K12" s="58"/>
      <c r="L12" s="58"/>
      <c r="M12" s="58"/>
      <c r="N12" s="58"/>
      <c r="O12" s="58"/>
      <c r="P12" s="58"/>
      <c r="Q12" s="74"/>
      <c r="AC12" s="49">
        <f t="shared" si="0"/>
        <v>0</v>
      </c>
    </row>
    <row r="13" spans="1:31" ht="23.1" customHeight="1">
      <c r="A13" s="64" t="s">
        <v>1069</v>
      </c>
      <c r="B13" s="64" t="s">
        <v>1066</v>
      </c>
      <c r="C13" s="64" t="s">
        <v>247</v>
      </c>
      <c r="D13" s="74" t="s">
        <v>232</v>
      </c>
      <c r="E13" s="74" t="s">
        <v>248</v>
      </c>
      <c r="F13" s="54" t="s">
        <v>196</v>
      </c>
      <c r="G13" s="80">
        <v>1565</v>
      </c>
      <c r="H13" s="58"/>
      <c r="I13" s="58"/>
      <c r="J13" s="58"/>
      <c r="K13" s="58"/>
      <c r="L13" s="58"/>
      <c r="M13" s="58"/>
      <c r="N13" s="58"/>
      <c r="O13" s="58"/>
      <c r="P13" s="58"/>
      <c r="Q13" s="74"/>
      <c r="AC13" s="49">
        <f t="shared" si="0"/>
        <v>0</v>
      </c>
    </row>
    <row r="14" spans="1:31" ht="23.1" customHeight="1">
      <c r="A14" s="64" t="s">
        <v>1070</v>
      </c>
      <c r="B14" s="64" t="s">
        <v>1066</v>
      </c>
      <c r="C14" s="64" t="s">
        <v>249</v>
      </c>
      <c r="D14" s="74" t="s">
        <v>232</v>
      </c>
      <c r="E14" s="74" t="s">
        <v>250</v>
      </c>
      <c r="F14" s="54" t="s">
        <v>196</v>
      </c>
      <c r="G14" s="80">
        <v>105</v>
      </c>
      <c r="H14" s="58"/>
      <c r="I14" s="58"/>
      <c r="J14" s="58"/>
      <c r="K14" s="58"/>
      <c r="L14" s="58"/>
      <c r="M14" s="58"/>
      <c r="N14" s="58"/>
      <c r="O14" s="58"/>
      <c r="P14" s="58"/>
      <c r="Q14" s="74"/>
      <c r="AC14" s="49">
        <f t="shared" si="0"/>
        <v>0</v>
      </c>
    </row>
    <row r="15" spans="1:31" ht="23.1" customHeight="1">
      <c r="A15" s="64" t="s">
        <v>790</v>
      </c>
      <c r="B15" s="64" t="s">
        <v>1066</v>
      </c>
      <c r="C15" s="64" t="s">
        <v>791</v>
      </c>
      <c r="D15" s="74" t="s">
        <v>264</v>
      </c>
      <c r="E15" s="74" t="s">
        <v>265</v>
      </c>
      <c r="F15" s="54" t="s">
        <v>266</v>
      </c>
      <c r="G15" s="80">
        <v>14</v>
      </c>
      <c r="H15" s="58"/>
      <c r="I15" s="58"/>
      <c r="J15" s="58"/>
      <c r="K15" s="58"/>
      <c r="L15" s="58"/>
      <c r="M15" s="58"/>
      <c r="N15" s="58"/>
      <c r="O15" s="58"/>
      <c r="P15" s="58"/>
      <c r="Q15" s="74" t="s">
        <v>792</v>
      </c>
    </row>
    <row r="16" spans="1:31" ht="23.1" customHeight="1">
      <c r="A16" s="64" t="s">
        <v>793</v>
      </c>
      <c r="B16" s="64" t="s">
        <v>1066</v>
      </c>
      <c r="C16" s="64" t="s">
        <v>794</v>
      </c>
      <c r="D16" s="74" t="s">
        <v>268</v>
      </c>
      <c r="E16" s="74" t="s">
        <v>269</v>
      </c>
      <c r="F16" s="54" t="s">
        <v>266</v>
      </c>
      <c r="G16" s="80">
        <v>16</v>
      </c>
      <c r="H16" s="58"/>
      <c r="I16" s="58"/>
      <c r="J16" s="58"/>
      <c r="K16" s="58"/>
      <c r="L16" s="58"/>
      <c r="M16" s="58"/>
      <c r="N16" s="58"/>
      <c r="O16" s="58"/>
      <c r="P16" s="58"/>
      <c r="Q16" s="74" t="s">
        <v>795</v>
      </c>
    </row>
    <row r="17" spans="1:29" ht="23.1" customHeight="1">
      <c r="A17" s="64" t="s">
        <v>796</v>
      </c>
      <c r="B17" s="64" t="s">
        <v>1066</v>
      </c>
      <c r="C17" s="64" t="s">
        <v>797</v>
      </c>
      <c r="D17" s="74" t="s">
        <v>271</v>
      </c>
      <c r="E17" s="74" t="s">
        <v>272</v>
      </c>
      <c r="F17" s="54" t="s">
        <v>196</v>
      </c>
      <c r="G17" s="80">
        <v>2005</v>
      </c>
      <c r="H17" s="58"/>
      <c r="I17" s="58"/>
      <c r="J17" s="58"/>
      <c r="K17" s="58"/>
      <c r="L17" s="58"/>
      <c r="M17" s="58"/>
      <c r="N17" s="58"/>
      <c r="O17" s="58"/>
      <c r="P17" s="58"/>
      <c r="Q17" s="74" t="s">
        <v>798</v>
      </c>
    </row>
    <row r="18" spans="1:29" ht="23.1" customHeight="1">
      <c r="A18" s="64" t="s">
        <v>802</v>
      </c>
      <c r="B18" s="64" t="s">
        <v>1066</v>
      </c>
      <c r="C18" s="64" t="s">
        <v>803</v>
      </c>
      <c r="D18" s="74" t="s">
        <v>274</v>
      </c>
      <c r="E18" s="74" t="s">
        <v>279</v>
      </c>
      <c r="F18" s="54" t="s">
        <v>266</v>
      </c>
      <c r="G18" s="80">
        <v>24</v>
      </c>
      <c r="H18" s="58"/>
      <c r="I18" s="58"/>
      <c r="J18" s="58"/>
      <c r="K18" s="58"/>
      <c r="L18" s="58"/>
      <c r="M18" s="58"/>
      <c r="N18" s="58"/>
      <c r="O18" s="58"/>
      <c r="P18" s="58"/>
      <c r="Q18" s="74" t="s">
        <v>804</v>
      </c>
    </row>
    <row r="19" spans="1:29" ht="23.1" customHeight="1">
      <c r="A19" s="64" t="s">
        <v>723</v>
      </c>
      <c r="B19" s="64" t="s">
        <v>1066</v>
      </c>
      <c r="C19" s="64" t="s">
        <v>724</v>
      </c>
      <c r="D19" s="74" t="s">
        <v>726</v>
      </c>
      <c r="E19" s="74" t="s">
        <v>727</v>
      </c>
      <c r="F19" s="54" t="s">
        <v>458</v>
      </c>
      <c r="G19" s="80">
        <v>2</v>
      </c>
      <c r="H19" s="58"/>
      <c r="I19" s="58"/>
      <c r="J19" s="58"/>
      <c r="K19" s="58"/>
      <c r="L19" s="58"/>
      <c r="M19" s="58"/>
      <c r="N19" s="58"/>
      <c r="O19" s="58"/>
      <c r="P19" s="58"/>
      <c r="Q19" s="74" t="s">
        <v>725</v>
      </c>
    </row>
    <row r="20" spans="1:29" ht="23.1" customHeight="1">
      <c r="A20" s="64" t="s">
        <v>728</v>
      </c>
      <c r="B20" s="64" t="s">
        <v>1066</v>
      </c>
      <c r="C20" s="64" t="s">
        <v>729</v>
      </c>
      <c r="D20" s="74" t="s">
        <v>726</v>
      </c>
      <c r="E20" s="74" t="s">
        <v>731</v>
      </c>
      <c r="F20" s="54" t="s">
        <v>458</v>
      </c>
      <c r="G20" s="80">
        <v>43</v>
      </c>
      <c r="H20" s="58"/>
      <c r="I20" s="58"/>
      <c r="J20" s="58"/>
      <c r="K20" s="58"/>
      <c r="L20" s="58"/>
      <c r="M20" s="58"/>
      <c r="N20" s="58"/>
      <c r="O20" s="58"/>
      <c r="P20" s="58"/>
      <c r="Q20" s="74" t="s">
        <v>730</v>
      </c>
    </row>
    <row r="21" spans="1:29" ht="23.1" customHeight="1">
      <c r="A21" s="64" t="s">
        <v>699</v>
      </c>
      <c r="B21" s="64" t="s">
        <v>1066</v>
      </c>
      <c r="C21" s="64" t="s">
        <v>700</v>
      </c>
      <c r="D21" s="74" t="s">
        <v>702</v>
      </c>
      <c r="E21" s="74" t="s">
        <v>703</v>
      </c>
      <c r="F21" s="54" t="s">
        <v>294</v>
      </c>
      <c r="G21" s="80">
        <v>794.59100000000001</v>
      </c>
      <c r="H21" s="58"/>
      <c r="I21" s="58"/>
      <c r="J21" s="58"/>
      <c r="K21" s="58"/>
      <c r="L21" s="58"/>
      <c r="M21" s="58"/>
      <c r="N21" s="58"/>
      <c r="O21" s="58"/>
      <c r="P21" s="58"/>
      <c r="Q21" s="74" t="s">
        <v>701</v>
      </c>
    </row>
    <row r="22" spans="1:29" ht="23.1" customHeight="1">
      <c r="A22" s="64" t="s">
        <v>704</v>
      </c>
      <c r="B22" s="64" t="s">
        <v>1066</v>
      </c>
      <c r="C22" s="64" t="s">
        <v>705</v>
      </c>
      <c r="D22" s="74" t="s">
        <v>707</v>
      </c>
      <c r="E22" s="74" t="s">
        <v>703</v>
      </c>
      <c r="F22" s="54" t="s">
        <v>294</v>
      </c>
      <c r="G22" s="80">
        <v>767.46</v>
      </c>
      <c r="H22" s="58"/>
      <c r="I22" s="58"/>
      <c r="J22" s="58"/>
      <c r="K22" s="58"/>
      <c r="L22" s="58"/>
      <c r="M22" s="58"/>
      <c r="N22" s="58"/>
      <c r="O22" s="58"/>
      <c r="P22" s="58"/>
      <c r="Q22" s="74" t="s">
        <v>706</v>
      </c>
    </row>
    <row r="23" spans="1:29" ht="23.1" customHeight="1">
      <c r="A23" s="64" t="s">
        <v>708</v>
      </c>
      <c r="B23" s="64" t="s">
        <v>1066</v>
      </c>
      <c r="C23" s="64" t="s">
        <v>709</v>
      </c>
      <c r="D23" s="74" t="s">
        <v>711</v>
      </c>
      <c r="E23" s="74" t="s">
        <v>712</v>
      </c>
      <c r="F23" s="54" t="s">
        <v>294</v>
      </c>
      <c r="G23" s="80">
        <v>27.131</v>
      </c>
      <c r="H23" s="58"/>
      <c r="I23" s="58"/>
      <c r="J23" s="58"/>
      <c r="K23" s="58"/>
      <c r="L23" s="58"/>
      <c r="M23" s="58"/>
      <c r="N23" s="58"/>
      <c r="O23" s="58"/>
      <c r="P23" s="58"/>
      <c r="Q23" s="74" t="s">
        <v>710</v>
      </c>
    </row>
    <row r="24" spans="1:29" ht="23.1" customHeight="1">
      <c r="A24" s="64" t="s">
        <v>814</v>
      </c>
      <c r="B24" s="64" t="s">
        <v>1066</v>
      </c>
      <c r="C24" s="64" t="s">
        <v>815</v>
      </c>
      <c r="D24" s="74" t="s">
        <v>304</v>
      </c>
      <c r="E24" s="74" t="s">
        <v>305</v>
      </c>
      <c r="F24" s="54" t="s">
        <v>306</v>
      </c>
      <c r="G24" s="80">
        <v>4</v>
      </c>
      <c r="H24" s="58"/>
      <c r="I24" s="58"/>
      <c r="J24" s="58"/>
      <c r="K24" s="58"/>
      <c r="L24" s="58"/>
      <c r="M24" s="58"/>
      <c r="N24" s="58"/>
      <c r="O24" s="58"/>
      <c r="P24" s="58"/>
      <c r="Q24" s="74" t="s">
        <v>816</v>
      </c>
    </row>
    <row r="25" spans="1:29" ht="23.1" customHeight="1">
      <c r="A25" s="64" t="s">
        <v>1071</v>
      </c>
      <c r="B25" s="64" t="s">
        <v>1066</v>
      </c>
      <c r="C25" s="64" t="s">
        <v>308</v>
      </c>
      <c r="D25" s="74" t="s">
        <v>309</v>
      </c>
      <c r="E25" s="74"/>
      <c r="F25" s="54" t="s">
        <v>306</v>
      </c>
      <c r="G25" s="80">
        <v>12</v>
      </c>
      <c r="H25" s="58"/>
      <c r="I25" s="58"/>
      <c r="J25" s="58"/>
      <c r="K25" s="58"/>
      <c r="L25" s="58"/>
      <c r="M25" s="58"/>
      <c r="N25" s="58"/>
      <c r="O25" s="58"/>
      <c r="P25" s="58"/>
      <c r="Q25" s="74"/>
    </row>
    <row r="26" spans="1:29" ht="23.1" customHeight="1">
      <c r="A26" s="64" t="s">
        <v>829</v>
      </c>
      <c r="B26" s="64" t="s">
        <v>1066</v>
      </c>
      <c r="C26" s="64" t="s">
        <v>830</v>
      </c>
      <c r="D26" s="74" t="s">
        <v>333</v>
      </c>
      <c r="E26" s="74" t="s">
        <v>335</v>
      </c>
      <c r="F26" s="54" t="s">
        <v>196</v>
      </c>
      <c r="G26" s="80">
        <v>473</v>
      </c>
      <c r="H26" s="58"/>
      <c r="I26" s="58"/>
      <c r="J26" s="58"/>
      <c r="K26" s="58"/>
      <c r="L26" s="58"/>
      <c r="M26" s="58"/>
      <c r="N26" s="58"/>
      <c r="O26" s="58"/>
      <c r="P26" s="58"/>
      <c r="Q26" s="74" t="s">
        <v>831</v>
      </c>
      <c r="AC26" s="49">
        <f>G26*H26</f>
        <v>0</v>
      </c>
    </row>
    <row r="27" spans="1:29" ht="23.1" customHeight="1">
      <c r="A27" s="64" t="s">
        <v>835</v>
      </c>
      <c r="B27" s="64" t="s">
        <v>1066</v>
      </c>
      <c r="C27" s="64" t="s">
        <v>836</v>
      </c>
      <c r="D27" s="74" t="s">
        <v>333</v>
      </c>
      <c r="E27" s="74" t="s">
        <v>338</v>
      </c>
      <c r="F27" s="54" t="s">
        <v>196</v>
      </c>
      <c r="G27" s="80">
        <v>114</v>
      </c>
      <c r="H27" s="58"/>
      <c r="I27" s="58"/>
      <c r="J27" s="58"/>
      <c r="K27" s="58"/>
      <c r="L27" s="58"/>
      <c r="M27" s="58"/>
      <c r="N27" s="58"/>
      <c r="O27" s="58"/>
      <c r="P27" s="58"/>
      <c r="Q27" s="74" t="s">
        <v>837</v>
      </c>
      <c r="AC27" s="49">
        <f>G27*H27</f>
        <v>0</v>
      </c>
    </row>
    <row r="28" spans="1:29" ht="23.1" customHeight="1">
      <c r="A28" s="64" t="s">
        <v>844</v>
      </c>
      <c r="B28" s="64" t="s">
        <v>1066</v>
      </c>
      <c r="C28" s="64" t="s">
        <v>845</v>
      </c>
      <c r="D28" s="74" t="s">
        <v>333</v>
      </c>
      <c r="E28" s="74" t="s">
        <v>344</v>
      </c>
      <c r="F28" s="54" t="s">
        <v>196</v>
      </c>
      <c r="G28" s="80">
        <v>1520</v>
      </c>
      <c r="H28" s="58"/>
      <c r="I28" s="58"/>
      <c r="J28" s="58"/>
      <c r="K28" s="58"/>
      <c r="L28" s="58"/>
      <c r="M28" s="58"/>
      <c r="N28" s="58"/>
      <c r="O28" s="58"/>
      <c r="P28" s="58"/>
      <c r="Q28" s="74" t="s">
        <v>846</v>
      </c>
      <c r="AC28" s="49">
        <f>G28*H28</f>
        <v>0</v>
      </c>
    </row>
    <row r="29" spans="1:29" ht="23.1" customHeight="1">
      <c r="A29" s="64" t="s">
        <v>847</v>
      </c>
      <c r="B29" s="64" t="s">
        <v>1066</v>
      </c>
      <c r="C29" s="64" t="s">
        <v>848</v>
      </c>
      <c r="D29" s="74" t="s">
        <v>333</v>
      </c>
      <c r="E29" s="74" t="s">
        <v>345</v>
      </c>
      <c r="F29" s="54" t="s">
        <v>196</v>
      </c>
      <c r="G29" s="80">
        <v>102</v>
      </c>
      <c r="H29" s="58"/>
      <c r="I29" s="58"/>
      <c r="J29" s="58"/>
      <c r="K29" s="58"/>
      <c r="L29" s="58"/>
      <c r="M29" s="58"/>
      <c r="N29" s="58"/>
      <c r="O29" s="58"/>
      <c r="P29" s="58"/>
      <c r="Q29" s="74" t="s">
        <v>849</v>
      </c>
      <c r="AC29" s="49">
        <f>G29*H29</f>
        <v>0</v>
      </c>
    </row>
    <row r="30" spans="1:29" ht="23.1" customHeight="1">
      <c r="A30" s="64" t="s">
        <v>850</v>
      </c>
      <c r="B30" s="64" t="s">
        <v>1066</v>
      </c>
      <c r="C30" s="64" t="s">
        <v>851</v>
      </c>
      <c r="D30" s="74" t="s">
        <v>347</v>
      </c>
      <c r="E30" s="74" t="s">
        <v>348</v>
      </c>
      <c r="F30" s="54" t="s">
        <v>266</v>
      </c>
      <c r="G30" s="80">
        <v>43</v>
      </c>
      <c r="H30" s="58"/>
      <c r="I30" s="58"/>
      <c r="J30" s="58"/>
      <c r="K30" s="58"/>
      <c r="L30" s="58"/>
      <c r="M30" s="58"/>
      <c r="N30" s="58"/>
      <c r="O30" s="58"/>
      <c r="P30" s="58"/>
      <c r="Q30" s="74" t="s">
        <v>852</v>
      </c>
    </row>
    <row r="31" spans="1:29" ht="23.1" customHeight="1">
      <c r="A31" s="64" t="s">
        <v>853</v>
      </c>
      <c r="B31" s="64" t="s">
        <v>1066</v>
      </c>
      <c r="C31" s="64" t="s">
        <v>854</v>
      </c>
      <c r="D31" s="74" t="s">
        <v>352</v>
      </c>
      <c r="E31" s="74" t="s">
        <v>353</v>
      </c>
      <c r="F31" s="54" t="s">
        <v>266</v>
      </c>
      <c r="G31" s="80">
        <v>2</v>
      </c>
      <c r="H31" s="58"/>
      <c r="I31" s="58"/>
      <c r="J31" s="58"/>
      <c r="K31" s="58"/>
      <c r="L31" s="58"/>
      <c r="M31" s="58"/>
      <c r="N31" s="58"/>
      <c r="O31" s="58"/>
      <c r="P31" s="58"/>
      <c r="Q31" s="74" t="s">
        <v>855</v>
      </c>
    </row>
    <row r="32" spans="1:29" ht="23.1" customHeight="1">
      <c r="A32" s="64" t="s">
        <v>859</v>
      </c>
      <c r="B32" s="64" t="s">
        <v>1066</v>
      </c>
      <c r="C32" s="64" t="s">
        <v>860</v>
      </c>
      <c r="D32" s="74" t="s">
        <v>359</v>
      </c>
      <c r="E32" s="74" t="s">
        <v>360</v>
      </c>
      <c r="F32" s="54" t="s">
        <v>266</v>
      </c>
      <c r="G32" s="80">
        <v>2</v>
      </c>
      <c r="H32" s="58"/>
      <c r="I32" s="58"/>
      <c r="J32" s="58"/>
      <c r="K32" s="58"/>
      <c r="L32" s="58"/>
      <c r="M32" s="58"/>
      <c r="N32" s="58"/>
      <c r="O32" s="58"/>
      <c r="P32" s="58"/>
      <c r="Q32" s="74" t="s">
        <v>861</v>
      </c>
    </row>
    <row r="33" spans="1:31" ht="23.1" customHeight="1">
      <c r="A33" s="64" t="s">
        <v>862</v>
      </c>
      <c r="B33" s="64" t="s">
        <v>1066</v>
      </c>
      <c r="C33" s="64" t="s">
        <v>863</v>
      </c>
      <c r="D33" s="74" t="s">
        <v>364</v>
      </c>
      <c r="E33" s="74" t="s">
        <v>365</v>
      </c>
      <c r="F33" s="54" t="s">
        <v>266</v>
      </c>
      <c r="G33" s="80">
        <v>43</v>
      </c>
      <c r="H33" s="58"/>
      <c r="I33" s="58"/>
      <c r="J33" s="58"/>
      <c r="K33" s="58"/>
      <c r="L33" s="58"/>
      <c r="M33" s="58"/>
      <c r="N33" s="58"/>
      <c r="O33" s="58"/>
      <c r="P33" s="58"/>
      <c r="Q33" s="74" t="s">
        <v>864</v>
      </c>
    </row>
    <row r="34" spans="1:31" ht="23.1" customHeight="1">
      <c r="A34" s="64" t="s">
        <v>865</v>
      </c>
      <c r="B34" s="64" t="s">
        <v>1066</v>
      </c>
      <c r="C34" s="64" t="s">
        <v>866</v>
      </c>
      <c r="D34" s="74" t="s">
        <v>369</v>
      </c>
      <c r="E34" s="74" t="s">
        <v>370</v>
      </c>
      <c r="F34" s="54" t="s">
        <v>266</v>
      </c>
      <c r="G34" s="80">
        <v>2</v>
      </c>
      <c r="H34" s="58"/>
      <c r="I34" s="58"/>
      <c r="J34" s="58"/>
      <c r="K34" s="58"/>
      <c r="L34" s="58"/>
      <c r="M34" s="58"/>
      <c r="N34" s="58"/>
      <c r="O34" s="58"/>
      <c r="P34" s="58"/>
      <c r="Q34" s="74" t="s">
        <v>867</v>
      </c>
    </row>
    <row r="35" spans="1:31" ht="23.1" customHeight="1">
      <c r="A35" s="64" t="s">
        <v>1072</v>
      </c>
      <c r="B35" s="64" t="s">
        <v>1066</v>
      </c>
      <c r="C35" s="64" t="s">
        <v>373</v>
      </c>
      <c r="D35" s="74" t="s">
        <v>374</v>
      </c>
      <c r="E35" s="74" t="s">
        <v>375</v>
      </c>
      <c r="F35" s="54" t="s">
        <v>266</v>
      </c>
      <c r="G35" s="80">
        <v>43</v>
      </c>
      <c r="H35" s="58"/>
      <c r="I35" s="58"/>
      <c r="J35" s="58"/>
      <c r="K35" s="58"/>
      <c r="L35" s="58"/>
      <c r="M35" s="58"/>
      <c r="N35" s="58"/>
      <c r="O35" s="58"/>
      <c r="P35" s="58"/>
      <c r="Q35" s="74"/>
    </row>
    <row r="36" spans="1:31" ht="23.1" customHeight="1">
      <c r="A36" s="64" t="s">
        <v>871</v>
      </c>
      <c r="B36" s="64" t="s">
        <v>1066</v>
      </c>
      <c r="C36" s="64" t="s">
        <v>872</v>
      </c>
      <c r="D36" s="74" t="s">
        <v>379</v>
      </c>
      <c r="E36" s="74" t="s">
        <v>380</v>
      </c>
      <c r="F36" s="54" t="s">
        <v>266</v>
      </c>
      <c r="G36" s="80">
        <v>45</v>
      </c>
      <c r="H36" s="58"/>
      <c r="I36" s="58"/>
      <c r="J36" s="58"/>
      <c r="K36" s="58"/>
      <c r="L36" s="58"/>
      <c r="M36" s="58"/>
      <c r="N36" s="58"/>
      <c r="O36" s="58"/>
      <c r="P36" s="58"/>
      <c r="Q36" s="74" t="s">
        <v>873</v>
      </c>
    </row>
    <row r="37" spans="1:31" ht="23.1" customHeight="1">
      <c r="A37" s="64" t="s">
        <v>874</v>
      </c>
      <c r="B37" s="64" t="s">
        <v>1066</v>
      </c>
      <c r="C37" s="64" t="s">
        <v>875</v>
      </c>
      <c r="D37" s="74" t="s">
        <v>383</v>
      </c>
      <c r="E37" s="74" t="s">
        <v>384</v>
      </c>
      <c r="F37" s="54" t="s">
        <v>266</v>
      </c>
      <c r="G37" s="80">
        <v>2</v>
      </c>
      <c r="H37" s="58"/>
      <c r="I37" s="58"/>
      <c r="J37" s="58"/>
      <c r="K37" s="58"/>
      <c r="L37" s="58"/>
      <c r="M37" s="58"/>
      <c r="N37" s="58"/>
      <c r="O37" s="58"/>
      <c r="P37" s="58"/>
      <c r="Q37" s="74" t="s">
        <v>876</v>
      </c>
    </row>
    <row r="38" spans="1:31" ht="23.1" customHeight="1">
      <c r="A38" s="64" t="s">
        <v>883</v>
      </c>
      <c r="B38" s="64" t="s">
        <v>1066</v>
      </c>
      <c r="C38" s="64" t="s">
        <v>884</v>
      </c>
      <c r="D38" s="74" t="s">
        <v>423</v>
      </c>
      <c r="E38" s="74" t="s">
        <v>424</v>
      </c>
      <c r="F38" s="54" t="s">
        <v>266</v>
      </c>
      <c r="G38" s="80">
        <v>45</v>
      </c>
      <c r="H38" s="58"/>
      <c r="I38" s="58"/>
      <c r="J38" s="58"/>
      <c r="K38" s="58"/>
      <c r="L38" s="58"/>
      <c r="M38" s="58"/>
      <c r="N38" s="58"/>
      <c r="O38" s="58"/>
      <c r="P38" s="58"/>
      <c r="Q38" s="74" t="s">
        <v>885</v>
      </c>
    </row>
    <row r="39" spans="1:31" ht="23.1" customHeight="1">
      <c r="A39" s="64" t="s">
        <v>1073</v>
      </c>
      <c r="B39" s="64" t="s">
        <v>1066</v>
      </c>
      <c r="C39" s="64" t="s">
        <v>427</v>
      </c>
      <c r="D39" s="74" t="s">
        <v>423</v>
      </c>
      <c r="E39" s="74" t="s">
        <v>428</v>
      </c>
      <c r="F39" s="54" t="s">
        <v>266</v>
      </c>
      <c r="G39" s="80">
        <v>34</v>
      </c>
      <c r="H39" s="58"/>
      <c r="I39" s="58"/>
      <c r="J39" s="58"/>
      <c r="K39" s="58"/>
      <c r="L39" s="58"/>
      <c r="M39" s="58"/>
      <c r="N39" s="58"/>
      <c r="O39" s="58"/>
      <c r="P39" s="58"/>
      <c r="Q39" s="74"/>
    </row>
    <row r="40" spans="1:31" ht="23.1" customHeight="1">
      <c r="A40" s="64" t="s">
        <v>1074</v>
      </c>
      <c r="B40" s="64" t="s">
        <v>1066</v>
      </c>
      <c r="C40" s="64" t="s">
        <v>429</v>
      </c>
      <c r="D40" s="74" t="s">
        <v>430</v>
      </c>
      <c r="E40" s="74" t="s">
        <v>431</v>
      </c>
      <c r="F40" s="54" t="s">
        <v>432</v>
      </c>
      <c r="G40" s="80">
        <v>21</v>
      </c>
      <c r="H40" s="58"/>
      <c r="I40" s="58"/>
      <c r="J40" s="58"/>
      <c r="K40" s="58"/>
      <c r="L40" s="58"/>
      <c r="M40" s="58"/>
      <c r="N40" s="58"/>
      <c r="O40" s="58"/>
      <c r="P40" s="58"/>
      <c r="Q40" s="74"/>
    </row>
    <row r="41" spans="1:31" ht="23.1" customHeight="1">
      <c r="A41" s="64" t="s">
        <v>907</v>
      </c>
      <c r="B41" s="64" t="s">
        <v>1066</v>
      </c>
      <c r="C41" s="64" t="s">
        <v>908</v>
      </c>
      <c r="D41" s="74" t="s">
        <v>499</v>
      </c>
      <c r="E41" s="74" t="s">
        <v>500</v>
      </c>
      <c r="F41" s="54" t="s">
        <v>266</v>
      </c>
      <c r="G41" s="80">
        <v>2</v>
      </c>
      <c r="H41" s="58"/>
      <c r="I41" s="58"/>
      <c r="J41" s="58"/>
      <c r="K41" s="58"/>
      <c r="L41" s="58"/>
      <c r="M41" s="58"/>
      <c r="N41" s="58"/>
      <c r="O41" s="58"/>
      <c r="P41" s="58"/>
      <c r="Q41" s="74" t="s">
        <v>909</v>
      </c>
    </row>
    <row r="42" spans="1:31" ht="23.1" customHeight="1">
      <c r="A42" s="64" t="s">
        <v>910</v>
      </c>
      <c r="B42" s="64" t="s">
        <v>1066</v>
      </c>
      <c r="C42" s="64" t="s">
        <v>911</v>
      </c>
      <c r="D42" s="74" t="s">
        <v>511</v>
      </c>
      <c r="E42" s="74" t="s">
        <v>512</v>
      </c>
      <c r="F42" s="54" t="s">
        <v>266</v>
      </c>
      <c r="G42" s="80">
        <v>6</v>
      </c>
      <c r="H42" s="58"/>
      <c r="I42" s="58"/>
      <c r="J42" s="58"/>
      <c r="K42" s="58"/>
      <c r="L42" s="58"/>
      <c r="M42" s="58"/>
      <c r="N42" s="58"/>
      <c r="O42" s="58"/>
      <c r="P42" s="58"/>
      <c r="Q42" s="74" t="s">
        <v>912</v>
      </c>
    </row>
    <row r="43" spans="1:31" ht="23.1" customHeight="1">
      <c r="A43" s="64" t="s">
        <v>1075</v>
      </c>
      <c r="B43" s="64" t="s">
        <v>1066</v>
      </c>
      <c r="C43" s="64" t="s">
        <v>513</v>
      </c>
      <c r="D43" s="74" t="s">
        <v>514</v>
      </c>
      <c r="E43" s="74" t="s">
        <v>515</v>
      </c>
      <c r="F43" s="54" t="s">
        <v>266</v>
      </c>
      <c r="G43" s="80">
        <v>6</v>
      </c>
      <c r="H43" s="58"/>
      <c r="I43" s="58"/>
      <c r="J43" s="58"/>
      <c r="K43" s="58"/>
      <c r="L43" s="58"/>
      <c r="M43" s="58"/>
      <c r="N43" s="58"/>
      <c r="O43" s="58"/>
      <c r="P43" s="58"/>
      <c r="Q43" s="74"/>
    </row>
    <row r="44" spans="1:31" ht="23.1" customHeight="1">
      <c r="D44" s="74"/>
      <c r="E44" s="74"/>
      <c r="F44" s="54"/>
      <c r="G44" s="80"/>
      <c r="H44" s="58"/>
      <c r="I44" s="58"/>
      <c r="J44" s="58"/>
      <c r="K44" s="58"/>
      <c r="L44" s="58"/>
      <c r="M44" s="58"/>
      <c r="N44" s="58"/>
      <c r="O44" s="58"/>
      <c r="P44" s="58"/>
      <c r="Q44" s="74"/>
      <c r="AE44" s="49">
        <f>TRUNC(SUM(AE4:AE43))</f>
        <v>0</v>
      </c>
    </row>
    <row r="45" spans="1:31" ht="23.1" customHeight="1">
      <c r="D45" s="74"/>
      <c r="E45" s="74"/>
      <c r="F45" s="54"/>
      <c r="G45" s="80"/>
      <c r="H45" s="58"/>
      <c r="I45" s="58"/>
      <c r="J45" s="58"/>
      <c r="K45" s="58"/>
      <c r="L45" s="58"/>
      <c r="M45" s="58"/>
      <c r="N45" s="58"/>
      <c r="O45" s="58"/>
      <c r="P45" s="58"/>
      <c r="Q45" s="74"/>
    </row>
    <row r="46" spans="1:31" ht="23.1" customHeight="1">
      <c r="D46" s="74"/>
      <c r="E46" s="74"/>
      <c r="F46" s="54"/>
      <c r="G46" s="80"/>
      <c r="H46" s="58"/>
      <c r="I46" s="58"/>
      <c r="J46" s="58"/>
      <c r="K46" s="58"/>
      <c r="L46" s="58"/>
      <c r="M46" s="58"/>
      <c r="N46" s="58"/>
      <c r="O46" s="58"/>
      <c r="P46" s="58"/>
      <c r="Q46" s="74"/>
    </row>
    <row r="47" spans="1:31" ht="23.1" customHeight="1">
      <c r="D47" s="74"/>
      <c r="E47" s="74"/>
      <c r="F47" s="54"/>
      <c r="G47" s="80"/>
      <c r="H47" s="58"/>
      <c r="I47" s="58"/>
      <c r="J47" s="58"/>
      <c r="K47" s="58"/>
      <c r="L47" s="58"/>
      <c r="M47" s="58"/>
      <c r="N47" s="58"/>
      <c r="O47" s="58"/>
      <c r="P47" s="58"/>
      <c r="Q47" s="74"/>
    </row>
    <row r="48" spans="1:31" ht="23.1" customHeight="1">
      <c r="D48" s="74"/>
      <c r="E48" s="74"/>
      <c r="F48" s="54"/>
      <c r="G48" s="80"/>
      <c r="H48" s="58"/>
      <c r="I48" s="58"/>
      <c r="J48" s="58"/>
      <c r="K48" s="58"/>
      <c r="L48" s="58"/>
      <c r="M48" s="58"/>
      <c r="N48" s="58"/>
      <c r="O48" s="58"/>
      <c r="P48" s="58"/>
      <c r="Q48" s="74"/>
    </row>
    <row r="49" spans="1:29" ht="23.1" customHeight="1">
      <c r="D49" s="74"/>
      <c r="E49" s="74"/>
      <c r="F49" s="54"/>
      <c r="G49" s="80"/>
      <c r="H49" s="58"/>
      <c r="I49" s="58"/>
      <c r="J49" s="58"/>
      <c r="K49" s="58"/>
      <c r="L49" s="58"/>
      <c r="M49" s="58"/>
      <c r="N49" s="58"/>
      <c r="O49" s="58"/>
      <c r="P49" s="58"/>
      <c r="Q49" s="74"/>
    </row>
    <row r="50" spans="1:29" ht="23.1" customHeight="1">
      <c r="D50" s="74"/>
      <c r="E50" s="74"/>
      <c r="F50" s="54"/>
      <c r="G50" s="80"/>
      <c r="H50" s="58"/>
      <c r="I50" s="58"/>
      <c r="J50" s="58"/>
      <c r="K50" s="58"/>
      <c r="L50" s="58"/>
      <c r="M50" s="58"/>
      <c r="N50" s="58"/>
      <c r="O50" s="58"/>
      <c r="P50" s="58"/>
      <c r="Q50" s="74"/>
    </row>
    <row r="51" spans="1:29" ht="23.1" customHeight="1">
      <c r="D51" s="74"/>
      <c r="E51" s="74"/>
      <c r="F51" s="54"/>
      <c r="G51" s="80"/>
      <c r="H51" s="58"/>
      <c r="I51" s="58"/>
      <c r="J51" s="58"/>
      <c r="K51" s="58"/>
      <c r="L51" s="58"/>
      <c r="M51" s="58"/>
      <c r="N51" s="58"/>
      <c r="O51" s="58"/>
      <c r="P51" s="58"/>
      <c r="Q51" s="74"/>
    </row>
    <row r="52" spans="1:29" ht="23.1" customHeight="1">
      <c r="D52" s="74"/>
      <c r="E52" s="74"/>
      <c r="F52" s="54"/>
      <c r="G52" s="80"/>
      <c r="H52" s="58"/>
      <c r="I52" s="58"/>
      <c r="J52" s="58"/>
      <c r="K52" s="58"/>
      <c r="L52" s="58"/>
      <c r="M52" s="58"/>
      <c r="N52" s="58"/>
      <c r="O52" s="58"/>
      <c r="P52" s="58"/>
      <c r="Q52" s="74"/>
    </row>
    <row r="53" spans="1:29" ht="23.1" customHeight="1">
      <c r="D53" s="74"/>
      <c r="E53" s="74"/>
      <c r="F53" s="54"/>
      <c r="G53" s="80"/>
      <c r="H53" s="58"/>
      <c r="I53" s="58"/>
      <c r="J53" s="58"/>
      <c r="K53" s="58"/>
      <c r="L53" s="58"/>
      <c r="M53" s="58"/>
      <c r="N53" s="58"/>
      <c r="O53" s="58"/>
      <c r="P53" s="58"/>
      <c r="Q53" s="74"/>
    </row>
    <row r="54" spans="1:29" ht="23.1" customHeight="1">
      <c r="D54" s="74"/>
      <c r="E54" s="74"/>
      <c r="F54" s="54"/>
      <c r="G54" s="80"/>
      <c r="H54" s="58"/>
      <c r="I54" s="58"/>
      <c r="J54" s="58"/>
      <c r="K54" s="58"/>
      <c r="L54" s="58"/>
      <c r="M54" s="58"/>
      <c r="N54" s="58"/>
      <c r="O54" s="58"/>
      <c r="P54" s="58"/>
      <c r="Q54" s="74"/>
    </row>
    <row r="55" spans="1:29" ht="23.1" customHeight="1">
      <c r="B55" s="64" t="s">
        <v>921</v>
      </c>
      <c r="D55" s="74" t="s">
        <v>922</v>
      </c>
      <c r="E55" s="74"/>
      <c r="F55" s="54"/>
      <c r="G55" s="80"/>
      <c r="H55" s="58"/>
      <c r="I55" s="58"/>
      <c r="J55" s="58"/>
      <c r="K55" s="58"/>
      <c r="L55" s="58"/>
      <c r="M55" s="58"/>
      <c r="N55" s="58"/>
      <c r="O55" s="58"/>
      <c r="P55" s="58"/>
      <c r="Q55" s="74"/>
    </row>
    <row r="56" spans="1:29" ht="23.1" customHeight="1">
      <c r="B56" s="64" t="s">
        <v>573</v>
      </c>
      <c r="D56" s="158" t="s">
        <v>1076</v>
      </c>
      <c r="E56" s="159"/>
      <c r="F56" s="159"/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Q56" s="160"/>
    </row>
    <row r="57" spans="1:29" ht="23.1" customHeight="1">
      <c r="A57" s="64" t="s">
        <v>741</v>
      </c>
      <c r="B57" s="64" t="s">
        <v>1077</v>
      </c>
      <c r="C57" s="64" t="s">
        <v>742</v>
      </c>
      <c r="D57" s="74" t="s">
        <v>194</v>
      </c>
      <c r="E57" s="74" t="s">
        <v>195</v>
      </c>
      <c r="F57" s="54" t="s">
        <v>196</v>
      </c>
      <c r="G57" s="80">
        <v>558</v>
      </c>
      <c r="H57" s="58"/>
      <c r="I57" s="58"/>
      <c r="J57" s="58"/>
      <c r="K57" s="58"/>
      <c r="L57" s="58"/>
      <c r="M57" s="58"/>
      <c r="N57" s="58"/>
      <c r="O57" s="58"/>
      <c r="P57" s="58"/>
      <c r="Q57" s="74" t="s">
        <v>743</v>
      </c>
      <c r="AB57" s="49">
        <f>G57*H57</f>
        <v>0</v>
      </c>
      <c r="AC57" s="49">
        <f t="shared" ref="AC57:AC63" si="1">G57*H57</f>
        <v>0</v>
      </c>
    </row>
    <row r="58" spans="1:29" ht="23.1" customHeight="1">
      <c r="A58" s="64" t="s">
        <v>766</v>
      </c>
      <c r="B58" s="64" t="s">
        <v>1077</v>
      </c>
      <c r="C58" s="64" t="s">
        <v>767</v>
      </c>
      <c r="D58" s="74" t="s">
        <v>217</v>
      </c>
      <c r="E58" s="74" t="s">
        <v>218</v>
      </c>
      <c r="F58" s="54" t="s">
        <v>196</v>
      </c>
      <c r="G58" s="80">
        <v>528</v>
      </c>
      <c r="H58" s="58"/>
      <c r="I58" s="58"/>
      <c r="J58" s="58"/>
      <c r="K58" s="58"/>
      <c r="L58" s="58"/>
      <c r="M58" s="58"/>
      <c r="N58" s="58"/>
      <c r="O58" s="58"/>
      <c r="P58" s="58"/>
      <c r="Q58" s="74" t="s">
        <v>768</v>
      </c>
      <c r="AC58" s="49">
        <f t="shared" si="1"/>
        <v>0</v>
      </c>
    </row>
    <row r="59" spans="1:29" ht="23.1" customHeight="1">
      <c r="A59" s="64" t="s">
        <v>772</v>
      </c>
      <c r="B59" s="64" t="s">
        <v>1077</v>
      </c>
      <c r="C59" s="64" t="s">
        <v>773</v>
      </c>
      <c r="D59" s="74" t="s">
        <v>222</v>
      </c>
      <c r="E59" s="74" t="s">
        <v>225</v>
      </c>
      <c r="F59" s="54" t="s">
        <v>196</v>
      </c>
      <c r="G59" s="80">
        <v>19</v>
      </c>
      <c r="H59" s="58"/>
      <c r="I59" s="58"/>
      <c r="J59" s="58"/>
      <c r="K59" s="58"/>
      <c r="L59" s="58"/>
      <c r="M59" s="58"/>
      <c r="N59" s="58"/>
      <c r="O59" s="58"/>
      <c r="P59" s="58"/>
      <c r="Q59" s="74" t="s">
        <v>774</v>
      </c>
      <c r="AC59" s="49">
        <f t="shared" si="1"/>
        <v>0</v>
      </c>
    </row>
    <row r="60" spans="1:29" ht="23.1" customHeight="1">
      <c r="A60" s="64" t="s">
        <v>775</v>
      </c>
      <c r="B60" s="64" t="s">
        <v>1077</v>
      </c>
      <c r="C60" s="64" t="s">
        <v>776</v>
      </c>
      <c r="D60" s="74" t="s">
        <v>227</v>
      </c>
      <c r="E60" s="74" t="s">
        <v>228</v>
      </c>
      <c r="F60" s="54" t="s">
        <v>196</v>
      </c>
      <c r="G60" s="80">
        <v>132</v>
      </c>
      <c r="H60" s="58"/>
      <c r="I60" s="58"/>
      <c r="J60" s="58"/>
      <c r="K60" s="58"/>
      <c r="L60" s="58"/>
      <c r="M60" s="58"/>
      <c r="N60" s="58"/>
      <c r="O60" s="58"/>
      <c r="P60" s="58"/>
      <c r="Q60" s="74" t="s">
        <v>777</v>
      </c>
      <c r="AC60" s="49">
        <f t="shared" si="1"/>
        <v>0</v>
      </c>
    </row>
    <row r="61" spans="1:29" ht="23.1" customHeight="1">
      <c r="A61" s="64" t="s">
        <v>1078</v>
      </c>
      <c r="B61" s="64" t="s">
        <v>1077</v>
      </c>
      <c r="C61" s="64" t="s">
        <v>231</v>
      </c>
      <c r="D61" s="74" t="s">
        <v>232</v>
      </c>
      <c r="E61" s="74" t="s">
        <v>233</v>
      </c>
      <c r="F61" s="54" t="s">
        <v>196</v>
      </c>
      <c r="G61" s="80">
        <v>109</v>
      </c>
      <c r="H61" s="58"/>
      <c r="I61" s="58"/>
      <c r="J61" s="58"/>
      <c r="K61" s="58"/>
      <c r="L61" s="58"/>
      <c r="M61" s="58"/>
      <c r="N61" s="58"/>
      <c r="O61" s="58"/>
      <c r="P61" s="58"/>
      <c r="Q61" s="74"/>
      <c r="AC61" s="49">
        <f t="shared" si="1"/>
        <v>0</v>
      </c>
    </row>
    <row r="62" spans="1:29" ht="23.1" customHeight="1">
      <c r="A62" s="64" t="s">
        <v>1079</v>
      </c>
      <c r="B62" s="64" t="s">
        <v>1077</v>
      </c>
      <c r="C62" s="64" t="s">
        <v>237</v>
      </c>
      <c r="D62" s="74" t="s">
        <v>232</v>
      </c>
      <c r="E62" s="74" t="s">
        <v>238</v>
      </c>
      <c r="F62" s="54" t="s">
        <v>196</v>
      </c>
      <c r="G62" s="80">
        <v>105</v>
      </c>
      <c r="H62" s="58"/>
      <c r="I62" s="58"/>
      <c r="J62" s="58"/>
      <c r="K62" s="58"/>
      <c r="L62" s="58"/>
      <c r="M62" s="58"/>
      <c r="N62" s="58"/>
      <c r="O62" s="58"/>
      <c r="P62" s="58"/>
      <c r="Q62" s="74"/>
      <c r="AC62" s="49">
        <f t="shared" si="1"/>
        <v>0</v>
      </c>
    </row>
    <row r="63" spans="1:29" ht="23.1" customHeight="1">
      <c r="A63" s="64" t="s">
        <v>1080</v>
      </c>
      <c r="B63" s="64" t="s">
        <v>1077</v>
      </c>
      <c r="C63" s="64" t="s">
        <v>245</v>
      </c>
      <c r="D63" s="74" t="s">
        <v>232</v>
      </c>
      <c r="E63" s="74" t="s">
        <v>246</v>
      </c>
      <c r="F63" s="54" t="s">
        <v>196</v>
      </c>
      <c r="G63" s="80">
        <v>387</v>
      </c>
      <c r="H63" s="58"/>
      <c r="I63" s="58"/>
      <c r="J63" s="58"/>
      <c r="K63" s="58"/>
      <c r="L63" s="58"/>
      <c r="M63" s="58"/>
      <c r="N63" s="58"/>
      <c r="O63" s="58"/>
      <c r="P63" s="58"/>
      <c r="Q63" s="74"/>
      <c r="AC63" s="49">
        <f t="shared" si="1"/>
        <v>0</v>
      </c>
    </row>
    <row r="64" spans="1:29" ht="23.1" customHeight="1">
      <c r="A64" s="64" t="s">
        <v>790</v>
      </c>
      <c r="B64" s="64" t="s">
        <v>1077</v>
      </c>
      <c r="C64" s="64" t="s">
        <v>791</v>
      </c>
      <c r="D64" s="74" t="s">
        <v>264</v>
      </c>
      <c r="E64" s="74" t="s">
        <v>265</v>
      </c>
      <c r="F64" s="54" t="s">
        <v>266</v>
      </c>
      <c r="G64" s="80">
        <v>27</v>
      </c>
      <c r="H64" s="58"/>
      <c r="I64" s="58"/>
      <c r="J64" s="58"/>
      <c r="K64" s="58"/>
      <c r="L64" s="58"/>
      <c r="M64" s="58"/>
      <c r="N64" s="58"/>
      <c r="O64" s="58"/>
      <c r="P64" s="58"/>
      <c r="Q64" s="74" t="s">
        <v>792</v>
      </c>
    </row>
    <row r="65" spans="1:29" ht="23.1" customHeight="1">
      <c r="A65" s="64" t="s">
        <v>793</v>
      </c>
      <c r="B65" s="64" t="s">
        <v>1077</v>
      </c>
      <c r="C65" s="64" t="s">
        <v>794</v>
      </c>
      <c r="D65" s="74" t="s">
        <v>268</v>
      </c>
      <c r="E65" s="74" t="s">
        <v>269</v>
      </c>
      <c r="F65" s="54" t="s">
        <v>266</v>
      </c>
      <c r="G65" s="80">
        <v>8</v>
      </c>
      <c r="H65" s="58"/>
      <c r="I65" s="58"/>
      <c r="J65" s="58"/>
      <c r="K65" s="58"/>
      <c r="L65" s="58"/>
      <c r="M65" s="58"/>
      <c r="N65" s="58"/>
      <c r="O65" s="58"/>
      <c r="P65" s="58"/>
      <c r="Q65" s="74" t="s">
        <v>795</v>
      </c>
    </row>
    <row r="66" spans="1:29" ht="23.1" customHeight="1">
      <c r="A66" s="64" t="s">
        <v>796</v>
      </c>
      <c r="B66" s="64" t="s">
        <v>1077</v>
      </c>
      <c r="C66" s="64" t="s">
        <v>797</v>
      </c>
      <c r="D66" s="74" t="s">
        <v>271</v>
      </c>
      <c r="E66" s="74" t="s">
        <v>272</v>
      </c>
      <c r="F66" s="54" t="s">
        <v>196</v>
      </c>
      <c r="G66" s="80">
        <v>498</v>
      </c>
      <c r="H66" s="58"/>
      <c r="I66" s="58"/>
      <c r="J66" s="58"/>
      <c r="K66" s="58"/>
      <c r="L66" s="58"/>
      <c r="M66" s="58"/>
      <c r="N66" s="58"/>
      <c r="O66" s="58"/>
      <c r="P66" s="58"/>
      <c r="Q66" s="74" t="s">
        <v>798</v>
      </c>
    </row>
    <row r="67" spans="1:29" ht="23.1" customHeight="1">
      <c r="A67" s="64" t="s">
        <v>799</v>
      </c>
      <c r="B67" s="64" t="s">
        <v>1077</v>
      </c>
      <c r="C67" s="64" t="s">
        <v>800</v>
      </c>
      <c r="D67" s="74" t="s">
        <v>274</v>
      </c>
      <c r="E67" s="74" t="s">
        <v>275</v>
      </c>
      <c r="F67" s="54" t="s">
        <v>266</v>
      </c>
      <c r="G67" s="80">
        <v>4</v>
      </c>
      <c r="H67" s="58"/>
      <c r="I67" s="58"/>
      <c r="J67" s="58"/>
      <c r="K67" s="58"/>
      <c r="L67" s="58"/>
      <c r="M67" s="58"/>
      <c r="N67" s="58"/>
      <c r="O67" s="58"/>
      <c r="P67" s="58"/>
      <c r="Q67" s="74" t="s">
        <v>801</v>
      </c>
    </row>
    <row r="68" spans="1:29" ht="23.1" customHeight="1">
      <c r="A68" s="64" t="s">
        <v>802</v>
      </c>
      <c r="B68" s="64" t="s">
        <v>1077</v>
      </c>
      <c r="C68" s="64" t="s">
        <v>803</v>
      </c>
      <c r="D68" s="74" t="s">
        <v>274</v>
      </c>
      <c r="E68" s="74" t="s">
        <v>279</v>
      </c>
      <c r="F68" s="54" t="s">
        <v>266</v>
      </c>
      <c r="G68" s="80">
        <v>4</v>
      </c>
      <c r="H68" s="58"/>
      <c r="I68" s="58"/>
      <c r="J68" s="58"/>
      <c r="K68" s="58"/>
      <c r="L68" s="58"/>
      <c r="M68" s="58"/>
      <c r="N68" s="58"/>
      <c r="O68" s="58"/>
      <c r="P68" s="58"/>
      <c r="Q68" s="74" t="s">
        <v>804</v>
      </c>
    </row>
    <row r="69" spans="1:29" ht="23.1" customHeight="1">
      <c r="A69" s="64" t="s">
        <v>723</v>
      </c>
      <c r="B69" s="64" t="s">
        <v>1077</v>
      </c>
      <c r="C69" s="64" t="s">
        <v>724</v>
      </c>
      <c r="D69" s="74" t="s">
        <v>726</v>
      </c>
      <c r="E69" s="74" t="s">
        <v>727</v>
      </c>
      <c r="F69" s="54" t="s">
        <v>458</v>
      </c>
      <c r="G69" s="80">
        <v>21</v>
      </c>
      <c r="H69" s="58"/>
      <c r="I69" s="58"/>
      <c r="J69" s="58"/>
      <c r="K69" s="58"/>
      <c r="L69" s="58"/>
      <c r="M69" s="58"/>
      <c r="N69" s="58"/>
      <c r="O69" s="58"/>
      <c r="P69" s="58"/>
      <c r="Q69" s="74" t="s">
        <v>725</v>
      </c>
    </row>
    <row r="70" spans="1:29" ht="23.1" customHeight="1">
      <c r="A70" s="64" t="s">
        <v>699</v>
      </c>
      <c r="B70" s="64" t="s">
        <v>1077</v>
      </c>
      <c r="C70" s="64" t="s">
        <v>700</v>
      </c>
      <c r="D70" s="74" t="s">
        <v>702</v>
      </c>
      <c r="E70" s="74" t="s">
        <v>703</v>
      </c>
      <c r="F70" s="54" t="s">
        <v>294</v>
      </c>
      <c r="G70" s="80">
        <v>176.48</v>
      </c>
      <c r="H70" s="58"/>
      <c r="I70" s="58"/>
      <c r="J70" s="58"/>
      <c r="K70" s="58"/>
      <c r="L70" s="58"/>
      <c r="M70" s="58"/>
      <c r="N70" s="58"/>
      <c r="O70" s="58"/>
      <c r="P70" s="58"/>
      <c r="Q70" s="74" t="s">
        <v>701</v>
      </c>
    </row>
    <row r="71" spans="1:29" ht="23.1" customHeight="1">
      <c r="A71" s="64" t="s">
        <v>704</v>
      </c>
      <c r="B71" s="64" t="s">
        <v>1077</v>
      </c>
      <c r="C71" s="64" t="s">
        <v>705</v>
      </c>
      <c r="D71" s="74" t="s">
        <v>707</v>
      </c>
      <c r="E71" s="74" t="s">
        <v>703</v>
      </c>
      <c r="F71" s="54" t="s">
        <v>294</v>
      </c>
      <c r="G71" s="80">
        <v>175.42</v>
      </c>
      <c r="H71" s="58"/>
      <c r="I71" s="58"/>
      <c r="J71" s="58"/>
      <c r="K71" s="58"/>
      <c r="L71" s="58"/>
      <c r="M71" s="58"/>
      <c r="N71" s="58"/>
      <c r="O71" s="58"/>
      <c r="P71" s="58"/>
      <c r="Q71" s="74" t="s">
        <v>706</v>
      </c>
    </row>
    <row r="72" spans="1:29" ht="23.1" customHeight="1">
      <c r="A72" s="64" t="s">
        <v>708</v>
      </c>
      <c r="B72" s="64" t="s">
        <v>1077</v>
      </c>
      <c r="C72" s="64" t="s">
        <v>709</v>
      </c>
      <c r="D72" s="74" t="s">
        <v>711</v>
      </c>
      <c r="E72" s="74" t="s">
        <v>712</v>
      </c>
      <c r="F72" s="54" t="s">
        <v>294</v>
      </c>
      <c r="G72" s="80">
        <v>1.06</v>
      </c>
      <c r="H72" s="58"/>
      <c r="I72" s="58"/>
      <c r="J72" s="58"/>
      <c r="K72" s="58"/>
      <c r="L72" s="58"/>
      <c r="M72" s="58"/>
      <c r="N72" s="58"/>
      <c r="O72" s="58"/>
      <c r="P72" s="58"/>
      <c r="Q72" s="74" t="s">
        <v>710</v>
      </c>
    </row>
    <row r="73" spans="1:29" ht="23.1" customHeight="1">
      <c r="A73" s="64" t="s">
        <v>814</v>
      </c>
      <c r="B73" s="64" t="s">
        <v>1077</v>
      </c>
      <c r="C73" s="64" t="s">
        <v>815</v>
      </c>
      <c r="D73" s="74" t="s">
        <v>304</v>
      </c>
      <c r="E73" s="74" t="s">
        <v>305</v>
      </c>
      <c r="F73" s="54" t="s">
        <v>306</v>
      </c>
      <c r="G73" s="80">
        <v>2</v>
      </c>
      <c r="H73" s="58"/>
      <c r="I73" s="58"/>
      <c r="J73" s="58"/>
      <c r="K73" s="58"/>
      <c r="L73" s="58"/>
      <c r="M73" s="58"/>
      <c r="N73" s="58"/>
      <c r="O73" s="58"/>
      <c r="P73" s="58"/>
      <c r="Q73" s="74" t="s">
        <v>816</v>
      </c>
    </row>
    <row r="74" spans="1:29" ht="23.1" customHeight="1">
      <c r="A74" s="64" t="s">
        <v>1071</v>
      </c>
      <c r="B74" s="64" t="s">
        <v>1077</v>
      </c>
      <c r="C74" s="64" t="s">
        <v>308</v>
      </c>
      <c r="D74" s="74" t="s">
        <v>309</v>
      </c>
      <c r="E74" s="74"/>
      <c r="F74" s="54" t="s">
        <v>306</v>
      </c>
      <c r="G74" s="80">
        <v>6</v>
      </c>
      <c r="H74" s="58"/>
      <c r="I74" s="58"/>
      <c r="J74" s="58"/>
      <c r="K74" s="58"/>
      <c r="L74" s="58"/>
      <c r="M74" s="58"/>
      <c r="N74" s="58"/>
      <c r="O74" s="58"/>
      <c r="P74" s="58"/>
      <c r="Q74" s="74"/>
    </row>
    <row r="75" spans="1:29" ht="23.1" customHeight="1">
      <c r="A75" s="64" t="s">
        <v>826</v>
      </c>
      <c r="B75" s="64" t="s">
        <v>1077</v>
      </c>
      <c r="C75" s="64" t="s">
        <v>827</v>
      </c>
      <c r="D75" s="74" t="s">
        <v>333</v>
      </c>
      <c r="E75" s="74" t="s">
        <v>334</v>
      </c>
      <c r="F75" s="54" t="s">
        <v>196</v>
      </c>
      <c r="G75" s="80">
        <v>106</v>
      </c>
      <c r="H75" s="58"/>
      <c r="I75" s="58"/>
      <c r="J75" s="58"/>
      <c r="K75" s="58"/>
      <c r="L75" s="58"/>
      <c r="M75" s="58"/>
      <c r="N75" s="58"/>
      <c r="O75" s="58"/>
      <c r="P75" s="58"/>
      <c r="Q75" s="74" t="s">
        <v>828</v>
      </c>
      <c r="AC75" s="49">
        <f>G75*H75</f>
        <v>0</v>
      </c>
    </row>
    <row r="76" spans="1:29" ht="23.1" customHeight="1">
      <c r="A76" s="64" t="s">
        <v>832</v>
      </c>
      <c r="B76" s="64" t="s">
        <v>1077</v>
      </c>
      <c r="C76" s="64" t="s">
        <v>833</v>
      </c>
      <c r="D76" s="74" t="s">
        <v>333</v>
      </c>
      <c r="E76" s="74" t="s">
        <v>336</v>
      </c>
      <c r="F76" s="54" t="s">
        <v>196</v>
      </c>
      <c r="G76" s="80">
        <v>114</v>
      </c>
      <c r="H76" s="58"/>
      <c r="I76" s="58"/>
      <c r="J76" s="58"/>
      <c r="K76" s="58"/>
      <c r="L76" s="58"/>
      <c r="M76" s="58"/>
      <c r="N76" s="58"/>
      <c r="O76" s="58"/>
      <c r="P76" s="58"/>
      <c r="Q76" s="74" t="s">
        <v>834</v>
      </c>
      <c r="AC76" s="49">
        <f>G76*H76</f>
        <v>0</v>
      </c>
    </row>
    <row r="77" spans="1:29" ht="23.1" customHeight="1">
      <c r="A77" s="64" t="s">
        <v>841</v>
      </c>
      <c r="B77" s="64" t="s">
        <v>1077</v>
      </c>
      <c r="C77" s="64" t="s">
        <v>842</v>
      </c>
      <c r="D77" s="74" t="s">
        <v>333</v>
      </c>
      <c r="E77" s="74" t="s">
        <v>342</v>
      </c>
      <c r="F77" s="54" t="s">
        <v>196</v>
      </c>
      <c r="G77" s="80">
        <v>376</v>
      </c>
      <c r="H77" s="58"/>
      <c r="I77" s="58"/>
      <c r="J77" s="58"/>
      <c r="K77" s="58"/>
      <c r="L77" s="58"/>
      <c r="M77" s="58"/>
      <c r="N77" s="58"/>
      <c r="O77" s="58"/>
      <c r="P77" s="58"/>
      <c r="Q77" s="74" t="s">
        <v>843</v>
      </c>
      <c r="AC77" s="49">
        <f>G77*H77</f>
        <v>0</v>
      </c>
    </row>
    <row r="78" spans="1:29" ht="23.1" customHeight="1">
      <c r="A78" s="64" t="s">
        <v>853</v>
      </c>
      <c r="B78" s="64" t="s">
        <v>1077</v>
      </c>
      <c r="C78" s="64" t="s">
        <v>854</v>
      </c>
      <c r="D78" s="74" t="s">
        <v>352</v>
      </c>
      <c r="E78" s="74" t="s">
        <v>353</v>
      </c>
      <c r="F78" s="54" t="s">
        <v>266</v>
      </c>
      <c r="G78" s="80">
        <v>21</v>
      </c>
      <c r="H78" s="58"/>
      <c r="I78" s="58"/>
      <c r="J78" s="58"/>
      <c r="K78" s="58"/>
      <c r="L78" s="58"/>
      <c r="M78" s="58"/>
      <c r="N78" s="58"/>
      <c r="O78" s="58"/>
      <c r="P78" s="58"/>
      <c r="Q78" s="74" t="s">
        <v>855</v>
      </c>
    </row>
    <row r="79" spans="1:29" ht="23.1" customHeight="1">
      <c r="A79" s="64" t="s">
        <v>859</v>
      </c>
      <c r="B79" s="64" t="s">
        <v>1077</v>
      </c>
      <c r="C79" s="64" t="s">
        <v>860</v>
      </c>
      <c r="D79" s="74" t="s">
        <v>359</v>
      </c>
      <c r="E79" s="74" t="s">
        <v>360</v>
      </c>
      <c r="F79" s="54" t="s">
        <v>266</v>
      </c>
      <c r="G79" s="80">
        <v>21</v>
      </c>
      <c r="H79" s="58"/>
      <c r="I79" s="58"/>
      <c r="J79" s="58"/>
      <c r="K79" s="58"/>
      <c r="L79" s="58"/>
      <c r="M79" s="58"/>
      <c r="N79" s="58"/>
      <c r="O79" s="58"/>
      <c r="P79" s="58"/>
      <c r="Q79" s="74" t="s">
        <v>861</v>
      </c>
    </row>
    <row r="80" spans="1:29" ht="23.1" customHeight="1">
      <c r="A80" s="64" t="s">
        <v>865</v>
      </c>
      <c r="B80" s="64" t="s">
        <v>1077</v>
      </c>
      <c r="C80" s="64" t="s">
        <v>866</v>
      </c>
      <c r="D80" s="74" t="s">
        <v>369</v>
      </c>
      <c r="E80" s="74" t="s">
        <v>370</v>
      </c>
      <c r="F80" s="54" t="s">
        <v>266</v>
      </c>
      <c r="G80" s="80">
        <v>2</v>
      </c>
      <c r="H80" s="58"/>
      <c r="I80" s="58"/>
      <c r="J80" s="58"/>
      <c r="K80" s="58"/>
      <c r="L80" s="58"/>
      <c r="M80" s="58"/>
      <c r="N80" s="58"/>
      <c r="O80" s="58"/>
      <c r="P80" s="58"/>
      <c r="Q80" s="74" t="s">
        <v>867</v>
      </c>
    </row>
    <row r="81" spans="1:31" ht="23.1" customHeight="1">
      <c r="A81" s="64" t="s">
        <v>871</v>
      </c>
      <c r="B81" s="64" t="s">
        <v>1077</v>
      </c>
      <c r="C81" s="64" t="s">
        <v>872</v>
      </c>
      <c r="D81" s="74" t="s">
        <v>379</v>
      </c>
      <c r="E81" s="74" t="s">
        <v>380</v>
      </c>
      <c r="F81" s="54" t="s">
        <v>266</v>
      </c>
      <c r="G81" s="80">
        <v>21</v>
      </c>
      <c r="H81" s="58"/>
      <c r="I81" s="58"/>
      <c r="J81" s="58"/>
      <c r="K81" s="58"/>
      <c r="L81" s="58"/>
      <c r="M81" s="58"/>
      <c r="N81" s="58"/>
      <c r="O81" s="58"/>
      <c r="P81" s="58"/>
      <c r="Q81" s="74" t="s">
        <v>873</v>
      </c>
    </row>
    <row r="82" spans="1:31" ht="23.1" customHeight="1">
      <c r="A82" s="64" t="s">
        <v>874</v>
      </c>
      <c r="B82" s="64" t="s">
        <v>1077</v>
      </c>
      <c r="C82" s="64" t="s">
        <v>875</v>
      </c>
      <c r="D82" s="74" t="s">
        <v>383</v>
      </c>
      <c r="E82" s="74" t="s">
        <v>384</v>
      </c>
      <c r="F82" s="54" t="s">
        <v>266</v>
      </c>
      <c r="G82" s="80">
        <v>21</v>
      </c>
      <c r="H82" s="58"/>
      <c r="I82" s="58"/>
      <c r="J82" s="58"/>
      <c r="K82" s="58"/>
      <c r="L82" s="58"/>
      <c r="M82" s="58"/>
      <c r="N82" s="58"/>
      <c r="O82" s="58"/>
      <c r="P82" s="58"/>
      <c r="Q82" s="74" t="s">
        <v>876</v>
      </c>
    </row>
    <row r="83" spans="1:31" ht="23.1" customHeight="1">
      <c r="A83" s="64" t="s">
        <v>883</v>
      </c>
      <c r="B83" s="64" t="s">
        <v>1077</v>
      </c>
      <c r="C83" s="64" t="s">
        <v>884</v>
      </c>
      <c r="D83" s="74" t="s">
        <v>423</v>
      </c>
      <c r="E83" s="74" t="s">
        <v>424</v>
      </c>
      <c r="F83" s="54" t="s">
        <v>266</v>
      </c>
      <c r="G83" s="80">
        <v>21</v>
      </c>
      <c r="H83" s="58"/>
      <c r="I83" s="58"/>
      <c r="J83" s="58"/>
      <c r="K83" s="58"/>
      <c r="L83" s="58"/>
      <c r="M83" s="58"/>
      <c r="N83" s="58"/>
      <c r="O83" s="58"/>
      <c r="P83" s="58"/>
      <c r="Q83" s="74" t="s">
        <v>885</v>
      </c>
    </row>
    <row r="84" spans="1:31" ht="23.1" customHeight="1">
      <c r="A84" s="64" t="s">
        <v>1073</v>
      </c>
      <c r="B84" s="64" t="s">
        <v>1077</v>
      </c>
      <c r="C84" s="64" t="s">
        <v>427</v>
      </c>
      <c r="D84" s="74" t="s">
        <v>423</v>
      </c>
      <c r="E84" s="74" t="s">
        <v>428</v>
      </c>
      <c r="F84" s="54" t="s">
        <v>266</v>
      </c>
      <c r="G84" s="80">
        <v>16</v>
      </c>
      <c r="H84" s="58"/>
      <c r="I84" s="58"/>
      <c r="J84" s="58"/>
      <c r="K84" s="58"/>
      <c r="L84" s="58"/>
      <c r="M84" s="58"/>
      <c r="N84" s="58"/>
      <c r="O84" s="58"/>
      <c r="P84" s="58"/>
      <c r="Q84" s="74"/>
    </row>
    <row r="85" spans="1:31" ht="23.1" customHeight="1">
      <c r="A85" s="64" t="s">
        <v>1074</v>
      </c>
      <c r="B85" s="64" t="s">
        <v>1077</v>
      </c>
      <c r="C85" s="64" t="s">
        <v>429</v>
      </c>
      <c r="D85" s="74" t="s">
        <v>430</v>
      </c>
      <c r="E85" s="74" t="s">
        <v>431</v>
      </c>
      <c r="F85" s="54" t="s">
        <v>432</v>
      </c>
      <c r="G85" s="80">
        <v>9</v>
      </c>
      <c r="H85" s="58"/>
      <c r="I85" s="58"/>
      <c r="J85" s="58"/>
      <c r="K85" s="58"/>
      <c r="L85" s="58"/>
      <c r="M85" s="58"/>
      <c r="N85" s="58"/>
      <c r="O85" s="58"/>
      <c r="P85" s="58"/>
      <c r="Q85" s="74"/>
    </row>
    <row r="86" spans="1:31" ht="23.1" customHeight="1">
      <c r="A86" s="64" t="s">
        <v>907</v>
      </c>
      <c r="B86" s="64" t="s">
        <v>1077</v>
      </c>
      <c r="C86" s="64" t="s">
        <v>908</v>
      </c>
      <c r="D86" s="74" t="s">
        <v>499</v>
      </c>
      <c r="E86" s="74" t="s">
        <v>500</v>
      </c>
      <c r="F86" s="54" t="s">
        <v>266</v>
      </c>
      <c r="G86" s="80">
        <v>2</v>
      </c>
      <c r="H86" s="58"/>
      <c r="I86" s="58"/>
      <c r="J86" s="58"/>
      <c r="K86" s="58"/>
      <c r="L86" s="58"/>
      <c r="M86" s="58"/>
      <c r="N86" s="58"/>
      <c r="O86" s="58"/>
      <c r="P86" s="58"/>
      <c r="Q86" s="74" t="s">
        <v>909</v>
      </c>
    </row>
    <row r="87" spans="1:31" ht="23.1" customHeight="1">
      <c r="A87" s="64" t="s">
        <v>910</v>
      </c>
      <c r="B87" s="64" t="s">
        <v>1077</v>
      </c>
      <c r="C87" s="64" t="s">
        <v>911</v>
      </c>
      <c r="D87" s="74" t="s">
        <v>511</v>
      </c>
      <c r="E87" s="74" t="s">
        <v>512</v>
      </c>
      <c r="F87" s="54" t="s">
        <v>266</v>
      </c>
      <c r="G87" s="80">
        <v>2</v>
      </c>
      <c r="H87" s="58"/>
      <c r="I87" s="58"/>
      <c r="J87" s="58"/>
      <c r="K87" s="58"/>
      <c r="L87" s="58"/>
      <c r="M87" s="58"/>
      <c r="N87" s="58"/>
      <c r="O87" s="58"/>
      <c r="P87" s="58"/>
      <c r="Q87" s="74" t="s">
        <v>912</v>
      </c>
    </row>
    <row r="88" spans="1:31" ht="23.1" customHeight="1">
      <c r="A88" s="64" t="s">
        <v>1075</v>
      </c>
      <c r="B88" s="64" t="s">
        <v>1077</v>
      </c>
      <c r="C88" s="64" t="s">
        <v>513</v>
      </c>
      <c r="D88" s="74" t="s">
        <v>514</v>
      </c>
      <c r="E88" s="74" t="s">
        <v>515</v>
      </c>
      <c r="F88" s="54" t="s">
        <v>266</v>
      </c>
      <c r="G88" s="80">
        <v>2</v>
      </c>
      <c r="H88" s="58"/>
      <c r="I88" s="58"/>
      <c r="J88" s="58"/>
      <c r="K88" s="58"/>
      <c r="L88" s="58"/>
      <c r="M88" s="58"/>
      <c r="N88" s="58"/>
      <c r="O88" s="58"/>
      <c r="P88" s="58"/>
      <c r="Q88" s="74"/>
    </row>
    <row r="89" spans="1:31" ht="23.1" customHeight="1">
      <c r="D89" s="74"/>
      <c r="E89" s="74"/>
      <c r="F89" s="54"/>
      <c r="G89" s="80"/>
      <c r="H89" s="58"/>
      <c r="I89" s="58"/>
      <c r="J89" s="58"/>
      <c r="K89" s="58"/>
      <c r="L89" s="58"/>
      <c r="M89" s="58"/>
      <c r="N89" s="58"/>
      <c r="O89" s="58"/>
      <c r="P89" s="58"/>
      <c r="Q89" s="74"/>
      <c r="AE89" s="49">
        <f>TRUNC(SUM(AE56:AE88))</f>
        <v>0</v>
      </c>
    </row>
    <row r="90" spans="1:31" ht="23.1" customHeight="1">
      <c r="D90" s="74"/>
      <c r="E90" s="74"/>
      <c r="F90" s="54"/>
      <c r="G90" s="80"/>
      <c r="H90" s="58"/>
      <c r="I90" s="58"/>
      <c r="J90" s="58"/>
      <c r="K90" s="58"/>
      <c r="L90" s="58"/>
      <c r="M90" s="58"/>
      <c r="N90" s="58"/>
      <c r="O90" s="58"/>
      <c r="P90" s="58"/>
      <c r="Q90" s="74"/>
    </row>
    <row r="91" spans="1:31" ht="23.1" customHeight="1">
      <c r="D91" s="74"/>
      <c r="E91" s="74"/>
      <c r="F91" s="54"/>
      <c r="G91" s="80"/>
      <c r="H91" s="58"/>
      <c r="I91" s="58"/>
      <c r="J91" s="58"/>
      <c r="K91" s="58"/>
      <c r="L91" s="58"/>
      <c r="M91" s="58"/>
      <c r="N91" s="58"/>
      <c r="O91" s="58"/>
      <c r="P91" s="58"/>
      <c r="Q91" s="74"/>
    </row>
    <row r="92" spans="1:31" ht="23.1" customHeight="1">
      <c r="D92" s="74"/>
      <c r="E92" s="74"/>
      <c r="F92" s="54"/>
      <c r="G92" s="80"/>
      <c r="H92" s="58"/>
      <c r="I92" s="58"/>
      <c r="J92" s="58"/>
      <c r="K92" s="58"/>
      <c r="L92" s="58"/>
      <c r="M92" s="58"/>
      <c r="N92" s="58"/>
      <c r="O92" s="58"/>
      <c r="P92" s="58"/>
      <c r="Q92" s="74"/>
    </row>
    <row r="93" spans="1:31" ht="23.1" customHeight="1">
      <c r="D93" s="74"/>
      <c r="E93" s="74"/>
      <c r="F93" s="54"/>
      <c r="G93" s="80"/>
      <c r="H93" s="58"/>
      <c r="I93" s="58"/>
      <c r="J93" s="58"/>
      <c r="K93" s="58"/>
      <c r="L93" s="58"/>
      <c r="M93" s="58"/>
      <c r="N93" s="58"/>
      <c r="O93" s="58"/>
      <c r="P93" s="58"/>
      <c r="Q93" s="74"/>
    </row>
    <row r="94" spans="1:31" ht="23.1" customHeight="1">
      <c r="D94" s="74"/>
      <c r="E94" s="74"/>
      <c r="F94" s="54"/>
      <c r="G94" s="80"/>
      <c r="H94" s="58"/>
      <c r="I94" s="58"/>
      <c r="J94" s="58"/>
      <c r="K94" s="58"/>
      <c r="L94" s="58"/>
      <c r="M94" s="58"/>
      <c r="N94" s="58"/>
      <c r="O94" s="58"/>
      <c r="P94" s="58"/>
      <c r="Q94" s="74"/>
    </row>
    <row r="95" spans="1:31" ht="23.1" customHeight="1">
      <c r="D95" s="74"/>
      <c r="E95" s="74"/>
      <c r="F95" s="54"/>
      <c r="G95" s="80"/>
      <c r="H95" s="58"/>
      <c r="I95" s="58"/>
      <c r="J95" s="58"/>
      <c r="K95" s="58"/>
      <c r="L95" s="58"/>
      <c r="M95" s="58"/>
      <c r="N95" s="58"/>
      <c r="O95" s="58"/>
      <c r="P95" s="58"/>
      <c r="Q95" s="74"/>
    </row>
    <row r="96" spans="1:31" ht="23.1" customHeight="1">
      <c r="D96" s="74"/>
      <c r="E96" s="74"/>
      <c r="F96" s="54"/>
      <c r="G96" s="80"/>
      <c r="H96" s="58"/>
      <c r="I96" s="58"/>
      <c r="J96" s="58"/>
      <c r="K96" s="58"/>
      <c r="L96" s="58"/>
      <c r="M96" s="58"/>
      <c r="N96" s="58"/>
      <c r="O96" s="58"/>
      <c r="P96" s="58"/>
      <c r="Q96" s="74"/>
    </row>
    <row r="97" spans="1:29" ht="23.1" customHeight="1">
      <c r="D97" s="74"/>
      <c r="E97" s="74"/>
      <c r="F97" s="54"/>
      <c r="G97" s="80"/>
      <c r="H97" s="58"/>
      <c r="I97" s="58"/>
      <c r="J97" s="58"/>
      <c r="K97" s="58"/>
      <c r="L97" s="58"/>
      <c r="M97" s="58"/>
      <c r="N97" s="58"/>
      <c r="O97" s="58"/>
      <c r="P97" s="58"/>
      <c r="Q97" s="74"/>
    </row>
    <row r="98" spans="1:29" ht="23.1" customHeight="1">
      <c r="D98" s="74"/>
      <c r="E98" s="74"/>
      <c r="F98" s="54"/>
      <c r="G98" s="80"/>
      <c r="H98" s="58"/>
      <c r="I98" s="58"/>
      <c r="J98" s="58"/>
      <c r="K98" s="58"/>
      <c r="L98" s="58"/>
      <c r="M98" s="58"/>
      <c r="N98" s="58"/>
      <c r="O98" s="58"/>
      <c r="P98" s="58"/>
      <c r="Q98" s="74"/>
    </row>
    <row r="99" spans="1:29" ht="23.1" customHeight="1">
      <c r="D99" s="74"/>
      <c r="E99" s="74"/>
      <c r="F99" s="54"/>
      <c r="G99" s="80"/>
      <c r="H99" s="58"/>
      <c r="I99" s="58"/>
      <c r="J99" s="58"/>
      <c r="K99" s="58"/>
      <c r="L99" s="58"/>
      <c r="M99" s="58"/>
      <c r="N99" s="58"/>
      <c r="O99" s="58"/>
      <c r="P99" s="58"/>
      <c r="Q99" s="74"/>
    </row>
    <row r="100" spans="1:29" ht="23.1" customHeight="1">
      <c r="D100" s="74"/>
      <c r="E100" s="74"/>
      <c r="F100" s="54"/>
      <c r="G100" s="80"/>
      <c r="H100" s="58"/>
      <c r="I100" s="58"/>
      <c r="J100" s="58"/>
      <c r="K100" s="58"/>
      <c r="L100" s="58"/>
      <c r="M100" s="58"/>
      <c r="N100" s="58"/>
      <c r="O100" s="58"/>
      <c r="P100" s="58"/>
      <c r="Q100" s="74"/>
    </row>
    <row r="101" spans="1:29" ht="23.1" customHeight="1">
      <c r="D101" s="74"/>
      <c r="E101" s="74"/>
      <c r="F101" s="54"/>
      <c r="G101" s="80"/>
      <c r="H101" s="58"/>
      <c r="I101" s="58"/>
      <c r="J101" s="58"/>
      <c r="K101" s="58"/>
      <c r="L101" s="58"/>
      <c r="M101" s="58"/>
      <c r="N101" s="58"/>
      <c r="O101" s="58"/>
      <c r="P101" s="58"/>
      <c r="Q101" s="74"/>
    </row>
    <row r="102" spans="1:29" ht="23.1" customHeight="1">
      <c r="D102" s="74"/>
      <c r="E102" s="74"/>
      <c r="F102" s="54"/>
      <c r="G102" s="80"/>
      <c r="H102" s="58"/>
      <c r="I102" s="58"/>
      <c r="J102" s="58"/>
      <c r="K102" s="58"/>
      <c r="L102" s="58"/>
      <c r="M102" s="58"/>
      <c r="N102" s="58"/>
      <c r="O102" s="58"/>
      <c r="P102" s="58"/>
      <c r="Q102" s="74"/>
    </row>
    <row r="103" spans="1:29" ht="23.1" customHeight="1">
      <c r="D103" s="74"/>
      <c r="E103" s="74"/>
      <c r="F103" s="54"/>
      <c r="G103" s="80"/>
      <c r="H103" s="58"/>
      <c r="I103" s="58"/>
      <c r="J103" s="58"/>
      <c r="K103" s="58"/>
      <c r="L103" s="58"/>
      <c r="M103" s="58"/>
      <c r="N103" s="58"/>
      <c r="O103" s="58"/>
      <c r="P103" s="58"/>
      <c r="Q103" s="74"/>
    </row>
    <row r="104" spans="1:29" ht="23.1" customHeight="1">
      <c r="D104" s="74"/>
      <c r="E104" s="74"/>
      <c r="F104" s="54"/>
      <c r="G104" s="80"/>
      <c r="H104" s="58"/>
      <c r="I104" s="58"/>
      <c r="J104" s="58"/>
      <c r="K104" s="58"/>
      <c r="L104" s="58"/>
      <c r="M104" s="58"/>
      <c r="N104" s="58"/>
      <c r="O104" s="58"/>
      <c r="P104" s="58"/>
      <c r="Q104" s="74"/>
    </row>
    <row r="105" spans="1:29" ht="23.1" customHeight="1">
      <c r="D105" s="74"/>
      <c r="E105" s="74"/>
      <c r="F105" s="54"/>
      <c r="G105" s="80"/>
      <c r="H105" s="58"/>
      <c r="I105" s="58"/>
      <c r="J105" s="58"/>
      <c r="K105" s="58"/>
      <c r="L105" s="58"/>
      <c r="M105" s="58"/>
      <c r="N105" s="58"/>
      <c r="O105" s="58"/>
      <c r="P105" s="58"/>
      <c r="Q105" s="74"/>
    </row>
    <row r="106" spans="1:29" ht="23.1" customHeight="1">
      <c r="D106" s="74"/>
      <c r="E106" s="74"/>
      <c r="F106" s="54"/>
      <c r="G106" s="80"/>
      <c r="H106" s="58"/>
      <c r="I106" s="58"/>
      <c r="J106" s="58"/>
      <c r="K106" s="58"/>
      <c r="L106" s="58"/>
      <c r="M106" s="58"/>
      <c r="N106" s="58"/>
      <c r="O106" s="58"/>
      <c r="P106" s="58"/>
      <c r="Q106" s="74"/>
    </row>
    <row r="107" spans="1:29" ht="23.1" customHeight="1">
      <c r="B107" s="64" t="s">
        <v>921</v>
      </c>
      <c r="D107" s="74" t="s">
        <v>922</v>
      </c>
      <c r="E107" s="74"/>
      <c r="F107" s="54"/>
      <c r="G107" s="80"/>
      <c r="H107" s="58"/>
      <c r="I107" s="58"/>
      <c r="J107" s="58"/>
      <c r="K107" s="58"/>
      <c r="L107" s="58"/>
      <c r="M107" s="58"/>
      <c r="N107" s="58"/>
      <c r="O107" s="58"/>
      <c r="P107" s="58"/>
      <c r="Q107" s="74"/>
    </row>
    <row r="108" spans="1:29" ht="23.1" customHeight="1">
      <c r="B108" s="64" t="s">
        <v>573</v>
      </c>
      <c r="D108" s="158" t="s">
        <v>1081</v>
      </c>
      <c r="E108" s="159"/>
      <c r="F108" s="159"/>
      <c r="G108" s="159"/>
      <c r="H108" s="159"/>
      <c r="I108" s="159"/>
      <c r="J108" s="159"/>
      <c r="K108" s="159"/>
      <c r="L108" s="159"/>
      <c r="M108" s="159"/>
      <c r="N108" s="159"/>
      <c r="O108" s="159"/>
      <c r="P108" s="159"/>
      <c r="Q108" s="160"/>
    </row>
    <row r="109" spans="1:29" ht="23.1" customHeight="1">
      <c r="A109" s="64" t="s">
        <v>745</v>
      </c>
      <c r="B109" s="64" t="s">
        <v>1082</v>
      </c>
      <c r="C109" s="64" t="s">
        <v>746</v>
      </c>
      <c r="D109" s="74" t="s">
        <v>194</v>
      </c>
      <c r="E109" s="74" t="s">
        <v>200</v>
      </c>
      <c r="F109" s="54" t="s">
        <v>196</v>
      </c>
      <c r="G109" s="80">
        <v>119</v>
      </c>
      <c r="H109" s="58"/>
      <c r="I109" s="58"/>
      <c r="J109" s="58"/>
      <c r="K109" s="58"/>
      <c r="L109" s="58"/>
      <c r="M109" s="58"/>
      <c r="N109" s="58"/>
      <c r="O109" s="58"/>
      <c r="P109" s="58"/>
      <c r="Q109" s="74" t="s">
        <v>747</v>
      </c>
      <c r="AB109" s="49">
        <f>G109*H109</f>
        <v>0</v>
      </c>
      <c r="AC109" s="49">
        <f t="shared" ref="AC109:AC114" si="2">G109*H109</f>
        <v>0</v>
      </c>
    </row>
    <row r="110" spans="1:29" ht="23.1" customHeight="1">
      <c r="A110" s="64" t="s">
        <v>751</v>
      </c>
      <c r="B110" s="64" t="s">
        <v>1082</v>
      </c>
      <c r="C110" s="64" t="s">
        <v>752</v>
      </c>
      <c r="D110" s="74" t="s">
        <v>194</v>
      </c>
      <c r="E110" s="74" t="s">
        <v>204</v>
      </c>
      <c r="F110" s="54" t="s">
        <v>196</v>
      </c>
      <c r="G110" s="80">
        <v>11</v>
      </c>
      <c r="H110" s="58"/>
      <c r="I110" s="58"/>
      <c r="J110" s="58"/>
      <c r="K110" s="58"/>
      <c r="L110" s="58"/>
      <c r="M110" s="58"/>
      <c r="N110" s="58"/>
      <c r="O110" s="58"/>
      <c r="P110" s="58"/>
      <c r="Q110" s="74" t="s">
        <v>753</v>
      </c>
      <c r="AB110" s="49">
        <f>G110*H110</f>
        <v>0</v>
      </c>
      <c r="AC110" s="49">
        <f t="shared" si="2"/>
        <v>0</v>
      </c>
    </row>
    <row r="111" spans="1:29" ht="23.1" customHeight="1">
      <c r="A111" s="64" t="s">
        <v>754</v>
      </c>
      <c r="B111" s="64" t="s">
        <v>1082</v>
      </c>
      <c r="C111" s="64" t="s">
        <v>755</v>
      </c>
      <c r="D111" s="74" t="s">
        <v>194</v>
      </c>
      <c r="E111" s="74" t="s">
        <v>206</v>
      </c>
      <c r="F111" s="54" t="s">
        <v>196</v>
      </c>
      <c r="G111" s="80">
        <v>51</v>
      </c>
      <c r="H111" s="58"/>
      <c r="I111" s="58"/>
      <c r="J111" s="58"/>
      <c r="K111" s="58"/>
      <c r="L111" s="58"/>
      <c r="M111" s="58"/>
      <c r="N111" s="58"/>
      <c r="O111" s="58"/>
      <c r="P111" s="58"/>
      <c r="Q111" s="74" t="s">
        <v>756</v>
      </c>
      <c r="AB111" s="49">
        <f>G111*H111</f>
        <v>0</v>
      </c>
      <c r="AC111" s="49">
        <f t="shared" si="2"/>
        <v>0</v>
      </c>
    </row>
    <row r="112" spans="1:29" ht="23.1" customHeight="1">
      <c r="A112" s="64" t="s">
        <v>766</v>
      </c>
      <c r="B112" s="64" t="s">
        <v>1082</v>
      </c>
      <c r="C112" s="64" t="s">
        <v>767</v>
      </c>
      <c r="D112" s="74" t="s">
        <v>217</v>
      </c>
      <c r="E112" s="74" t="s">
        <v>218</v>
      </c>
      <c r="F112" s="54" t="s">
        <v>196</v>
      </c>
      <c r="G112" s="80">
        <v>60</v>
      </c>
      <c r="H112" s="58"/>
      <c r="I112" s="58"/>
      <c r="J112" s="58"/>
      <c r="K112" s="58"/>
      <c r="L112" s="58"/>
      <c r="M112" s="58"/>
      <c r="N112" s="58"/>
      <c r="O112" s="58"/>
      <c r="P112" s="58"/>
      <c r="Q112" s="74" t="s">
        <v>768</v>
      </c>
      <c r="AC112" s="49">
        <f t="shared" si="2"/>
        <v>0</v>
      </c>
    </row>
    <row r="113" spans="1:29" ht="23.1" customHeight="1">
      <c r="A113" s="64" t="s">
        <v>1078</v>
      </c>
      <c r="B113" s="64" t="s">
        <v>1082</v>
      </c>
      <c r="C113" s="64" t="s">
        <v>231</v>
      </c>
      <c r="D113" s="74" t="s">
        <v>232</v>
      </c>
      <c r="E113" s="74" t="s">
        <v>233</v>
      </c>
      <c r="F113" s="54" t="s">
        <v>196</v>
      </c>
      <c r="G113" s="80">
        <v>115</v>
      </c>
      <c r="H113" s="58"/>
      <c r="I113" s="58"/>
      <c r="J113" s="58"/>
      <c r="K113" s="58"/>
      <c r="L113" s="58"/>
      <c r="M113" s="58"/>
      <c r="N113" s="58"/>
      <c r="O113" s="58"/>
      <c r="P113" s="58"/>
      <c r="Q113" s="74"/>
      <c r="AC113" s="49">
        <f t="shared" si="2"/>
        <v>0</v>
      </c>
    </row>
    <row r="114" spans="1:29" ht="23.1" customHeight="1">
      <c r="A114" s="64" t="s">
        <v>781</v>
      </c>
      <c r="B114" s="64" t="s">
        <v>1082</v>
      </c>
      <c r="C114" s="64" t="s">
        <v>782</v>
      </c>
      <c r="D114" s="74" t="s">
        <v>252</v>
      </c>
      <c r="E114" s="74" t="s">
        <v>253</v>
      </c>
      <c r="F114" s="54" t="s">
        <v>196</v>
      </c>
      <c r="G114" s="80">
        <v>142</v>
      </c>
      <c r="H114" s="58"/>
      <c r="I114" s="58"/>
      <c r="J114" s="58"/>
      <c r="K114" s="58"/>
      <c r="L114" s="58"/>
      <c r="M114" s="58"/>
      <c r="N114" s="58"/>
      <c r="O114" s="58"/>
      <c r="P114" s="58"/>
      <c r="Q114" s="74" t="s">
        <v>783</v>
      </c>
      <c r="AC114" s="49">
        <f t="shared" si="2"/>
        <v>0</v>
      </c>
    </row>
    <row r="115" spans="1:29" ht="23.1" customHeight="1">
      <c r="A115" s="64" t="s">
        <v>787</v>
      </c>
      <c r="B115" s="64" t="s">
        <v>1082</v>
      </c>
      <c r="C115" s="64" t="s">
        <v>788</v>
      </c>
      <c r="D115" s="74" t="s">
        <v>260</v>
      </c>
      <c r="E115" s="74" t="s">
        <v>261</v>
      </c>
      <c r="F115" s="54" t="s">
        <v>262</v>
      </c>
      <c r="G115" s="80">
        <v>2</v>
      </c>
      <c r="H115" s="58"/>
      <c r="I115" s="58"/>
      <c r="J115" s="58"/>
      <c r="K115" s="58"/>
      <c r="L115" s="58"/>
      <c r="M115" s="58"/>
      <c r="N115" s="58"/>
      <c r="O115" s="58"/>
      <c r="P115" s="58"/>
      <c r="Q115" s="74" t="s">
        <v>789</v>
      </c>
    </row>
    <row r="116" spans="1:29" ht="23.1" customHeight="1">
      <c r="A116" s="64" t="s">
        <v>790</v>
      </c>
      <c r="B116" s="64" t="s">
        <v>1082</v>
      </c>
      <c r="C116" s="64" t="s">
        <v>791</v>
      </c>
      <c r="D116" s="74" t="s">
        <v>264</v>
      </c>
      <c r="E116" s="74" t="s">
        <v>265</v>
      </c>
      <c r="F116" s="54" t="s">
        <v>266</v>
      </c>
      <c r="G116" s="80">
        <v>3</v>
      </c>
      <c r="H116" s="58"/>
      <c r="I116" s="58"/>
      <c r="J116" s="58"/>
      <c r="K116" s="58"/>
      <c r="L116" s="58"/>
      <c r="M116" s="58"/>
      <c r="N116" s="58"/>
      <c r="O116" s="58"/>
      <c r="P116" s="58"/>
      <c r="Q116" s="74" t="s">
        <v>792</v>
      </c>
    </row>
    <row r="117" spans="1:29" ht="23.1" customHeight="1">
      <c r="A117" s="64" t="s">
        <v>796</v>
      </c>
      <c r="B117" s="64" t="s">
        <v>1082</v>
      </c>
      <c r="C117" s="64" t="s">
        <v>797</v>
      </c>
      <c r="D117" s="74" t="s">
        <v>271</v>
      </c>
      <c r="E117" s="74" t="s">
        <v>272</v>
      </c>
      <c r="F117" s="54" t="s">
        <v>196</v>
      </c>
      <c r="G117" s="80">
        <v>136</v>
      </c>
      <c r="H117" s="58"/>
      <c r="I117" s="58"/>
      <c r="J117" s="58"/>
      <c r="K117" s="58"/>
      <c r="L117" s="58"/>
      <c r="M117" s="58"/>
      <c r="N117" s="58"/>
      <c r="O117" s="58"/>
      <c r="P117" s="58"/>
      <c r="Q117" s="74" t="s">
        <v>798</v>
      </c>
    </row>
    <row r="118" spans="1:29" ht="23.1" customHeight="1">
      <c r="A118" s="64" t="s">
        <v>1083</v>
      </c>
      <c r="B118" s="64" t="s">
        <v>1082</v>
      </c>
      <c r="C118" s="64" t="s">
        <v>300</v>
      </c>
      <c r="D118" s="74" t="s">
        <v>301</v>
      </c>
      <c r="E118" s="74" t="s">
        <v>302</v>
      </c>
      <c r="F118" s="54" t="s">
        <v>294</v>
      </c>
      <c r="G118" s="80">
        <v>6.7830000000000004</v>
      </c>
      <c r="H118" s="58"/>
      <c r="I118" s="58"/>
      <c r="J118" s="58"/>
      <c r="K118" s="58"/>
      <c r="L118" s="58"/>
      <c r="M118" s="58"/>
      <c r="N118" s="58"/>
      <c r="O118" s="58"/>
      <c r="P118" s="58"/>
      <c r="Q118" s="74"/>
    </row>
    <row r="119" spans="1:29" ht="23.1" customHeight="1">
      <c r="A119" s="64" t="s">
        <v>699</v>
      </c>
      <c r="B119" s="64" t="s">
        <v>1082</v>
      </c>
      <c r="C119" s="64" t="s">
        <v>700</v>
      </c>
      <c r="D119" s="74" t="s">
        <v>702</v>
      </c>
      <c r="E119" s="74" t="s">
        <v>703</v>
      </c>
      <c r="F119" s="54" t="s">
        <v>294</v>
      </c>
      <c r="G119" s="80">
        <v>86.376000000000005</v>
      </c>
      <c r="H119" s="58"/>
      <c r="I119" s="58"/>
      <c r="J119" s="58"/>
      <c r="K119" s="58"/>
      <c r="L119" s="58"/>
      <c r="M119" s="58"/>
      <c r="N119" s="58"/>
      <c r="O119" s="58"/>
      <c r="P119" s="58"/>
      <c r="Q119" s="74" t="s">
        <v>701</v>
      </c>
    </row>
    <row r="120" spans="1:29" ht="23.1" customHeight="1">
      <c r="A120" s="64" t="s">
        <v>704</v>
      </c>
      <c r="B120" s="64" t="s">
        <v>1082</v>
      </c>
      <c r="C120" s="64" t="s">
        <v>705</v>
      </c>
      <c r="D120" s="74" t="s">
        <v>707</v>
      </c>
      <c r="E120" s="74" t="s">
        <v>703</v>
      </c>
      <c r="F120" s="54" t="s">
        <v>294</v>
      </c>
      <c r="G120" s="80">
        <v>79.593000000000004</v>
      </c>
      <c r="H120" s="58"/>
      <c r="I120" s="58"/>
      <c r="J120" s="58"/>
      <c r="K120" s="58"/>
      <c r="L120" s="58"/>
      <c r="M120" s="58"/>
      <c r="N120" s="58"/>
      <c r="O120" s="58"/>
      <c r="P120" s="58"/>
      <c r="Q120" s="74" t="s">
        <v>706</v>
      </c>
    </row>
    <row r="121" spans="1:29" ht="23.1" customHeight="1">
      <c r="A121" s="64" t="s">
        <v>708</v>
      </c>
      <c r="B121" s="64" t="s">
        <v>1082</v>
      </c>
      <c r="C121" s="64" t="s">
        <v>709</v>
      </c>
      <c r="D121" s="74" t="s">
        <v>711</v>
      </c>
      <c r="E121" s="74" t="s">
        <v>712</v>
      </c>
      <c r="F121" s="54" t="s">
        <v>294</v>
      </c>
      <c r="G121" s="80">
        <v>6.7830000000000004</v>
      </c>
      <c r="H121" s="58"/>
      <c r="I121" s="58"/>
      <c r="J121" s="58"/>
      <c r="K121" s="58"/>
      <c r="L121" s="58"/>
      <c r="M121" s="58"/>
      <c r="N121" s="58"/>
      <c r="O121" s="58"/>
      <c r="P121" s="58"/>
      <c r="Q121" s="74" t="s">
        <v>710</v>
      </c>
    </row>
    <row r="122" spans="1:29" ht="23.1" customHeight="1">
      <c r="A122" s="64" t="s">
        <v>713</v>
      </c>
      <c r="B122" s="64" t="s">
        <v>1082</v>
      </c>
      <c r="C122" s="64" t="s">
        <v>714</v>
      </c>
      <c r="D122" s="74" t="s">
        <v>716</v>
      </c>
      <c r="E122" s="74" t="s">
        <v>717</v>
      </c>
      <c r="F122" s="54" t="s">
        <v>294</v>
      </c>
      <c r="G122" s="80">
        <v>6.7830000000000004</v>
      </c>
      <c r="H122" s="58"/>
      <c r="I122" s="58"/>
      <c r="J122" s="58"/>
      <c r="K122" s="58"/>
      <c r="L122" s="58"/>
      <c r="M122" s="58"/>
      <c r="N122" s="58"/>
      <c r="O122" s="58"/>
      <c r="P122" s="58"/>
      <c r="Q122" s="74" t="s">
        <v>715</v>
      </c>
    </row>
    <row r="123" spans="1:29" ht="23.1" customHeight="1">
      <c r="A123" s="64" t="s">
        <v>718</v>
      </c>
      <c r="B123" s="64" t="s">
        <v>1082</v>
      </c>
      <c r="C123" s="64" t="s">
        <v>719</v>
      </c>
      <c r="D123" s="74" t="s">
        <v>721</v>
      </c>
      <c r="E123" s="74" t="s">
        <v>722</v>
      </c>
      <c r="F123" s="54" t="s">
        <v>298</v>
      </c>
      <c r="G123" s="80">
        <v>24</v>
      </c>
      <c r="H123" s="58"/>
      <c r="I123" s="58"/>
      <c r="J123" s="58"/>
      <c r="K123" s="58"/>
      <c r="L123" s="58"/>
      <c r="M123" s="58"/>
      <c r="N123" s="58"/>
      <c r="O123" s="58"/>
      <c r="P123" s="58"/>
      <c r="Q123" s="74" t="s">
        <v>720</v>
      </c>
    </row>
    <row r="124" spans="1:29" ht="23.1" customHeight="1">
      <c r="A124" s="64" t="s">
        <v>1084</v>
      </c>
      <c r="B124" s="64" t="s">
        <v>1082</v>
      </c>
      <c r="C124" s="64" t="s">
        <v>311</v>
      </c>
      <c r="D124" s="74" t="s">
        <v>312</v>
      </c>
      <c r="E124" s="74"/>
      <c r="F124" s="54" t="s">
        <v>266</v>
      </c>
      <c r="G124" s="80">
        <v>6</v>
      </c>
      <c r="H124" s="58"/>
      <c r="I124" s="58"/>
      <c r="J124" s="58"/>
      <c r="K124" s="58"/>
      <c r="L124" s="58"/>
      <c r="M124" s="58"/>
      <c r="N124" s="58"/>
      <c r="O124" s="58"/>
      <c r="P124" s="58"/>
      <c r="Q124" s="74"/>
    </row>
    <row r="125" spans="1:29" ht="23.1" customHeight="1">
      <c r="A125" s="64" t="s">
        <v>1085</v>
      </c>
      <c r="B125" s="64" t="s">
        <v>1082</v>
      </c>
      <c r="C125" s="64" t="s">
        <v>326</v>
      </c>
      <c r="D125" s="74" t="s">
        <v>327</v>
      </c>
      <c r="E125" s="74" t="s">
        <v>328</v>
      </c>
      <c r="F125" s="54" t="s">
        <v>266</v>
      </c>
      <c r="G125" s="80">
        <v>3</v>
      </c>
      <c r="H125" s="58"/>
      <c r="I125" s="58"/>
      <c r="J125" s="58"/>
      <c r="K125" s="58"/>
      <c r="L125" s="58"/>
      <c r="M125" s="58"/>
      <c r="N125" s="58"/>
      <c r="O125" s="58"/>
      <c r="P125" s="58"/>
      <c r="Q125" s="74"/>
    </row>
    <row r="126" spans="1:29" ht="23.1" customHeight="1">
      <c r="A126" s="64" t="s">
        <v>826</v>
      </c>
      <c r="B126" s="64" t="s">
        <v>1082</v>
      </c>
      <c r="C126" s="64" t="s">
        <v>827</v>
      </c>
      <c r="D126" s="74" t="s">
        <v>333</v>
      </c>
      <c r="E126" s="74" t="s">
        <v>334</v>
      </c>
      <c r="F126" s="54" t="s">
        <v>196</v>
      </c>
      <c r="G126" s="80">
        <v>112</v>
      </c>
      <c r="H126" s="58"/>
      <c r="I126" s="58"/>
      <c r="J126" s="58"/>
      <c r="K126" s="58"/>
      <c r="L126" s="58"/>
      <c r="M126" s="58"/>
      <c r="N126" s="58"/>
      <c r="O126" s="58"/>
      <c r="P126" s="58"/>
      <c r="Q126" s="74" t="s">
        <v>828</v>
      </c>
      <c r="AC126" s="49">
        <f>G126*H126</f>
        <v>0</v>
      </c>
    </row>
    <row r="127" spans="1:29" ht="23.1" customHeight="1">
      <c r="A127" s="64" t="s">
        <v>877</v>
      </c>
      <c r="B127" s="64" t="s">
        <v>1082</v>
      </c>
      <c r="C127" s="64" t="s">
        <v>878</v>
      </c>
      <c r="D127" s="74" t="s">
        <v>399</v>
      </c>
      <c r="E127" s="74" t="s">
        <v>400</v>
      </c>
      <c r="F127" s="54" t="s">
        <v>266</v>
      </c>
      <c r="G127" s="80">
        <v>6</v>
      </c>
      <c r="H127" s="58"/>
      <c r="I127" s="58"/>
      <c r="J127" s="58"/>
      <c r="K127" s="58"/>
      <c r="L127" s="58"/>
      <c r="M127" s="58"/>
      <c r="N127" s="58"/>
      <c r="O127" s="58"/>
      <c r="P127" s="58"/>
      <c r="Q127" s="74" t="s">
        <v>879</v>
      </c>
    </row>
    <row r="128" spans="1:29" ht="23.1" customHeight="1">
      <c r="A128" s="64" t="s">
        <v>1086</v>
      </c>
      <c r="B128" s="64" t="s">
        <v>1082</v>
      </c>
      <c r="C128" s="64" t="s">
        <v>469</v>
      </c>
      <c r="D128" s="74" t="s">
        <v>470</v>
      </c>
      <c r="E128" s="74"/>
      <c r="F128" s="54" t="s">
        <v>266</v>
      </c>
      <c r="G128" s="80">
        <v>4</v>
      </c>
      <c r="H128" s="58"/>
      <c r="I128" s="58"/>
      <c r="J128" s="58"/>
      <c r="K128" s="58"/>
      <c r="L128" s="58"/>
      <c r="M128" s="58"/>
      <c r="N128" s="58"/>
      <c r="O128" s="58"/>
      <c r="P128" s="58"/>
      <c r="Q128" s="74"/>
    </row>
    <row r="129" spans="1:31" ht="23.1" customHeight="1">
      <c r="A129" s="64" t="s">
        <v>1087</v>
      </c>
      <c r="B129" s="64" t="s">
        <v>1082</v>
      </c>
      <c r="C129" s="64" t="s">
        <v>471</v>
      </c>
      <c r="D129" s="74" t="s">
        <v>472</v>
      </c>
      <c r="E129" s="74"/>
      <c r="F129" s="54" t="s">
        <v>266</v>
      </c>
      <c r="G129" s="80">
        <v>1</v>
      </c>
      <c r="H129" s="58"/>
      <c r="I129" s="58"/>
      <c r="J129" s="58"/>
      <c r="K129" s="58"/>
      <c r="L129" s="58"/>
      <c r="M129" s="58"/>
      <c r="N129" s="58"/>
      <c r="O129" s="58"/>
      <c r="P129" s="58"/>
      <c r="Q129" s="74"/>
    </row>
    <row r="130" spans="1:31" ht="23.1" customHeight="1">
      <c r="A130" s="64" t="s">
        <v>895</v>
      </c>
      <c r="B130" s="64" t="s">
        <v>1082</v>
      </c>
      <c r="C130" s="64" t="s">
        <v>896</v>
      </c>
      <c r="D130" s="74" t="s">
        <v>474</v>
      </c>
      <c r="E130" s="74" t="s">
        <v>475</v>
      </c>
      <c r="F130" s="54" t="s">
        <v>266</v>
      </c>
      <c r="G130" s="80">
        <v>1</v>
      </c>
      <c r="H130" s="58"/>
      <c r="I130" s="58"/>
      <c r="J130" s="58"/>
      <c r="K130" s="58"/>
      <c r="L130" s="58"/>
      <c r="M130" s="58"/>
      <c r="N130" s="58"/>
      <c r="O130" s="58"/>
      <c r="P130" s="58"/>
      <c r="Q130" s="74" t="s">
        <v>897</v>
      </c>
    </row>
    <row r="131" spans="1:31" ht="23.1" customHeight="1">
      <c r="A131" s="64" t="s">
        <v>898</v>
      </c>
      <c r="B131" s="64" t="s">
        <v>1082</v>
      </c>
      <c r="C131" s="64" t="s">
        <v>899</v>
      </c>
      <c r="D131" s="74" t="s">
        <v>474</v>
      </c>
      <c r="E131" s="74" t="s">
        <v>477</v>
      </c>
      <c r="F131" s="54" t="s">
        <v>266</v>
      </c>
      <c r="G131" s="80">
        <v>2</v>
      </c>
      <c r="H131" s="58"/>
      <c r="I131" s="58"/>
      <c r="J131" s="58"/>
      <c r="K131" s="58"/>
      <c r="L131" s="58"/>
      <c r="M131" s="58"/>
      <c r="N131" s="58"/>
      <c r="O131" s="58"/>
      <c r="P131" s="58"/>
      <c r="Q131" s="74" t="s">
        <v>900</v>
      </c>
    </row>
    <row r="132" spans="1:31" ht="23.1" customHeight="1">
      <c r="A132" s="64" t="s">
        <v>1088</v>
      </c>
      <c r="B132" s="64" t="s">
        <v>1082</v>
      </c>
      <c r="C132" s="64" t="s">
        <v>1089</v>
      </c>
      <c r="D132" s="74" t="s">
        <v>1090</v>
      </c>
      <c r="E132" s="74" t="s">
        <v>1091</v>
      </c>
      <c r="F132" s="54" t="s">
        <v>432</v>
      </c>
      <c r="G132" s="80">
        <v>9</v>
      </c>
      <c r="H132" s="58"/>
      <c r="I132" s="58"/>
      <c r="J132" s="58"/>
      <c r="K132" s="58"/>
      <c r="L132" s="58"/>
      <c r="M132" s="58"/>
      <c r="N132" s="58"/>
      <c r="O132" s="58"/>
      <c r="P132" s="58"/>
      <c r="Q132" s="74"/>
    </row>
    <row r="133" spans="1:31" ht="23.1" customHeight="1">
      <c r="B133" s="64" t="s">
        <v>921</v>
      </c>
      <c r="D133" s="74" t="s">
        <v>922</v>
      </c>
      <c r="E133" s="74"/>
      <c r="F133" s="54"/>
      <c r="G133" s="80"/>
      <c r="H133" s="58"/>
      <c r="I133" s="58"/>
      <c r="J133" s="58"/>
      <c r="K133" s="58"/>
      <c r="L133" s="58"/>
      <c r="M133" s="58"/>
      <c r="N133" s="58"/>
      <c r="O133" s="58"/>
      <c r="P133" s="58"/>
      <c r="Q133" s="74"/>
      <c r="AE133" s="49">
        <f>TRUNC(SUM(AE108:AE132))</f>
        <v>0</v>
      </c>
    </row>
    <row r="134" spans="1:31" ht="23.1" customHeight="1">
      <c r="B134" s="64" t="s">
        <v>573</v>
      </c>
      <c r="D134" s="158" t="s">
        <v>1092</v>
      </c>
      <c r="E134" s="159"/>
      <c r="F134" s="159"/>
      <c r="G134" s="159"/>
      <c r="H134" s="159"/>
      <c r="I134" s="159"/>
      <c r="J134" s="159"/>
      <c r="K134" s="159"/>
      <c r="L134" s="159"/>
      <c r="M134" s="159"/>
      <c r="N134" s="159"/>
      <c r="O134" s="159"/>
      <c r="P134" s="159"/>
      <c r="Q134" s="160"/>
    </row>
    <row r="135" spans="1:31" ht="23.1" customHeight="1">
      <c r="A135" s="64" t="s">
        <v>757</v>
      </c>
      <c r="B135" s="64" t="s">
        <v>1093</v>
      </c>
      <c r="C135" s="64" t="s">
        <v>758</v>
      </c>
      <c r="D135" s="74" t="s">
        <v>194</v>
      </c>
      <c r="E135" s="74" t="s">
        <v>208</v>
      </c>
      <c r="F135" s="54" t="s">
        <v>196</v>
      </c>
      <c r="G135" s="80">
        <v>136</v>
      </c>
      <c r="H135" s="58"/>
      <c r="I135" s="58"/>
      <c r="J135" s="58"/>
      <c r="K135" s="58"/>
      <c r="L135" s="58"/>
      <c r="M135" s="58"/>
      <c r="N135" s="58"/>
      <c r="O135" s="58"/>
      <c r="P135" s="58"/>
      <c r="Q135" s="74" t="s">
        <v>759</v>
      </c>
      <c r="AB135" s="49">
        <f>G135*H135</f>
        <v>0</v>
      </c>
      <c r="AC135" s="49">
        <f t="shared" ref="AC135:AC141" si="3">G135*H135</f>
        <v>0</v>
      </c>
    </row>
    <row r="136" spans="1:31" ht="23.1" customHeight="1">
      <c r="A136" s="64" t="s">
        <v>760</v>
      </c>
      <c r="B136" s="64" t="s">
        <v>1093</v>
      </c>
      <c r="C136" s="64" t="s">
        <v>761</v>
      </c>
      <c r="D136" s="74" t="s">
        <v>194</v>
      </c>
      <c r="E136" s="74" t="s">
        <v>210</v>
      </c>
      <c r="F136" s="54" t="s">
        <v>196</v>
      </c>
      <c r="G136" s="80">
        <v>136</v>
      </c>
      <c r="H136" s="58"/>
      <c r="I136" s="58"/>
      <c r="J136" s="58"/>
      <c r="K136" s="58"/>
      <c r="L136" s="58"/>
      <c r="M136" s="58"/>
      <c r="N136" s="58"/>
      <c r="O136" s="58"/>
      <c r="P136" s="58"/>
      <c r="Q136" s="74" t="s">
        <v>762</v>
      </c>
      <c r="AB136" s="49">
        <f>G136*H136</f>
        <v>0</v>
      </c>
      <c r="AC136" s="49">
        <f t="shared" si="3"/>
        <v>0</v>
      </c>
    </row>
    <row r="137" spans="1:31" ht="23.1" customHeight="1">
      <c r="A137" s="64" t="s">
        <v>763</v>
      </c>
      <c r="B137" s="64" t="s">
        <v>1093</v>
      </c>
      <c r="C137" s="64" t="s">
        <v>764</v>
      </c>
      <c r="D137" s="74" t="s">
        <v>212</v>
      </c>
      <c r="E137" s="74" t="s">
        <v>213</v>
      </c>
      <c r="F137" s="54" t="s">
        <v>196</v>
      </c>
      <c r="G137" s="80">
        <v>440</v>
      </c>
      <c r="H137" s="58"/>
      <c r="I137" s="58"/>
      <c r="J137" s="58"/>
      <c r="K137" s="58"/>
      <c r="L137" s="58"/>
      <c r="M137" s="58"/>
      <c r="N137" s="58"/>
      <c r="O137" s="58"/>
      <c r="P137" s="58"/>
      <c r="Q137" s="74" t="s">
        <v>765</v>
      </c>
      <c r="AB137" s="49">
        <f>G137*H137</f>
        <v>0</v>
      </c>
      <c r="AC137" s="49">
        <f t="shared" si="3"/>
        <v>0</v>
      </c>
    </row>
    <row r="138" spans="1:31" ht="23.1" customHeight="1">
      <c r="A138" s="64" t="s">
        <v>766</v>
      </c>
      <c r="B138" s="64" t="s">
        <v>1093</v>
      </c>
      <c r="C138" s="64" t="s">
        <v>767</v>
      </c>
      <c r="D138" s="74" t="s">
        <v>217</v>
      </c>
      <c r="E138" s="74" t="s">
        <v>218</v>
      </c>
      <c r="F138" s="54" t="s">
        <v>196</v>
      </c>
      <c r="G138" s="80">
        <v>3</v>
      </c>
      <c r="H138" s="58"/>
      <c r="I138" s="58"/>
      <c r="J138" s="58"/>
      <c r="K138" s="58"/>
      <c r="L138" s="58"/>
      <c r="M138" s="58"/>
      <c r="N138" s="58"/>
      <c r="O138" s="58"/>
      <c r="P138" s="58"/>
      <c r="Q138" s="74" t="s">
        <v>768</v>
      </c>
      <c r="AC138" s="49">
        <f t="shared" si="3"/>
        <v>0</v>
      </c>
    </row>
    <row r="139" spans="1:31" ht="23.1" customHeight="1">
      <c r="A139" s="64" t="s">
        <v>772</v>
      </c>
      <c r="B139" s="64" t="s">
        <v>1093</v>
      </c>
      <c r="C139" s="64" t="s">
        <v>773</v>
      </c>
      <c r="D139" s="74" t="s">
        <v>222</v>
      </c>
      <c r="E139" s="74" t="s">
        <v>225</v>
      </c>
      <c r="F139" s="54" t="s">
        <v>196</v>
      </c>
      <c r="G139" s="80">
        <v>29</v>
      </c>
      <c r="H139" s="58"/>
      <c r="I139" s="58"/>
      <c r="J139" s="58"/>
      <c r="K139" s="58"/>
      <c r="L139" s="58"/>
      <c r="M139" s="58"/>
      <c r="N139" s="58"/>
      <c r="O139" s="58"/>
      <c r="P139" s="58"/>
      <c r="Q139" s="74" t="s">
        <v>774</v>
      </c>
      <c r="AC139" s="49">
        <f t="shared" si="3"/>
        <v>0</v>
      </c>
    </row>
    <row r="140" spans="1:31" ht="23.1" customHeight="1">
      <c r="A140" s="64" t="s">
        <v>778</v>
      </c>
      <c r="B140" s="64" t="s">
        <v>1093</v>
      </c>
      <c r="C140" s="64" t="s">
        <v>779</v>
      </c>
      <c r="D140" s="74" t="s">
        <v>227</v>
      </c>
      <c r="E140" s="74" t="s">
        <v>244</v>
      </c>
      <c r="F140" s="54" t="s">
        <v>196</v>
      </c>
      <c r="G140" s="80">
        <v>139</v>
      </c>
      <c r="H140" s="58"/>
      <c r="I140" s="58"/>
      <c r="J140" s="58"/>
      <c r="K140" s="58"/>
      <c r="L140" s="58"/>
      <c r="M140" s="58"/>
      <c r="N140" s="58"/>
      <c r="O140" s="58"/>
      <c r="P140" s="58"/>
      <c r="Q140" s="74" t="s">
        <v>780</v>
      </c>
      <c r="AC140" s="49">
        <f t="shared" si="3"/>
        <v>0</v>
      </c>
    </row>
    <row r="141" spans="1:31" ht="23.1" customHeight="1">
      <c r="A141" s="64" t="s">
        <v>784</v>
      </c>
      <c r="B141" s="64" t="s">
        <v>1093</v>
      </c>
      <c r="C141" s="64" t="s">
        <v>785</v>
      </c>
      <c r="D141" s="74" t="s">
        <v>257</v>
      </c>
      <c r="E141" s="74" t="s">
        <v>258</v>
      </c>
      <c r="F141" s="54" t="s">
        <v>196</v>
      </c>
      <c r="G141" s="80">
        <v>548</v>
      </c>
      <c r="H141" s="58"/>
      <c r="I141" s="58"/>
      <c r="J141" s="58"/>
      <c r="K141" s="58"/>
      <c r="L141" s="58"/>
      <c r="M141" s="58"/>
      <c r="N141" s="58"/>
      <c r="O141" s="58"/>
      <c r="P141" s="58"/>
      <c r="Q141" s="74" t="s">
        <v>786</v>
      </c>
      <c r="AC141" s="49">
        <f t="shared" si="3"/>
        <v>0</v>
      </c>
    </row>
    <row r="142" spans="1:31" ht="23.1" customHeight="1">
      <c r="A142" s="64" t="s">
        <v>790</v>
      </c>
      <c r="B142" s="64" t="s">
        <v>1093</v>
      </c>
      <c r="C142" s="64" t="s">
        <v>791</v>
      </c>
      <c r="D142" s="74" t="s">
        <v>264</v>
      </c>
      <c r="E142" s="74" t="s">
        <v>265</v>
      </c>
      <c r="F142" s="54" t="s">
        <v>266</v>
      </c>
      <c r="G142" s="80">
        <v>12</v>
      </c>
      <c r="H142" s="58"/>
      <c r="I142" s="58"/>
      <c r="J142" s="58"/>
      <c r="K142" s="58"/>
      <c r="L142" s="58"/>
      <c r="M142" s="58"/>
      <c r="N142" s="58"/>
      <c r="O142" s="58"/>
      <c r="P142" s="58"/>
      <c r="Q142" s="74" t="s">
        <v>792</v>
      </c>
    </row>
    <row r="143" spans="1:31" ht="23.1" customHeight="1">
      <c r="A143" s="64" t="s">
        <v>793</v>
      </c>
      <c r="B143" s="64" t="s">
        <v>1093</v>
      </c>
      <c r="C143" s="64" t="s">
        <v>794</v>
      </c>
      <c r="D143" s="74" t="s">
        <v>268</v>
      </c>
      <c r="E143" s="74" t="s">
        <v>269</v>
      </c>
      <c r="F143" s="54" t="s">
        <v>266</v>
      </c>
      <c r="G143" s="80">
        <v>12</v>
      </c>
      <c r="H143" s="58"/>
      <c r="I143" s="58"/>
      <c r="J143" s="58"/>
      <c r="K143" s="58"/>
      <c r="L143" s="58"/>
      <c r="M143" s="58"/>
      <c r="N143" s="58"/>
      <c r="O143" s="58"/>
      <c r="P143" s="58"/>
      <c r="Q143" s="74" t="s">
        <v>795</v>
      </c>
    </row>
    <row r="144" spans="1:31" ht="23.1" customHeight="1">
      <c r="A144" s="64" t="s">
        <v>796</v>
      </c>
      <c r="B144" s="64" t="s">
        <v>1093</v>
      </c>
      <c r="C144" s="64" t="s">
        <v>797</v>
      </c>
      <c r="D144" s="74" t="s">
        <v>271</v>
      </c>
      <c r="E144" s="74" t="s">
        <v>272</v>
      </c>
      <c r="F144" s="54" t="s">
        <v>196</v>
      </c>
      <c r="G144" s="80">
        <v>666</v>
      </c>
      <c r="H144" s="58"/>
      <c r="I144" s="58"/>
      <c r="J144" s="58"/>
      <c r="K144" s="58"/>
      <c r="L144" s="58"/>
      <c r="M144" s="58"/>
      <c r="N144" s="58"/>
      <c r="O144" s="58"/>
      <c r="P144" s="58"/>
      <c r="Q144" s="74" t="s">
        <v>798</v>
      </c>
    </row>
    <row r="145" spans="1:17" ht="23.1" customHeight="1">
      <c r="A145" s="64" t="s">
        <v>808</v>
      </c>
      <c r="B145" s="64" t="s">
        <v>1093</v>
      </c>
      <c r="C145" s="64" t="s">
        <v>809</v>
      </c>
      <c r="D145" s="74" t="s">
        <v>283</v>
      </c>
      <c r="E145" s="74" t="s">
        <v>284</v>
      </c>
      <c r="F145" s="54" t="s">
        <v>285</v>
      </c>
      <c r="G145" s="80">
        <v>6</v>
      </c>
      <c r="H145" s="58"/>
      <c r="I145" s="58"/>
      <c r="J145" s="58"/>
      <c r="K145" s="58"/>
      <c r="L145" s="58"/>
      <c r="M145" s="58"/>
      <c r="N145" s="58"/>
      <c r="O145" s="58"/>
      <c r="P145" s="58"/>
      <c r="Q145" s="74" t="s">
        <v>810</v>
      </c>
    </row>
    <row r="146" spans="1:17" ht="23.1" customHeight="1">
      <c r="A146" s="64" t="s">
        <v>811</v>
      </c>
      <c r="B146" s="64" t="s">
        <v>1093</v>
      </c>
      <c r="C146" s="64" t="s">
        <v>812</v>
      </c>
      <c r="D146" s="74" t="s">
        <v>288</v>
      </c>
      <c r="E146" s="74" t="s">
        <v>289</v>
      </c>
      <c r="F146" s="54" t="s">
        <v>290</v>
      </c>
      <c r="G146" s="80">
        <v>6</v>
      </c>
      <c r="H146" s="58"/>
      <c r="I146" s="58"/>
      <c r="J146" s="58"/>
      <c r="K146" s="58"/>
      <c r="L146" s="58"/>
      <c r="M146" s="58"/>
      <c r="N146" s="58"/>
      <c r="O146" s="58"/>
      <c r="P146" s="58"/>
      <c r="Q146" s="74" t="s">
        <v>813</v>
      </c>
    </row>
    <row r="147" spans="1:17" ht="23.1" customHeight="1">
      <c r="A147" s="64" t="s">
        <v>699</v>
      </c>
      <c r="B147" s="64" t="s">
        <v>1093</v>
      </c>
      <c r="C147" s="64" t="s">
        <v>700</v>
      </c>
      <c r="D147" s="74" t="s">
        <v>702</v>
      </c>
      <c r="E147" s="74" t="s">
        <v>703</v>
      </c>
      <c r="F147" s="54" t="s">
        <v>294</v>
      </c>
      <c r="G147" s="80">
        <v>259.26</v>
      </c>
      <c r="H147" s="58"/>
      <c r="I147" s="58"/>
      <c r="J147" s="58"/>
      <c r="K147" s="58"/>
      <c r="L147" s="58"/>
      <c r="M147" s="58"/>
      <c r="N147" s="58"/>
      <c r="O147" s="58"/>
      <c r="P147" s="58"/>
      <c r="Q147" s="74" t="s">
        <v>701</v>
      </c>
    </row>
    <row r="148" spans="1:17" ht="23.1" customHeight="1">
      <c r="A148" s="64" t="s">
        <v>704</v>
      </c>
      <c r="B148" s="64" t="s">
        <v>1093</v>
      </c>
      <c r="C148" s="64" t="s">
        <v>705</v>
      </c>
      <c r="D148" s="74" t="s">
        <v>707</v>
      </c>
      <c r="E148" s="74" t="s">
        <v>703</v>
      </c>
      <c r="F148" s="54" t="s">
        <v>294</v>
      </c>
      <c r="G148" s="80">
        <v>248.88</v>
      </c>
      <c r="H148" s="58"/>
      <c r="I148" s="58"/>
      <c r="J148" s="58"/>
      <c r="K148" s="58"/>
      <c r="L148" s="58"/>
      <c r="M148" s="58"/>
      <c r="N148" s="58"/>
      <c r="O148" s="58"/>
      <c r="P148" s="58"/>
      <c r="Q148" s="74" t="s">
        <v>706</v>
      </c>
    </row>
    <row r="149" spans="1:17" ht="23.1" customHeight="1">
      <c r="A149" s="64" t="s">
        <v>708</v>
      </c>
      <c r="B149" s="64" t="s">
        <v>1093</v>
      </c>
      <c r="C149" s="64" t="s">
        <v>709</v>
      </c>
      <c r="D149" s="74" t="s">
        <v>711</v>
      </c>
      <c r="E149" s="74" t="s">
        <v>712</v>
      </c>
      <c r="F149" s="54" t="s">
        <v>294</v>
      </c>
      <c r="G149" s="80">
        <v>10.38</v>
      </c>
      <c r="H149" s="58"/>
      <c r="I149" s="58"/>
      <c r="J149" s="58"/>
      <c r="K149" s="58"/>
      <c r="L149" s="58"/>
      <c r="M149" s="58"/>
      <c r="N149" s="58"/>
      <c r="O149" s="58"/>
      <c r="P149" s="58"/>
      <c r="Q149" s="74" t="s">
        <v>710</v>
      </c>
    </row>
    <row r="150" spans="1:17" ht="23.1" customHeight="1">
      <c r="A150" s="64" t="s">
        <v>1094</v>
      </c>
      <c r="B150" s="64" t="s">
        <v>1093</v>
      </c>
      <c r="C150" s="64" t="s">
        <v>329</v>
      </c>
      <c r="D150" s="74" t="s">
        <v>330</v>
      </c>
      <c r="E150" s="74" t="s">
        <v>331</v>
      </c>
      <c r="F150" s="54" t="s">
        <v>266</v>
      </c>
      <c r="G150" s="80">
        <v>6</v>
      </c>
      <c r="H150" s="58"/>
      <c r="I150" s="58"/>
      <c r="J150" s="58"/>
      <c r="K150" s="58"/>
      <c r="L150" s="58"/>
      <c r="M150" s="58"/>
      <c r="N150" s="58"/>
      <c r="O150" s="58"/>
      <c r="P150" s="58"/>
      <c r="Q150" s="74"/>
    </row>
    <row r="151" spans="1:17" ht="23.1" customHeight="1">
      <c r="A151" s="64" t="s">
        <v>859</v>
      </c>
      <c r="B151" s="64" t="s">
        <v>1093</v>
      </c>
      <c r="C151" s="64" t="s">
        <v>860</v>
      </c>
      <c r="D151" s="74" t="s">
        <v>359</v>
      </c>
      <c r="E151" s="74" t="s">
        <v>360</v>
      </c>
      <c r="F151" s="54" t="s">
        <v>266</v>
      </c>
      <c r="G151" s="80">
        <v>3</v>
      </c>
      <c r="H151" s="58"/>
      <c r="I151" s="58"/>
      <c r="J151" s="58"/>
      <c r="K151" s="58"/>
      <c r="L151" s="58"/>
      <c r="M151" s="58"/>
      <c r="N151" s="58"/>
      <c r="O151" s="58"/>
      <c r="P151" s="58"/>
      <c r="Q151" s="74" t="s">
        <v>861</v>
      </c>
    </row>
    <row r="152" spans="1:17" ht="23.1" customHeight="1">
      <c r="A152" s="64" t="s">
        <v>1095</v>
      </c>
      <c r="B152" s="64" t="s">
        <v>1093</v>
      </c>
      <c r="C152" s="64" t="s">
        <v>386</v>
      </c>
      <c r="D152" s="74" t="s">
        <v>387</v>
      </c>
      <c r="E152" s="74" t="s">
        <v>388</v>
      </c>
      <c r="F152" s="54" t="s">
        <v>266</v>
      </c>
      <c r="G152" s="80">
        <v>2</v>
      </c>
      <c r="H152" s="58"/>
      <c r="I152" s="58"/>
      <c r="J152" s="58"/>
      <c r="K152" s="58"/>
      <c r="L152" s="58"/>
      <c r="M152" s="58"/>
      <c r="N152" s="58"/>
      <c r="O152" s="58"/>
      <c r="P152" s="58"/>
      <c r="Q152" s="74"/>
    </row>
    <row r="153" spans="1:17" ht="23.1" customHeight="1">
      <c r="A153" s="64" t="s">
        <v>1096</v>
      </c>
      <c r="B153" s="64" t="s">
        <v>1093</v>
      </c>
      <c r="C153" s="64" t="s">
        <v>392</v>
      </c>
      <c r="D153" s="74" t="s">
        <v>393</v>
      </c>
      <c r="E153" s="74" t="s">
        <v>394</v>
      </c>
      <c r="F153" s="54" t="s">
        <v>266</v>
      </c>
      <c r="G153" s="80">
        <v>2</v>
      </c>
      <c r="H153" s="58"/>
      <c r="I153" s="58"/>
      <c r="J153" s="58"/>
      <c r="K153" s="58"/>
      <c r="L153" s="58"/>
      <c r="M153" s="58"/>
      <c r="N153" s="58"/>
      <c r="O153" s="58"/>
      <c r="P153" s="58"/>
      <c r="Q153" s="74"/>
    </row>
    <row r="154" spans="1:17" ht="23.1" customHeight="1">
      <c r="A154" s="64" t="s">
        <v>1097</v>
      </c>
      <c r="B154" s="64" t="s">
        <v>1093</v>
      </c>
      <c r="C154" s="64" t="s">
        <v>395</v>
      </c>
      <c r="D154" s="74" t="s">
        <v>396</v>
      </c>
      <c r="E154" s="74" t="s">
        <v>397</v>
      </c>
      <c r="F154" s="54" t="s">
        <v>266</v>
      </c>
      <c r="G154" s="80">
        <v>20</v>
      </c>
      <c r="H154" s="58"/>
      <c r="I154" s="58"/>
      <c r="J154" s="58"/>
      <c r="K154" s="58"/>
      <c r="L154" s="58"/>
      <c r="M154" s="58"/>
      <c r="N154" s="58"/>
      <c r="O154" s="58"/>
      <c r="P154" s="58"/>
      <c r="Q154" s="74"/>
    </row>
    <row r="155" spans="1:17" ht="23.1" customHeight="1">
      <c r="A155" s="64" t="s">
        <v>1098</v>
      </c>
      <c r="B155" s="64" t="s">
        <v>1093</v>
      </c>
      <c r="C155" s="64" t="s">
        <v>407</v>
      </c>
      <c r="D155" s="74" t="s">
        <v>408</v>
      </c>
      <c r="E155" s="74" t="s">
        <v>409</v>
      </c>
      <c r="F155" s="54" t="s">
        <v>266</v>
      </c>
      <c r="G155" s="80">
        <v>3</v>
      </c>
      <c r="H155" s="58"/>
      <c r="I155" s="58"/>
      <c r="J155" s="58"/>
      <c r="K155" s="58"/>
      <c r="L155" s="58"/>
      <c r="M155" s="58"/>
      <c r="N155" s="58"/>
      <c r="O155" s="58"/>
      <c r="P155" s="58"/>
      <c r="Q155" s="74"/>
    </row>
    <row r="156" spans="1:17" ht="23.1" customHeight="1">
      <c r="A156" s="64" t="s">
        <v>1099</v>
      </c>
      <c r="B156" s="64" t="s">
        <v>1093</v>
      </c>
      <c r="C156" s="64" t="s">
        <v>410</v>
      </c>
      <c r="D156" s="74" t="s">
        <v>411</v>
      </c>
      <c r="E156" s="74" t="s">
        <v>412</v>
      </c>
      <c r="F156" s="54" t="s">
        <v>266</v>
      </c>
      <c r="G156" s="80">
        <v>3</v>
      </c>
      <c r="H156" s="58"/>
      <c r="I156" s="58"/>
      <c r="J156" s="58"/>
      <c r="K156" s="58"/>
      <c r="L156" s="58"/>
      <c r="M156" s="58"/>
      <c r="N156" s="58"/>
      <c r="O156" s="58"/>
      <c r="P156" s="58"/>
      <c r="Q156" s="74"/>
    </row>
    <row r="157" spans="1:17" ht="23.1" customHeight="1">
      <c r="A157" s="64" t="s">
        <v>1100</v>
      </c>
      <c r="B157" s="64" t="s">
        <v>1093</v>
      </c>
      <c r="C157" s="64" t="s">
        <v>413</v>
      </c>
      <c r="D157" s="74" t="s">
        <v>414</v>
      </c>
      <c r="E157" s="74" t="s">
        <v>415</v>
      </c>
      <c r="F157" s="54" t="s">
        <v>266</v>
      </c>
      <c r="G157" s="80">
        <v>3</v>
      </c>
      <c r="H157" s="58"/>
      <c r="I157" s="58"/>
      <c r="J157" s="58"/>
      <c r="K157" s="58"/>
      <c r="L157" s="58"/>
      <c r="M157" s="58"/>
      <c r="N157" s="58"/>
      <c r="O157" s="58"/>
      <c r="P157" s="58"/>
      <c r="Q157" s="74"/>
    </row>
    <row r="158" spans="1:17" ht="23.1" customHeight="1">
      <c r="A158" s="64" t="s">
        <v>1101</v>
      </c>
      <c r="B158" s="64" t="s">
        <v>1093</v>
      </c>
      <c r="C158" s="64" t="s">
        <v>416</v>
      </c>
      <c r="D158" s="74" t="s">
        <v>417</v>
      </c>
      <c r="E158" s="74" t="s">
        <v>418</v>
      </c>
      <c r="F158" s="54" t="s">
        <v>266</v>
      </c>
      <c r="G158" s="80">
        <v>90</v>
      </c>
      <c r="H158" s="58"/>
      <c r="I158" s="58"/>
      <c r="J158" s="58"/>
      <c r="K158" s="58"/>
      <c r="L158" s="58"/>
      <c r="M158" s="58"/>
      <c r="N158" s="58"/>
      <c r="O158" s="58"/>
      <c r="P158" s="58"/>
      <c r="Q158" s="74"/>
    </row>
    <row r="159" spans="1:17" ht="23.1" customHeight="1">
      <c r="A159" s="64" t="s">
        <v>1102</v>
      </c>
      <c r="B159" s="64" t="s">
        <v>1093</v>
      </c>
      <c r="C159" s="64" t="s">
        <v>419</v>
      </c>
      <c r="D159" s="74" t="s">
        <v>420</v>
      </c>
      <c r="E159" s="74" t="s">
        <v>421</v>
      </c>
      <c r="F159" s="54" t="s">
        <v>266</v>
      </c>
      <c r="G159" s="80">
        <v>3</v>
      </c>
      <c r="H159" s="58"/>
      <c r="I159" s="58"/>
      <c r="J159" s="58"/>
      <c r="K159" s="58"/>
      <c r="L159" s="58"/>
      <c r="M159" s="58"/>
      <c r="N159" s="58"/>
      <c r="O159" s="58"/>
      <c r="P159" s="58"/>
      <c r="Q159" s="74"/>
    </row>
    <row r="160" spans="1:17" ht="23.1" customHeight="1">
      <c r="A160" s="64" t="s">
        <v>1074</v>
      </c>
      <c r="B160" s="64" t="s">
        <v>1093</v>
      </c>
      <c r="C160" s="64" t="s">
        <v>429</v>
      </c>
      <c r="D160" s="74" t="s">
        <v>430</v>
      </c>
      <c r="E160" s="74" t="s">
        <v>431</v>
      </c>
      <c r="F160" s="54" t="s">
        <v>432</v>
      </c>
      <c r="G160" s="80">
        <v>1</v>
      </c>
      <c r="H160" s="58"/>
      <c r="I160" s="58"/>
      <c r="J160" s="58"/>
      <c r="K160" s="58"/>
      <c r="L160" s="58"/>
      <c r="M160" s="58"/>
      <c r="N160" s="58"/>
      <c r="O160" s="58"/>
      <c r="P160" s="58"/>
      <c r="Q160" s="74"/>
    </row>
    <row r="161" spans="1:17" ht="23.1" customHeight="1">
      <c r="A161" s="64" t="s">
        <v>1103</v>
      </c>
      <c r="B161" s="64" t="s">
        <v>1093</v>
      </c>
      <c r="C161" s="64" t="s">
        <v>433</v>
      </c>
      <c r="D161" s="74" t="s">
        <v>434</v>
      </c>
      <c r="E161" s="74" t="s">
        <v>435</v>
      </c>
      <c r="F161" s="54" t="s">
        <v>266</v>
      </c>
      <c r="G161" s="80">
        <v>5</v>
      </c>
      <c r="H161" s="58"/>
      <c r="I161" s="58"/>
      <c r="J161" s="58"/>
      <c r="K161" s="58"/>
      <c r="L161" s="58"/>
      <c r="M161" s="58"/>
      <c r="N161" s="58"/>
      <c r="O161" s="58"/>
      <c r="P161" s="58"/>
      <c r="Q161" s="74"/>
    </row>
    <row r="162" spans="1:17" ht="23.1" customHeight="1">
      <c r="A162" s="64" t="s">
        <v>1104</v>
      </c>
      <c r="B162" s="64" t="s">
        <v>1093</v>
      </c>
      <c r="C162" s="64" t="s">
        <v>436</v>
      </c>
      <c r="D162" s="74" t="s">
        <v>437</v>
      </c>
      <c r="E162" s="74" t="s">
        <v>438</v>
      </c>
      <c r="F162" s="54" t="s">
        <v>266</v>
      </c>
      <c r="G162" s="80">
        <v>3</v>
      </c>
      <c r="H162" s="58"/>
      <c r="I162" s="58"/>
      <c r="J162" s="58"/>
      <c r="K162" s="58"/>
      <c r="L162" s="58"/>
      <c r="M162" s="58"/>
      <c r="N162" s="58"/>
      <c r="O162" s="58"/>
      <c r="P162" s="58"/>
      <c r="Q162" s="74"/>
    </row>
    <row r="163" spans="1:17" ht="23.1" customHeight="1">
      <c r="A163" s="64" t="s">
        <v>1105</v>
      </c>
      <c r="B163" s="64" t="s">
        <v>1093</v>
      </c>
      <c r="C163" s="64" t="s">
        <v>450</v>
      </c>
      <c r="D163" s="74" t="s">
        <v>451</v>
      </c>
      <c r="E163" s="74" t="s">
        <v>452</v>
      </c>
      <c r="F163" s="54" t="s">
        <v>266</v>
      </c>
      <c r="G163" s="80">
        <v>9</v>
      </c>
      <c r="H163" s="58"/>
      <c r="I163" s="58"/>
      <c r="J163" s="58"/>
      <c r="K163" s="58"/>
      <c r="L163" s="58"/>
      <c r="M163" s="58"/>
      <c r="N163" s="58"/>
      <c r="O163" s="58"/>
      <c r="P163" s="58"/>
      <c r="Q163" s="74"/>
    </row>
    <row r="164" spans="1:17" ht="23.1" customHeight="1">
      <c r="A164" s="64" t="s">
        <v>1106</v>
      </c>
      <c r="B164" s="64" t="s">
        <v>1093</v>
      </c>
      <c r="C164" s="64" t="s">
        <v>453</v>
      </c>
      <c r="D164" s="74" t="s">
        <v>451</v>
      </c>
      <c r="E164" s="74" t="s">
        <v>454</v>
      </c>
      <c r="F164" s="54" t="s">
        <v>266</v>
      </c>
      <c r="G164" s="80">
        <v>3</v>
      </c>
      <c r="H164" s="58"/>
      <c r="I164" s="58"/>
      <c r="J164" s="58"/>
      <c r="K164" s="58"/>
      <c r="L164" s="58"/>
      <c r="M164" s="58"/>
      <c r="N164" s="58"/>
      <c r="O164" s="58"/>
      <c r="P164" s="58"/>
      <c r="Q164" s="74"/>
    </row>
    <row r="165" spans="1:17" ht="23.1" customHeight="1">
      <c r="A165" s="64" t="s">
        <v>1107</v>
      </c>
      <c r="B165" s="64" t="s">
        <v>1093</v>
      </c>
      <c r="C165" s="64" t="s">
        <v>462</v>
      </c>
      <c r="D165" s="74" t="s">
        <v>463</v>
      </c>
      <c r="E165" s="74" t="s">
        <v>464</v>
      </c>
      <c r="F165" s="54" t="s">
        <v>266</v>
      </c>
      <c r="G165" s="80">
        <v>3</v>
      </c>
      <c r="H165" s="58"/>
      <c r="I165" s="58"/>
      <c r="J165" s="58"/>
      <c r="K165" s="58"/>
      <c r="L165" s="58"/>
      <c r="M165" s="58"/>
      <c r="N165" s="58"/>
      <c r="O165" s="58"/>
      <c r="P165" s="58"/>
      <c r="Q165" s="74"/>
    </row>
    <row r="166" spans="1:17" ht="23.1" customHeight="1">
      <c r="A166" s="64" t="s">
        <v>1108</v>
      </c>
      <c r="B166" s="64" t="s">
        <v>1093</v>
      </c>
      <c r="C166" s="64" t="s">
        <v>465</v>
      </c>
      <c r="D166" s="74" t="s">
        <v>463</v>
      </c>
      <c r="E166" s="74" t="s">
        <v>466</v>
      </c>
      <c r="F166" s="54" t="s">
        <v>266</v>
      </c>
      <c r="G166" s="80">
        <v>3</v>
      </c>
      <c r="H166" s="58"/>
      <c r="I166" s="58"/>
      <c r="J166" s="58"/>
      <c r="K166" s="58"/>
      <c r="L166" s="58"/>
      <c r="M166" s="58"/>
      <c r="N166" s="58"/>
      <c r="O166" s="58"/>
      <c r="P166" s="58"/>
      <c r="Q166" s="74"/>
    </row>
    <row r="167" spans="1:17" ht="23.1" customHeight="1">
      <c r="A167" s="64" t="s">
        <v>1109</v>
      </c>
      <c r="B167" s="64" t="s">
        <v>1093</v>
      </c>
      <c r="C167" s="64" t="s">
        <v>467</v>
      </c>
      <c r="D167" s="74" t="s">
        <v>468</v>
      </c>
      <c r="E167" s="74" t="s">
        <v>414</v>
      </c>
      <c r="F167" s="54" t="s">
        <v>266</v>
      </c>
      <c r="G167" s="80">
        <v>1</v>
      </c>
      <c r="H167" s="58"/>
      <c r="I167" s="58"/>
      <c r="J167" s="58"/>
      <c r="K167" s="58"/>
      <c r="L167" s="58"/>
      <c r="M167" s="58"/>
      <c r="N167" s="58"/>
      <c r="O167" s="58"/>
      <c r="P167" s="58"/>
      <c r="Q167" s="74"/>
    </row>
    <row r="168" spans="1:17" ht="23.1" customHeight="1">
      <c r="A168" s="64" t="s">
        <v>1110</v>
      </c>
      <c r="B168" s="64" t="s">
        <v>1093</v>
      </c>
      <c r="C168" s="64" t="s">
        <v>484</v>
      </c>
      <c r="D168" s="74" t="s">
        <v>485</v>
      </c>
      <c r="E168" s="74" t="s">
        <v>486</v>
      </c>
      <c r="F168" s="54" t="s">
        <v>266</v>
      </c>
      <c r="G168" s="80">
        <v>30</v>
      </c>
      <c r="H168" s="58"/>
      <c r="I168" s="58"/>
      <c r="J168" s="58"/>
      <c r="K168" s="58"/>
      <c r="L168" s="58"/>
      <c r="M168" s="58"/>
      <c r="N168" s="58"/>
      <c r="O168" s="58"/>
      <c r="P168" s="58"/>
      <c r="Q168" s="74"/>
    </row>
    <row r="169" spans="1:17" ht="23.1" customHeight="1">
      <c r="A169" s="64" t="s">
        <v>1111</v>
      </c>
      <c r="B169" s="64" t="s">
        <v>1093</v>
      </c>
      <c r="C169" s="64" t="s">
        <v>487</v>
      </c>
      <c r="D169" s="74" t="s">
        <v>485</v>
      </c>
      <c r="E169" s="74" t="s">
        <v>488</v>
      </c>
      <c r="F169" s="54" t="s">
        <v>266</v>
      </c>
      <c r="G169" s="80">
        <v>30</v>
      </c>
      <c r="H169" s="58"/>
      <c r="I169" s="58"/>
      <c r="J169" s="58"/>
      <c r="K169" s="58"/>
      <c r="L169" s="58"/>
      <c r="M169" s="58"/>
      <c r="N169" s="58"/>
      <c r="O169" s="58"/>
      <c r="P169" s="58"/>
      <c r="Q169" s="74"/>
    </row>
    <row r="170" spans="1:17" ht="23.1" customHeight="1">
      <c r="A170" s="64" t="s">
        <v>1112</v>
      </c>
      <c r="B170" s="64" t="s">
        <v>1093</v>
      </c>
      <c r="C170" s="64" t="s">
        <v>489</v>
      </c>
      <c r="D170" s="74" t="s">
        <v>490</v>
      </c>
      <c r="E170" s="74" t="s">
        <v>491</v>
      </c>
      <c r="F170" s="54" t="s">
        <v>266</v>
      </c>
      <c r="G170" s="80">
        <v>16</v>
      </c>
      <c r="H170" s="58"/>
      <c r="I170" s="58"/>
      <c r="J170" s="58"/>
      <c r="K170" s="58"/>
      <c r="L170" s="58"/>
      <c r="M170" s="58"/>
      <c r="N170" s="58"/>
      <c r="O170" s="58"/>
      <c r="P170" s="58"/>
      <c r="Q170" s="74"/>
    </row>
    <row r="171" spans="1:17" ht="23.1" customHeight="1">
      <c r="A171" s="64" t="s">
        <v>1113</v>
      </c>
      <c r="B171" s="64" t="s">
        <v>1093</v>
      </c>
      <c r="C171" s="64" t="s">
        <v>492</v>
      </c>
      <c r="D171" s="74" t="s">
        <v>490</v>
      </c>
      <c r="E171" s="74" t="s">
        <v>493</v>
      </c>
      <c r="F171" s="54" t="s">
        <v>266</v>
      </c>
      <c r="G171" s="80">
        <v>12</v>
      </c>
      <c r="H171" s="58"/>
      <c r="I171" s="58"/>
      <c r="J171" s="58"/>
      <c r="K171" s="58"/>
      <c r="L171" s="58"/>
      <c r="M171" s="58"/>
      <c r="N171" s="58"/>
      <c r="O171" s="58"/>
      <c r="P171" s="58"/>
      <c r="Q171" s="74"/>
    </row>
    <row r="172" spans="1:17" ht="23.1" customHeight="1">
      <c r="A172" s="64" t="s">
        <v>1114</v>
      </c>
      <c r="B172" s="64" t="s">
        <v>1093</v>
      </c>
      <c r="C172" s="64" t="s">
        <v>494</v>
      </c>
      <c r="D172" s="74" t="s">
        <v>490</v>
      </c>
      <c r="E172" s="74" t="s">
        <v>495</v>
      </c>
      <c r="F172" s="54" t="s">
        <v>266</v>
      </c>
      <c r="G172" s="80">
        <v>9</v>
      </c>
      <c r="H172" s="58"/>
      <c r="I172" s="58"/>
      <c r="J172" s="58"/>
      <c r="K172" s="58"/>
      <c r="L172" s="58"/>
      <c r="M172" s="58"/>
      <c r="N172" s="58"/>
      <c r="O172" s="58"/>
      <c r="P172" s="58"/>
      <c r="Q172" s="74"/>
    </row>
    <row r="173" spans="1:17" ht="23.1" customHeight="1">
      <c r="A173" s="64" t="s">
        <v>1115</v>
      </c>
      <c r="B173" s="64" t="s">
        <v>1093</v>
      </c>
      <c r="C173" s="64" t="s">
        <v>496</v>
      </c>
      <c r="D173" s="74" t="s">
        <v>490</v>
      </c>
      <c r="E173" s="74" t="s">
        <v>497</v>
      </c>
      <c r="F173" s="54" t="s">
        <v>266</v>
      </c>
      <c r="G173" s="80">
        <v>3</v>
      </c>
      <c r="H173" s="58"/>
      <c r="I173" s="58"/>
      <c r="J173" s="58"/>
      <c r="K173" s="58"/>
      <c r="L173" s="58"/>
      <c r="M173" s="58"/>
      <c r="N173" s="58"/>
      <c r="O173" s="58"/>
      <c r="P173" s="58"/>
      <c r="Q173" s="74"/>
    </row>
    <row r="174" spans="1:17" ht="23.1" customHeight="1">
      <c r="A174" s="64" t="s">
        <v>1116</v>
      </c>
      <c r="B174" s="64" t="s">
        <v>1093</v>
      </c>
      <c r="C174" s="64" t="s">
        <v>502</v>
      </c>
      <c r="D174" s="74" t="s">
        <v>503</v>
      </c>
      <c r="E174" s="74" t="s">
        <v>504</v>
      </c>
      <c r="F174" s="54" t="s">
        <v>266</v>
      </c>
      <c r="G174" s="80">
        <v>9</v>
      </c>
      <c r="H174" s="58"/>
      <c r="I174" s="58"/>
      <c r="J174" s="58"/>
      <c r="K174" s="58"/>
      <c r="L174" s="58"/>
      <c r="M174" s="58"/>
      <c r="N174" s="58"/>
      <c r="O174" s="58"/>
      <c r="P174" s="58"/>
      <c r="Q174" s="74"/>
    </row>
    <row r="175" spans="1:17" ht="23.1" customHeight="1">
      <c r="A175" s="64" t="s">
        <v>1117</v>
      </c>
      <c r="B175" s="64" t="s">
        <v>1093</v>
      </c>
      <c r="C175" s="64" t="s">
        <v>505</v>
      </c>
      <c r="D175" s="74" t="s">
        <v>506</v>
      </c>
      <c r="E175" s="74" t="s">
        <v>507</v>
      </c>
      <c r="F175" s="54" t="s">
        <v>266</v>
      </c>
      <c r="G175" s="80">
        <v>6</v>
      </c>
      <c r="H175" s="58"/>
      <c r="I175" s="58"/>
      <c r="J175" s="58"/>
      <c r="K175" s="58"/>
      <c r="L175" s="58"/>
      <c r="M175" s="58"/>
      <c r="N175" s="58"/>
      <c r="O175" s="58"/>
      <c r="P175" s="58"/>
      <c r="Q175" s="74"/>
    </row>
    <row r="176" spans="1:17" ht="23.1" customHeight="1">
      <c r="A176" s="64" t="s">
        <v>1118</v>
      </c>
      <c r="B176" s="64" t="s">
        <v>1093</v>
      </c>
      <c r="C176" s="64" t="s">
        <v>508</v>
      </c>
      <c r="D176" s="74" t="s">
        <v>506</v>
      </c>
      <c r="E176" s="74" t="s">
        <v>509</v>
      </c>
      <c r="F176" s="54" t="s">
        <v>266</v>
      </c>
      <c r="G176" s="80">
        <v>3</v>
      </c>
      <c r="H176" s="58"/>
      <c r="I176" s="58"/>
      <c r="J176" s="58"/>
      <c r="K176" s="58"/>
      <c r="L176" s="58"/>
      <c r="M176" s="58"/>
      <c r="N176" s="58"/>
      <c r="O176" s="58"/>
      <c r="P176" s="58"/>
      <c r="Q176" s="74"/>
    </row>
    <row r="177" spans="1:31" ht="23.1" customHeight="1">
      <c r="A177" s="64" t="s">
        <v>1119</v>
      </c>
      <c r="B177" s="64" t="s">
        <v>1093</v>
      </c>
      <c r="C177" s="64" t="s">
        <v>1120</v>
      </c>
      <c r="D177" s="74" t="s">
        <v>526</v>
      </c>
      <c r="E177" s="74" t="s">
        <v>1121</v>
      </c>
      <c r="F177" s="54"/>
      <c r="G177" s="80">
        <v>6</v>
      </c>
      <c r="H177" s="58"/>
      <c r="I177" s="58"/>
      <c r="J177" s="58"/>
      <c r="K177" s="58"/>
      <c r="L177" s="58"/>
      <c r="M177" s="58"/>
      <c r="N177" s="58"/>
      <c r="O177" s="58"/>
      <c r="P177" s="58"/>
      <c r="Q177" s="74"/>
    </row>
    <row r="178" spans="1:31" ht="23.1" customHeight="1">
      <c r="D178" s="74"/>
      <c r="E178" s="74"/>
      <c r="F178" s="54"/>
      <c r="G178" s="80"/>
      <c r="H178" s="58"/>
      <c r="I178" s="58"/>
      <c r="J178" s="58"/>
      <c r="K178" s="58"/>
      <c r="L178" s="58"/>
      <c r="M178" s="58"/>
      <c r="N178" s="58"/>
      <c r="O178" s="58"/>
      <c r="P178" s="58"/>
      <c r="Q178" s="74"/>
      <c r="AE178" s="49">
        <f>TRUNC(SUM(AE134:AE177))</f>
        <v>0</v>
      </c>
    </row>
    <row r="179" spans="1:31" ht="23.1" customHeight="1">
      <c r="D179" s="74"/>
      <c r="E179" s="74"/>
      <c r="F179" s="54"/>
      <c r="G179" s="80"/>
      <c r="H179" s="58"/>
      <c r="I179" s="58"/>
      <c r="J179" s="58"/>
      <c r="K179" s="58"/>
      <c r="L179" s="58"/>
      <c r="M179" s="58"/>
      <c r="N179" s="58"/>
      <c r="O179" s="58"/>
      <c r="P179" s="58"/>
      <c r="Q179" s="74"/>
    </row>
    <row r="180" spans="1:31" ht="23.1" customHeight="1">
      <c r="D180" s="74"/>
      <c r="E180" s="74"/>
      <c r="F180" s="54"/>
      <c r="G180" s="80"/>
      <c r="H180" s="58"/>
      <c r="I180" s="58"/>
      <c r="J180" s="58"/>
      <c r="K180" s="58"/>
      <c r="L180" s="58"/>
      <c r="M180" s="58"/>
      <c r="N180" s="58"/>
      <c r="O180" s="58"/>
      <c r="P180" s="58"/>
      <c r="Q180" s="74"/>
    </row>
    <row r="181" spans="1:31" ht="23.1" customHeight="1">
      <c r="D181" s="74"/>
      <c r="E181" s="74"/>
      <c r="F181" s="54"/>
      <c r="G181" s="80"/>
      <c r="H181" s="58"/>
      <c r="I181" s="58"/>
      <c r="J181" s="58"/>
      <c r="K181" s="58"/>
      <c r="L181" s="58"/>
      <c r="M181" s="58"/>
      <c r="N181" s="58"/>
      <c r="O181" s="58"/>
      <c r="P181" s="58"/>
      <c r="Q181" s="74"/>
    </row>
    <row r="182" spans="1:31" ht="23.1" customHeight="1">
      <c r="D182" s="74"/>
      <c r="E182" s="74"/>
      <c r="F182" s="54"/>
      <c r="G182" s="80"/>
      <c r="H182" s="58"/>
      <c r="I182" s="58"/>
      <c r="J182" s="58"/>
      <c r="K182" s="58"/>
      <c r="L182" s="58"/>
      <c r="M182" s="58"/>
      <c r="N182" s="58"/>
      <c r="O182" s="58"/>
      <c r="P182" s="58"/>
      <c r="Q182" s="74"/>
    </row>
    <row r="183" spans="1:31" ht="23.1" customHeight="1">
      <c r="D183" s="74"/>
      <c r="E183" s="74"/>
      <c r="F183" s="54"/>
      <c r="G183" s="80"/>
      <c r="H183" s="58"/>
      <c r="I183" s="58"/>
      <c r="J183" s="58"/>
      <c r="K183" s="58"/>
      <c r="L183" s="58"/>
      <c r="M183" s="58"/>
      <c r="N183" s="58"/>
      <c r="O183" s="58"/>
      <c r="P183" s="58"/>
      <c r="Q183" s="74"/>
    </row>
    <row r="184" spans="1:31" ht="23.1" customHeight="1">
      <c r="D184" s="74"/>
      <c r="E184" s="74"/>
      <c r="F184" s="54"/>
      <c r="G184" s="80"/>
      <c r="H184" s="58"/>
      <c r="I184" s="58"/>
      <c r="J184" s="58"/>
      <c r="K184" s="58"/>
      <c r="L184" s="58"/>
      <c r="M184" s="58"/>
      <c r="N184" s="58"/>
      <c r="O184" s="58"/>
      <c r="P184" s="58"/>
      <c r="Q184" s="74"/>
    </row>
    <row r="185" spans="1:31" ht="23.1" customHeight="1">
      <c r="B185" s="64" t="s">
        <v>921</v>
      </c>
      <c r="D185" s="74" t="s">
        <v>922</v>
      </c>
      <c r="E185" s="74"/>
      <c r="F185" s="54"/>
      <c r="G185" s="80"/>
      <c r="H185" s="58"/>
      <c r="I185" s="58"/>
      <c r="J185" s="58"/>
      <c r="K185" s="58"/>
      <c r="L185" s="58"/>
      <c r="M185" s="58"/>
      <c r="N185" s="58"/>
      <c r="O185" s="58"/>
      <c r="P185" s="58"/>
      <c r="Q185" s="74"/>
    </row>
    <row r="186" spans="1:31" ht="23.1" customHeight="1">
      <c r="B186" s="64" t="s">
        <v>573</v>
      </c>
      <c r="D186" s="158" t="s">
        <v>1122</v>
      </c>
      <c r="E186" s="159"/>
      <c r="F186" s="159"/>
      <c r="G186" s="159"/>
      <c r="H186" s="159"/>
      <c r="I186" s="159"/>
      <c r="J186" s="159"/>
      <c r="K186" s="159"/>
      <c r="L186" s="159"/>
      <c r="M186" s="159"/>
      <c r="N186" s="159"/>
      <c r="O186" s="159"/>
      <c r="P186" s="159"/>
      <c r="Q186" s="160"/>
    </row>
    <row r="187" spans="1:31" ht="23.1" customHeight="1">
      <c r="A187" s="64" t="s">
        <v>1123</v>
      </c>
      <c r="B187" s="64" t="s">
        <v>1124</v>
      </c>
      <c r="C187" s="64" t="s">
        <v>447</v>
      </c>
      <c r="D187" s="74" t="s">
        <v>448</v>
      </c>
      <c r="E187" s="74"/>
      <c r="F187" s="54" t="s">
        <v>449</v>
      </c>
      <c r="G187" s="80">
        <v>1</v>
      </c>
      <c r="H187" s="58"/>
      <c r="I187" s="58"/>
      <c r="J187" s="58"/>
      <c r="K187" s="58"/>
      <c r="L187" s="58"/>
      <c r="M187" s="58"/>
      <c r="N187" s="58"/>
      <c r="O187" s="58"/>
      <c r="P187" s="58"/>
      <c r="Q187" s="74"/>
    </row>
    <row r="188" spans="1:31" ht="23.1" customHeight="1">
      <c r="D188" s="74"/>
      <c r="E188" s="74"/>
      <c r="F188" s="54"/>
      <c r="G188" s="80"/>
      <c r="H188" s="58"/>
      <c r="I188" s="58">
        <f t="shared" ref="I188:I210" si="4">TRUNC(G188*H188)</f>
        <v>0</v>
      </c>
      <c r="J188" s="58"/>
      <c r="K188" s="58"/>
      <c r="L188" s="58">
        <f t="shared" ref="L188:L210" si="5">TRUNC(G188*K188)</f>
        <v>0</v>
      </c>
      <c r="M188" s="58"/>
      <c r="N188" s="58">
        <f t="shared" ref="N188:N210" si="6">TRUNC(G188*M188)</f>
        <v>0</v>
      </c>
      <c r="O188" s="58"/>
      <c r="P188" s="58">
        <f t="shared" ref="P188:P210" si="7">SUM(I188,L188,N188)</f>
        <v>0</v>
      </c>
      <c r="Q188" s="74"/>
      <c r="AE188" s="49">
        <f>TRUNC(SUM(AE186:AE187))</f>
        <v>0</v>
      </c>
    </row>
    <row r="189" spans="1:31" ht="23.1" customHeight="1">
      <c r="D189" s="74"/>
      <c r="E189" s="74"/>
      <c r="F189" s="54"/>
      <c r="G189" s="80"/>
      <c r="H189" s="58"/>
      <c r="I189" s="58">
        <f t="shared" si="4"/>
        <v>0</v>
      </c>
      <c r="J189" s="58"/>
      <c r="K189" s="58"/>
      <c r="L189" s="58">
        <f t="shared" si="5"/>
        <v>0</v>
      </c>
      <c r="M189" s="58"/>
      <c r="N189" s="58">
        <f t="shared" si="6"/>
        <v>0</v>
      </c>
      <c r="O189" s="58"/>
      <c r="P189" s="58">
        <f t="shared" si="7"/>
        <v>0</v>
      </c>
      <c r="Q189" s="74"/>
    </row>
    <row r="190" spans="1:31" ht="23.1" customHeight="1">
      <c r="D190" s="74"/>
      <c r="E190" s="74"/>
      <c r="F190" s="54"/>
      <c r="G190" s="80"/>
      <c r="H190" s="58"/>
      <c r="I190" s="58">
        <f t="shared" si="4"/>
        <v>0</v>
      </c>
      <c r="J190" s="58"/>
      <c r="K190" s="58"/>
      <c r="L190" s="58">
        <f t="shared" si="5"/>
        <v>0</v>
      </c>
      <c r="M190" s="58"/>
      <c r="N190" s="58">
        <f t="shared" si="6"/>
        <v>0</v>
      </c>
      <c r="O190" s="58"/>
      <c r="P190" s="58">
        <f t="shared" si="7"/>
        <v>0</v>
      </c>
      <c r="Q190" s="74"/>
    </row>
    <row r="191" spans="1:31" ht="23.1" customHeight="1">
      <c r="D191" s="74"/>
      <c r="E191" s="74"/>
      <c r="F191" s="54"/>
      <c r="G191" s="80"/>
      <c r="H191" s="58"/>
      <c r="I191" s="58">
        <f t="shared" si="4"/>
        <v>0</v>
      </c>
      <c r="J191" s="58"/>
      <c r="K191" s="58"/>
      <c r="L191" s="58">
        <f t="shared" si="5"/>
        <v>0</v>
      </c>
      <c r="M191" s="58"/>
      <c r="N191" s="58">
        <f t="shared" si="6"/>
        <v>0</v>
      </c>
      <c r="O191" s="58"/>
      <c r="P191" s="58">
        <f t="shared" si="7"/>
        <v>0</v>
      </c>
      <c r="Q191" s="74"/>
    </row>
    <row r="192" spans="1:31" ht="23.1" customHeight="1">
      <c r="D192" s="74"/>
      <c r="E192" s="74"/>
      <c r="F192" s="54"/>
      <c r="G192" s="80"/>
      <c r="H192" s="58"/>
      <c r="I192" s="58">
        <f t="shared" si="4"/>
        <v>0</v>
      </c>
      <c r="J192" s="58"/>
      <c r="K192" s="58"/>
      <c r="L192" s="58">
        <f t="shared" si="5"/>
        <v>0</v>
      </c>
      <c r="M192" s="58"/>
      <c r="N192" s="58">
        <f t="shared" si="6"/>
        <v>0</v>
      </c>
      <c r="O192" s="58"/>
      <c r="P192" s="58">
        <f t="shared" si="7"/>
        <v>0</v>
      </c>
      <c r="Q192" s="74"/>
    </row>
    <row r="193" spans="4:17" ht="23.1" customHeight="1">
      <c r="D193" s="74"/>
      <c r="E193" s="74"/>
      <c r="F193" s="54"/>
      <c r="G193" s="80"/>
      <c r="H193" s="58"/>
      <c r="I193" s="58">
        <f t="shared" si="4"/>
        <v>0</v>
      </c>
      <c r="J193" s="58"/>
      <c r="K193" s="58"/>
      <c r="L193" s="58">
        <f t="shared" si="5"/>
        <v>0</v>
      </c>
      <c r="M193" s="58"/>
      <c r="N193" s="58">
        <f t="shared" si="6"/>
        <v>0</v>
      </c>
      <c r="O193" s="58"/>
      <c r="P193" s="58">
        <f t="shared" si="7"/>
        <v>0</v>
      </c>
      <c r="Q193" s="74"/>
    </row>
    <row r="194" spans="4:17" ht="23.1" customHeight="1">
      <c r="D194" s="74"/>
      <c r="E194" s="74"/>
      <c r="F194" s="54"/>
      <c r="G194" s="80"/>
      <c r="H194" s="58"/>
      <c r="I194" s="58">
        <f t="shared" si="4"/>
        <v>0</v>
      </c>
      <c r="J194" s="58"/>
      <c r="K194" s="58"/>
      <c r="L194" s="58">
        <f t="shared" si="5"/>
        <v>0</v>
      </c>
      <c r="M194" s="58"/>
      <c r="N194" s="58">
        <f t="shared" si="6"/>
        <v>0</v>
      </c>
      <c r="O194" s="58"/>
      <c r="P194" s="58">
        <f t="shared" si="7"/>
        <v>0</v>
      </c>
      <c r="Q194" s="74"/>
    </row>
    <row r="195" spans="4:17" ht="23.1" customHeight="1">
      <c r="D195" s="74"/>
      <c r="E195" s="74"/>
      <c r="F195" s="54"/>
      <c r="G195" s="80"/>
      <c r="H195" s="58"/>
      <c r="I195" s="58">
        <f t="shared" si="4"/>
        <v>0</v>
      </c>
      <c r="J195" s="58"/>
      <c r="K195" s="58"/>
      <c r="L195" s="58">
        <f t="shared" si="5"/>
        <v>0</v>
      </c>
      <c r="M195" s="58"/>
      <c r="N195" s="58">
        <f t="shared" si="6"/>
        <v>0</v>
      </c>
      <c r="O195" s="58"/>
      <c r="P195" s="58">
        <f t="shared" si="7"/>
        <v>0</v>
      </c>
      <c r="Q195" s="74"/>
    </row>
    <row r="196" spans="4:17" ht="23.1" customHeight="1">
      <c r="D196" s="74"/>
      <c r="E196" s="74"/>
      <c r="F196" s="54"/>
      <c r="G196" s="80"/>
      <c r="H196" s="58"/>
      <c r="I196" s="58">
        <f t="shared" si="4"/>
        <v>0</v>
      </c>
      <c r="J196" s="58"/>
      <c r="K196" s="58"/>
      <c r="L196" s="58">
        <f t="shared" si="5"/>
        <v>0</v>
      </c>
      <c r="M196" s="58"/>
      <c r="N196" s="58">
        <f t="shared" si="6"/>
        <v>0</v>
      </c>
      <c r="O196" s="58"/>
      <c r="P196" s="58">
        <f t="shared" si="7"/>
        <v>0</v>
      </c>
      <c r="Q196" s="74"/>
    </row>
    <row r="197" spans="4:17" ht="23.1" customHeight="1">
      <c r="D197" s="74"/>
      <c r="E197" s="74"/>
      <c r="F197" s="54"/>
      <c r="G197" s="80"/>
      <c r="H197" s="58"/>
      <c r="I197" s="58">
        <f t="shared" si="4"/>
        <v>0</v>
      </c>
      <c r="J197" s="58"/>
      <c r="K197" s="58"/>
      <c r="L197" s="58">
        <f t="shared" si="5"/>
        <v>0</v>
      </c>
      <c r="M197" s="58"/>
      <c r="N197" s="58">
        <f t="shared" si="6"/>
        <v>0</v>
      </c>
      <c r="O197" s="58"/>
      <c r="P197" s="58">
        <f t="shared" si="7"/>
        <v>0</v>
      </c>
      <c r="Q197" s="74"/>
    </row>
    <row r="198" spans="4:17" ht="23.1" customHeight="1">
      <c r="D198" s="74"/>
      <c r="E198" s="74"/>
      <c r="F198" s="54"/>
      <c r="G198" s="80"/>
      <c r="H198" s="58"/>
      <c r="I198" s="58">
        <f t="shared" si="4"/>
        <v>0</v>
      </c>
      <c r="J198" s="58"/>
      <c r="K198" s="58"/>
      <c r="L198" s="58">
        <f t="shared" si="5"/>
        <v>0</v>
      </c>
      <c r="M198" s="58"/>
      <c r="N198" s="58">
        <f t="shared" si="6"/>
        <v>0</v>
      </c>
      <c r="O198" s="58"/>
      <c r="P198" s="58">
        <f t="shared" si="7"/>
        <v>0</v>
      </c>
      <c r="Q198" s="74"/>
    </row>
    <row r="199" spans="4:17" ht="23.1" customHeight="1">
      <c r="D199" s="74"/>
      <c r="E199" s="74"/>
      <c r="F199" s="54"/>
      <c r="G199" s="80"/>
      <c r="H199" s="58"/>
      <c r="I199" s="58">
        <f t="shared" si="4"/>
        <v>0</v>
      </c>
      <c r="J199" s="58"/>
      <c r="K199" s="58"/>
      <c r="L199" s="58">
        <f t="shared" si="5"/>
        <v>0</v>
      </c>
      <c r="M199" s="58"/>
      <c r="N199" s="58">
        <f t="shared" si="6"/>
        <v>0</v>
      </c>
      <c r="O199" s="58"/>
      <c r="P199" s="58">
        <f t="shared" si="7"/>
        <v>0</v>
      </c>
      <c r="Q199" s="74"/>
    </row>
    <row r="200" spans="4:17" ht="23.1" customHeight="1">
      <c r="D200" s="74"/>
      <c r="E200" s="74"/>
      <c r="F200" s="54"/>
      <c r="G200" s="80"/>
      <c r="H200" s="58"/>
      <c r="I200" s="58">
        <f t="shared" si="4"/>
        <v>0</v>
      </c>
      <c r="J200" s="58"/>
      <c r="K200" s="58"/>
      <c r="L200" s="58">
        <f t="shared" si="5"/>
        <v>0</v>
      </c>
      <c r="M200" s="58"/>
      <c r="N200" s="58">
        <f t="shared" si="6"/>
        <v>0</v>
      </c>
      <c r="O200" s="58"/>
      <c r="P200" s="58">
        <f t="shared" si="7"/>
        <v>0</v>
      </c>
      <c r="Q200" s="74"/>
    </row>
    <row r="201" spans="4:17" ht="23.1" customHeight="1">
      <c r="D201" s="74"/>
      <c r="E201" s="74"/>
      <c r="F201" s="54"/>
      <c r="G201" s="80"/>
      <c r="H201" s="58"/>
      <c r="I201" s="58">
        <f t="shared" si="4"/>
        <v>0</v>
      </c>
      <c r="J201" s="58"/>
      <c r="K201" s="58"/>
      <c r="L201" s="58">
        <f t="shared" si="5"/>
        <v>0</v>
      </c>
      <c r="M201" s="58"/>
      <c r="N201" s="58">
        <f t="shared" si="6"/>
        <v>0</v>
      </c>
      <c r="O201" s="58"/>
      <c r="P201" s="58">
        <f t="shared" si="7"/>
        <v>0</v>
      </c>
      <c r="Q201" s="74"/>
    </row>
    <row r="202" spans="4:17" ht="23.1" customHeight="1">
      <c r="D202" s="74"/>
      <c r="E202" s="74"/>
      <c r="F202" s="54"/>
      <c r="G202" s="80"/>
      <c r="H202" s="58"/>
      <c r="I202" s="58">
        <f t="shared" si="4"/>
        <v>0</v>
      </c>
      <c r="J202" s="58"/>
      <c r="K202" s="58"/>
      <c r="L202" s="58">
        <f t="shared" si="5"/>
        <v>0</v>
      </c>
      <c r="M202" s="58"/>
      <c r="N202" s="58">
        <f t="shared" si="6"/>
        <v>0</v>
      </c>
      <c r="O202" s="58"/>
      <c r="P202" s="58">
        <f t="shared" si="7"/>
        <v>0</v>
      </c>
      <c r="Q202" s="74"/>
    </row>
    <row r="203" spans="4:17" ht="23.1" customHeight="1">
      <c r="D203" s="74"/>
      <c r="E203" s="74"/>
      <c r="F203" s="54"/>
      <c r="G203" s="80"/>
      <c r="H203" s="58"/>
      <c r="I203" s="58">
        <f t="shared" si="4"/>
        <v>0</v>
      </c>
      <c r="J203" s="58"/>
      <c r="K203" s="58"/>
      <c r="L203" s="58">
        <f t="shared" si="5"/>
        <v>0</v>
      </c>
      <c r="M203" s="58"/>
      <c r="N203" s="58">
        <f t="shared" si="6"/>
        <v>0</v>
      </c>
      <c r="O203" s="58"/>
      <c r="P203" s="58">
        <f t="shared" si="7"/>
        <v>0</v>
      </c>
      <c r="Q203" s="74"/>
    </row>
    <row r="204" spans="4:17" ht="23.1" customHeight="1">
      <c r="D204" s="74"/>
      <c r="E204" s="74"/>
      <c r="F204" s="54"/>
      <c r="G204" s="80"/>
      <c r="H204" s="58"/>
      <c r="I204" s="58">
        <f t="shared" si="4"/>
        <v>0</v>
      </c>
      <c r="J204" s="58"/>
      <c r="K204" s="58"/>
      <c r="L204" s="58">
        <f t="shared" si="5"/>
        <v>0</v>
      </c>
      <c r="M204" s="58"/>
      <c r="N204" s="58">
        <f t="shared" si="6"/>
        <v>0</v>
      </c>
      <c r="O204" s="58"/>
      <c r="P204" s="58">
        <f t="shared" si="7"/>
        <v>0</v>
      </c>
      <c r="Q204" s="74"/>
    </row>
    <row r="205" spans="4:17" ht="23.1" customHeight="1">
      <c r="D205" s="74"/>
      <c r="E205" s="74"/>
      <c r="F205" s="54"/>
      <c r="G205" s="80"/>
      <c r="H205" s="58"/>
      <c r="I205" s="58">
        <f t="shared" si="4"/>
        <v>0</v>
      </c>
      <c r="J205" s="58"/>
      <c r="K205" s="58"/>
      <c r="L205" s="58">
        <f t="shared" si="5"/>
        <v>0</v>
      </c>
      <c r="M205" s="58"/>
      <c r="N205" s="58">
        <f t="shared" si="6"/>
        <v>0</v>
      </c>
      <c r="O205" s="58"/>
      <c r="P205" s="58">
        <f t="shared" si="7"/>
        <v>0</v>
      </c>
      <c r="Q205" s="74"/>
    </row>
    <row r="206" spans="4:17" ht="23.1" customHeight="1">
      <c r="D206" s="74"/>
      <c r="E206" s="74"/>
      <c r="F206" s="54"/>
      <c r="G206" s="80"/>
      <c r="H206" s="58"/>
      <c r="I206" s="58">
        <f t="shared" si="4"/>
        <v>0</v>
      </c>
      <c r="J206" s="58"/>
      <c r="K206" s="58"/>
      <c r="L206" s="58">
        <f t="shared" si="5"/>
        <v>0</v>
      </c>
      <c r="M206" s="58"/>
      <c r="N206" s="58">
        <f t="shared" si="6"/>
        <v>0</v>
      </c>
      <c r="O206" s="58"/>
      <c r="P206" s="58">
        <f t="shared" si="7"/>
        <v>0</v>
      </c>
      <c r="Q206" s="74"/>
    </row>
    <row r="207" spans="4:17" ht="23.1" customHeight="1">
      <c r="D207" s="74"/>
      <c r="E207" s="74"/>
      <c r="F207" s="54"/>
      <c r="G207" s="80"/>
      <c r="H207" s="58"/>
      <c r="I207" s="58">
        <f t="shared" si="4"/>
        <v>0</v>
      </c>
      <c r="J207" s="58"/>
      <c r="K207" s="58"/>
      <c r="L207" s="58">
        <f t="shared" si="5"/>
        <v>0</v>
      </c>
      <c r="M207" s="58"/>
      <c r="N207" s="58">
        <f t="shared" si="6"/>
        <v>0</v>
      </c>
      <c r="O207" s="58"/>
      <c r="P207" s="58">
        <f t="shared" si="7"/>
        <v>0</v>
      </c>
      <c r="Q207" s="74"/>
    </row>
    <row r="208" spans="4:17" ht="23.1" customHeight="1">
      <c r="D208" s="74"/>
      <c r="E208" s="74"/>
      <c r="F208" s="54"/>
      <c r="G208" s="80"/>
      <c r="H208" s="58"/>
      <c r="I208" s="58">
        <f t="shared" si="4"/>
        <v>0</v>
      </c>
      <c r="J208" s="58"/>
      <c r="K208" s="58"/>
      <c r="L208" s="58">
        <f t="shared" si="5"/>
        <v>0</v>
      </c>
      <c r="M208" s="58"/>
      <c r="N208" s="58">
        <f t="shared" si="6"/>
        <v>0</v>
      </c>
      <c r="O208" s="58"/>
      <c r="P208" s="58">
        <f t="shared" si="7"/>
        <v>0</v>
      </c>
      <c r="Q208" s="74"/>
    </row>
    <row r="209" spans="1:29" ht="23.1" customHeight="1">
      <c r="D209" s="74"/>
      <c r="E209" s="74"/>
      <c r="F209" s="54"/>
      <c r="G209" s="80"/>
      <c r="H209" s="58"/>
      <c r="I209" s="58">
        <f t="shared" si="4"/>
        <v>0</v>
      </c>
      <c r="J209" s="58"/>
      <c r="K209" s="58"/>
      <c r="L209" s="58">
        <f t="shared" si="5"/>
        <v>0</v>
      </c>
      <c r="M209" s="58"/>
      <c r="N209" s="58">
        <f t="shared" si="6"/>
        <v>0</v>
      </c>
      <c r="O209" s="58"/>
      <c r="P209" s="58">
        <f t="shared" si="7"/>
        <v>0</v>
      </c>
      <c r="Q209" s="74"/>
    </row>
    <row r="210" spans="1:29" ht="23.1" customHeight="1">
      <c r="D210" s="74"/>
      <c r="E210" s="74"/>
      <c r="F210" s="54"/>
      <c r="G210" s="80"/>
      <c r="H210" s="58"/>
      <c r="I210" s="58">
        <f t="shared" si="4"/>
        <v>0</v>
      </c>
      <c r="J210" s="58"/>
      <c r="K210" s="58"/>
      <c r="L210" s="58">
        <f t="shared" si="5"/>
        <v>0</v>
      </c>
      <c r="M210" s="58"/>
      <c r="N210" s="58">
        <f t="shared" si="6"/>
        <v>0</v>
      </c>
      <c r="O210" s="58"/>
      <c r="P210" s="58">
        <f t="shared" si="7"/>
        <v>0</v>
      </c>
      <c r="Q210" s="74"/>
    </row>
    <row r="211" spans="1:29" ht="23.1" customHeight="1">
      <c r="B211" s="64" t="s">
        <v>921</v>
      </c>
      <c r="D211" s="74" t="s">
        <v>922</v>
      </c>
      <c r="E211" s="74"/>
      <c r="F211" s="54"/>
      <c r="G211" s="80"/>
      <c r="H211" s="58"/>
      <c r="I211" s="58">
        <f>TRUNC(SUM(I186:I210))</f>
        <v>0</v>
      </c>
      <c r="J211" s="58"/>
      <c r="K211" s="58"/>
      <c r="L211" s="58">
        <f>TRUNC(SUM(L186:L210))</f>
        <v>0</v>
      </c>
      <c r="M211" s="58"/>
      <c r="N211" s="58">
        <f>TRUNC(SUM(N186:N210))</f>
        <v>0</v>
      </c>
      <c r="O211" s="58"/>
      <c r="P211" s="58">
        <f>TRUNC(SUM(P186:P210))</f>
        <v>0</v>
      </c>
      <c r="Q211" s="74"/>
    </row>
    <row r="212" spans="1:29" ht="23.1" customHeight="1">
      <c r="B212" s="64" t="s">
        <v>573</v>
      </c>
      <c r="D212" s="158" t="s">
        <v>1125</v>
      </c>
      <c r="E212" s="159"/>
      <c r="F212" s="159"/>
      <c r="G212" s="159"/>
      <c r="H212" s="159"/>
      <c r="I212" s="159"/>
      <c r="J212" s="159"/>
      <c r="K212" s="159"/>
      <c r="L212" s="159"/>
      <c r="M212" s="159"/>
      <c r="N212" s="159"/>
      <c r="O212" s="159"/>
      <c r="P212" s="159"/>
      <c r="Q212" s="160"/>
    </row>
    <row r="213" spans="1:29" ht="23.1" customHeight="1">
      <c r="A213" s="64" t="s">
        <v>741</v>
      </c>
      <c r="B213" s="64" t="s">
        <v>1126</v>
      </c>
      <c r="C213" s="64" t="s">
        <v>742</v>
      </c>
      <c r="D213" s="74" t="s">
        <v>194</v>
      </c>
      <c r="E213" s="74" t="s">
        <v>195</v>
      </c>
      <c r="F213" s="54" t="s">
        <v>196</v>
      </c>
      <c r="G213" s="80">
        <v>1313</v>
      </c>
      <c r="H213" s="58">
        <f>일대목차!I13</f>
        <v>945</v>
      </c>
      <c r="I213" s="58">
        <f t="shared" ref="I213:I244" si="8">TRUNC(G213*H213)</f>
        <v>1240785</v>
      </c>
      <c r="J213" s="58">
        <v>1313</v>
      </c>
      <c r="K213" s="58">
        <f>일대목차!L13</f>
        <v>9002</v>
      </c>
      <c r="L213" s="58">
        <f t="shared" ref="L213:L244" si="9">TRUNC(G213*K213)</f>
        <v>11819626</v>
      </c>
      <c r="M213" s="58">
        <f>일대목차!N13</f>
        <v>0</v>
      </c>
      <c r="N213" s="58">
        <f t="shared" ref="N213:N244" si="10">TRUNC(G213*M213)</f>
        <v>0</v>
      </c>
      <c r="O213" s="58"/>
      <c r="P213" s="58">
        <f t="shared" ref="P213:P244" si="11">SUM(I213,L213,N213)</f>
        <v>13060411</v>
      </c>
      <c r="Q213" s="74" t="s">
        <v>743</v>
      </c>
      <c r="AB213" s="49">
        <f>G213*H213</f>
        <v>1240785</v>
      </c>
      <c r="AC213" s="49">
        <f t="shared" ref="AC213:AC220" si="12">G213*H213</f>
        <v>1240785</v>
      </c>
    </row>
    <row r="214" spans="1:29" ht="23.1" customHeight="1">
      <c r="A214" s="64" t="s">
        <v>766</v>
      </c>
      <c r="B214" s="64" t="s">
        <v>1126</v>
      </c>
      <c r="C214" s="64" t="s">
        <v>767</v>
      </c>
      <c r="D214" s="74" t="s">
        <v>217</v>
      </c>
      <c r="E214" s="74" t="s">
        <v>218</v>
      </c>
      <c r="F214" s="54" t="s">
        <v>196</v>
      </c>
      <c r="G214" s="80">
        <v>16</v>
      </c>
      <c r="H214" s="58">
        <f>일대목차!I21</f>
        <v>1879</v>
      </c>
      <c r="I214" s="58">
        <f t="shared" si="8"/>
        <v>30064</v>
      </c>
      <c r="J214" s="58">
        <v>16</v>
      </c>
      <c r="K214" s="58">
        <f>일대목차!L21</f>
        <v>2463</v>
      </c>
      <c r="L214" s="58">
        <f t="shared" si="9"/>
        <v>39408</v>
      </c>
      <c r="M214" s="58">
        <f>일대목차!N21</f>
        <v>0</v>
      </c>
      <c r="N214" s="58">
        <f t="shared" si="10"/>
        <v>0</v>
      </c>
      <c r="O214" s="58"/>
      <c r="P214" s="58">
        <f t="shared" si="11"/>
        <v>69472</v>
      </c>
      <c r="Q214" s="74" t="s">
        <v>768</v>
      </c>
      <c r="AC214" s="49">
        <f t="shared" si="12"/>
        <v>30064</v>
      </c>
    </row>
    <row r="215" spans="1:29" ht="23.1" customHeight="1">
      <c r="A215" s="64" t="s">
        <v>769</v>
      </c>
      <c r="B215" s="64" t="s">
        <v>1126</v>
      </c>
      <c r="C215" s="64" t="s">
        <v>770</v>
      </c>
      <c r="D215" s="74" t="s">
        <v>222</v>
      </c>
      <c r="E215" s="74" t="s">
        <v>223</v>
      </c>
      <c r="F215" s="54" t="s">
        <v>196</v>
      </c>
      <c r="G215" s="80">
        <v>1392</v>
      </c>
      <c r="H215" s="58">
        <f>일대목차!I22</f>
        <v>3116</v>
      </c>
      <c r="I215" s="58">
        <f t="shared" si="8"/>
        <v>4337472</v>
      </c>
      <c r="J215" s="58">
        <v>1392</v>
      </c>
      <c r="K215" s="58">
        <f>일대목차!L22</f>
        <v>2463</v>
      </c>
      <c r="L215" s="58">
        <f t="shared" si="9"/>
        <v>3428496</v>
      </c>
      <c r="M215" s="58">
        <f>일대목차!N22</f>
        <v>0</v>
      </c>
      <c r="N215" s="58">
        <f t="shared" si="10"/>
        <v>0</v>
      </c>
      <c r="O215" s="58"/>
      <c r="P215" s="58">
        <f t="shared" si="11"/>
        <v>7765968</v>
      </c>
      <c r="Q215" s="74" t="s">
        <v>771</v>
      </c>
      <c r="AC215" s="49">
        <f t="shared" si="12"/>
        <v>4337472</v>
      </c>
    </row>
    <row r="216" spans="1:29" ht="23.1" customHeight="1">
      <c r="A216" s="64" t="s">
        <v>772</v>
      </c>
      <c r="B216" s="64" t="s">
        <v>1126</v>
      </c>
      <c r="C216" s="64" t="s">
        <v>773</v>
      </c>
      <c r="D216" s="74" t="s">
        <v>222</v>
      </c>
      <c r="E216" s="74" t="s">
        <v>225</v>
      </c>
      <c r="F216" s="54" t="s">
        <v>196</v>
      </c>
      <c r="G216" s="80">
        <v>9</v>
      </c>
      <c r="H216" s="58">
        <f>일대목차!I23</f>
        <v>4094</v>
      </c>
      <c r="I216" s="58">
        <f t="shared" si="8"/>
        <v>36846</v>
      </c>
      <c r="J216" s="58">
        <v>9</v>
      </c>
      <c r="K216" s="58">
        <f>일대목차!L23</f>
        <v>2873</v>
      </c>
      <c r="L216" s="58">
        <f t="shared" si="9"/>
        <v>25857</v>
      </c>
      <c r="M216" s="58">
        <f>일대목차!N23</f>
        <v>0</v>
      </c>
      <c r="N216" s="58">
        <f t="shared" si="10"/>
        <v>0</v>
      </c>
      <c r="O216" s="58"/>
      <c r="P216" s="58">
        <f t="shared" si="11"/>
        <v>62703</v>
      </c>
      <c r="Q216" s="74" t="s">
        <v>774</v>
      </c>
      <c r="AC216" s="49">
        <f t="shared" si="12"/>
        <v>36846</v>
      </c>
    </row>
    <row r="217" spans="1:29" ht="23.1" customHeight="1">
      <c r="A217" s="64" t="s">
        <v>775</v>
      </c>
      <c r="B217" s="64" t="s">
        <v>1126</v>
      </c>
      <c r="C217" s="64" t="s">
        <v>776</v>
      </c>
      <c r="D217" s="74" t="s">
        <v>227</v>
      </c>
      <c r="E217" s="74" t="s">
        <v>228</v>
      </c>
      <c r="F217" s="54" t="s">
        <v>196</v>
      </c>
      <c r="G217" s="80">
        <v>517</v>
      </c>
      <c r="H217" s="58">
        <f>일대목차!I24</f>
        <v>2116</v>
      </c>
      <c r="I217" s="58">
        <f t="shared" si="8"/>
        <v>1093972</v>
      </c>
      <c r="J217" s="58">
        <v>517</v>
      </c>
      <c r="K217" s="58">
        <f>일대목차!L24</f>
        <v>4258</v>
      </c>
      <c r="L217" s="58">
        <f t="shared" si="9"/>
        <v>2201386</v>
      </c>
      <c r="M217" s="58">
        <f>일대목차!N24</f>
        <v>0</v>
      </c>
      <c r="N217" s="58">
        <f t="shared" si="10"/>
        <v>0</v>
      </c>
      <c r="O217" s="58"/>
      <c r="P217" s="58">
        <f t="shared" si="11"/>
        <v>3295358</v>
      </c>
      <c r="Q217" s="74" t="s">
        <v>777</v>
      </c>
      <c r="AC217" s="49">
        <f t="shared" si="12"/>
        <v>1093972</v>
      </c>
    </row>
    <row r="218" spans="1:29" ht="23.1" customHeight="1">
      <c r="A218" s="64" t="s">
        <v>1067</v>
      </c>
      <c r="B218" s="64" t="s">
        <v>1126</v>
      </c>
      <c r="C218" s="64" t="s">
        <v>235</v>
      </c>
      <c r="D218" s="74" t="s">
        <v>232</v>
      </c>
      <c r="E218" s="74" t="s">
        <v>236</v>
      </c>
      <c r="F218" s="54" t="s">
        <v>196</v>
      </c>
      <c r="G218" s="80">
        <v>263</v>
      </c>
      <c r="H218" s="58">
        <f>합산자재!H17</f>
        <v>4423</v>
      </c>
      <c r="I218" s="58">
        <f t="shared" si="8"/>
        <v>1163249</v>
      </c>
      <c r="J218" s="58">
        <v>256</v>
      </c>
      <c r="K218" s="58">
        <f>합산자재!I17</f>
        <v>0</v>
      </c>
      <c r="L218" s="58">
        <f t="shared" si="9"/>
        <v>0</v>
      </c>
      <c r="M218" s="58">
        <f>합산자재!J17</f>
        <v>0</v>
      </c>
      <c r="N218" s="58">
        <f t="shared" si="10"/>
        <v>0</v>
      </c>
      <c r="O218" s="58"/>
      <c r="P218" s="58">
        <f t="shared" si="11"/>
        <v>1163249</v>
      </c>
      <c r="Q218" s="74"/>
      <c r="AC218" s="49">
        <f t="shared" si="12"/>
        <v>1163249</v>
      </c>
    </row>
    <row r="219" spans="1:29" ht="23.1" customHeight="1">
      <c r="A219" s="64" t="s">
        <v>1127</v>
      </c>
      <c r="B219" s="64" t="s">
        <v>1126</v>
      </c>
      <c r="C219" s="64" t="s">
        <v>241</v>
      </c>
      <c r="D219" s="74" t="s">
        <v>232</v>
      </c>
      <c r="E219" s="74" t="s">
        <v>242</v>
      </c>
      <c r="F219" s="54" t="s">
        <v>196</v>
      </c>
      <c r="G219" s="80">
        <v>52</v>
      </c>
      <c r="H219" s="58">
        <f>합산자재!H20</f>
        <v>14046</v>
      </c>
      <c r="I219" s="58">
        <f t="shared" si="8"/>
        <v>730392</v>
      </c>
      <c r="J219" s="58">
        <v>51</v>
      </c>
      <c r="K219" s="58">
        <f>합산자재!I20</f>
        <v>0</v>
      </c>
      <c r="L219" s="58">
        <f t="shared" si="9"/>
        <v>0</v>
      </c>
      <c r="M219" s="58">
        <f>합산자재!J20</f>
        <v>0</v>
      </c>
      <c r="N219" s="58">
        <f t="shared" si="10"/>
        <v>0</v>
      </c>
      <c r="O219" s="58"/>
      <c r="P219" s="58">
        <f t="shared" si="11"/>
        <v>730392</v>
      </c>
      <c r="Q219" s="74"/>
      <c r="AC219" s="49">
        <f t="shared" si="12"/>
        <v>730392</v>
      </c>
    </row>
    <row r="220" spans="1:29" ht="23.1" customHeight="1">
      <c r="A220" s="64" t="s">
        <v>1069</v>
      </c>
      <c r="B220" s="64" t="s">
        <v>1126</v>
      </c>
      <c r="C220" s="64" t="s">
        <v>247</v>
      </c>
      <c r="D220" s="74" t="s">
        <v>232</v>
      </c>
      <c r="E220" s="74" t="s">
        <v>248</v>
      </c>
      <c r="F220" s="54" t="s">
        <v>196</v>
      </c>
      <c r="G220" s="80">
        <v>1056</v>
      </c>
      <c r="H220" s="58">
        <f>합산자재!H23</f>
        <v>8027</v>
      </c>
      <c r="I220" s="58">
        <f t="shared" si="8"/>
        <v>8476512</v>
      </c>
      <c r="J220" s="58">
        <v>1026</v>
      </c>
      <c r="K220" s="58">
        <f>합산자재!I23</f>
        <v>0</v>
      </c>
      <c r="L220" s="58">
        <f t="shared" si="9"/>
        <v>0</v>
      </c>
      <c r="M220" s="58">
        <f>합산자재!J23</f>
        <v>0</v>
      </c>
      <c r="N220" s="58">
        <f t="shared" si="10"/>
        <v>0</v>
      </c>
      <c r="O220" s="58"/>
      <c r="P220" s="58">
        <f t="shared" si="11"/>
        <v>8476512</v>
      </c>
      <c r="Q220" s="74"/>
      <c r="AC220" s="49">
        <f t="shared" si="12"/>
        <v>8476512</v>
      </c>
    </row>
    <row r="221" spans="1:29" ht="23.1" customHeight="1">
      <c r="A221" s="64" t="s">
        <v>790</v>
      </c>
      <c r="B221" s="64" t="s">
        <v>1126</v>
      </c>
      <c r="C221" s="64" t="s">
        <v>791</v>
      </c>
      <c r="D221" s="74" t="s">
        <v>264</v>
      </c>
      <c r="E221" s="74" t="s">
        <v>265</v>
      </c>
      <c r="F221" s="54" t="s">
        <v>266</v>
      </c>
      <c r="G221" s="80">
        <v>3</v>
      </c>
      <c r="H221" s="58">
        <f>일대목차!I29</f>
        <v>7096</v>
      </c>
      <c r="I221" s="58">
        <f t="shared" si="8"/>
        <v>21288</v>
      </c>
      <c r="J221" s="58">
        <v>3</v>
      </c>
      <c r="K221" s="58">
        <f>일대목차!L29</f>
        <v>43869</v>
      </c>
      <c r="L221" s="58">
        <f t="shared" si="9"/>
        <v>131607</v>
      </c>
      <c r="M221" s="58">
        <f>일대목차!N29</f>
        <v>0</v>
      </c>
      <c r="N221" s="58">
        <f t="shared" si="10"/>
        <v>0</v>
      </c>
      <c r="O221" s="58"/>
      <c r="P221" s="58">
        <f t="shared" si="11"/>
        <v>152895</v>
      </c>
      <c r="Q221" s="74" t="s">
        <v>792</v>
      </c>
    </row>
    <row r="222" spans="1:29" ht="23.1" customHeight="1">
      <c r="A222" s="64" t="s">
        <v>793</v>
      </c>
      <c r="B222" s="64" t="s">
        <v>1126</v>
      </c>
      <c r="C222" s="64" t="s">
        <v>794</v>
      </c>
      <c r="D222" s="74" t="s">
        <v>268</v>
      </c>
      <c r="E222" s="74" t="s">
        <v>269</v>
      </c>
      <c r="F222" s="54" t="s">
        <v>266</v>
      </c>
      <c r="G222" s="80">
        <v>4</v>
      </c>
      <c r="H222" s="58">
        <f>일대목차!I30</f>
        <v>721</v>
      </c>
      <c r="I222" s="58">
        <f t="shared" si="8"/>
        <v>2884</v>
      </c>
      <c r="J222" s="58">
        <v>4</v>
      </c>
      <c r="K222" s="58">
        <f>일대목차!L30</f>
        <v>7389</v>
      </c>
      <c r="L222" s="58">
        <f t="shared" si="9"/>
        <v>29556</v>
      </c>
      <c r="M222" s="58">
        <f>일대목차!N30</f>
        <v>0</v>
      </c>
      <c r="N222" s="58">
        <f t="shared" si="10"/>
        <v>0</v>
      </c>
      <c r="O222" s="58"/>
      <c r="P222" s="58">
        <f t="shared" si="11"/>
        <v>32440</v>
      </c>
      <c r="Q222" s="74" t="s">
        <v>795</v>
      </c>
    </row>
    <row r="223" spans="1:29" ht="23.1" customHeight="1">
      <c r="A223" s="64" t="s">
        <v>796</v>
      </c>
      <c r="B223" s="64" t="s">
        <v>1126</v>
      </c>
      <c r="C223" s="64" t="s">
        <v>797</v>
      </c>
      <c r="D223" s="74" t="s">
        <v>271</v>
      </c>
      <c r="E223" s="74" t="s">
        <v>272</v>
      </c>
      <c r="F223" s="54" t="s">
        <v>196</v>
      </c>
      <c r="G223" s="80">
        <v>1216</v>
      </c>
      <c r="H223" s="58">
        <f>일대목차!I31</f>
        <v>187</v>
      </c>
      <c r="I223" s="58">
        <f t="shared" si="8"/>
        <v>227392</v>
      </c>
      <c r="J223" s="58">
        <v>1216</v>
      </c>
      <c r="K223" s="58">
        <f>일대목차!L31</f>
        <v>237</v>
      </c>
      <c r="L223" s="58">
        <f t="shared" si="9"/>
        <v>288192</v>
      </c>
      <c r="M223" s="58">
        <f>일대목차!N31</f>
        <v>0</v>
      </c>
      <c r="N223" s="58">
        <f t="shared" si="10"/>
        <v>0</v>
      </c>
      <c r="O223" s="58"/>
      <c r="P223" s="58">
        <f t="shared" si="11"/>
        <v>515584</v>
      </c>
      <c r="Q223" s="74" t="s">
        <v>798</v>
      </c>
    </row>
    <row r="224" spans="1:29" ht="23.1" customHeight="1">
      <c r="A224" s="64" t="s">
        <v>805</v>
      </c>
      <c r="B224" s="64" t="s">
        <v>1126</v>
      </c>
      <c r="C224" s="64" t="s">
        <v>806</v>
      </c>
      <c r="D224" s="74" t="s">
        <v>274</v>
      </c>
      <c r="E224" s="74" t="s">
        <v>281</v>
      </c>
      <c r="F224" s="54" t="s">
        <v>266</v>
      </c>
      <c r="G224" s="80">
        <v>4</v>
      </c>
      <c r="H224" s="58">
        <f>일대목차!I34</f>
        <v>1498</v>
      </c>
      <c r="I224" s="58">
        <f t="shared" si="8"/>
        <v>5992</v>
      </c>
      <c r="J224" s="58">
        <v>4</v>
      </c>
      <c r="K224" s="58">
        <f>일대목차!L34</f>
        <v>39418</v>
      </c>
      <c r="L224" s="58">
        <f t="shared" si="9"/>
        <v>157672</v>
      </c>
      <c r="M224" s="58">
        <f>일대목차!N34</f>
        <v>0</v>
      </c>
      <c r="N224" s="58">
        <f t="shared" si="10"/>
        <v>0</v>
      </c>
      <c r="O224" s="58"/>
      <c r="P224" s="58">
        <f t="shared" si="11"/>
        <v>163664</v>
      </c>
      <c r="Q224" s="74" t="s">
        <v>807</v>
      </c>
    </row>
    <row r="225" spans="1:29" ht="23.1" customHeight="1">
      <c r="A225" s="64" t="s">
        <v>728</v>
      </c>
      <c r="B225" s="64" t="s">
        <v>1126</v>
      </c>
      <c r="C225" s="64" t="s">
        <v>729</v>
      </c>
      <c r="D225" s="74" t="s">
        <v>726</v>
      </c>
      <c r="E225" s="74" t="s">
        <v>731</v>
      </c>
      <c r="F225" s="54" t="s">
        <v>458</v>
      </c>
      <c r="G225" s="80">
        <v>29</v>
      </c>
      <c r="H225" s="58">
        <f>일대목차!I10</f>
        <v>14212</v>
      </c>
      <c r="I225" s="58">
        <f t="shared" si="8"/>
        <v>412148</v>
      </c>
      <c r="J225" s="58">
        <v>29</v>
      </c>
      <c r="K225" s="58">
        <f>일대목차!L10</f>
        <v>153319</v>
      </c>
      <c r="L225" s="58">
        <f t="shared" si="9"/>
        <v>4446251</v>
      </c>
      <c r="M225" s="58">
        <f>일대목차!N10</f>
        <v>37479</v>
      </c>
      <c r="N225" s="58">
        <f t="shared" si="10"/>
        <v>1086891</v>
      </c>
      <c r="O225" s="58"/>
      <c r="P225" s="58">
        <f t="shared" si="11"/>
        <v>5945290</v>
      </c>
      <c r="Q225" s="74" t="s">
        <v>730</v>
      </c>
    </row>
    <row r="226" spans="1:29" ht="23.1" customHeight="1">
      <c r="A226" s="64" t="s">
        <v>699</v>
      </c>
      <c r="B226" s="64" t="s">
        <v>1126</v>
      </c>
      <c r="C226" s="64" t="s">
        <v>700</v>
      </c>
      <c r="D226" s="74" t="s">
        <v>702</v>
      </c>
      <c r="E226" s="74" t="s">
        <v>703</v>
      </c>
      <c r="F226" s="54" t="s">
        <v>294</v>
      </c>
      <c r="G226" s="80">
        <v>529.22</v>
      </c>
      <c r="H226" s="58">
        <f>일대목차!I4</f>
        <v>501</v>
      </c>
      <c r="I226" s="58">
        <f t="shared" si="8"/>
        <v>265139</v>
      </c>
      <c r="J226" s="58">
        <v>529.22</v>
      </c>
      <c r="K226" s="58">
        <f>일대목차!L4</f>
        <v>4659</v>
      </c>
      <c r="L226" s="58">
        <f t="shared" si="9"/>
        <v>2465635</v>
      </c>
      <c r="M226" s="58">
        <f>일대목차!N4</f>
        <v>483</v>
      </c>
      <c r="N226" s="58">
        <f t="shared" si="10"/>
        <v>255613</v>
      </c>
      <c r="O226" s="58"/>
      <c r="P226" s="58">
        <f t="shared" si="11"/>
        <v>2986387</v>
      </c>
      <c r="Q226" s="74" t="s">
        <v>701</v>
      </c>
    </row>
    <row r="227" spans="1:29" ht="23.1" customHeight="1">
      <c r="A227" s="64" t="s">
        <v>704</v>
      </c>
      <c r="B227" s="64" t="s">
        <v>1126</v>
      </c>
      <c r="C227" s="64" t="s">
        <v>705</v>
      </c>
      <c r="D227" s="74" t="s">
        <v>707</v>
      </c>
      <c r="E227" s="74" t="s">
        <v>703</v>
      </c>
      <c r="F227" s="54" t="s">
        <v>294</v>
      </c>
      <c r="G227" s="80">
        <v>499.78</v>
      </c>
      <c r="H227" s="58">
        <f>일대목차!I5</f>
        <v>449</v>
      </c>
      <c r="I227" s="58">
        <f t="shared" si="8"/>
        <v>224401</v>
      </c>
      <c r="J227" s="58">
        <v>499.78</v>
      </c>
      <c r="K227" s="58">
        <f>일대목차!L5</f>
        <v>2939</v>
      </c>
      <c r="L227" s="58">
        <f t="shared" si="9"/>
        <v>1468853</v>
      </c>
      <c r="M227" s="58">
        <f>일대목차!N5</f>
        <v>483</v>
      </c>
      <c r="N227" s="58">
        <f t="shared" si="10"/>
        <v>241393</v>
      </c>
      <c r="O227" s="58"/>
      <c r="P227" s="58">
        <f t="shared" si="11"/>
        <v>1934647</v>
      </c>
      <c r="Q227" s="74" t="s">
        <v>706</v>
      </c>
    </row>
    <row r="228" spans="1:29" ht="23.1" customHeight="1">
      <c r="A228" s="64" t="s">
        <v>708</v>
      </c>
      <c r="B228" s="64" t="s">
        <v>1126</v>
      </c>
      <c r="C228" s="64" t="s">
        <v>709</v>
      </c>
      <c r="D228" s="74" t="s">
        <v>711</v>
      </c>
      <c r="E228" s="74" t="s">
        <v>712</v>
      </c>
      <c r="F228" s="54" t="s">
        <v>294</v>
      </c>
      <c r="G228" s="80">
        <v>29.44</v>
      </c>
      <c r="H228" s="58">
        <f>일대목차!I6</f>
        <v>1032</v>
      </c>
      <c r="I228" s="58">
        <f t="shared" si="8"/>
        <v>30382</v>
      </c>
      <c r="J228" s="58">
        <v>29.44</v>
      </c>
      <c r="K228" s="58">
        <f>일대목차!L6</f>
        <v>34413</v>
      </c>
      <c r="L228" s="58">
        <f t="shared" si="9"/>
        <v>1013118</v>
      </c>
      <c r="M228" s="58">
        <f>일대목차!N6</f>
        <v>0</v>
      </c>
      <c r="N228" s="58">
        <f t="shared" si="10"/>
        <v>0</v>
      </c>
      <c r="O228" s="58"/>
      <c r="P228" s="58">
        <f t="shared" si="11"/>
        <v>1043500</v>
      </c>
      <c r="Q228" s="74" t="s">
        <v>710</v>
      </c>
    </row>
    <row r="229" spans="1:29" ht="23.1" customHeight="1">
      <c r="A229" s="64" t="s">
        <v>814</v>
      </c>
      <c r="B229" s="64" t="s">
        <v>1126</v>
      </c>
      <c r="C229" s="64" t="s">
        <v>815</v>
      </c>
      <c r="D229" s="74" t="s">
        <v>304</v>
      </c>
      <c r="E229" s="74" t="s">
        <v>305</v>
      </c>
      <c r="F229" s="54" t="s">
        <v>306</v>
      </c>
      <c r="G229" s="80">
        <v>1</v>
      </c>
      <c r="H229" s="58">
        <f>일대목차!I37</f>
        <v>38396</v>
      </c>
      <c r="I229" s="58">
        <f t="shared" si="8"/>
        <v>38396</v>
      </c>
      <c r="J229" s="58">
        <v>1</v>
      </c>
      <c r="K229" s="58">
        <f>일대목차!L37</f>
        <v>110220</v>
      </c>
      <c r="L229" s="58">
        <f t="shared" si="9"/>
        <v>110220</v>
      </c>
      <c r="M229" s="58">
        <f>일대목차!N37</f>
        <v>0</v>
      </c>
      <c r="N229" s="58">
        <f t="shared" si="10"/>
        <v>0</v>
      </c>
      <c r="O229" s="58"/>
      <c r="P229" s="58">
        <f t="shared" si="11"/>
        <v>148616</v>
      </c>
      <c r="Q229" s="74" t="s">
        <v>816</v>
      </c>
    </row>
    <row r="230" spans="1:29" ht="23.1" customHeight="1">
      <c r="A230" s="64" t="s">
        <v>1071</v>
      </c>
      <c r="B230" s="64" t="s">
        <v>1126</v>
      </c>
      <c r="C230" s="64" t="s">
        <v>308</v>
      </c>
      <c r="D230" s="74" t="s">
        <v>309</v>
      </c>
      <c r="E230" s="74"/>
      <c r="F230" s="54" t="s">
        <v>306</v>
      </c>
      <c r="G230" s="80">
        <v>3</v>
      </c>
      <c r="H230" s="58">
        <f>합산자재!H40</f>
        <v>2424</v>
      </c>
      <c r="I230" s="58">
        <f t="shared" si="8"/>
        <v>7272</v>
      </c>
      <c r="J230" s="58">
        <v>3</v>
      </c>
      <c r="K230" s="58">
        <f>합산자재!I40</f>
        <v>0</v>
      </c>
      <c r="L230" s="58">
        <f t="shared" si="9"/>
        <v>0</v>
      </c>
      <c r="M230" s="58">
        <f>합산자재!J40</f>
        <v>0</v>
      </c>
      <c r="N230" s="58">
        <f t="shared" si="10"/>
        <v>0</v>
      </c>
      <c r="O230" s="58"/>
      <c r="P230" s="58">
        <f t="shared" si="11"/>
        <v>7272</v>
      </c>
      <c r="Q230" s="74"/>
    </row>
    <row r="231" spans="1:29" ht="23.1" customHeight="1">
      <c r="A231" s="64" t="s">
        <v>829</v>
      </c>
      <c r="B231" s="64" t="s">
        <v>1126</v>
      </c>
      <c r="C231" s="64" t="s">
        <v>830</v>
      </c>
      <c r="D231" s="74" t="s">
        <v>333</v>
      </c>
      <c r="E231" s="74" t="s">
        <v>335</v>
      </c>
      <c r="F231" s="54" t="s">
        <v>196</v>
      </c>
      <c r="G231" s="80">
        <v>256</v>
      </c>
      <c r="H231" s="58">
        <f>일대목차!I42</f>
        <v>131</v>
      </c>
      <c r="I231" s="58">
        <f t="shared" si="8"/>
        <v>33536</v>
      </c>
      <c r="J231" s="58">
        <v>256</v>
      </c>
      <c r="K231" s="58">
        <f>일대목차!L42</f>
        <v>4381</v>
      </c>
      <c r="L231" s="58">
        <f t="shared" si="9"/>
        <v>1121536</v>
      </c>
      <c r="M231" s="58">
        <f>일대목차!N42</f>
        <v>0</v>
      </c>
      <c r="N231" s="58">
        <f t="shared" si="10"/>
        <v>0</v>
      </c>
      <c r="O231" s="58"/>
      <c r="P231" s="58">
        <f t="shared" si="11"/>
        <v>1155072</v>
      </c>
      <c r="Q231" s="74" t="s">
        <v>831</v>
      </c>
      <c r="AC231" s="49">
        <f>G231*H231</f>
        <v>33536</v>
      </c>
    </row>
    <row r="232" spans="1:29" ht="23.1" customHeight="1">
      <c r="A232" s="64" t="s">
        <v>838</v>
      </c>
      <c r="B232" s="64" t="s">
        <v>1126</v>
      </c>
      <c r="C232" s="64" t="s">
        <v>839</v>
      </c>
      <c r="D232" s="74" t="s">
        <v>333</v>
      </c>
      <c r="E232" s="74" t="s">
        <v>340</v>
      </c>
      <c r="F232" s="54" t="s">
        <v>196</v>
      </c>
      <c r="G232" s="80">
        <v>57</v>
      </c>
      <c r="H232" s="58">
        <f>일대목차!I45</f>
        <v>178</v>
      </c>
      <c r="I232" s="58">
        <f t="shared" si="8"/>
        <v>10146</v>
      </c>
      <c r="J232" s="58">
        <v>57</v>
      </c>
      <c r="K232" s="58">
        <f>일대목차!L45</f>
        <v>5952</v>
      </c>
      <c r="L232" s="58">
        <f t="shared" si="9"/>
        <v>339264</v>
      </c>
      <c r="M232" s="58">
        <f>일대목차!N45</f>
        <v>0</v>
      </c>
      <c r="N232" s="58">
        <f t="shared" si="10"/>
        <v>0</v>
      </c>
      <c r="O232" s="58"/>
      <c r="P232" s="58">
        <f t="shared" si="11"/>
        <v>349410</v>
      </c>
      <c r="Q232" s="74" t="s">
        <v>840</v>
      </c>
      <c r="AC232" s="49">
        <f>G232*H232</f>
        <v>10146</v>
      </c>
    </row>
    <row r="233" spans="1:29" ht="23.1" customHeight="1">
      <c r="A233" s="64" t="s">
        <v>844</v>
      </c>
      <c r="B233" s="64" t="s">
        <v>1126</v>
      </c>
      <c r="C233" s="64" t="s">
        <v>845</v>
      </c>
      <c r="D233" s="74" t="s">
        <v>333</v>
      </c>
      <c r="E233" s="74" t="s">
        <v>344</v>
      </c>
      <c r="F233" s="54" t="s">
        <v>196</v>
      </c>
      <c r="G233" s="80">
        <v>1026</v>
      </c>
      <c r="H233" s="58">
        <f>일대목차!I47</f>
        <v>214</v>
      </c>
      <c r="I233" s="58">
        <f t="shared" si="8"/>
        <v>219564</v>
      </c>
      <c r="J233" s="58">
        <v>1026</v>
      </c>
      <c r="K233" s="58">
        <f>일대목차!L47</f>
        <v>7143</v>
      </c>
      <c r="L233" s="58">
        <f t="shared" si="9"/>
        <v>7328718</v>
      </c>
      <c r="M233" s="58">
        <f>일대목차!N47</f>
        <v>0</v>
      </c>
      <c r="N233" s="58">
        <f t="shared" si="10"/>
        <v>0</v>
      </c>
      <c r="O233" s="58"/>
      <c r="P233" s="58">
        <f t="shared" si="11"/>
        <v>7548282</v>
      </c>
      <c r="Q233" s="74" t="s">
        <v>846</v>
      </c>
      <c r="AC233" s="49">
        <f>G233*H233</f>
        <v>219564</v>
      </c>
    </row>
    <row r="234" spans="1:29" ht="23.1" customHeight="1">
      <c r="A234" s="64" t="s">
        <v>850</v>
      </c>
      <c r="B234" s="64" t="s">
        <v>1126</v>
      </c>
      <c r="C234" s="64" t="s">
        <v>851</v>
      </c>
      <c r="D234" s="74" t="s">
        <v>347</v>
      </c>
      <c r="E234" s="74" t="s">
        <v>348</v>
      </c>
      <c r="F234" s="54" t="s">
        <v>266</v>
      </c>
      <c r="G234" s="80">
        <v>29</v>
      </c>
      <c r="H234" s="58">
        <f>일대목차!I49</f>
        <v>622655</v>
      </c>
      <c r="I234" s="58">
        <f t="shared" si="8"/>
        <v>18056995</v>
      </c>
      <c r="J234" s="58">
        <v>29</v>
      </c>
      <c r="K234" s="58">
        <f>일대목차!L49</f>
        <v>88522</v>
      </c>
      <c r="L234" s="58">
        <f t="shared" si="9"/>
        <v>2567138</v>
      </c>
      <c r="M234" s="58">
        <f>일대목차!N49</f>
        <v>0</v>
      </c>
      <c r="N234" s="58">
        <f t="shared" si="10"/>
        <v>0</v>
      </c>
      <c r="O234" s="58"/>
      <c r="P234" s="58">
        <f t="shared" si="11"/>
        <v>20624133</v>
      </c>
      <c r="Q234" s="74" t="s">
        <v>852</v>
      </c>
    </row>
    <row r="235" spans="1:29" ht="23.1" customHeight="1">
      <c r="A235" s="64" t="s">
        <v>862</v>
      </c>
      <c r="B235" s="64" t="s">
        <v>1126</v>
      </c>
      <c r="C235" s="64" t="s">
        <v>863</v>
      </c>
      <c r="D235" s="74" t="s">
        <v>364</v>
      </c>
      <c r="E235" s="74" t="s">
        <v>365</v>
      </c>
      <c r="F235" s="54" t="s">
        <v>266</v>
      </c>
      <c r="G235" s="80">
        <v>50</v>
      </c>
      <c r="H235" s="58">
        <f>일대목차!I53</f>
        <v>309437</v>
      </c>
      <c r="I235" s="58">
        <f t="shared" si="8"/>
        <v>15471850</v>
      </c>
      <c r="J235" s="58">
        <v>50</v>
      </c>
      <c r="K235" s="58">
        <f>일대목차!L53</f>
        <v>54586</v>
      </c>
      <c r="L235" s="58">
        <f t="shared" si="9"/>
        <v>2729300</v>
      </c>
      <c r="M235" s="58">
        <f>일대목차!N53</f>
        <v>0</v>
      </c>
      <c r="N235" s="58">
        <f t="shared" si="10"/>
        <v>0</v>
      </c>
      <c r="O235" s="58"/>
      <c r="P235" s="58">
        <f t="shared" si="11"/>
        <v>18201150</v>
      </c>
      <c r="Q235" s="74" t="s">
        <v>864</v>
      </c>
    </row>
    <row r="236" spans="1:29" ht="23.1" customHeight="1">
      <c r="A236" s="64" t="s">
        <v>868</v>
      </c>
      <c r="B236" s="64" t="s">
        <v>1126</v>
      </c>
      <c r="C236" s="64" t="s">
        <v>869</v>
      </c>
      <c r="D236" s="74" t="s">
        <v>369</v>
      </c>
      <c r="E236" s="74" t="s">
        <v>372</v>
      </c>
      <c r="F236" s="54" t="s">
        <v>266</v>
      </c>
      <c r="G236" s="80">
        <v>1</v>
      </c>
      <c r="H236" s="58">
        <f>일대목차!I55</f>
        <v>6440351</v>
      </c>
      <c r="I236" s="58">
        <f t="shared" si="8"/>
        <v>6440351</v>
      </c>
      <c r="J236" s="58">
        <v>1</v>
      </c>
      <c r="K236" s="58">
        <f>일대목차!L55</f>
        <v>11700</v>
      </c>
      <c r="L236" s="58">
        <f t="shared" si="9"/>
        <v>11700</v>
      </c>
      <c r="M236" s="58">
        <f>일대목차!N55</f>
        <v>0</v>
      </c>
      <c r="N236" s="58">
        <f t="shared" si="10"/>
        <v>0</v>
      </c>
      <c r="O236" s="58"/>
      <c r="P236" s="58">
        <f t="shared" si="11"/>
        <v>6452051</v>
      </c>
      <c r="Q236" s="74" t="s">
        <v>870</v>
      </c>
    </row>
    <row r="237" spans="1:29" ht="23.1" customHeight="1">
      <c r="A237" s="64" t="s">
        <v>1072</v>
      </c>
      <c r="B237" s="64" t="s">
        <v>1126</v>
      </c>
      <c r="C237" s="64" t="s">
        <v>373</v>
      </c>
      <c r="D237" s="74" t="s">
        <v>374</v>
      </c>
      <c r="E237" s="74" t="s">
        <v>375</v>
      </c>
      <c r="F237" s="54" t="s">
        <v>266</v>
      </c>
      <c r="G237" s="80">
        <v>29</v>
      </c>
      <c r="H237" s="58">
        <f>합산자재!H63</f>
        <v>1500000</v>
      </c>
      <c r="I237" s="58">
        <f t="shared" si="8"/>
        <v>43500000</v>
      </c>
      <c r="J237" s="58">
        <v>29</v>
      </c>
      <c r="K237" s="58">
        <f>합산자재!I63</f>
        <v>0</v>
      </c>
      <c r="L237" s="58">
        <f t="shared" si="9"/>
        <v>0</v>
      </c>
      <c r="M237" s="58">
        <f>합산자재!J63</f>
        <v>0</v>
      </c>
      <c r="N237" s="58">
        <f t="shared" si="10"/>
        <v>0</v>
      </c>
      <c r="O237" s="58"/>
      <c r="P237" s="58">
        <f t="shared" si="11"/>
        <v>43500000</v>
      </c>
      <c r="Q237" s="74"/>
    </row>
    <row r="238" spans="1:29" ht="23.1" customHeight="1">
      <c r="A238" s="64" t="s">
        <v>871</v>
      </c>
      <c r="B238" s="64" t="s">
        <v>1126</v>
      </c>
      <c r="C238" s="64" t="s">
        <v>872</v>
      </c>
      <c r="D238" s="74" t="s">
        <v>379</v>
      </c>
      <c r="E238" s="74" t="s">
        <v>380</v>
      </c>
      <c r="F238" s="54" t="s">
        <v>266</v>
      </c>
      <c r="G238" s="80">
        <v>29</v>
      </c>
      <c r="H238" s="58">
        <f>일대목차!I56</f>
        <v>10351</v>
      </c>
      <c r="I238" s="58">
        <f t="shared" si="8"/>
        <v>300179</v>
      </c>
      <c r="J238" s="58">
        <v>29</v>
      </c>
      <c r="K238" s="58">
        <f>일대목차!L56</f>
        <v>11700</v>
      </c>
      <c r="L238" s="58">
        <f t="shared" si="9"/>
        <v>339300</v>
      </c>
      <c r="M238" s="58">
        <f>일대목차!N56</f>
        <v>0</v>
      </c>
      <c r="N238" s="58">
        <f t="shared" si="10"/>
        <v>0</v>
      </c>
      <c r="O238" s="58"/>
      <c r="P238" s="58">
        <f t="shared" si="11"/>
        <v>639479</v>
      </c>
      <c r="Q238" s="74" t="s">
        <v>873</v>
      </c>
    </row>
    <row r="239" spans="1:29" ht="23.1" customHeight="1">
      <c r="A239" s="64" t="s">
        <v>883</v>
      </c>
      <c r="B239" s="64" t="s">
        <v>1126</v>
      </c>
      <c r="C239" s="64" t="s">
        <v>884</v>
      </c>
      <c r="D239" s="74" t="s">
        <v>423</v>
      </c>
      <c r="E239" s="74" t="s">
        <v>424</v>
      </c>
      <c r="F239" s="54" t="s">
        <v>266</v>
      </c>
      <c r="G239" s="80">
        <v>29</v>
      </c>
      <c r="H239" s="58">
        <f>일대목차!I60</f>
        <v>56559</v>
      </c>
      <c r="I239" s="58">
        <f t="shared" si="8"/>
        <v>1640211</v>
      </c>
      <c r="J239" s="58">
        <v>29</v>
      </c>
      <c r="K239" s="58">
        <f>일대목차!L60</f>
        <v>51998</v>
      </c>
      <c r="L239" s="58">
        <f t="shared" si="9"/>
        <v>1507942</v>
      </c>
      <c r="M239" s="58">
        <f>일대목차!N60</f>
        <v>0</v>
      </c>
      <c r="N239" s="58">
        <f t="shared" si="10"/>
        <v>0</v>
      </c>
      <c r="O239" s="58"/>
      <c r="P239" s="58">
        <f t="shared" si="11"/>
        <v>3148153</v>
      </c>
      <c r="Q239" s="74" t="s">
        <v>885</v>
      </c>
    </row>
    <row r="240" spans="1:29" ht="23.1" customHeight="1">
      <c r="A240" s="64" t="s">
        <v>1073</v>
      </c>
      <c r="B240" s="64" t="s">
        <v>1126</v>
      </c>
      <c r="C240" s="64" t="s">
        <v>427</v>
      </c>
      <c r="D240" s="74" t="s">
        <v>423</v>
      </c>
      <c r="E240" s="74" t="s">
        <v>428</v>
      </c>
      <c r="F240" s="54" t="s">
        <v>266</v>
      </c>
      <c r="G240" s="80">
        <v>39</v>
      </c>
      <c r="H240" s="58">
        <f>합산자재!H78</f>
        <v>15000</v>
      </c>
      <c r="I240" s="58">
        <f t="shared" si="8"/>
        <v>585000</v>
      </c>
      <c r="J240" s="58">
        <v>39</v>
      </c>
      <c r="K240" s="58">
        <f>합산자재!I78</f>
        <v>0</v>
      </c>
      <c r="L240" s="58">
        <f t="shared" si="9"/>
        <v>0</v>
      </c>
      <c r="M240" s="58">
        <f>합산자재!J78</f>
        <v>0</v>
      </c>
      <c r="N240" s="58">
        <f t="shared" si="10"/>
        <v>0</v>
      </c>
      <c r="O240" s="58"/>
      <c r="P240" s="58">
        <f t="shared" si="11"/>
        <v>585000</v>
      </c>
      <c r="Q240" s="74"/>
    </row>
    <row r="241" spans="1:31" ht="23.1" customHeight="1">
      <c r="A241" s="64" t="s">
        <v>1074</v>
      </c>
      <c r="B241" s="64" t="s">
        <v>1126</v>
      </c>
      <c r="C241" s="64" t="s">
        <v>429</v>
      </c>
      <c r="D241" s="74" t="s">
        <v>430</v>
      </c>
      <c r="E241" s="74" t="s">
        <v>431</v>
      </c>
      <c r="F241" s="54" t="s">
        <v>432</v>
      </c>
      <c r="G241" s="80">
        <v>22</v>
      </c>
      <c r="H241" s="58">
        <f>단가조사!H71</f>
        <v>14230</v>
      </c>
      <c r="I241" s="58">
        <f t="shared" si="8"/>
        <v>313060</v>
      </c>
      <c r="J241" s="58">
        <v>22</v>
      </c>
      <c r="K241" s="58">
        <f>단가조사!J71</f>
        <v>56783</v>
      </c>
      <c r="L241" s="58">
        <f t="shared" si="9"/>
        <v>1249226</v>
      </c>
      <c r="M241" s="58">
        <f>단가조사!L71</f>
        <v>16378</v>
      </c>
      <c r="N241" s="58">
        <f t="shared" si="10"/>
        <v>360316</v>
      </c>
      <c r="O241" s="58"/>
      <c r="P241" s="58">
        <f t="shared" si="11"/>
        <v>1922602</v>
      </c>
      <c r="Q241" s="74"/>
    </row>
    <row r="242" spans="1:31" ht="23.1" customHeight="1">
      <c r="A242" s="64" t="s">
        <v>907</v>
      </c>
      <c r="B242" s="64" t="s">
        <v>1126</v>
      </c>
      <c r="C242" s="64" t="s">
        <v>908</v>
      </c>
      <c r="D242" s="74" t="s">
        <v>499</v>
      </c>
      <c r="E242" s="74" t="s">
        <v>500</v>
      </c>
      <c r="F242" s="54" t="s">
        <v>266</v>
      </c>
      <c r="G242" s="80">
        <v>1</v>
      </c>
      <c r="H242" s="58">
        <f>일대목차!I68</f>
        <v>141637</v>
      </c>
      <c r="I242" s="58">
        <f t="shared" si="8"/>
        <v>141637</v>
      </c>
      <c r="J242" s="58">
        <v>1</v>
      </c>
      <c r="K242" s="58">
        <f>일대목차!L68</f>
        <v>54586</v>
      </c>
      <c r="L242" s="58">
        <f t="shared" si="9"/>
        <v>54586</v>
      </c>
      <c r="M242" s="58">
        <f>일대목차!N68</f>
        <v>0</v>
      </c>
      <c r="N242" s="58">
        <f t="shared" si="10"/>
        <v>0</v>
      </c>
      <c r="O242" s="58"/>
      <c r="P242" s="58">
        <f t="shared" si="11"/>
        <v>196223</v>
      </c>
      <c r="Q242" s="74" t="s">
        <v>909</v>
      </c>
    </row>
    <row r="243" spans="1:31" ht="23.1" customHeight="1">
      <c r="A243" s="64" t="s">
        <v>910</v>
      </c>
      <c r="B243" s="64" t="s">
        <v>1126</v>
      </c>
      <c r="C243" s="64" t="s">
        <v>911</v>
      </c>
      <c r="D243" s="74" t="s">
        <v>511</v>
      </c>
      <c r="E243" s="74" t="s">
        <v>512</v>
      </c>
      <c r="F243" s="54" t="s">
        <v>266</v>
      </c>
      <c r="G243" s="80">
        <v>3</v>
      </c>
      <c r="H243" s="58">
        <f>일대목차!I69</f>
        <v>444509</v>
      </c>
      <c r="I243" s="58">
        <f t="shared" si="8"/>
        <v>1333527</v>
      </c>
      <c r="J243" s="58">
        <v>3</v>
      </c>
      <c r="K243" s="58">
        <f>일대목차!L69</f>
        <v>150304</v>
      </c>
      <c r="L243" s="58">
        <f t="shared" si="9"/>
        <v>450912</v>
      </c>
      <c r="M243" s="58">
        <f>일대목차!N69</f>
        <v>0</v>
      </c>
      <c r="N243" s="58">
        <f t="shared" si="10"/>
        <v>0</v>
      </c>
      <c r="O243" s="58"/>
      <c r="P243" s="58">
        <f t="shared" si="11"/>
        <v>1784439</v>
      </c>
      <c r="Q243" s="74" t="s">
        <v>912</v>
      </c>
    </row>
    <row r="244" spans="1:31" ht="23.1" customHeight="1">
      <c r="A244" s="64" t="s">
        <v>1075</v>
      </c>
      <c r="B244" s="64" t="s">
        <v>1126</v>
      </c>
      <c r="C244" s="64" t="s">
        <v>513</v>
      </c>
      <c r="D244" s="74" t="s">
        <v>514</v>
      </c>
      <c r="E244" s="74" t="s">
        <v>515</v>
      </c>
      <c r="F244" s="54" t="s">
        <v>266</v>
      </c>
      <c r="G244" s="80">
        <v>3</v>
      </c>
      <c r="H244" s="58">
        <f>합산자재!H111</f>
        <v>280000</v>
      </c>
      <c r="I244" s="58">
        <f t="shared" si="8"/>
        <v>840000</v>
      </c>
      <c r="J244" s="58">
        <v>3</v>
      </c>
      <c r="K244" s="58">
        <f>합산자재!I111</f>
        <v>0</v>
      </c>
      <c r="L244" s="58">
        <f t="shared" si="9"/>
        <v>0</v>
      </c>
      <c r="M244" s="58">
        <f>합산자재!J111</f>
        <v>0</v>
      </c>
      <c r="N244" s="58">
        <f t="shared" si="10"/>
        <v>0</v>
      </c>
      <c r="O244" s="58"/>
      <c r="P244" s="58">
        <f t="shared" si="11"/>
        <v>840000</v>
      </c>
      <c r="Q244" s="74"/>
    </row>
    <row r="245" spans="1:31" ht="23.1" customHeight="1">
      <c r="D245" s="74"/>
      <c r="E245" s="74"/>
      <c r="F245" s="54"/>
      <c r="G245" s="80"/>
      <c r="H245" s="58"/>
      <c r="I245" s="58">
        <f t="shared" ref="I245:I262" si="13">TRUNC(G245*H245)</f>
        <v>0</v>
      </c>
      <c r="J245" s="58"/>
      <c r="K245" s="58"/>
      <c r="L245" s="58">
        <f t="shared" ref="L245:L262" si="14">TRUNC(G245*K245)</f>
        <v>0</v>
      </c>
      <c r="M245" s="58"/>
      <c r="N245" s="58">
        <f t="shared" ref="N245:N262" si="15">TRUNC(G245*M245)</f>
        <v>0</v>
      </c>
      <c r="O245" s="58"/>
      <c r="P245" s="58">
        <f t="shared" ref="P245:P262" si="16">SUM(I245,L245,N245)</f>
        <v>0</v>
      </c>
      <c r="Q245" s="74"/>
      <c r="AE245" s="49">
        <f>TRUNC(SUM(AE212:AE244))</f>
        <v>0</v>
      </c>
    </row>
    <row r="246" spans="1:31" ht="23.1" customHeight="1">
      <c r="D246" s="74"/>
      <c r="E246" s="74"/>
      <c r="F246" s="54"/>
      <c r="G246" s="80"/>
      <c r="H246" s="58"/>
      <c r="I246" s="58">
        <f t="shared" si="13"/>
        <v>0</v>
      </c>
      <c r="J246" s="58"/>
      <c r="K246" s="58"/>
      <c r="L246" s="58">
        <f t="shared" si="14"/>
        <v>0</v>
      </c>
      <c r="M246" s="58"/>
      <c r="N246" s="58">
        <f t="shared" si="15"/>
        <v>0</v>
      </c>
      <c r="O246" s="58"/>
      <c r="P246" s="58">
        <f t="shared" si="16"/>
        <v>0</v>
      </c>
      <c r="Q246" s="74"/>
    </row>
    <row r="247" spans="1:31" ht="23.1" customHeight="1">
      <c r="D247" s="74"/>
      <c r="E247" s="74"/>
      <c r="F247" s="54"/>
      <c r="G247" s="80"/>
      <c r="H247" s="58"/>
      <c r="I247" s="58">
        <f t="shared" si="13"/>
        <v>0</v>
      </c>
      <c r="J247" s="58"/>
      <c r="K247" s="58"/>
      <c r="L247" s="58">
        <f t="shared" si="14"/>
        <v>0</v>
      </c>
      <c r="M247" s="58"/>
      <c r="N247" s="58">
        <f t="shared" si="15"/>
        <v>0</v>
      </c>
      <c r="O247" s="58"/>
      <c r="P247" s="58">
        <f t="shared" si="16"/>
        <v>0</v>
      </c>
      <c r="Q247" s="74"/>
    </row>
    <row r="248" spans="1:31" ht="23.1" customHeight="1">
      <c r="D248" s="74"/>
      <c r="E248" s="74"/>
      <c r="F248" s="54"/>
      <c r="G248" s="80"/>
      <c r="H248" s="58"/>
      <c r="I248" s="58">
        <f t="shared" si="13"/>
        <v>0</v>
      </c>
      <c r="J248" s="58"/>
      <c r="K248" s="58"/>
      <c r="L248" s="58">
        <f t="shared" si="14"/>
        <v>0</v>
      </c>
      <c r="M248" s="58"/>
      <c r="N248" s="58">
        <f t="shared" si="15"/>
        <v>0</v>
      </c>
      <c r="O248" s="58"/>
      <c r="P248" s="58">
        <f t="shared" si="16"/>
        <v>0</v>
      </c>
      <c r="Q248" s="74"/>
    </row>
    <row r="249" spans="1:31" ht="23.1" customHeight="1">
      <c r="D249" s="74"/>
      <c r="E249" s="74"/>
      <c r="F249" s="54"/>
      <c r="G249" s="80"/>
      <c r="H249" s="58"/>
      <c r="I249" s="58">
        <f t="shared" si="13"/>
        <v>0</v>
      </c>
      <c r="J249" s="58"/>
      <c r="K249" s="58"/>
      <c r="L249" s="58">
        <f t="shared" si="14"/>
        <v>0</v>
      </c>
      <c r="M249" s="58"/>
      <c r="N249" s="58">
        <f t="shared" si="15"/>
        <v>0</v>
      </c>
      <c r="O249" s="58"/>
      <c r="P249" s="58">
        <f t="shared" si="16"/>
        <v>0</v>
      </c>
      <c r="Q249" s="74"/>
    </row>
    <row r="250" spans="1:31" ht="23.1" customHeight="1">
      <c r="D250" s="74"/>
      <c r="E250" s="74"/>
      <c r="F250" s="54"/>
      <c r="G250" s="80"/>
      <c r="H250" s="58"/>
      <c r="I250" s="58">
        <f t="shared" si="13"/>
        <v>0</v>
      </c>
      <c r="J250" s="58"/>
      <c r="K250" s="58"/>
      <c r="L250" s="58">
        <f t="shared" si="14"/>
        <v>0</v>
      </c>
      <c r="M250" s="58"/>
      <c r="N250" s="58">
        <f t="shared" si="15"/>
        <v>0</v>
      </c>
      <c r="O250" s="58"/>
      <c r="P250" s="58">
        <f t="shared" si="16"/>
        <v>0</v>
      </c>
      <c r="Q250" s="74"/>
    </row>
    <row r="251" spans="1:31" ht="23.1" customHeight="1">
      <c r="D251" s="74"/>
      <c r="E251" s="74"/>
      <c r="F251" s="54"/>
      <c r="G251" s="80"/>
      <c r="H251" s="58"/>
      <c r="I251" s="58">
        <f t="shared" si="13"/>
        <v>0</v>
      </c>
      <c r="J251" s="58"/>
      <c r="K251" s="58"/>
      <c r="L251" s="58">
        <f t="shared" si="14"/>
        <v>0</v>
      </c>
      <c r="M251" s="58"/>
      <c r="N251" s="58">
        <f t="shared" si="15"/>
        <v>0</v>
      </c>
      <c r="O251" s="58"/>
      <c r="P251" s="58">
        <f t="shared" si="16"/>
        <v>0</v>
      </c>
      <c r="Q251" s="74"/>
    </row>
    <row r="252" spans="1:31" ht="23.1" customHeight="1">
      <c r="D252" s="74"/>
      <c r="E252" s="74"/>
      <c r="F252" s="54"/>
      <c r="G252" s="80"/>
      <c r="H252" s="58"/>
      <c r="I252" s="58">
        <f t="shared" si="13"/>
        <v>0</v>
      </c>
      <c r="J252" s="58"/>
      <c r="K252" s="58"/>
      <c r="L252" s="58">
        <f t="shared" si="14"/>
        <v>0</v>
      </c>
      <c r="M252" s="58"/>
      <c r="N252" s="58">
        <f t="shared" si="15"/>
        <v>0</v>
      </c>
      <c r="O252" s="58"/>
      <c r="P252" s="58">
        <f t="shared" si="16"/>
        <v>0</v>
      </c>
      <c r="Q252" s="74"/>
    </row>
    <row r="253" spans="1:31" ht="23.1" customHeight="1">
      <c r="D253" s="74"/>
      <c r="E253" s="74"/>
      <c r="F253" s="54"/>
      <c r="G253" s="80"/>
      <c r="H253" s="58"/>
      <c r="I253" s="58">
        <f t="shared" si="13"/>
        <v>0</v>
      </c>
      <c r="J253" s="58"/>
      <c r="K253" s="58"/>
      <c r="L253" s="58">
        <f t="shared" si="14"/>
        <v>0</v>
      </c>
      <c r="M253" s="58"/>
      <c r="N253" s="58">
        <f t="shared" si="15"/>
        <v>0</v>
      </c>
      <c r="O253" s="58"/>
      <c r="P253" s="58">
        <f t="shared" si="16"/>
        <v>0</v>
      </c>
      <c r="Q253" s="74"/>
    </row>
    <row r="254" spans="1:31" ht="23.1" customHeight="1">
      <c r="D254" s="74"/>
      <c r="E254" s="74"/>
      <c r="F254" s="54"/>
      <c r="G254" s="80"/>
      <c r="H254" s="58"/>
      <c r="I254" s="58">
        <f t="shared" si="13"/>
        <v>0</v>
      </c>
      <c r="J254" s="58"/>
      <c r="K254" s="58"/>
      <c r="L254" s="58">
        <f t="shared" si="14"/>
        <v>0</v>
      </c>
      <c r="M254" s="58"/>
      <c r="N254" s="58">
        <f t="shared" si="15"/>
        <v>0</v>
      </c>
      <c r="O254" s="58"/>
      <c r="P254" s="58">
        <f t="shared" si="16"/>
        <v>0</v>
      </c>
      <c r="Q254" s="74"/>
    </row>
    <row r="255" spans="1:31" ht="23.1" customHeight="1">
      <c r="D255" s="74"/>
      <c r="E255" s="74"/>
      <c r="F255" s="54"/>
      <c r="G255" s="80"/>
      <c r="H255" s="58"/>
      <c r="I255" s="58">
        <f t="shared" si="13"/>
        <v>0</v>
      </c>
      <c r="J255" s="58"/>
      <c r="K255" s="58"/>
      <c r="L255" s="58">
        <f t="shared" si="14"/>
        <v>0</v>
      </c>
      <c r="M255" s="58"/>
      <c r="N255" s="58">
        <f t="shared" si="15"/>
        <v>0</v>
      </c>
      <c r="O255" s="58"/>
      <c r="P255" s="58">
        <f t="shared" si="16"/>
        <v>0</v>
      </c>
      <c r="Q255" s="74"/>
    </row>
    <row r="256" spans="1:31" ht="23.1" customHeight="1">
      <c r="D256" s="74"/>
      <c r="E256" s="74"/>
      <c r="F256" s="54"/>
      <c r="G256" s="80"/>
      <c r="H256" s="58"/>
      <c r="I256" s="58">
        <f t="shared" si="13"/>
        <v>0</v>
      </c>
      <c r="J256" s="58"/>
      <c r="K256" s="58"/>
      <c r="L256" s="58">
        <f t="shared" si="14"/>
        <v>0</v>
      </c>
      <c r="M256" s="58"/>
      <c r="N256" s="58">
        <f t="shared" si="15"/>
        <v>0</v>
      </c>
      <c r="O256" s="58"/>
      <c r="P256" s="58">
        <f t="shared" si="16"/>
        <v>0</v>
      </c>
      <c r="Q256" s="74"/>
    </row>
    <row r="257" spans="1:29" ht="23.1" customHeight="1">
      <c r="D257" s="74"/>
      <c r="E257" s="74"/>
      <c r="F257" s="54"/>
      <c r="G257" s="80"/>
      <c r="H257" s="58"/>
      <c r="I257" s="58">
        <f t="shared" si="13"/>
        <v>0</v>
      </c>
      <c r="J257" s="58"/>
      <c r="K257" s="58"/>
      <c r="L257" s="58">
        <f t="shared" si="14"/>
        <v>0</v>
      </c>
      <c r="M257" s="58"/>
      <c r="N257" s="58">
        <f t="shared" si="15"/>
        <v>0</v>
      </c>
      <c r="O257" s="58"/>
      <c r="P257" s="58">
        <f t="shared" si="16"/>
        <v>0</v>
      </c>
      <c r="Q257" s="74"/>
    </row>
    <row r="258" spans="1:29" ht="23.1" customHeight="1">
      <c r="D258" s="74"/>
      <c r="E258" s="74"/>
      <c r="F258" s="54"/>
      <c r="G258" s="80"/>
      <c r="H258" s="58"/>
      <c r="I258" s="58">
        <f t="shared" si="13"/>
        <v>0</v>
      </c>
      <c r="J258" s="58"/>
      <c r="K258" s="58"/>
      <c r="L258" s="58">
        <f t="shared" si="14"/>
        <v>0</v>
      </c>
      <c r="M258" s="58"/>
      <c r="N258" s="58">
        <f t="shared" si="15"/>
        <v>0</v>
      </c>
      <c r="O258" s="58"/>
      <c r="P258" s="58">
        <f t="shared" si="16"/>
        <v>0</v>
      </c>
      <c r="Q258" s="74"/>
    </row>
    <row r="259" spans="1:29" ht="23.1" customHeight="1">
      <c r="D259" s="74"/>
      <c r="E259" s="74"/>
      <c r="F259" s="54"/>
      <c r="G259" s="80"/>
      <c r="H259" s="58"/>
      <c r="I259" s="58">
        <f t="shared" si="13"/>
        <v>0</v>
      </c>
      <c r="J259" s="58"/>
      <c r="K259" s="58"/>
      <c r="L259" s="58">
        <f t="shared" si="14"/>
        <v>0</v>
      </c>
      <c r="M259" s="58"/>
      <c r="N259" s="58">
        <f t="shared" si="15"/>
        <v>0</v>
      </c>
      <c r="O259" s="58"/>
      <c r="P259" s="58">
        <f t="shared" si="16"/>
        <v>0</v>
      </c>
      <c r="Q259" s="74"/>
    </row>
    <row r="260" spans="1:29" ht="23.1" customHeight="1">
      <c r="D260" s="74"/>
      <c r="E260" s="74"/>
      <c r="F260" s="54"/>
      <c r="G260" s="80"/>
      <c r="H260" s="58"/>
      <c r="I260" s="58">
        <f t="shared" si="13"/>
        <v>0</v>
      </c>
      <c r="J260" s="58"/>
      <c r="K260" s="58"/>
      <c r="L260" s="58">
        <f t="shared" si="14"/>
        <v>0</v>
      </c>
      <c r="M260" s="58"/>
      <c r="N260" s="58">
        <f t="shared" si="15"/>
        <v>0</v>
      </c>
      <c r="O260" s="58"/>
      <c r="P260" s="58">
        <f t="shared" si="16"/>
        <v>0</v>
      </c>
      <c r="Q260" s="74"/>
    </row>
    <row r="261" spans="1:29" ht="23.1" customHeight="1">
      <c r="D261" s="74"/>
      <c r="E261" s="74"/>
      <c r="F261" s="54"/>
      <c r="G261" s="80"/>
      <c r="H261" s="58"/>
      <c r="I261" s="58">
        <f t="shared" si="13"/>
        <v>0</v>
      </c>
      <c r="J261" s="58"/>
      <c r="K261" s="58"/>
      <c r="L261" s="58">
        <f t="shared" si="14"/>
        <v>0</v>
      </c>
      <c r="M261" s="58"/>
      <c r="N261" s="58">
        <f t="shared" si="15"/>
        <v>0</v>
      </c>
      <c r="O261" s="58"/>
      <c r="P261" s="58">
        <f t="shared" si="16"/>
        <v>0</v>
      </c>
      <c r="Q261" s="74"/>
    </row>
    <row r="262" spans="1:29" ht="23.1" customHeight="1">
      <c r="D262" s="74"/>
      <c r="E262" s="74"/>
      <c r="F262" s="54"/>
      <c r="G262" s="80"/>
      <c r="H262" s="58"/>
      <c r="I262" s="58">
        <f t="shared" si="13"/>
        <v>0</v>
      </c>
      <c r="J262" s="58"/>
      <c r="K262" s="58"/>
      <c r="L262" s="58">
        <f t="shared" si="14"/>
        <v>0</v>
      </c>
      <c r="M262" s="58"/>
      <c r="N262" s="58">
        <f t="shared" si="15"/>
        <v>0</v>
      </c>
      <c r="O262" s="58"/>
      <c r="P262" s="58">
        <f t="shared" si="16"/>
        <v>0</v>
      </c>
      <c r="Q262" s="74"/>
    </row>
    <row r="263" spans="1:29" ht="23.1" customHeight="1">
      <c r="B263" s="64" t="s">
        <v>921</v>
      </c>
      <c r="D263" s="74" t="s">
        <v>922</v>
      </c>
      <c r="E263" s="74"/>
      <c r="F263" s="54"/>
      <c r="G263" s="80"/>
      <c r="H263" s="58"/>
      <c r="I263" s="58">
        <f>TRUNC(SUM(I212:I262))</f>
        <v>107230642</v>
      </c>
      <c r="J263" s="58"/>
      <c r="K263" s="58"/>
      <c r="L263" s="58">
        <f>TRUNC(SUM(L212:L262))</f>
        <v>45325499</v>
      </c>
      <c r="M263" s="58"/>
      <c r="N263" s="58">
        <f>TRUNC(SUM(N212:N262))</f>
        <v>1944213</v>
      </c>
      <c r="O263" s="58"/>
      <c r="P263" s="58">
        <f>TRUNC(SUM(P212:P262))</f>
        <v>154500354</v>
      </c>
      <c r="Q263" s="74"/>
    </row>
    <row r="264" spans="1:29" ht="23.1" customHeight="1">
      <c r="B264" s="64" t="s">
        <v>573</v>
      </c>
      <c r="D264" s="158" t="s">
        <v>1128</v>
      </c>
      <c r="E264" s="159"/>
      <c r="F264" s="159"/>
      <c r="G264" s="159"/>
      <c r="H264" s="159"/>
      <c r="I264" s="159"/>
      <c r="J264" s="159"/>
      <c r="K264" s="159"/>
      <c r="L264" s="159"/>
      <c r="M264" s="159"/>
      <c r="N264" s="159"/>
      <c r="O264" s="159"/>
      <c r="P264" s="159"/>
      <c r="Q264" s="160"/>
    </row>
    <row r="265" spans="1:29" ht="23.1" customHeight="1">
      <c r="A265" s="64" t="s">
        <v>745</v>
      </c>
      <c r="B265" s="64" t="s">
        <v>1129</v>
      </c>
      <c r="C265" s="64" t="s">
        <v>746</v>
      </c>
      <c r="D265" s="74" t="s">
        <v>194</v>
      </c>
      <c r="E265" s="74" t="s">
        <v>200</v>
      </c>
      <c r="F265" s="54" t="s">
        <v>196</v>
      </c>
      <c r="G265" s="80">
        <v>74</v>
      </c>
      <c r="H265" s="58">
        <f>일대목차!I14</f>
        <v>1170</v>
      </c>
      <c r="I265" s="58">
        <f t="shared" ref="I265:I296" si="17">TRUNC(G265*H265)</f>
        <v>86580</v>
      </c>
      <c r="J265" s="58">
        <v>74</v>
      </c>
      <c r="K265" s="58">
        <f>일대목차!L14</f>
        <v>9002</v>
      </c>
      <c r="L265" s="58">
        <f t="shared" ref="L265:L296" si="18">TRUNC(G265*K265)</f>
        <v>666148</v>
      </c>
      <c r="M265" s="58">
        <f>일대목차!N14</f>
        <v>0</v>
      </c>
      <c r="N265" s="58">
        <f t="shared" ref="N265:N296" si="19">TRUNC(G265*M265)</f>
        <v>0</v>
      </c>
      <c r="O265" s="58"/>
      <c r="P265" s="58">
        <f t="shared" ref="P265:P296" si="20">SUM(I265,L265,N265)</f>
        <v>752728</v>
      </c>
      <c r="Q265" s="74" t="s">
        <v>747</v>
      </c>
      <c r="AB265" s="49">
        <f>G265*H265</f>
        <v>86580</v>
      </c>
      <c r="AC265" s="49">
        <f t="shared" ref="AC265:AC271" si="21">G265*H265</f>
        <v>86580</v>
      </c>
    </row>
    <row r="266" spans="1:29" ht="23.1" customHeight="1">
      <c r="A266" s="64" t="s">
        <v>748</v>
      </c>
      <c r="B266" s="64" t="s">
        <v>1129</v>
      </c>
      <c r="C266" s="64" t="s">
        <v>749</v>
      </c>
      <c r="D266" s="74" t="s">
        <v>194</v>
      </c>
      <c r="E266" s="74" t="s">
        <v>202</v>
      </c>
      <c r="F266" s="54" t="s">
        <v>196</v>
      </c>
      <c r="G266" s="80">
        <v>11</v>
      </c>
      <c r="H266" s="58">
        <f>일대목차!I15</f>
        <v>1825</v>
      </c>
      <c r="I266" s="58">
        <f t="shared" si="17"/>
        <v>20075</v>
      </c>
      <c r="J266" s="58">
        <v>11</v>
      </c>
      <c r="K266" s="58">
        <f>일대목차!L15</f>
        <v>11280</v>
      </c>
      <c r="L266" s="58">
        <f t="shared" si="18"/>
        <v>124080</v>
      </c>
      <c r="M266" s="58">
        <f>일대목차!N15</f>
        <v>0</v>
      </c>
      <c r="N266" s="58">
        <f t="shared" si="19"/>
        <v>0</v>
      </c>
      <c r="O266" s="58"/>
      <c r="P266" s="58">
        <f t="shared" si="20"/>
        <v>144155</v>
      </c>
      <c r="Q266" s="74" t="s">
        <v>750</v>
      </c>
      <c r="AB266" s="49">
        <f>G266*H266</f>
        <v>20075</v>
      </c>
      <c r="AC266" s="49">
        <f t="shared" si="21"/>
        <v>20075</v>
      </c>
    </row>
    <row r="267" spans="1:29" ht="23.1" customHeight="1">
      <c r="A267" s="64" t="s">
        <v>751</v>
      </c>
      <c r="B267" s="64" t="s">
        <v>1129</v>
      </c>
      <c r="C267" s="64" t="s">
        <v>752</v>
      </c>
      <c r="D267" s="74" t="s">
        <v>194</v>
      </c>
      <c r="E267" s="74" t="s">
        <v>204</v>
      </c>
      <c r="F267" s="54" t="s">
        <v>196</v>
      </c>
      <c r="G267" s="80">
        <v>17</v>
      </c>
      <c r="H267" s="58">
        <f>일대목차!I16</f>
        <v>2296</v>
      </c>
      <c r="I267" s="58">
        <f t="shared" si="17"/>
        <v>39032</v>
      </c>
      <c r="J267" s="58">
        <v>17</v>
      </c>
      <c r="K267" s="58">
        <f>일대목차!L16</f>
        <v>11280</v>
      </c>
      <c r="L267" s="58">
        <f t="shared" si="18"/>
        <v>191760</v>
      </c>
      <c r="M267" s="58">
        <f>일대목차!N16</f>
        <v>0</v>
      </c>
      <c r="N267" s="58">
        <f t="shared" si="19"/>
        <v>0</v>
      </c>
      <c r="O267" s="58"/>
      <c r="P267" s="58">
        <f t="shared" si="20"/>
        <v>230792</v>
      </c>
      <c r="Q267" s="74" t="s">
        <v>753</v>
      </c>
      <c r="AB267" s="49">
        <f>G267*H267</f>
        <v>39032</v>
      </c>
      <c r="AC267" s="49">
        <f t="shared" si="21"/>
        <v>39032</v>
      </c>
    </row>
    <row r="268" spans="1:29" ht="23.1" customHeight="1">
      <c r="A268" s="64" t="s">
        <v>754</v>
      </c>
      <c r="B268" s="64" t="s">
        <v>1129</v>
      </c>
      <c r="C268" s="64" t="s">
        <v>755</v>
      </c>
      <c r="D268" s="74" t="s">
        <v>194</v>
      </c>
      <c r="E268" s="74" t="s">
        <v>206</v>
      </c>
      <c r="F268" s="54" t="s">
        <v>196</v>
      </c>
      <c r="G268" s="80">
        <v>123</v>
      </c>
      <c r="H268" s="58">
        <f>일대목차!I17</f>
        <v>3128</v>
      </c>
      <c r="I268" s="58">
        <f t="shared" si="17"/>
        <v>384744</v>
      </c>
      <c r="J268" s="58">
        <v>123</v>
      </c>
      <c r="K268" s="58">
        <f>일대목차!L17</f>
        <v>16761</v>
      </c>
      <c r="L268" s="58">
        <f t="shared" si="18"/>
        <v>2061603</v>
      </c>
      <c r="M268" s="58">
        <f>일대목차!N17</f>
        <v>0</v>
      </c>
      <c r="N268" s="58">
        <f t="shared" si="19"/>
        <v>0</v>
      </c>
      <c r="O268" s="58"/>
      <c r="P268" s="58">
        <f t="shared" si="20"/>
        <v>2446347</v>
      </c>
      <c r="Q268" s="74" t="s">
        <v>756</v>
      </c>
      <c r="AB268" s="49">
        <f>G268*H268</f>
        <v>384744</v>
      </c>
      <c r="AC268" s="49">
        <f t="shared" si="21"/>
        <v>384744</v>
      </c>
    </row>
    <row r="269" spans="1:29" ht="23.1" customHeight="1">
      <c r="A269" s="64" t="s">
        <v>766</v>
      </c>
      <c r="B269" s="64" t="s">
        <v>1129</v>
      </c>
      <c r="C269" s="64" t="s">
        <v>767</v>
      </c>
      <c r="D269" s="74" t="s">
        <v>217</v>
      </c>
      <c r="E269" s="74" t="s">
        <v>218</v>
      </c>
      <c r="F269" s="54" t="s">
        <v>196</v>
      </c>
      <c r="G269" s="80">
        <v>123</v>
      </c>
      <c r="H269" s="58">
        <f>일대목차!I21</f>
        <v>1879</v>
      </c>
      <c r="I269" s="58">
        <f t="shared" si="17"/>
        <v>231117</v>
      </c>
      <c r="J269" s="58">
        <v>123</v>
      </c>
      <c r="K269" s="58">
        <f>일대목차!L21</f>
        <v>2463</v>
      </c>
      <c r="L269" s="58">
        <f t="shared" si="18"/>
        <v>302949</v>
      </c>
      <c r="M269" s="58">
        <f>일대목차!N21</f>
        <v>0</v>
      </c>
      <c r="N269" s="58">
        <f t="shared" si="19"/>
        <v>0</v>
      </c>
      <c r="O269" s="58"/>
      <c r="P269" s="58">
        <f t="shared" si="20"/>
        <v>534066</v>
      </c>
      <c r="Q269" s="74" t="s">
        <v>768</v>
      </c>
      <c r="AC269" s="49">
        <f t="shared" si="21"/>
        <v>231117</v>
      </c>
    </row>
    <row r="270" spans="1:29" ht="23.1" customHeight="1">
      <c r="A270" s="64" t="s">
        <v>1078</v>
      </c>
      <c r="B270" s="64" t="s">
        <v>1129</v>
      </c>
      <c r="C270" s="64" t="s">
        <v>231</v>
      </c>
      <c r="D270" s="74" t="s">
        <v>232</v>
      </c>
      <c r="E270" s="74" t="s">
        <v>233</v>
      </c>
      <c r="F270" s="54" t="s">
        <v>196</v>
      </c>
      <c r="G270" s="80">
        <v>57</v>
      </c>
      <c r="H270" s="58">
        <f>합산자재!H16</f>
        <v>2907</v>
      </c>
      <c r="I270" s="58">
        <f t="shared" si="17"/>
        <v>165699</v>
      </c>
      <c r="J270" s="58">
        <v>56</v>
      </c>
      <c r="K270" s="58">
        <f>합산자재!I16</f>
        <v>0</v>
      </c>
      <c r="L270" s="58">
        <f t="shared" si="18"/>
        <v>0</v>
      </c>
      <c r="M270" s="58">
        <f>합산자재!J16</f>
        <v>0</v>
      </c>
      <c r="N270" s="58">
        <f t="shared" si="19"/>
        <v>0</v>
      </c>
      <c r="O270" s="58"/>
      <c r="P270" s="58">
        <f t="shared" si="20"/>
        <v>165699</v>
      </c>
      <c r="Q270" s="74"/>
      <c r="AC270" s="49">
        <f t="shared" si="21"/>
        <v>165699</v>
      </c>
    </row>
    <row r="271" spans="1:29" ht="23.1" customHeight="1">
      <c r="A271" s="64" t="s">
        <v>781</v>
      </c>
      <c r="B271" s="64" t="s">
        <v>1129</v>
      </c>
      <c r="C271" s="64" t="s">
        <v>782</v>
      </c>
      <c r="D271" s="74" t="s">
        <v>252</v>
      </c>
      <c r="E271" s="74" t="s">
        <v>253</v>
      </c>
      <c r="F271" s="54" t="s">
        <v>196</v>
      </c>
      <c r="G271" s="80">
        <v>308</v>
      </c>
      <c r="H271" s="58">
        <f>일대목차!I26</f>
        <v>3832</v>
      </c>
      <c r="I271" s="58">
        <f t="shared" si="17"/>
        <v>1180256</v>
      </c>
      <c r="J271" s="58">
        <v>308</v>
      </c>
      <c r="K271" s="58">
        <f>일대목차!L26</f>
        <v>9732</v>
      </c>
      <c r="L271" s="58">
        <f t="shared" si="18"/>
        <v>2997456</v>
      </c>
      <c r="M271" s="58">
        <f>일대목차!N26</f>
        <v>0</v>
      </c>
      <c r="N271" s="58">
        <f t="shared" si="19"/>
        <v>0</v>
      </c>
      <c r="O271" s="58"/>
      <c r="P271" s="58">
        <f t="shared" si="20"/>
        <v>4177712</v>
      </c>
      <c r="Q271" s="74" t="s">
        <v>783</v>
      </c>
      <c r="AC271" s="49">
        <f t="shared" si="21"/>
        <v>1180256</v>
      </c>
    </row>
    <row r="272" spans="1:29" ht="23.1" customHeight="1">
      <c r="A272" s="64" t="s">
        <v>790</v>
      </c>
      <c r="B272" s="64" t="s">
        <v>1129</v>
      </c>
      <c r="C272" s="64" t="s">
        <v>791</v>
      </c>
      <c r="D272" s="74" t="s">
        <v>264</v>
      </c>
      <c r="E272" s="74" t="s">
        <v>265</v>
      </c>
      <c r="F272" s="54" t="s">
        <v>266</v>
      </c>
      <c r="G272" s="80">
        <v>4</v>
      </c>
      <c r="H272" s="58">
        <f>일대목차!I29</f>
        <v>7096</v>
      </c>
      <c r="I272" s="58">
        <f t="shared" si="17"/>
        <v>28384</v>
      </c>
      <c r="J272" s="58">
        <v>4</v>
      </c>
      <c r="K272" s="58">
        <f>일대목차!L29</f>
        <v>43869</v>
      </c>
      <c r="L272" s="58">
        <f t="shared" si="18"/>
        <v>175476</v>
      </c>
      <c r="M272" s="58">
        <f>일대목차!N29</f>
        <v>0</v>
      </c>
      <c r="N272" s="58">
        <f t="shared" si="19"/>
        <v>0</v>
      </c>
      <c r="O272" s="58"/>
      <c r="P272" s="58">
        <f t="shared" si="20"/>
        <v>203860</v>
      </c>
      <c r="Q272" s="74" t="s">
        <v>792</v>
      </c>
    </row>
    <row r="273" spans="1:29" ht="23.1" customHeight="1">
      <c r="A273" s="64" t="s">
        <v>796</v>
      </c>
      <c r="B273" s="64" t="s">
        <v>1129</v>
      </c>
      <c r="C273" s="64" t="s">
        <v>797</v>
      </c>
      <c r="D273" s="74" t="s">
        <v>271</v>
      </c>
      <c r="E273" s="74" t="s">
        <v>272</v>
      </c>
      <c r="F273" s="54" t="s">
        <v>196</v>
      </c>
      <c r="G273" s="80">
        <v>152</v>
      </c>
      <c r="H273" s="58">
        <f>일대목차!I31</f>
        <v>187</v>
      </c>
      <c r="I273" s="58">
        <f t="shared" si="17"/>
        <v>28424</v>
      </c>
      <c r="J273" s="58">
        <v>152</v>
      </c>
      <c r="K273" s="58">
        <f>일대목차!L31</f>
        <v>237</v>
      </c>
      <c r="L273" s="58">
        <f t="shared" si="18"/>
        <v>36024</v>
      </c>
      <c r="M273" s="58">
        <f>일대목차!N31</f>
        <v>0</v>
      </c>
      <c r="N273" s="58">
        <f t="shared" si="19"/>
        <v>0</v>
      </c>
      <c r="O273" s="58"/>
      <c r="P273" s="58">
        <f t="shared" si="20"/>
        <v>64448</v>
      </c>
      <c r="Q273" s="74" t="s">
        <v>798</v>
      </c>
    </row>
    <row r="274" spans="1:29" ht="23.1" customHeight="1">
      <c r="A274" s="64" t="s">
        <v>1083</v>
      </c>
      <c r="B274" s="64" t="s">
        <v>1129</v>
      </c>
      <c r="C274" s="64" t="s">
        <v>300</v>
      </c>
      <c r="D274" s="74" t="s">
        <v>301</v>
      </c>
      <c r="E274" s="74" t="s">
        <v>302</v>
      </c>
      <c r="F274" s="54" t="s">
        <v>294</v>
      </c>
      <c r="G274" s="80">
        <v>5.0979999999999999</v>
      </c>
      <c r="H274" s="58">
        <f>합산자재!H38</f>
        <v>101280</v>
      </c>
      <c r="I274" s="58">
        <f t="shared" si="17"/>
        <v>516325</v>
      </c>
      <c r="J274" s="58">
        <v>5.0979999999999999</v>
      </c>
      <c r="K274" s="58">
        <f>합산자재!I38</f>
        <v>0</v>
      </c>
      <c r="L274" s="58">
        <f t="shared" si="18"/>
        <v>0</v>
      </c>
      <c r="M274" s="58">
        <f>합산자재!J38</f>
        <v>0</v>
      </c>
      <c r="N274" s="58">
        <f t="shared" si="19"/>
        <v>0</v>
      </c>
      <c r="O274" s="58"/>
      <c r="P274" s="58">
        <f t="shared" si="20"/>
        <v>516325</v>
      </c>
      <c r="Q274" s="74"/>
    </row>
    <row r="275" spans="1:29" ht="23.1" customHeight="1">
      <c r="A275" s="64" t="s">
        <v>699</v>
      </c>
      <c r="B275" s="64" t="s">
        <v>1129</v>
      </c>
      <c r="C275" s="64" t="s">
        <v>700</v>
      </c>
      <c r="D275" s="74" t="s">
        <v>702</v>
      </c>
      <c r="E275" s="74" t="s">
        <v>703</v>
      </c>
      <c r="F275" s="54" t="s">
        <v>294</v>
      </c>
      <c r="G275" s="80">
        <v>107.04</v>
      </c>
      <c r="H275" s="58">
        <f>일대목차!I4</f>
        <v>501</v>
      </c>
      <c r="I275" s="58">
        <f t="shared" si="17"/>
        <v>53627</v>
      </c>
      <c r="J275" s="58">
        <v>107.04</v>
      </c>
      <c r="K275" s="58">
        <f>일대목차!L4</f>
        <v>4659</v>
      </c>
      <c r="L275" s="58">
        <f t="shared" si="18"/>
        <v>498699</v>
      </c>
      <c r="M275" s="58">
        <f>일대목차!N4</f>
        <v>483</v>
      </c>
      <c r="N275" s="58">
        <f t="shared" si="19"/>
        <v>51700</v>
      </c>
      <c r="O275" s="58"/>
      <c r="P275" s="58">
        <f t="shared" si="20"/>
        <v>604026</v>
      </c>
      <c r="Q275" s="74" t="s">
        <v>701</v>
      </c>
    </row>
    <row r="276" spans="1:29" ht="23.1" customHeight="1">
      <c r="A276" s="64" t="s">
        <v>704</v>
      </c>
      <c r="B276" s="64" t="s">
        <v>1129</v>
      </c>
      <c r="C276" s="64" t="s">
        <v>705</v>
      </c>
      <c r="D276" s="74" t="s">
        <v>707</v>
      </c>
      <c r="E276" s="74" t="s">
        <v>703</v>
      </c>
      <c r="F276" s="54" t="s">
        <v>294</v>
      </c>
      <c r="G276" s="80">
        <v>100.262</v>
      </c>
      <c r="H276" s="58">
        <f>일대목차!I5</f>
        <v>449</v>
      </c>
      <c r="I276" s="58">
        <f t="shared" si="17"/>
        <v>45017</v>
      </c>
      <c r="J276" s="58">
        <v>100.262</v>
      </c>
      <c r="K276" s="58">
        <f>일대목차!L5</f>
        <v>2939</v>
      </c>
      <c r="L276" s="58">
        <f t="shared" si="18"/>
        <v>294670</v>
      </c>
      <c r="M276" s="58">
        <f>일대목차!N5</f>
        <v>483</v>
      </c>
      <c r="N276" s="58">
        <f t="shared" si="19"/>
        <v>48426</v>
      </c>
      <c r="O276" s="58"/>
      <c r="P276" s="58">
        <f t="shared" si="20"/>
        <v>388113</v>
      </c>
      <c r="Q276" s="74" t="s">
        <v>706</v>
      </c>
    </row>
    <row r="277" spans="1:29" ht="23.1" customHeight="1">
      <c r="A277" s="64" t="s">
        <v>708</v>
      </c>
      <c r="B277" s="64" t="s">
        <v>1129</v>
      </c>
      <c r="C277" s="64" t="s">
        <v>709</v>
      </c>
      <c r="D277" s="74" t="s">
        <v>711</v>
      </c>
      <c r="E277" s="74" t="s">
        <v>712</v>
      </c>
      <c r="F277" s="54" t="s">
        <v>294</v>
      </c>
      <c r="G277" s="80">
        <v>6.7779999999999996</v>
      </c>
      <c r="H277" s="58">
        <f>일대목차!I6</f>
        <v>1032</v>
      </c>
      <c r="I277" s="58">
        <f t="shared" si="17"/>
        <v>6994</v>
      </c>
      <c r="J277" s="58">
        <v>6.7779999999999996</v>
      </c>
      <c r="K277" s="58">
        <f>일대목차!L6</f>
        <v>34413</v>
      </c>
      <c r="L277" s="58">
        <f t="shared" si="18"/>
        <v>233251</v>
      </c>
      <c r="M277" s="58">
        <f>일대목차!N6</f>
        <v>0</v>
      </c>
      <c r="N277" s="58">
        <f t="shared" si="19"/>
        <v>0</v>
      </c>
      <c r="O277" s="58"/>
      <c r="P277" s="58">
        <f t="shared" si="20"/>
        <v>240245</v>
      </c>
      <c r="Q277" s="74" t="s">
        <v>710</v>
      </c>
    </row>
    <row r="278" spans="1:29" ht="23.1" customHeight="1">
      <c r="A278" s="64" t="s">
        <v>713</v>
      </c>
      <c r="B278" s="64" t="s">
        <v>1129</v>
      </c>
      <c r="C278" s="64" t="s">
        <v>714</v>
      </c>
      <c r="D278" s="74" t="s">
        <v>716</v>
      </c>
      <c r="E278" s="74" t="s">
        <v>717</v>
      </c>
      <c r="F278" s="54" t="s">
        <v>294</v>
      </c>
      <c r="G278" s="80">
        <v>5.0979999999999999</v>
      </c>
      <c r="H278" s="58">
        <f>일대목차!I7</f>
        <v>1759</v>
      </c>
      <c r="I278" s="58">
        <f t="shared" si="17"/>
        <v>8967</v>
      </c>
      <c r="J278" s="58">
        <v>5.0979999999999999</v>
      </c>
      <c r="K278" s="58">
        <f>일대목차!L7</f>
        <v>58635</v>
      </c>
      <c r="L278" s="58">
        <f t="shared" si="18"/>
        <v>298921</v>
      </c>
      <c r="M278" s="58">
        <f>일대목차!N7</f>
        <v>0</v>
      </c>
      <c r="N278" s="58">
        <f t="shared" si="19"/>
        <v>0</v>
      </c>
      <c r="O278" s="58"/>
      <c r="P278" s="58">
        <f t="shared" si="20"/>
        <v>307888</v>
      </c>
      <c r="Q278" s="74" t="s">
        <v>715</v>
      </c>
    </row>
    <row r="279" spans="1:29" ht="23.1" customHeight="1">
      <c r="A279" s="64" t="s">
        <v>718</v>
      </c>
      <c r="B279" s="64" t="s">
        <v>1129</v>
      </c>
      <c r="C279" s="64" t="s">
        <v>719</v>
      </c>
      <c r="D279" s="74" t="s">
        <v>721</v>
      </c>
      <c r="E279" s="74" t="s">
        <v>722</v>
      </c>
      <c r="F279" s="54" t="s">
        <v>298</v>
      </c>
      <c r="G279" s="80">
        <v>20</v>
      </c>
      <c r="H279" s="58">
        <f>일대목차!I8</f>
        <v>24425</v>
      </c>
      <c r="I279" s="58">
        <f t="shared" si="17"/>
        <v>488500</v>
      </c>
      <c r="J279" s="58">
        <v>20</v>
      </c>
      <c r="K279" s="58">
        <f>일대목차!L8</f>
        <v>35498</v>
      </c>
      <c r="L279" s="58">
        <f t="shared" si="18"/>
        <v>709960</v>
      </c>
      <c r="M279" s="58">
        <f>일대목차!N8</f>
        <v>0</v>
      </c>
      <c r="N279" s="58">
        <f t="shared" si="19"/>
        <v>0</v>
      </c>
      <c r="O279" s="58"/>
      <c r="P279" s="58">
        <f t="shared" si="20"/>
        <v>1198460</v>
      </c>
      <c r="Q279" s="74" t="s">
        <v>720</v>
      </c>
    </row>
    <row r="280" spans="1:29" ht="23.1" customHeight="1">
      <c r="A280" s="64" t="s">
        <v>1084</v>
      </c>
      <c r="B280" s="64" t="s">
        <v>1129</v>
      </c>
      <c r="C280" s="64" t="s">
        <v>311</v>
      </c>
      <c r="D280" s="74" t="s">
        <v>312</v>
      </c>
      <c r="E280" s="74"/>
      <c r="F280" s="54" t="s">
        <v>266</v>
      </c>
      <c r="G280" s="80">
        <v>6</v>
      </c>
      <c r="H280" s="58">
        <f>합산자재!H41</f>
        <v>35000</v>
      </c>
      <c r="I280" s="58">
        <f t="shared" si="17"/>
        <v>210000</v>
      </c>
      <c r="J280" s="58">
        <v>6</v>
      </c>
      <c r="K280" s="58">
        <f>합산자재!I41</f>
        <v>0</v>
      </c>
      <c r="L280" s="58">
        <f t="shared" si="18"/>
        <v>0</v>
      </c>
      <c r="M280" s="58">
        <f>합산자재!J41</f>
        <v>0</v>
      </c>
      <c r="N280" s="58">
        <f t="shared" si="19"/>
        <v>0</v>
      </c>
      <c r="O280" s="58"/>
      <c r="P280" s="58">
        <f t="shared" si="20"/>
        <v>210000</v>
      </c>
      <c r="Q280" s="74"/>
    </row>
    <row r="281" spans="1:29" ht="23.1" customHeight="1">
      <c r="A281" s="64" t="s">
        <v>817</v>
      </c>
      <c r="B281" s="64" t="s">
        <v>1129</v>
      </c>
      <c r="C281" s="64" t="s">
        <v>818</v>
      </c>
      <c r="D281" s="74" t="s">
        <v>314</v>
      </c>
      <c r="E281" s="74" t="s">
        <v>315</v>
      </c>
      <c r="F281" s="54" t="s">
        <v>316</v>
      </c>
      <c r="G281" s="80">
        <v>2</v>
      </c>
      <c r="H281" s="58">
        <f>일대목차!I38</f>
        <v>38940</v>
      </c>
      <c r="I281" s="58">
        <f t="shared" si="17"/>
        <v>77880</v>
      </c>
      <c r="J281" s="58">
        <v>2</v>
      </c>
      <c r="K281" s="58">
        <f>일대목차!L38</f>
        <v>131364</v>
      </c>
      <c r="L281" s="58">
        <f t="shared" si="18"/>
        <v>262728</v>
      </c>
      <c r="M281" s="58">
        <f>일대목차!N38</f>
        <v>0</v>
      </c>
      <c r="N281" s="58">
        <f t="shared" si="19"/>
        <v>0</v>
      </c>
      <c r="O281" s="58"/>
      <c r="P281" s="58">
        <f t="shared" si="20"/>
        <v>340608</v>
      </c>
      <c r="Q281" s="74" t="s">
        <v>819</v>
      </c>
    </row>
    <row r="282" spans="1:29" ht="23.1" customHeight="1">
      <c r="A282" s="64" t="s">
        <v>820</v>
      </c>
      <c r="B282" s="64" t="s">
        <v>1129</v>
      </c>
      <c r="C282" s="64" t="s">
        <v>821</v>
      </c>
      <c r="D282" s="74" t="s">
        <v>318</v>
      </c>
      <c r="E282" s="74" t="s">
        <v>319</v>
      </c>
      <c r="F282" s="54" t="s">
        <v>266</v>
      </c>
      <c r="G282" s="80">
        <v>3</v>
      </c>
      <c r="H282" s="58">
        <f>일대목차!I39</f>
        <v>354509</v>
      </c>
      <c r="I282" s="58">
        <f t="shared" si="17"/>
        <v>1063527</v>
      </c>
      <c r="J282" s="58">
        <v>3</v>
      </c>
      <c r="K282" s="58">
        <f>일대목차!L39</f>
        <v>150304</v>
      </c>
      <c r="L282" s="58">
        <f t="shared" si="18"/>
        <v>450912</v>
      </c>
      <c r="M282" s="58">
        <f>일대목차!N39</f>
        <v>0</v>
      </c>
      <c r="N282" s="58">
        <f t="shared" si="19"/>
        <v>0</v>
      </c>
      <c r="O282" s="58"/>
      <c r="P282" s="58">
        <f t="shared" si="20"/>
        <v>1514439</v>
      </c>
      <c r="Q282" s="74" t="s">
        <v>822</v>
      </c>
    </row>
    <row r="283" spans="1:29" ht="23.1" customHeight="1">
      <c r="A283" s="64" t="s">
        <v>823</v>
      </c>
      <c r="B283" s="64" t="s">
        <v>1129</v>
      </c>
      <c r="C283" s="64" t="s">
        <v>824</v>
      </c>
      <c r="D283" s="74" t="s">
        <v>321</v>
      </c>
      <c r="E283" s="74" t="s">
        <v>322</v>
      </c>
      <c r="F283" s="54" t="s">
        <v>262</v>
      </c>
      <c r="G283" s="80">
        <v>1</v>
      </c>
      <c r="H283" s="58">
        <f>일대목차!I40</f>
        <v>21063</v>
      </c>
      <c r="I283" s="58">
        <f t="shared" si="17"/>
        <v>21063</v>
      </c>
      <c r="J283" s="58">
        <v>1</v>
      </c>
      <c r="K283" s="58">
        <f>일대목차!L40</f>
        <v>702133</v>
      </c>
      <c r="L283" s="58">
        <f t="shared" si="18"/>
        <v>702133</v>
      </c>
      <c r="M283" s="58">
        <f>일대목차!N40</f>
        <v>0</v>
      </c>
      <c r="N283" s="58">
        <f t="shared" si="19"/>
        <v>0</v>
      </c>
      <c r="O283" s="58"/>
      <c r="P283" s="58">
        <f t="shared" si="20"/>
        <v>723196</v>
      </c>
      <c r="Q283" s="74" t="s">
        <v>825</v>
      </c>
    </row>
    <row r="284" spans="1:29" ht="23.1" customHeight="1">
      <c r="A284" s="64" t="s">
        <v>1130</v>
      </c>
      <c r="B284" s="64" t="s">
        <v>1129</v>
      </c>
      <c r="C284" s="64" t="s">
        <v>323</v>
      </c>
      <c r="D284" s="74" t="s">
        <v>324</v>
      </c>
      <c r="E284" s="74" t="s">
        <v>325</v>
      </c>
      <c r="F284" s="54" t="s">
        <v>266</v>
      </c>
      <c r="G284" s="80">
        <v>1</v>
      </c>
      <c r="H284" s="58">
        <f>합산자재!H45</f>
        <v>5200000</v>
      </c>
      <c r="I284" s="58">
        <f t="shared" si="17"/>
        <v>5200000</v>
      </c>
      <c r="J284" s="58">
        <v>1</v>
      </c>
      <c r="K284" s="58">
        <f>합산자재!I45</f>
        <v>0</v>
      </c>
      <c r="L284" s="58">
        <f t="shared" si="18"/>
        <v>0</v>
      </c>
      <c r="M284" s="58">
        <f>합산자재!J45</f>
        <v>0</v>
      </c>
      <c r="N284" s="58">
        <f t="shared" si="19"/>
        <v>0</v>
      </c>
      <c r="O284" s="58"/>
      <c r="P284" s="58">
        <f t="shared" si="20"/>
        <v>5200000</v>
      </c>
      <c r="Q284" s="74"/>
    </row>
    <row r="285" spans="1:29" ht="23.1" customHeight="1">
      <c r="A285" s="64" t="s">
        <v>1085</v>
      </c>
      <c r="B285" s="64" t="s">
        <v>1129</v>
      </c>
      <c r="C285" s="64" t="s">
        <v>326</v>
      </c>
      <c r="D285" s="74" t="s">
        <v>327</v>
      </c>
      <c r="E285" s="74" t="s">
        <v>328</v>
      </c>
      <c r="F285" s="54" t="s">
        <v>266</v>
      </c>
      <c r="G285" s="80">
        <v>2</v>
      </c>
      <c r="H285" s="58">
        <f>합산자재!H46</f>
        <v>370000</v>
      </c>
      <c r="I285" s="58">
        <f t="shared" si="17"/>
        <v>740000</v>
      </c>
      <c r="J285" s="58">
        <v>2</v>
      </c>
      <c r="K285" s="58">
        <f>합산자재!I46</f>
        <v>0</v>
      </c>
      <c r="L285" s="58">
        <f t="shared" si="18"/>
        <v>0</v>
      </c>
      <c r="M285" s="58">
        <f>합산자재!J46</f>
        <v>0</v>
      </c>
      <c r="N285" s="58">
        <f t="shared" si="19"/>
        <v>0</v>
      </c>
      <c r="O285" s="58"/>
      <c r="P285" s="58">
        <f t="shared" si="20"/>
        <v>740000</v>
      </c>
      <c r="Q285" s="74"/>
    </row>
    <row r="286" spans="1:29" ht="23.1" customHeight="1">
      <c r="A286" s="64" t="s">
        <v>826</v>
      </c>
      <c r="B286" s="64" t="s">
        <v>1129</v>
      </c>
      <c r="C286" s="64" t="s">
        <v>827</v>
      </c>
      <c r="D286" s="74" t="s">
        <v>333</v>
      </c>
      <c r="E286" s="74" t="s">
        <v>334</v>
      </c>
      <c r="F286" s="54" t="s">
        <v>196</v>
      </c>
      <c r="G286" s="80">
        <v>56</v>
      </c>
      <c r="H286" s="58">
        <f>일대목차!I41</f>
        <v>125</v>
      </c>
      <c r="I286" s="58">
        <f t="shared" si="17"/>
        <v>7000</v>
      </c>
      <c r="J286" s="58">
        <v>56</v>
      </c>
      <c r="K286" s="58">
        <f>일대목차!L41</f>
        <v>4181</v>
      </c>
      <c r="L286" s="58">
        <f t="shared" si="18"/>
        <v>234136</v>
      </c>
      <c r="M286" s="58">
        <f>일대목차!N41</f>
        <v>0</v>
      </c>
      <c r="N286" s="58">
        <f t="shared" si="19"/>
        <v>0</v>
      </c>
      <c r="O286" s="58"/>
      <c r="P286" s="58">
        <f t="shared" si="20"/>
        <v>241136</v>
      </c>
      <c r="Q286" s="74" t="s">
        <v>828</v>
      </c>
      <c r="AC286" s="49">
        <f>G286*H286</f>
        <v>7000</v>
      </c>
    </row>
    <row r="287" spans="1:29" ht="23.1" customHeight="1">
      <c r="A287" s="64" t="s">
        <v>856</v>
      </c>
      <c r="B287" s="64" t="s">
        <v>1129</v>
      </c>
      <c r="C287" s="64" t="s">
        <v>857</v>
      </c>
      <c r="D287" s="74" t="s">
        <v>356</v>
      </c>
      <c r="E287" s="74"/>
      <c r="F287" s="54" t="s">
        <v>266</v>
      </c>
      <c r="G287" s="80">
        <v>1</v>
      </c>
      <c r="H287" s="58">
        <f>일대목차!I51</f>
        <v>551707</v>
      </c>
      <c r="I287" s="58">
        <f t="shared" si="17"/>
        <v>551707</v>
      </c>
      <c r="J287" s="58">
        <v>1</v>
      </c>
      <c r="K287" s="58">
        <f>일대목차!L51</f>
        <v>56924</v>
      </c>
      <c r="L287" s="58">
        <f t="shared" si="18"/>
        <v>56924</v>
      </c>
      <c r="M287" s="58">
        <f>일대목차!N51</f>
        <v>0</v>
      </c>
      <c r="N287" s="58">
        <f t="shared" si="19"/>
        <v>0</v>
      </c>
      <c r="O287" s="58"/>
      <c r="P287" s="58">
        <f t="shared" si="20"/>
        <v>608631</v>
      </c>
      <c r="Q287" s="74" t="s">
        <v>858</v>
      </c>
    </row>
    <row r="288" spans="1:29" ht="23.1" customHeight="1">
      <c r="A288" s="64" t="s">
        <v>877</v>
      </c>
      <c r="B288" s="64" t="s">
        <v>1129</v>
      </c>
      <c r="C288" s="64" t="s">
        <v>878</v>
      </c>
      <c r="D288" s="74" t="s">
        <v>399</v>
      </c>
      <c r="E288" s="74" t="s">
        <v>400</v>
      </c>
      <c r="F288" s="54" t="s">
        <v>266</v>
      </c>
      <c r="G288" s="80">
        <v>4</v>
      </c>
      <c r="H288" s="58">
        <f>일대목차!I58</f>
        <v>371518</v>
      </c>
      <c r="I288" s="58">
        <f t="shared" si="17"/>
        <v>1486072</v>
      </c>
      <c r="J288" s="58">
        <v>4</v>
      </c>
      <c r="K288" s="58">
        <f>일대목차!L58</f>
        <v>383962</v>
      </c>
      <c r="L288" s="58">
        <f t="shared" si="18"/>
        <v>1535848</v>
      </c>
      <c r="M288" s="58">
        <f>일대목차!N58</f>
        <v>0</v>
      </c>
      <c r="N288" s="58">
        <f t="shared" si="19"/>
        <v>0</v>
      </c>
      <c r="O288" s="58"/>
      <c r="P288" s="58">
        <f t="shared" si="20"/>
        <v>3021920</v>
      </c>
      <c r="Q288" s="74" t="s">
        <v>879</v>
      </c>
    </row>
    <row r="289" spans="1:31" ht="23.1" customHeight="1">
      <c r="A289" s="64" t="s">
        <v>880</v>
      </c>
      <c r="B289" s="64" t="s">
        <v>1129</v>
      </c>
      <c r="C289" s="64" t="s">
        <v>881</v>
      </c>
      <c r="D289" s="74" t="s">
        <v>399</v>
      </c>
      <c r="E289" s="74" t="s">
        <v>404</v>
      </c>
      <c r="F289" s="54" t="s">
        <v>266</v>
      </c>
      <c r="G289" s="80">
        <v>2</v>
      </c>
      <c r="H289" s="58">
        <f>일대목차!I59</f>
        <v>531518</v>
      </c>
      <c r="I289" s="58">
        <f t="shared" si="17"/>
        <v>1063036</v>
      </c>
      <c r="J289" s="58">
        <v>2</v>
      </c>
      <c r="K289" s="58">
        <f>일대목차!L59</f>
        <v>383962</v>
      </c>
      <c r="L289" s="58">
        <f t="shared" si="18"/>
        <v>767924</v>
      </c>
      <c r="M289" s="58">
        <f>일대목차!N59</f>
        <v>0</v>
      </c>
      <c r="N289" s="58">
        <f t="shared" si="19"/>
        <v>0</v>
      </c>
      <c r="O289" s="58"/>
      <c r="P289" s="58">
        <f t="shared" si="20"/>
        <v>1830960</v>
      </c>
      <c r="Q289" s="74" t="s">
        <v>882</v>
      </c>
    </row>
    <row r="290" spans="1:31" ht="23.1" customHeight="1">
      <c r="A290" s="64" t="s">
        <v>1131</v>
      </c>
      <c r="B290" s="64" t="s">
        <v>1129</v>
      </c>
      <c r="C290" s="64" t="s">
        <v>405</v>
      </c>
      <c r="D290" s="74" t="s">
        <v>406</v>
      </c>
      <c r="E290" s="74"/>
      <c r="F290" s="54" t="s">
        <v>266</v>
      </c>
      <c r="G290" s="80">
        <v>1</v>
      </c>
      <c r="H290" s="58">
        <f>합산자재!H71</f>
        <v>550000</v>
      </c>
      <c r="I290" s="58">
        <f t="shared" si="17"/>
        <v>550000</v>
      </c>
      <c r="J290" s="58">
        <v>1</v>
      </c>
      <c r="K290" s="58">
        <f>합산자재!I71</f>
        <v>0</v>
      </c>
      <c r="L290" s="58">
        <f t="shared" si="18"/>
        <v>0</v>
      </c>
      <c r="M290" s="58">
        <f>합산자재!J71</f>
        <v>0</v>
      </c>
      <c r="N290" s="58">
        <f t="shared" si="19"/>
        <v>0</v>
      </c>
      <c r="O290" s="58"/>
      <c r="P290" s="58">
        <f t="shared" si="20"/>
        <v>550000</v>
      </c>
      <c r="Q290" s="74"/>
    </row>
    <row r="291" spans="1:31" ht="23.1" customHeight="1">
      <c r="A291" s="64" t="s">
        <v>886</v>
      </c>
      <c r="B291" s="64" t="s">
        <v>1129</v>
      </c>
      <c r="C291" s="64" t="s">
        <v>887</v>
      </c>
      <c r="D291" s="74" t="s">
        <v>440</v>
      </c>
      <c r="E291" s="74"/>
      <c r="F291" s="54" t="s">
        <v>266</v>
      </c>
      <c r="G291" s="80">
        <v>2</v>
      </c>
      <c r="H291" s="58">
        <f>일대목차!I61</f>
        <v>506592</v>
      </c>
      <c r="I291" s="58">
        <f t="shared" si="17"/>
        <v>1013184</v>
      </c>
      <c r="J291" s="58">
        <v>2</v>
      </c>
      <c r="K291" s="58">
        <f>일대목차!L61</f>
        <v>219757</v>
      </c>
      <c r="L291" s="58">
        <f t="shared" si="18"/>
        <v>439514</v>
      </c>
      <c r="M291" s="58">
        <f>일대목차!N61</f>
        <v>0</v>
      </c>
      <c r="N291" s="58">
        <f t="shared" si="19"/>
        <v>0</v>
      </c>
      <c r="O291" s="58"/>
      <c r="P291" s="58">
        <f t="shared" si="20"/>
        <v>1452698</v>
      </c>
      <c r="Q291" s="74" t="s">
        <v>888</v>
      </c>
    </row>
    <row r="292" spans="1:31" ht="23.1" customHeight="1">
      <c r="A292" s="64" t="s">
        <v>889</v>
      </c>
      <c r="B292" s="64" t="s">
        <v>1129</v>
      </c>
      <c r="C292" s="64" t="s">
        <v>890</v>
      </c>
      <c r="D292" s="74" t="s">
        <v>442</v>
      </c>
      <c r="E292" s="74" t="s">
        <v>443</v>
      </c>
      <c r="F292" s="54" t="s">
        <v>266</v>
      </c>
      <c r="G292" s="80">
        <v>2</v>
      </c>
      <c r="H292" s="58">
        <f>일대목차!I62</f>
        <v>463981</v>
      </c>
      <c r="I292" s="58">
        <f t="shared" si="17"/>
        <v>927962</v>
      </c>
      <c r="J292" s="58">
        <v>2</v>
      </c>
      <c r="K292" s="58">
        <f>일대목차!L62</f>
        <v>466065</v>
      </c>
      <c r="L292" s="58">
        <f t="shared" si="18"/>
        <v>932130</v>
      </c>
      <c r="M292" s="58">
        <f>일대목차!N62</f>
        <v>0</v>
      </c>
      <c r="N292" s="58">
        <f t="shared" si="19"/>
        <v>0</v>
      </c>
      <c r="O292" s="58"/>
      <c r="P292" s="58">
        <f t="shared" si="20"/>
        <v>1860092</v>
      </c>
      <c r="Q292" s="74" t="s">
        <v>891</v>
      </c>
    </row>
    <row r="293" spans="1:31" ht="23.1" customHeight="1">
      <c r="A293" s="64" t="s">
        <v>892</v>
      </c>
      <c r="B293" s="64" t="s">
        <v>1129</v>
      </c>
      <c r="C293" s="64" t="s">
        <v>893</v>
      </c>
      <c r="D293" s="74" t="s">
        <v>445</v>
      </c>
      <c r="E293" s="74" t="s">
        <v>446</v>
      </c>
      <c r="F293" s="54" t="s">
        <v>266</v>
      </c>
      <c r="G293" s="80">
        <v>2</v>
      </c>
      <c r="H293" s="58">
        <f>일대목차!I63</f>
        <v>168495</v>
      </c>
      <c r="I293" s="58">
        <f t="shared" si="17"/>
        <v>336990</v>
      </c>
      <c r="J293" s="58">
        <v>2</v>
      </c>
      <c r="K293" s="58">
        <f>일대목차!L63</f>
        <v>116516</v>
      </c>
      <c r="L293" s="58">
        <f t="shared" si="18"/>
        <v>233032</v>
      </c>
      <c r="M293" s="58">
        <f>일대목차!N63</f>
        <v>0</v>
      </c>
      <c r="N293" s="58">
        <f t="shared" si="19"/>
        <v>0</v>
      </c>
      <c r="O293" s="58"/>
      <c r="P293" s="58">
        <f t="shared" si="20"/>
        <v>570022</v>
      </c>
      <c r="Q293" s="74" t="s">
        <v>894</v>
      </c>
    </row>
    <row r="294" spans="1:31" ht="23.1" customHeight="1">
      <c r="A294" s="64" t="s">
        <v>1132</v>
      </c>
      <c r="B294" s="64" t="s">
        <v>1129</v>
      </c>
      <c r="C294" s="64" t="s">
        <v>459</v>
      </c>
      <c r="D294" s="74" t="s">
        <v>460</v>
      </c>
      <c r="E294" s="74"/>
      <c r="F294" s="54" t="s">
        <v>266</v>
      </c>
      <c r="G294" s="80">
        <v>1</v>
      </c>
      <c r="H294" s="58">
        <f>합산자재!H89</f>
        <v>9000000</v>
      </c>
      <c r="I294" s="58">
        <f t="shared" si="17"/>
        <v>9000000</v>
      </c>
      <c r="J294" s="58">
        <v>1</v>
      </c>
      <c r="K294" s="58">
        <f>합산자재!I89</f>
        <v>0</v>
      </c>
      <c r="L294" s="58">
        <f t="shared" si="18"/>
        <v>0</v>
      </c>
      <c r="M294" s="58">
        <f>합산자재!J89</f>
        <v>0</v>
      </c>
      <c r="N294" s="58">
        <f t="shared" si="19"/>
        <v>0</v>
      </c>
      <c r="O294" s="58"/>
      <c r="P294" s="58">
        <f t="shared" si="20"/>
        <v>9000000</v>
      </c>
      <c r="Q294" s="74"/>
    </row>
    <row r="295" spans="1:31" ht="23.1" customHeight="1">
      <c r="A295" s="64" t="s">
        <v>1086</v>
      </c>
      <c r="B295" s="64" t="s">
        <v>1129</v>
      </c>
      <c r="C295" s="64" t="s">
        <v>469</v>
      </c>
      <c r="D295" s="74" t="s">
        <v>470</v>
      </c>
      <c r="E295" s="74"/>
      <c r="F295" s="54" t="s">
        <v>266</v>
      </c>
      <c r="G295" s="80">
        <v>2</v>
      </c>
      <c r="H295" s="58">
        <f>합산자재!H93</f>
        <v>900000</v>
      </c>
      <c r="I295" s="58">
        <f t="shared" si="17"/>
        <v>1800000</v>
      </c>
      <c r="J295" s="58">
        <v>2</v>
      </c>
      <c r="K295" s="58">
        <f>합산자재!I93</f>
        <v>0</v>
      </c>
      <c r="L295" s="58">
        <f t="shared" si="18"/>
        <v>0</v>
      </c>
      <c r="M295" s="58">
        <f>합산자재!J93</f>
        <v>0</v>
      </c>
      <c r="N295" s="58">
        <f t="shared" si="19"/>
        <v>0</v>
      </c>
      <c r="O295" s="58"/>
      <c r="P295" s="58">
        <f t="shared" si="20"/>
        <v>1800000</v>
      </c>
      <c r="Q295" s="74"/>
    </row>
    <row r="296" spans="1:31" ht="23.1" customHeight="1">
      <c r="A296" s="64" t="s">
        <v>1087</v>
      </c>
      <c r="B296" s="64" t="s">
        <v>1129</v>
      </c>
      <c r="C296" s="64" t="s">
        <v>471</v>
      </c>
      <c r="D296" s="74" t="s">
        <v>472</v>
      </c>
      <c r="E296" s="74"/>
      <c r="F296" s="54" t="s">
        <v>266</v>
      </c>
      <c r="G296" s="80">
        <v>1</v>
      </c>
      <c r="H296" s="58">
        <f>합산자재!H94</f>
        <v>1200000</v>
      </c>
      <c r="I296" s="58">
        <f t="shared" si="17"/>
        <v>1200000</v>
      </c>
      <c r="J296" s="58">
        <v>1</v>
      </c>
      <c r="K296" s="58">
        <f>합산자재!I94</f>
        <v>0</v>
      </c>
      <c r="L296" s="58">
        <f t="shared" si="18"/>
        <v>0</v>
      </c>
      <c r="M296" s="58">
        <f>합산자재!J94</f>
        <v>0</v>
      </c>
      <c r="N296" s="58">
        <f t="shared" si="19"/>
        <v>0</v>
      </c>
      <c r="O296" s="58"/>
      <c r="P296" s="58">
        <f t="shared" si="20"/>
        <v>1200000</v>
      </c>
      <c r="Q296" s="74"/>
    </row>
    <row r="297" spans="1:31" ht="23.1" customHeight="1">
      <c r="A297" s="64" t="s">
        <v>898</v>
      </c>
      <c r="B297" s="64" t="s">
        <v>1129</v>
      </c>
      <c r="C297" s="64" t="s">
        <v>899</v>
      </c>
      <c r="D297" s="74" t="s">
        <v>474</v>
      </c>
      <c r="E297" s="74" t="s">
        <v>477</v>
      </c>
      <c r="F297" s="54" t="s">
        <v>266</v>
      </c>
      <c r="G297" s="80">
        <v>1</v>
      </c>
      <c r="H297" s="58">
        <f>일대목차!I65</f>
        <v>2016684</v>
      </c>
      <c r="I297" s="58">
        <f t="shared" ref="I297:I314" si="22">TRUNC(G297*H297)</f>
        <v>2016684</v>
      </c>
      <c r="J297" s="58">
        <v>1</v>
      </c>
      <c r="K297" s="58">
        <f>일대목차!L65</f>
        <v>556154</v>
      </c>
      <c r="L297" s="58">
        <f t="shared" ref="L297:L314" si="23">TRUNC(G297*K297)</f>
        <v>556154</v>
      </c>
      <c r="M297" s="58">
        <f>일대목차!N65</f>
        <v>0</v>
      </c>
      <c r="N297" s="58">
        <f t="shared" ref="N297:N314" si="24">TRUNC(G297*M297)</f>
        <v>0</v>
      </c>
      <c r="O297" s="58"/>
      <c r="P297" s="58">
        <f t="shared" ref="P297:P314" si="25">SUM(I297,L297,N297)</f>
        <v>2572838</v>
      </c>
      <c r="Q297" s="74" t="s">
        <v>900</v>
      </c>
    </row>
    <row r="298" spans="1:31" ht="23.1" customHeight="1">
      <c r="A298" s="64" t="s">
        <v>901</v>
      </c>
      <c r="B298" s="64" t="s">
        <v>1129</v>
      </c>
      <c r="C298" s="64" t="s">
        <v>902</v>
      </c>
      <c r="D298" s="74" t="s">
        <v>474</v>
      </c>
      <c r="E298" s="74" t="s">
        <v>479</v>
      </c>
      <c r="F298" s="54" t="s">
        <v>266</v>
      </c>
      <c r="G298" s="80">
        <v>1</v>
      </c>
      <c r="H298" s="58">
        <f>일대목차!I66</f>
        <v>2011917</v>
      </c>
      <c r="I298" s="58">
        <f t="shared" si="22"/>
        <v>2011917</v>
      </c>
      <c r="J298" s="58">
        <v>1</v>
      </c>
      <c r="K298" s="58">
        <f>일대목차!L66</f>
        <v>397253</v>
      </c>
      <c r="L298" s="58">
        <f t="shared" si="23"/>
        <v>397253</v>
      </c>
      <c r="M298" s="58">
        <f>일대목차!N66</f>
        <v>0</v>
      </c>
      <c r="N298" s="58">
        <f t="shared" si="24"/>
        <v>0</v>
      </c>
      <c r="O298" s="58"/>
      <c r="P298" s="58">
        <f t="shared" si="25"/>
        <v>2409170</v>
      </c>
      <c r="Q298" s="74" t="s">
        <v>903</v>
      </c>
    </row>
    <row r="299" spans="1:31" ht="23.1" customHeight="1">
      <c r="A299" s="64" t="s">
        <v>1133</v>
      </c>
      <c r="B299" s="64" t="s">
        <v>1129</v>
      </c>
      <c r="C299" s="64" t="s">
        <v>480</v>
      </c>
      <c r="D299" s="74" t="s">
        <v>481</v>
      </c>
      <c r="E299" s="74"/>
      <c r="F299" s="54" t="s">
        <v>266</v>
      </c>
      <c r="G299" s="80">
        <v>1</v>
      </c>
      <c r="H299" s="58">
        <f>합산자재!H98</f>
        <v>650000</v>
      </c>
      <c r="I299" s="58">
        <f t="shared" si="22"/>
        <v>650000</v>
      </c>
      <c r="J299" s="58">
        <v>1</v>
      </c>
      <c r="K299" s="58">
        <f>합산자재!I98</f>
        <v>0</v>
      </c>
      <c r="L299" s="58">
        <f t="shared" si="23"/>
        <v>0</v>
      </c>
      <c r="M299" s="58">
        <f>합산자재!J98</f>
        <v>0</v>
      </c>
      <c r="N299" s="58">
        <f t="shared" si="24"/>
        <v>0</v>
      </c>
      <c r="O299" s="58"/>
      <c r="P299" s="58">
        <f t="shared" si="25"/>
        <v>650000</v>
      </c>
      <c r="Q299" s="74"/>
    </row>
    <row r="300" spans="1:31" ht="23.1" customHeight="1">
      <c r="A300" s="64" t="s">
        <v>904</v>
      </c>
      <c r="B300" s="64" t="s">
        <v>1129</v>
      </c>
      <c r="C300" s="64" t="s">
        <v>905</v>
      </c>
      <c r="D300" s="74" t="s">
        <v>483</v>
      </c>
      <c r="E300" s="74"/>
      <c r="F300" s="54" t="s">
        <v>266</v>
      </c>
      <c r="G300" s="80">
        <v>2</v>
      </c>
      <c r="H300" s="58">
        <f>일대목차!I67</f>
        <v>653495</v>
      </c>
      <c r="I300" s="58">
        <f t="shared" si="22"/>
        <v>1306990</v>
      </c>
      <c r="J300" s="58">
        <v>2</v>
      </c>
      <c r="K300" s="58">
        <f>일대목차!L67</f>
        <v>116516</v>
      </c>
      <c r="L300" s="58">
        <f t="shared" si="23"/>
        <v>233032</v>
      </c>
      <c r="M300" s="58">
        <f>일대목차!N67</f>
        <v>0</v>
      </c>
      <c r="N300" s="58">
        <f t="shared" si="24"/>
        <v>0</v>
      </c>
      <c r="O300" s="58"/>
      <c r="P300" s="58">
        <f t="shared" si="25"/>
        <v>1540022</v>
      </c>
      <c r="Q300" s="74" t="s">
        <v>906</v>
      </c>
    </row>
    <row r="301" spans="1:31" ht="23.1" customHeight="1">
      <c r="A301" s="64" t="s">
        <v>1088</v>
      </c>
      <c r="B301" s="64" t="s">
        <v>1129</v>
      </c>
      <c r="C301" s="64" t="s">
        <v>1089</v>
      </c>
      <c r="D301" s="74" t="s">
        <v>1090</v>
      </c>
      <c r="E301" s="74" t="s">
        <v>1091</v>
      </c>
      <c r="F301" s="54" t="s">
        <v>432</v>
      </c>
      <c r="G301" s="80">
        <v>6</v>
      </c>
      <c r="H301" s="58"/>
      <c r="I301" s="58">
        <f t="shared" si="22"/>
        <v>0</v>
      </c>
      <c r="J301" s="58">
        <v>6</v>
      </c>
      <c r="K301" s="58"/>
      <c r="L301" s="58">
        <f t="shared" si="23"/>
        <v>0</v>
      </c>
      <c r="M301" s="58"/>
      <c r="N301" s="58">
        <f t="shared" si="24"/>
        <v>0</v>
      </c>
      <c r="O301" s="58"/>
      <c r="P301" s="58">
        <f t="shared" si="25"/>
        <v>0</v>
      </c>
      <c r="Q301" s="74"/>
    </row>
    <row r="302" spans="1:31" ht="23.1" customHeight="1">
      <c r="D302" s="74"/>
      <c r="E302" s="74"/>
      <c r="F302" s="54"/>
      <c r="G302" s="80"/>
      <c r="H302" s="58"/>
      <c r="I302" s="58">
        <f t="shared" si="22"/>
        <v>0</v>
      </c>
      <c r="J302" s="58"/>
      <c r="K302" s="58"/>
      <c r="L302" s="58">
        <f t="shared" si="23"/>
        <v>0</v>
      </c>
      <c r="M302" s="58"/>
      <c r="N302" s="58">
        <f t="shared" si="24"/>
        <v>0</v>
      </c>
      <c r="O302" s="58"/>
      <c r="P302" s="58">
        <f t="shared" si="25"/>
        <v>0</v>
      </c>
      <c r="Q302" s="74"/>
      <c r="AE302" s="49">
        <f>TRUNC(SUM(AE264:AE301))</f>
        <v>0</v>
      </c>
    </row>
    <row r="303" spans="1:31" ht="23.1" customHeight="1">
      <c r="D303" s="74"/>
      <c r="E303" s="74"/>
      <c r="F303" s="54"/>
      <c r="G303" s="80"/>
      <c r="H303" s="58"/>
      <c r="I303" s="58">
        <f t="shared" si="22"/>
        <v>0</v>
      </c>
      <c r="J303" s="58"/>
      <c r="K303" s="58"/>
      <c r="L303" s="58">
        <f t="shared" si="23"/>
        <v>0</v>
      </c>
      <c r="M303" s="58"/>
      <c r="N303" s="58">
        <f t="shared" si="24"/>
        <v>0</v>
      </c>
      <c r="O303" s="58"/>
      <c r="P303" s="58">
        <f t="shared" si="25"/>
        <v>0</v>
      </c>
      <c r="Q303" s="74"/>
    </row>
    <row r="304" spans="1:31" ht="23.1" customHeight="1">
      <c r="D304" s="74"/>
      <c r="E304" s="74"/>
      <c r="F304" s="54"/>
      <c r="G304" s="80"/>
      <c r="H304" s="58"/>
      <c r="I304" s="58">
        <f t="shared" si="22"/>
        <v>0</v>
      </c>
      <c r="J304" s="58"/>
      <c r="K304" s="58"/>
      <c r="L304" s="58">
        <f t="shared" si="23"/>
        <v>0</v>
      </c>
      <c r="M304" s="58"/>
      <c r="N304" s="58">
        <f t="shared" si="24"/>
        <v>0</v>
      </c>
      <c r="O304" s="58"/>
      <c r="P304" s="58">
        <f t="shared" si="25"/>
        <v>0</v>
      </c>
      <c r="Q304" s="74"/>
    </row>
    <row r="305" spans="1:31" ht="23.1" customHeight="1">
      <c r="D305" s="74"/>
      <c r="E305" s="74"/>
      <c r="F305" s="54"/>
      <c r="G305" s="80"/>
      <c r="H305" s="58"/>
      <c r="I305" s="58">
        <f t="shared" si="22"/>
        <v>0</v>
      </c>
      <c r="J305" s="58"/>
      <c r="K305" s="58"/>
      <c r="L305" s="58">
        <f t="shared" si="23"/>
        <v>0</v>
      </c>
      <c r="M305" s="58"/>
      <c r="N305" s="58">
        <f t="shared" si="24"/>
        <v>0</v>
      </c>
      <c r="O305" s="58"/>
      <c r="P305" s="58">
        <f t="shared" si="25"/>
        <v>0</v>
      </c>
      <c r="Q305" s="74"/>
    </row>
    <row r="306" spans="1:31" ht="23.1" customHeight="1">
      <c r="D306" s="74"/>
      <c r="E306" s="74"/>
      <c r="F306" s="54"/>
      <c r="G306" s="80"/>
      <c r="H306" s="58"/>
      <c r="I306" s="58">
        <f t="shared" si="22"/>
        <v>0</v>
      </c>
      <c r="J306" s="58"/>
      <c r="K306" s="58"/>
      <c r="L306" s="58">
        <f t="shared" si="23"/>
        <v>0</v>
      </c>
      <c r="M306" s="58"/>
      <c r="N306" s="58">
        <f t="shared" si="24"/>
        <v>0</v>
      </c>
      <c r="O306" s="58"/>
      <c r="P306" s="58">
        <f t="shared" si="25"/>
        <v>0</v>
      </c>
      <c r="Q306" s="74"/>
    </row>
    <row r="307" spans="1:31" ht="23.1" customHeight="1">
      <c r="D307" s="74"/>
      <c r="E307" s="74"/>
      <c r="F307" s="54"/>
      <c r="G307" s="80"/>
      <c r="H307" s="58"/>
      <c r="I307" s="58">
        <f t="shared" si="22"/>
        <v>0</v>
      </c>
      <c r="J307" s="58"/>
      <c r="K307" s="58"/>
      <c r="L307" s="58">
        <f t="shared" si="23"/>
        <v>0</v>
      </c>
      <c r="M307" s="58"/>
      <c r="N307" s="58">
        <f t="shared" si="24"/>
        <v>0</v>
      </c>
      <c r="O307" s="58"/>
      <c r="P307" s="58">
        <f t="shared" si="25"/>
        <v>0</v>
      </c>
      <c r="Q307" s="74"/>
    </row>
    <row r="308" spans="1:31" ht="23.1" customHeight="1">
      <c r="D308" s="74"/>
      <c r="E308" s="74"/>
      <c r="F308" s="54"/>
      <c r="G308" s="80"/>
      <c r="H308" s="58"/>
      <c r="I308" s="58">
        <f t="shared" si="22"/>
        <v>0</v>
      </c>
      <c r="J308" s="58"/>
      <c r="K308" s="58"/>
      <c r="L308" s="58">
        <f t="shared" si="23"/>
        <v>0</v>
      </c>
      <c r="M308" s="58"/>
      <c r="N308" s="58">
        <f t="shared" si="24"/>
        <v>0</v>
      </c>
      <c r="O308" s="58"/>
      <c r="P308" s="58">
        <f t="shared" si="25"/>
        <v>0</v>
      </c>
      <c r="Q308" s="74"/>
    </row>
    <row r="309" spans="1:31" ht="23.1" customHeight="1">
      <c r="D309" s="74"/>
      <c r="E309" s="74"/>
      <c r="F309" s="54"/>
      <c r="G309" s="80"/>
      <c r="H309" s="58"/>
      <c r="I309" s="58">
        <f t="shared" si="22"/>
        <v>0</v>
      </c>
      <c r="J309" s="58"/>
      <c r="K309" s="58"/>
      <c r="L309" s="58">
        <f t="shared" si="23"/>
        <v>0</v>
      </c>
      <c r="M309" s="58"/>
      <c r="N309" s="58">
        <f t="shared" si="24"/>
        <v>0</v>
      </c>
      <c r="O309" s="58"/>
      <c r="P309" s="58">
        <f t="shared" si="25"/>
        <v>0</v>
      </c>
      <c r="Q309" s="74"/>
    </row>
    <row r="310" spans="1:31" ht="23.1" customHeight="1">
      <c r="D310" s="74"/>
      <c r="E310" s="74"/>
      <c r="F310" s="54"/>
      <c r="G310" s="80"/>
      <c r="H310" s="58"/>
      <c r="I310" s="58">
        <f t="shared" si="22"/>
        <v>0</v>
      </c>
      <c r="J310" s="58"/>
      <c r="K310" s="58"/>
      <c r="L310" s="58">
        <f t="shared" si="23"/>
        <v>0</v>
      </c>
      <c r="M310" s="58"/>
      <c r="N310" s="58">
        <f t="shared" si="24"/>
        <v>0</v>
      </c>
      <c r="O310" s="58"/>
      <c r="P310" s="58">
        <f t="shared" si="25"/>
        <v>0</v>
      </c>
      <c r="Q310" s="74"/>
    </row>
    <row r="311" spans="1:31" ht="23.1" customHeight="1">
      <c r="D311" s="74"/>
      <c r="E311" s="74"/>
      <c r="F311" s="54"/>
      <c r="G311" s="80"/>
      <c r="H311" s="58"/>
      <c r="I311" s="58">
        <f t="shared" si="22"/>
        <v>0</v>
      </c>
      <c r="J311" s="58"/>
      <c r="K311" s="58"/>
      <c r="L311" s="58">
        <f t="shared" si="23"/>
        <v>0</v>
      </c>
      <c r="M311" s="58"/>
      <c r="N311" s="58">
        <f t="shared" si="24"/>
        <v>0</v>
      </c>
      <c r="O311" s="58"/>
      <c r="P311" s="58">
        <f t="shared" si="25"/>
        <v>0</v>
      </c>
      <c r="Q311" s="74"/>
    </row>
    <row r="312" spans="1:31" ht="23.1" customHeight="1">
      <c r="D312" s="74"/>
      <c r="E312" s="74"/>
      <c r="F312" s="54"/>
      <c r="G312" s="80"/>
      <c r="H312" s="58"/>
      <c r="I312" s="58">
        <f t="shared" si="22"/>
        <v>0</v>
      </c>
      <c r="J312" s="58"/>
      <c r="K312" s="58"/>
      <c r="L312" s="58">
        <f t="shared" si="23"/>
        <v>0</v>
      </c>
      <c r="M312" s="58"/>
      <c r="N312" s="58">
        <f t="shared" si="24"/>
        <v>0</v>
      </c>
      <c r="O312" s="58"/>
      <c r="P312" s="58">
        <f t="shared" si="25"/>
        <v>0</v>
      </c>
      <c r="Q312" s="74"/>
    </row>
    <row r="313" spans="1:31" ht="23.1" customHeight="1">
      <c r="D313" s="74"/>
      <c r="E313" s="74"/>
      <c r="F313" s="54"/>
      <c r="G313" s="80"/>
      <c r="H313" s="58"/>
      <c r="I313" s="58">
        <f t="shared" si="22"/>
        <v>0</v>
      </c>
      <c r="J313" s="58"/>
      <c r="K313" s="58"/>
      <c r="L313" s="58">
        <f t="shared" si="23"/>
        <v>0</v>
      </c>
      <c r="M313" s="58"/>
      <c r="N313" s="58">
        <f t="shared" si="24"/>
        <v>0</v>
      </c>
      <c r="O313" s="58"/>
      <c r="P313" s="58">
        <f t="shared" si="25"/>
        <v>0</v>
      </c>
      <c r="Q313" s="74"/>
    </row>
    <row r="314" spans="1:31" ht="23.1" customHeight="1">
      <c r="D314" s="74"/>
      <c r="E314" s="74"/>
      <c r="F314" s="54"/>
      <c r="G314" s="80"/>
      <c r="H314" s="58"/>
      <c r="I314" s="58">
        <f t="shared" si="22"/>
        <v>0</v>
      </c>
      <c r="J314" s="58"/>
      <c r="K314" s="58"/>
      <c r="L314" s="58">
        <f t="shared" si="23"/>
        <v>0</v>
      </c>
      <c r="M314" s="58"/>
      <c r="N314" s="58">
        <f t="shared" si="24"/>
        <v>0</v>
      </c>
      <c r="O314" s="58"/>
      <c r="P314" s="58">
        <f t="shared" si="25"/>
        <v>0</v>
      </c>
      <c r="Q314" s="74"/>
    </row>
    <row r="315" spans="1:31" ht="23.1" customHeight="1">
      <c r="B315" s="64" t="s">
        <v>921</v>
      </c>
      <c r="D315" s="74" t="s">
        <v>922</v>
      </c>
      <c r="E315" s="74"/>
      <c r="F315" s="54"/>
      <c r="G315" s="80"/>
      <c r="H315" s="58"/>
      <c r="I315" s="58">
        <f>TRUNC(SUM(I264:I314))</f>
        <v>34517753</v>
      </c>
      <c r="J315" s="58"/>
      <c r="K315" s="58"/>
      <c r="L315" s="58">
        <f>TRUNC(SUM(L264:L314))</f>
        <v>15392717</v>
      </c>
      <c r="M315" s="58"/>
      <c r="N315" s="58">
        <f>TRUNC(SUM(N264:N314))</f>
        <v>100126</v>
      </c>
      <c r="O315" s="58"/>
      <c r="P315" s="58">
        <f>TRUNC(SUM(P264:P314))</f>
        <v>50010596</v>
      </c>
      <c r="Q315" s="74"/>
    </row>
    <row r="316" spans="1:31" ht="23.1" customHeight="1">
      <c r="B316" s="64" t="s">
        <v>573</v>
      </c>
      <c r="D316" s="158" t="s">
        <v>1134</v>
      </c>
      <c r="E316" s="159"/>
      <c r="F316" s="159"/>
      <c r="G316" s="159"/>
      <c r="H316" s="159"/>
      <c r="I316" s="159"/>
      <c r="J316" s="159"/>
      <c r="K316" s="159"/>
      <c r="L316" s="159"/>
      <c r="M316" s="159"/>
      <c r="N316" s="159"/>
      <c r="O316" s="159"/>
      <c r="P316" s="159"/>
      <c r="Q316" s="160"/>
    </row>
    <row r="317" spans="1:31" ht="23.1" customHeight="1">
      <c r="A317" s="64" t="s">
        <v>1123</v>
      </c>
      <c r="B317" s="64" t="s">
        <v>1135</v>
      </c>
      <c r="C317" s="64" t="s">
        <v>447</v>
      </c>
      <c r="D317" s="74" t="s">
        <v>448</v>
      </c>
      <c r="E317" s="74"/>
      <c r="F317" s="54" t="s">
        <v>449</v>
      </c>
      <c r="G317" s="80">
        <v>1</v>
      </c>
      <c r="H317" s="58">
        <f>합산자재!H85</f>
        <v>23670000</v>
      </c>
      <c r="I317" s="58">
        <f t="shared" ref="I317:I340" si="26">TRUNC(G317*H317)</f>
        <v>23670000</v>
      </c>
      <c r="J317" s="58">
        <v>1</v>
      </c>
      <c r="K317" s="58">
        <f>합산자재!I85</f>
        <v>0</v>
      </c>
      <c r="L317" s="58">
        <f t="shared" ref="L317:L340" si="27">TRUNC(G317*K317)</f>
        <v>0</v>
      </c>
      <c r="M317" s="58">
        <f>합산자재!J85</f>
        <v>0</v>
      </c>
      <c r="N317" s="58">
        <f t="shared" ref="N317:N340" si="28">TRUNC(G317*M317)</f>
        <v>0</v>
      </c>
      <c r="O317" s="58"/>
      <c r="P317" s="58">
        <f t="shared" ref="P317:P340" si="29">SUM(I317,L317,N317)</f>
        <v>23670000</v>
      </c>
      <c r="Q317" s="74"/>
    </row>
    <row r="318" spans="1:31" ht="23.1" customHeight="1">
      <c r="D318" s="74"/>
      <c r="E318" s="74"/>
      <c r="F318" s="54"/>
      <c r="G318" s="80"/>
      <c r="H318" s="58"/>
      <c r="I318" s="58">
        <f t="shared" si="26"/>
        <v>0</v>
      </c>
      <c r="J318" s="58"/>
      <c r="K318" s="58"/>
      <c r="L318" s="58">
        <f t="shared" si="27"/>
        <v>0</v>
      </c>
      <c r="M318" s="58"/>
      <c r="N318" s="58">
        <f t="shared" si="28"/>
        <v>0</v>
      </c>
      <c r="O318" s="58"/>
      <c r="P318" s="58">
        <f t="shared" si="29"/>
        <v>0</v>
      </c>
      <c r="Q318" s="74"/>
      <c r="AE318" s="49">
        <f>TRUNC(SUM(AE316:AE317))</f>
        <v>0</v>
      </c>
    </row>
    <row r="319" spans="1:31" ht="23.1" customHeight="1">
      <c r="D319" s="74"/>
      <c r="E319" s="74"/>
      <c r="F319" s="54"/>
      <c r="G319" s="80"/>
      <c r="H319" s="58"/>
      <c r="I319" s="58">
        <f t="shared" si="26"/>
        <v>0</v>
      </c>
      <c r="J319" s="58"/>
      <c r="K319" s="58"/>
      <c r="L319" s="58">
        <f t="shared" si="27"/>
        <v>0</v>
      </c>
      <c r="M319" s="58"/>
      <c r="N319" s="58">
        <f t="shared" si="28"/>
        <v>0</v>
      </c>
      <c r="O319" s="58"/>
      <c r="P319" s="58">
        <f t="shared" si="29"/>
        <v>0</v>
      </c>
      <c r="Q319" s="74"/>
    </row>
    <row r="320" spans="1:31" ht="23.1" customHeight="1">
      <c r="D320" s="74"/>
      <c r="E320" s="74"/>
      <c r="F320" s="54"/>
      <c r="G320" s="80"/>
      <c r="H320" s="58"/>
      <c r="I320" s="58">
        <f t="shared" si="26"/>
        <v>0</v>
      </c>
      <c r="J320" s="58"/>
      <c r="K320" s="58"/>
      <c r="L320" s="58">
        <f t="shared" si="27"/>
        <v>0</v>
      </c>
      <c r="M320" s="58"/>
      <c r="N320" s="58">
        <f t="shared" si="28"/>
        <v>0</v>
      </c>
      <c r="O320" s="58"/>
      <c r="P320" s="58">
        <f t="shared" si="29"/>
        <v>0</v>
      </c>
      <c r="Q320" s="74"/>
    </row>
    <row r="321" spans="4:17" ht="23.1" customHeight="1">
      <c r="D321" s="74"/>
      <c r="E321" s="74"/>
      <c r="F321" s="54"/>
      <c r="G321" s="80"/>
      <c r="H321" s="58"/>
      <c r="I321" s="58">
        <f t="shared" si="26"/>
        <v>0</v>
      </c>
      <c r="J321" s="58"/>
      <c r="K321" s="58"/>
      <c r="L321" s="58">
        <f t="shared" si="27"/>
        <v>0</v>
      </c>
      <c r="M321" s="58"/>
      <c r="N321" s="58">
        <f t="shared" si="28"/>
        <v>0</v>
      </c>
      <c r="O321" s="58"/>
      <c r="P321" s="58">
        <f t="shared" si="29"/>
        <v>0</v>
      </c>
      <c r="Q321" s="74"/>
    </row>
    <row r="322" spans="4:17" ht="23.1" customHeight="1">
      <c r="D322" s="74"/>
      <c r="E322" s="74"/>
      <c r="F322" s="54"/>
      <c r="G322" s="80"/>
      <c r="H322" s="58"/>
      <c r="I322" s="58">
        <f t="shared" si="26"/>
        <v>0</v>
      </c>
      <c r="J322" s="58"/>
      <c r="K322" s="58"/>
      <c r="L322" s="58">
        <f t="shared" si="27"/>
        <v>0</v>
      </c>
      <c r="M322" s="58"/>
      <c r="N322" s="58">
        <f t="shared" si="28"/>
        <v>0</v>
      </c>
      <c r="O322" s="58"/>
      <c r="P322" s="58">
        <f t="shared" si="29"/>
        <v>0</v>
      </c>
      <c r="Q322" s="74"/>
    </row>
    <row r="323" spans="4:17" ht="23.1" customHeight="1">
      <c r="D323" s="74"/>
      <c r="E323" s="74"/>
      <c r="F323" s="54"/>
      <c r="G323" s="80"/>
      <c r="H323" s="58"/>
      <c r="I323" s="58">
        <f t="shared" si="26"/>
        <v>0</v>
      </c>
      <c r="J323" s="58"/>
      <c r="K323" s="58"/>
      <c r="L323" s="58">
        <f t="shared" si="27"/>
        <v>0</v>
      </c>
      <c r="M323" s="58"/>
      <c r="N323" s="58">
        <f t="shared" si="28"/>
        <v>0</v>
      </c>
      <c r="O323" s="58"/>
      <c r="P323" s="58">
        <f t="shared" si="29"/>
        <v>0</v>
      </c>
      <c r="Q323" s="74"/>
    </row>
    <row r="324" spans="4:17" ht="23.1" customHeight="1">
      <c r="D324" s="74"/>
      <c r="E324" s="74"/>
      <c r="F324" s="54"/>
      <c r="G324" s="80"/>
      <c r="H324" s="58"/>
      <c r="I324" s="58">
        <f t="shared" si="26"/>
        <v>0</v>
      </c>
      <c r="J324" s="58"/>
      <c r="K324" s="58"/>
      <c r="L324" s="58">
        <f t="shared" si="27"/>
        <v>0</v>
      </c>
      <c r="M324" s="58"/>
      <c r="N324" s="58">
        <f t="shared" si="28"/>
        <v>0</v>
      </c>
      <c r="O324" s="58"/>
      <c r="P324" s="58">
        <f t="shared" si="29"/>
        <v>0</v>
      </c>
      <c r="Q324" s="74"/>
    </row>
    <row r="325" spans="4:17" ht="23.1" customHeight="1">
      <c r="D325" s="74"/>
      <c r="E325" s="74"/>
      <c r="F325" s="54"/>
      <c r="G325" s="80"/>
      <c r="H325" s="58"/>
      <c r="I325" s="58">
        <f t="shared" si="26"/>
        <v>0</v>
      </c>
      <c r="J325" s="58"/>
      <c r="K325" s="58"/>
      <c r="L325" s="58">
        <f t="shared" si="27"/>
        <v>0</v>
      </c>
      <c r="M325" s="58"/>
      <c r="N325" s="58">
        <f t="shared" si="28"/>
        <v>0</v>
      </c>
      <c r="O325" s="58"/>
      <c r="P325" s="58">
        <f t="shared" si="29"/>
        <v>0</v>
      </c>
      <c r="Q325" s="74"/>
    </row>
    <row r="326" spans="4:17" ht="23.1" customHeight="1">
      <c r="D326" s="74"/>
      <c r="E326" s="74"/>
      <c r="F326" s="54"/>
      <c r="G326" s="80"/>
      <c r="H326" s="58"/>
      <c r="I326" s="58">
        <f t="shared" si="26"/>
        <v>0</v>
      </c>
      <c r="J326" s="58"/>
      <c r="K326" s="58"/>
      <c r="L326" s="58">
        <f t="shared" si="27"/>
        <v>0</v>
      </c>
      <c r="M326" s="58"/>
      <c r="N326" s="58">
        <f t="shared" si="28"/>
        <v>0</v>
      </c>
      <c r="O326" s="58"/>
      <c r="P326" s="58">
        <f t="shared" si="29"/>
        <v>0</v>
      </c>
      <c r="Q326" s="74"/>
    </row>
    <row r="327" spans="4:17" ht="23.1" customHeight="1">
      <c r="D327" s="74"/>
      <c r="E327" s="74"/>
      <c r="F327" s="54"/>
      <c r="G327" s="80"/>
      <c r="H327" s="58"/>
      <c r="I327" s="58">
        <f t="shared" si="26"/>
        <v>0</v>
      </c>
      <c r="J327" s="58"/>
      <c r="K327" s="58"/>
      <c r="L327" s="58">
        <f t="shared" si="27"/>
        <v>0</v>
      </c>
      <c r="M327" s="58"/>
      <c r="N327" s="58">
        <f t="shared" si="28"/>
        <v>0</v>
      </c>
      <c r="O327" s="58"/>
      <c r="P327" s="58">
        <f t="shared" si="29"/>
        <v>0</v>
      </c>
      <c r="Q327" s="74"/>
    </row>
    <row r="328" spans="4:17" ht="23.1" customHeight="1">
      <c r="D328" s="74"/>
      <c r="E328" s="74"/>
      <c r="F328" s="54"/>
      <c r="G328" s="80"/>
      <c r="H328" s="58"/>
      <c r="I328" s="58">
        <f t="shared" si="26"/>
        <v>0</v>
      </c>
      <c r="J328" s="58"/>
      <c r="K328" s="58"/>
      <c r="L328" s="58">
        <f t="shared" si="27"/>
        <v>0</v>
      </c>
      <c r="M328" s="58"/>
      <c r="N328" s="58">
        <f t="shared" si="28"/>
        <v>0</v>
      </c>
      <c r="O328" s="58"/>
      <c r="P328" s="58">
        <f t="shared" si="29"/>
        <v>0</v>
      </c>
      <c r="Q328" s="74"/>
    </row>
    <row r="329" spans="4:17" ht="23.1" customHeight="1">
      <c r="D329" s="74"/>
      <c r="E329" s="74"/>
      <c r="F329" s="54"/>
      <c r="G329" s="80"/>
      <c r="H329" s="58"/>
      <c r="I329" s="58">
        <f t="shared" si="26"/>
        <v>0</v>
      </c>
      <c r="J329" s="58"/>
      <c r="K329" s="58"/>
      <c r="L329" s="58">
        <f t="shared" si="27"/>
        <v>0</v>
      </c>
      <c r="M329" s="58"/>
      <c r="N329" s="58">
        <f t="shared" si="28"/>
        <v>0</v>
      </c>
      <c r="O329" s="58"/>
      <c r="P329" s="58">
        <f t="shared" si="29"/>
        <v>0</v>
      </c>
      <c r="Q329" s="74"/>
    </row>
    <row r="330" spans="4:17" ht="23.1" customHeight="1">
      <c r="D330" s="74"/>
      <c r="E330" s="74"/>
      <c r="F330" s="54"/>
      <c r="G330" s="80"/>
      <c r="H330" s="58"/>
      <c r="I330" s="58">
        <f t="shared" si="26"/>
        <v>0</v>
      </c>
      <c r="J330" s="58"/>
      <c r="K330" s="58"/>
      <c r="L330" s="58">
        <f t="shared" si="27"/>
        <v>0</v>
      </c>
      <c r="M330" s="58"/>
      <c r="N330" s="58">
        <f t="shared" si="28"/>
        <v>0</v>
      </c>
      <c r="O330" s="58"/>
      <c r="P330" s="58">
        <f t="shared" si="29"/>
        <v>0</v>
      </c>
      <c r="Q330" s="74"/>
    </row>
    <row r="331" spans="4:17" ht="23.1" customHeight="1">
      <c r="D331" s="74"/>
      <c r="E331" s="74"/>
      <c r="F331" s="54"/>
      <c r="G331" s="80"/>
      <c r="H331" s="58"/>
      <c r="I331" s="58">
        <f t="shared" si="26"/>
        <v>0</v>
      </c>
      <c r="J331" s="58"/>
      <c r="K331" s="58"/>
      <c r="L331" s="58">
        <f t="shared" si="27"/>
        <v>0</v>
      </c>
      <c r="M331" s="58"/>
      <c r="N331" s="58">
        <f t="shared" si="28"/>
        <v>0</v>
      </c>
      <c r="O331" s="58"/>
      <c r="P331" s="58">
        <f t="shared" si="29"/>
        <v>0</v>
      </c>
      <c r="Q331" s="74"/>
    </row>
    <row r="332" spans="4:17" ht="23.1" customHeight="1">
      <c r="D332" s="74"/>
      <c r="E332" s="74"/>
      <c r="F332" s="54"/>
      <c r="G332" s="80"/>
      <c r="H332" s="58"/>
      <c r="I332" s="58">
        <f t="shared" si="26"/>
        <v>0</v>
      </c>
      <c r="J332" s="58"/>
      <c r="K332" s="58"/>
      <c r="L332" s="58">
        <f t="shared" si="27"/>
        <v>0</v>
      </c>
      <c r="M332" s="58"/>
      <c r="N332" s="58">
        <f t="shared" si="28"/>
        <v>0</v>
      </c>
      <c r="O332" s="58"/>
      <c r="P332" s="58">
        <f t="shared" si="29"/>
        <v>0</v>
      </c>
      <c r="Q332" s="74"/>
    </row>
    <row r="333" spans="4:17" ht="23.1" customHeight="1">
      <c r="D333" s="74"/>
      <c r="E333" s="74"/>
      <c r="F333" s="54"/>
      <c r="G333" s="80"/>
      <c r="H333" s="58"/>
      <c r="I333" s="58">
        <f t="shared" si="26"/>
        <v>0</v>
      </c>
      <c r="J333" s="58"/>
      <c r="K333" s="58"/>
      <c r="L333" s="58">
        <f t="shared" si="27"/>
        <v>0</v>
      </c>
      <c r="M333" s="58"/>
      <c r="N333" s="58">
        <f t="shared" si="28"/>
        <v>0</v>
      </c>
      <c r="O333" s="58"/>
      <c r="P333" s="58">
        <f t="shared" si="29"/>
        <v>0</v>
      </c>
      <c r="Q333" s="74"/>
    </row>
    <row r="334" spans="4:17" ht="23.1" customHeight="1">
      <c r="D334" s="74"/>
      <c r="E334" s="74"/>
      <c r="F334" s="54"/>
      <c r="G334" s="80"/>
      <c r="H334" s="58"/>
      <c r="I334" s="58">
        <f t="shared" si="26"/>
        <v>0</v>
      </c>
      <c r="J334" s="58"/>
      <c r="K334" s="58"/>
      <c r="L334" s="58">
        <f t="shared" si="27"/>
        <v>0</v>
      </c>
      <c r="M334" s="58"/>
      <c r="N334" s="58">
        <f t="shared" si="28"/>
        <v>0</v>
      </c>
      <c r="O334" s="58"/>
      <c r="P334" s="58">
        <f t="shared" si="29"/>
        <v>0</v>
      </c>
      <c r="Q334" s="74"/>
    </row>
    <row r="335" spans="4:17" ht="23.1" customHeight="1">
      <c r="D335" s="74"/>
      <c r="E335" s="74"/>
      <c r="F335" s="54"/>
      <c r="G335" s="80"/>
      <c r="H335" s="58"/>
      <c r="I335" s="58">
        <f t="shared" si="26"/>
        <v>0</v>
      </c>
      <c r="J335" s="58"/>
      <c r="K335" s="58"/>
      <c r="L335" s="58">
        <f t="shared" si="27"/>
        <v>0</v>
      </c>
      <c r="M335" s="58"/>
      <c r="N335" s="58">
        <f t="shared" si="28"/>
        <v>0</v>
      </c>
      <c r="O335" s="58"/>
      <c r="P335" s="58">
        <f t="shared" si="29"/>
        <v>0</v>
      </c>
      <c r="Q335" s="74"/>
    </row>
    <row r="336" spans="4:17" ht="23.1" customHeight="1">
      <c r="D336" s="74"/>
      <c r="E336" s="74"/>
      <c r="F336" s="54"/>
      <c r="G336" s="80"/>
      <c r="H336" s="58"/>
      <c r="I336" s="58">
        <f t="shared" si="26"/>
        <v>0</v>
      </c>
      <c r="J336" s="58"/>
      <c r="K336" s="58"/>
      <c r="L336" s="58">
        <f t="shared" si="27"/>
        <v>0</v>
      </c>
      <c r="M336" s="58"/>
      <c r="N336" s="58">
        <f t="shared" si="28"/>
        <v>0</v>
      </c>
      <c r="O336" s="58"/>
      <c r="P336" s="58">
        <f t="shared" si="29"/>
        <v>0</v>
      </c>
      <c r="Q336" s="74"/>
    </row>
    <row r="337" spans="2:17" ht="23.1" customHeight="1">
      <c r="D337" s="74"/>
      <c r="E337" s="74"/>
      <c r="F337" s="54"/>
      <c r="G337" s="80"/>
      <c r="H337" s="58"/>
      <c r="I337" s="58">
        <f t="shared" si="26"/>
        <v>0</v>
      </c>
      <c r="J337" s="58"/>
      <c r="K337" s="58"/>
      <c r="L337" s="58">
        <f t="shared" si="27"/>
        <v>0</v>
      </c>
      <c r="M337" s="58"/>
      <c r="N337" s="58">
        <f t="shared" si="28"/>
        <v>0</v>
      </c>
      <c r="O337" s="58"/>
      <c r="P337" s="58">
        <f t="shared" si="29"/>
        <v>0</v>
      </c>
      <c r="Q337" s="74"/>
    </row>
    <row r="338" spans="2:17" ht="23.1" customHeight="1">
      <c r="D338" s="74"/>
      <c r="E338" s="74"/>
      <c r="F338" s="54"/>
      <c r="G338" s="80"/>
      <c r="H338" s="58"/>
      <c r="I338" s="58">
        <f t="shared" si="26"/>
        <v>0</v>
      </c>
      <c r="J338" s="58"/>
      <c r="K338" s="58"/>
      <c r="L338" s="58">
        <f t="shared" si="27"/>
        <v>0</v>
      </c>
      <c r="M338" s="58"/>
      <c r="N338" s="58">
        <f t="shared" si="28"/>
        <v>0</v>
      </c>
      <c r="O338" s="58"/>
      <c r="P338" s="58">
        <f t="shared" si="29"/>
        <v>0</v>
      </c>
      <c r="Q338" s="74"/>
    </row>
    <row r="339" spans="2:17" ht="23.1" customHeight="1">
      <c r="D339" s="74"/>
      <c r="E339" s="74"/>
      <c r="F339" s="54"/>
      <c r="G339" s="80"/>
      <c r="H339" s="58"/>
      <c r="I339" s="58">
        <f t="shared" si="26"/>
        <v>0</v>
      </c>
      <c r="J339" s="58"/>
      <c r="K339" s="58"/>
      <c r="L339" s="58">
        <f t="shared" si="27"/>
        <v>0</v>
      </c>
      <c r="M339" s="58"/>
      <c r="N339" s="58">
        <f t="shared" si="28"/>
        <v>0</v>
      </c>
      <c r="O339" s="58"/>
      <c r="P339" s="58">
        <f t="shared" si="29"/>
        <v>0</v>
      </c>
      <c r="Q339" s="74"/>
    </row>
    <row r="340" spans="2:17" ht="23.1" customHeight="1">
      <c r="D340" s="74"/>
      <c r="E340" s="74"/>
      <c r="F340" s="54"/>
      <c r="G340" s="80"/>
      <c r="H340" s="58"/>
      <c r="I340" s="58">
        <f t="shared" si="26"/>
        <v>0</v>
      </c>
      <c r="J340" s="58"/>
      <c r="K340" s="58"/>
      <c r="L340" s="58">
        <f t="shared" si="27"/>
        <v>0</v>
      </c>
      <c r="M340" s="58"/>
      <c r="N340" s="58">
        <f t="shared" si="28"/>
        <v>0</v>
      </c>
      <c r="O340" s="58"/>
      <c r="P340" s="58">
        <f t="shared" si="29"/>
        <v>0</v>
      </c>
      <c r="Q340" s="74"/>
    </row>
    <row r="341" spans="2:17" ht="23.1" customHeight="1">
      <c r="B341" s="64" t="s">
        <v>921</v>
      </c>
      <c r="D341" s="74" t="s">
        <v>922</v>
      </c>
      <c r="E341" s="74"/>
      <c r="F341" s="54"/>
      <c r="G341" s="80"/>
      <c r="H341" s="58"/>
      <c r="I341" s="58">
        <f>TRUNC(SUM(I316:I340))</f>
        <v>23670000</v>
      </c>
      <c r="J341" s="58"/>
      <c r="K341" s="58"/>
      <c r="L341" s="58">
        <f>TRUNC(SUM(L316:L340))</f>
        <v>0</v>
      </c>
      <c r="M341" s="58"/>
      <c r="N341" s="58">
        <f>TRUNC(SUM(N316:N340))</f>
        <v>0</v>
      </c>
      <c r="O341" s="58"/>
      <c r="P341" s="58">
        <f>TRUNC(SUM(P316:P340))</f>
        <v>23670000</v>
      </c>
      <c r="Q341" s="74"/>
    </row>
  </sheetData>
  <mergeCells count="22">
    <mergeCell ref="D212:Q212"/>
    <mergeCell ref="D264:Q264"/>
    <mergeCell ref="D316:Q316"/>
    <mergeCell ref="D4:Q4"/>
    <mergeCell ref="D56:Q56"/>
    <mergeCell ref="D108:Q108"/>
    <mergeCell ref="D134:Q134"/>
    <mergeCell ref="D186:Q186"/>
    <mergeCell ref="A2:A3"/>
    <mergeCell ref="B2:B3"/>
    <mergeCell ref="C2:C3"/>
    <mergeCell ref="W1:Y1"/>
    <mergeCell ref="E2:E3"/>
    <mergeCell ref="D2:D3"/>
    <mergeCell ref="J2:L2"/>
    <mergeCell ref="M2:N2"/>
    <mergeCell ref="G2:G3"/>
    <mergeCell ref="H2:I2"/>
    <mergeCell ref="P2:P3"/>
    <mergeCell ref="F2:F3"/>
    <mergeCell ref="Q2:Q3"/>
    <mergeCell ref="D1:Q1"/>
  </mergeCells>
  <phoneticPr fontId="2" type="noConversion"/>
  <printOptions horizontalCentered="1" verticalCentered="1"/>
  <pageMargins left="0.74803149606299213" right="0.35433070866141736" top="0.59055118110236227" bottom="0.59055118110236227" header="0.51181102362204722" footer="0.47244094488188981"/>
  <pageSetup paperSize="9" scale="75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35"/>
  </sheetPr>
  <dimension ref="A1:IV59"/>
  <sheetViews>
    <sheetView showZeros="0" view="pageBreakPreview" zoomScale="115" workbookViewId="0">
      <selection activeCell="F44" sqref="F44"/>
    </sheetView>
  </sheetViews>
  <sheetFormatPr defaultColWidth="9.77734375" defaultRowHeight="20.100000000000001" customHeight="1"/>
  <cols>
    <col min="1" max="9" width="9.77734375" style="110"/>
    <col min="10" max="10" width="10.6640625" style="110" customWidth="1"/>
    <col min="11" max="265" width="9.77734375" style="110"/>
    <col min="266" max="266" width="10.6640625" style="110" customWidth="1"/>
    <col min="267" max="521" width="9.77734375" style="110"/>
    <col min="522" max="522" width="10.6640625" style="110" customWidth="1"/>
    <col min="523" max="777" width="9.77734375" style="110"/>
    <col min="778" max="778" width="10.6640625" style="110" customWidth="1"/>
    <col min="779" max="1033" width="9.77734375" style="110"/>
    <col min="1034" max="1034" width="10.6640625" style="110" customWidth="1"/>
    <col min="1035" max="1289" width="9.77734375" style="110"/>
    <col min="1290" max="1290" width="10.6640625" style="110" customWidth="1"/>
    <col min="1291" max="1545" width="9.77734375" style="110"/>
    <col min="1546" max="1546" width="10.6640625" style="110" customWidth="1"/>
    <col min="1547" max="1801" width="9.77734375" style="110"/>
    <col min="1802" max="1802" width="10.6640625" style="110" customWidth="1"/>
    <col min="1803" max="2057" width="9.77734375" style="110"/>
    <col min="2058" max="2058" width="10.6640625" style="110" customWidth="1"/>
    <col min="2059" max="2313" width="9.77734375" style="110"/>
    <col min="2314" max="2314" width="10.6640625" style="110" customWidth="1"/>
    <col min="2315" max="2569" width="9.77734375" style="110"/>
    <col min="2570" max="2570" width="10.6640625" style="110" customWidth="1"/>
    <col min="2571" max="2825" width="9.77734375" style="110"/>
    <col min="2826" max="2826" width="10.6640625" style="110" customWidth="1"/>
    <col min="2827" max="3081" width="9.77734375" style="110"/>
    <col min="3082" max="3082" width="10.6640625" style="110" customWidth="1"/>
    <col min="3083" max="3337" width="9.77734375" style="110"/>
    <col min="3338" max="3338" width="10.6640625" style="110" customWidth="1"/>
    <col min="3339" max="3593" width="9.77734375" style="110"/>
    <col min="3594" max="3594" width="10.6640625" style="110" customWidth="1"/>
    <col min="3595" max="3849" width="9.77734375" style="110"/>
    <col min="3850" max="3850" width="10.6640625" style="110" customWidth="1"/>
    <col min="3851" max="4105" width="9.77734375" style="110"/>
    <col min="4106" max="4106" width="10.6640625" style="110" customWidth="1"/>
    <col min="4107" max="4361" width="9.77734375" style="110"/>
    <col min="4362" max="4362" width="10.6640625" style="110" customWidth="1"/>
    <col min="4363" max="4617" width="9.77734375" style="110"/>
    <col min="4618" max="4618" width="10.6640625" style="110" customWidth="1"/>
    <col min="4619" max="4873" width="9.77734375" style="110"/>
    <col min="4874" max="4874" width="10.6640625" style="110" customWidth="1"/>
    <col min="4875" max="5129" width="9.77734375" style="110"/>
    <col min="5130" max="5130" width="10.6640625" style="110" customWidth="1"/>
    <col min="5131" max="5385" width="9.77734375" style="110"/>
    <col min="5386" max="5386" width="10.6640625" style="110" customWidth="1"/>
    <col min="5387" max="5641" width="9.77734375" style="110"/>
    <col min="5642" max="5642" width="10.6640625" style="110" customWidth="1"/>
    <col min="5643" max="5897" width="9.77734375" style="110"/>
    <col min="5898" max="5898" width="10.6640625" style="110" customWidth="1"/>
    <col min="5899" max="6153" width="9.77734375" style="110"/>
    <col min="6154" max="6154" width="10.6640625" style="110" customWidth="1"/>
    <col min="6155" max="6409" width="9.77734375" style="110"/>
    <col min="6410" max="6410" width="10.6640625" style="110" customWidth="1"/>
    <col min="6411" max="6665" width="9.77734375" style="110"/>
    <col min="6666" max="6666" width="10.6640625" style="110" customWidth="1"/>
    <col min="6667" max="6921" width="9.77734375" style="110"/>
    <col min="6922" max="6922" width="10.6640625" style="110" customWidth="1"/>
    <col min="6923" max="7177" width="9.77734375" style="110"/>
    <col min="7178" max="7178" width="10.6640625" style="110" customWidth="1"/>
    <col min="7179" max="7433" width="9.77734375" style="110"/>
    <col min="7434" max="7434" width="10.6640625" style="110" customWidth="1"/>
    <col min="7435" max="7689" width="9.77734375" style="110"/>
    <col min="7690" max="7690" width="10.6640625" style="110" customWidth="1"/>
    <col min="7691" max="7945" width="9.77734375" style="110"/>
    <col min="7946" max="7946" width="10.6640625" style="110" customWidth="1"/>
    <col min="7947" max="8201" width="9.77734375" style="110"/>
    <col min="8202" max="8202" width="10.6640625" style="110" customWidth="1"/>
    <col min="8203" max="8457" width="9.77734375" style="110"/>
    <col min="8458" max="8458" width="10.6640625" style="110" customWidth="1"/>
    <col min="8459" max="8713" width="9.77734375" style="110"/>
    <col min="8714" max="8714" width="10.6640625" style="110" customWidth="1"/>
    <col min="8715" max="8969" width="9.77734375" style="110"/>
    <col min="8970" max="8970" width="10.6640625" style="110" customWidth="1"/>
    <col min="8971" max="9225" width="9.77734375" style="110"/>
    <col min="9226" max="9226" width="10.6640625" style="110" customWidth="1"/>
    <col min="9227" max="9481" width="9.77734375" style="110"/>
    <col min="9482" max="9482" width="10.6640625" style="110" customWidth="1"/>
    <col min="9483" max="9737" width="9.77734375" style="110"/>
    <col min="9738" max="9738" width="10.6640625" style="110" customWidth="1"/>
    <col min="9739" max="9993" width="9.77734375" style="110"/>
    <col min="9994" max="9994" width="10.6640625" style="110" customWidth="1"/>
    <col min="9995" max="10249" width="9.77734375" style="110"/>
    <col min="10250" max="10250" width="10.6640625" style="110" customWidth="1"/>
    <col min="10251" max="10505" width="9.77734375" style="110"/>
    <col min="10506" max="10506" width="10.6640625" style="110" customWidth="1"/>
    <col min="10507" max="10761" width="9.77734375" style="110"/>
    <col min="10762" max="10762" width="10.6640625" style="110" customWidth="1"/>
    <col min="10763" max="11017" width="9.77734375" style="110"/>
    <col min="11018" max="11018" width="10.6640625" style="110" customWidth="1"/>
    <col min="11019" max="11273" width="9.77734375" style="110"/>
    <col min="11274" max="11274" width="10.6640625" style="110" customWidth="1"/>
    <col min="11275" max="11529" width="9.77734375" style="110"/>
    <col min="11530" max="11530" width="10.6640625" style="110" customWidth="1"/>
    <col min="11531" max="11785" width="9.77734375" style="110"/>
    <col min="11786" max="11786" width="10.6640625" style="110" customWidth="1"/>
    <col min="11787" max="12041" width="9.77734375" style="110"/>
    <col min="12042" max="12042" width="10.6640625" style="110" customWidth="1"/>
    <col min="12043" max="12297" width="9.77734375" style="110"/>
    <col min="12298" max="12298" width="10.6640625" style="110" customWidth="1"/>
    <col min="12299" max="12553" width="9.77734375" style="110"/>
    <col min="12554" max="12554" width="10.6640625" style="110" customWidth="1"/>
    <col min="12555" max="12809" width="9.77734375" style="110"/>
    <col min="12810" max="12810" width="10.6640625" style="110" customWidth="1"/>
    <col min="12811" max="13065" width="9.77734375" style="110"/>
    <col min="13066" max="13066" width="10.6640625" style="110" customWidth="1"/>
    <col min="13067" max="13321" width="9.77734375" style="110"/>
    <col min="13322" max="13322" width="10.6640625" style="110" customWidth="1"/>
    <col min="13323" max="13577" width="9.77734375" style="110"/>
    <col min="13578" max="13578" width="10.6640625" style="110" customWidth="1"/>
    <col min="13579" max="13833" width="9.77734375" style="110"/>
    <col min="13834" max="13834" width="10.6640625" style="110" customWidth="1"/>
    <col min="13835" max="14089" width="9.77734375" style="110"/>
    <col min="14090" max="14090" width="10.6640625" style="110" customWidth="1"/>
    <col min="14091" max="14345" width="9.77734375" style="110"/>
    <col min="14346" max="14346" width="10.6640625" style="110" customWidth="1"/>
    <col min="14347" max="14601" width="9.77734375" style="110"/>
    <col min="14602" max="14602" width="10.6640625" style="110" customWidth="1"/>
    <col min="14603" max="14857" width="9.77734375" style="110"/>
    <col min="14858" max="14858" width="10.6640625" style="110" customWidth="1"/>
    <col min="14859" max="15113" width="9.77734375" style="110"/>
    <col min="15114" max="15114" width="10.6640625" style="110" customWidth="1"/>
    <col min="15115" max="15369" width="9.77734375" style="110"/>
    <col min="15370" max="15370" width="10.6640625" style="110" customWidth="1"/>
    <col min="15371" max="15625" width="9.77734375" style="110"/>
    <col min="15626" max="15626" width="10.6640625" style="110" customWidth="1"/>
    <col min="15627" max="15881" width="9.77734375" style="110"/>
    <col min="15882" max="15882" width="10.6640625" style="110" customWidth="1"/>
    <col min="15883" max="16137" width="9.77734375" style="110"/>
    <col min="16138" max="16138" width="10.6640625" style="110" customWidth="1"/>
    <col min="16139" max="16384" width="9.77734375" style="110"/>
  </cols>
  <sheetData>
    <row r="1" spans="1:12" ht="18" customHeight="1">
      <c r="A1" s="177" t="s">
        <v>1231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</row>
    <row r="2" spans="1:12" ht="18" customHeight="1">
      <c r="A2" s="177"/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</row>
    <row r="3" spans="1:12" s="111" customFormat="1" ht="20.100000000000001" customHeight="1">
      <c r="A3" s="178" t="s">
        <v>1232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</row>
    <row r="4" spans="1:12" s="112" customFormat="1" ht="20.100000000000001" customHeight="1">
      <c r="A4" s="179" t="s">
        <v>1233</v>
      </c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</row>
    <row r="5" spans="1:12" s="112" customFormat="1" ht="18" customHeight="1">
      <c r="A5" s="180" t="s">
        <v>1234</v>
      </c>
      <c r="B5" s="180"/>
      <c r="C5" s="180"/>
      <c r="D5" s="180"/>
      <c r="E5" s="180"/>
      <c r="F5" s="180"/>
      <c r="G5" s="180"/>
      <c r="H5" s="180" t="s">
        <v>1235</v>
      </c>
      <c r="I5" s="180"/>
      <c r="J5" s="180"/>
      <c r="K5" s="180"/>
      <c r="L5" s="180" t="s">
        <v>1236</v>
      </c>
    </row>
    <row r="6" spans="1:12" s="112" customFormat="1" ht="18" customHeight="1">
      <c r="A6" s="180"/>
      <c r="B6" s="180"/>
      <c r="C6" s="180"/>
      <c r="D6" s="180"/>
      <c r="E6" s="180"/>
      <c r="F6" s="180"/>
      <c r="G6" s="180"/>
      <c r="H6" s="180" t="s">
        <v>1237</v>
      </c>
      <c r="I6" s="180"/>
      <c r="J6" s="180" t="s">
        <v>1238</v>
      </c>
      <c r="K6" s="180"/>
      <c r="L6" s="180"/>
    </row>
    <row r="7" spans="1:12" s="112" customFormat="1" ht="18" customHeight="1">
      <c r="A7" s="181" t="s">
        <v>1239</v>
      </c>
      <c r="B7" s="181"/>
      <c r="C7" s="182" t="s">
        <v>1240</v>
      </c>
      <c r="D7" s="183"/>
      <c r="E7" s="183"/>
      <c r="F7" s="183"/>
      <c r="G7" s="183"/>
      <c r="H7" s="184">
        <v>306000</v>
      </c>
      <c r="I7" s="184"/>
      <c r="J7" s="184">
        <v>588000</v>
      </c>
      <c r="K7" s="184"/>
      <c r="L7" s="114"/>
    </row>
    <row r="8" spans="1:12" s="112" customFormat="1" ht="18" customHeight="1">
      <c r="A8" s="181"/>
      <c r="B8" s="181"/>
      <c r="C8" s="183" t="s">
        <v>1241</v>
      </c>
      <c r="D8" s="183"/>
      <c r="E8" s="183"/>
      <c r="F8" s="183"/>
      <c r="G8" s="183"/>
      <c r="H8" s="184">
        <v>121000</v>
      </c>
      <c r="I8" s="184"/>
      <c r="J8" s="184">
        <v>141000</v>
      </c>
      <c r="K8" s="184"/>
      <c r="L8" s="114"/>
    </row>
    <row r="9" spans="1:12" s="112" customFormat="1" ht="18" customHeight="1">
      <c r="A9" s="181" t="s">
        <v>1242</v>
      </c>
      <c r="B9" s="181"/>
      <c r="C9" s="183" t="s">
        <v>1243</v>
      </c>
      <c r="D9" s="183"/>
      <c r="E9" s="183"/>
      <c r="F9" s="183"/>
      <c r="G9" s="183"/>
      <c r="H9" s="184">
        <v>24000</v>
      </c>
      <c r="I9" s="184"/>
      <c r="J9" s="184">
        <v>50000</v>
      </c>
      <c r="K9" s="184"/>
      <c r="L9" s="114"/>
    </row>
    <row r="10" spans="1:12" s="112" customFormat="1" ht="18" customHeight="1">
      <c r="A10" s="185" t="s">
        <v>1244</v>
      </c>
      <c r="B10" s="185"/>
      <c r="C10" s="185"/>
      <c r="D10" s="185"/>
      <c r="E10" s="185"/>
      <c r="F10" s="185"/>
      <c r="G10" s="185"/>
      <c r="H10" s="185"/>
      <c r="I10" s="185"/>
      <c r="J10" s="185"/>
      <c r="K10" s="185"/>
      <c r="L10" s="185"/>
    </row>
    <row r="11" spans="1:12" s="112" customFormat="1" ht="18" customHeight="1">
      <c r="A11" s="180" t="s">
        <v>1234</v>
      </c>
      <c r="B11" s="180"/>
      <c r="C11" s="180"/>
      <c r="D11" s="180"/>
      <c r="E11" s="180"/>
      <c r="F11" s="180"/>
      <c r="G11" s="180"/>
      <c r="H11" s="180" t="s">
        <v>1237</v>
      </c>
      <c r="I11" s="180"/>
      <c r="J11" s="180" t="s">
        <v>1238</v>
      </c>
      <c r="K11" s="180"/>
      <c r="L11" s="180" t="s">
        <v>1236</v>
      </c>
    </row>
    <row r="12" spans="1:12" s="112" customFormat="1" ht="18" customHeight="1">
      <c r="A12" s="180"/>
      <c r="B12" s="180"/>
      <c r="C12" s="180"/>
      <c r="D12" s="180"/>
      <c r="E12" s="180"/>
      <c r="F12" s="180"/>
      <c r="G12" s="180"/>
      <c r="H12" s="113" t="s">
        <v>1245</v>
      </c>
      <c r="I12" s="113" t="s">
        <v>1246</v>
      </c>
      <c r="J12" s="180"/>
      <c r="K12" s="180"/>
      <c r="L12" s="180"/>
    </row>
    <row r="13" spans="1:12" s="112" customFormat="1" ht="18" customHeight="1">
      <c r="A13" s="181" t="s">
        <v>1247</v>
      </c>
      <c r="B13" s="181"/>
      <c r="C13" s="183" t="s">
        <v>1248</v>
      </c>
      <c r="D13" s="183"/>
      <c r="E13" s="183"/>
      <c r="F13" s="183"/>
      <c r="G13" s="114" t="s">
        <v>1249</v>
      </c>
      <c r="H13" s="115">
        <v>48000</v>
      </c>
      <c r="I13" s="115">
        <v>53000</v>
      </c>
      <c r="J13" s="184">
        <v>75000</v>
      </c>
      <c r="K13" s="184"/>
      <c r="L13" s="114"/>
    </row>
    <row r="14" spans="1:12" s="112" customFormat="1" ht="18" customHeight="1">
      <c r="A14" s="181"/>
      <c r="B14" s="181"/>
      <c r="C14" s="183"/>
      <c r="D14" s="183"/>
      <c r="E14" s="183"/>
      <c r="F14" s="183"/>
      <c r="G14" s="114" t="s">
        <v>1250</v>
      </c>
      <c r="H14" s="184">
        <v>53000</v>
      </c>
      <c r="I14" s="184"/>
      <c r="J14" s="184">
        <v>137000</v>
      </c>
      <c r="K14" s="184"/>
      <c r="L14" s="114"/>
    </row>
    <row r="15" spans="1:12" s="112" customFormat="1" ht="18" customHeight="1">
      <c r="A15" s="181" t="s">
        <v>1251</v>
      </c>
      <c r="B15" s="181"/>
      <c r="C15" s="183" t="s">
        <v>1252</v>
      </c>
      <c r="D15" s="183"/>
      <c r="E15" s="183"/>
      <c r="F15" s="183"/>
      <c r="G15" s="114" t="s">
        <v>1249</v>
      </c>
      <c r="H15" s="184">
        <v>7000</v>
      </c>
      <c r="I15" s="184"/>
      <c r="J15" s="116" t="s">
        <v>1253</v>
      </c>
      <c r="K15" s="116"/>
      <c r="L15" s="114"/>
    </row>
    <row r="16" spans="1:12" s="112" customFormat="1" ht="18" customHeight="1">
      <c r="A16" s="181"/>
      <c r="B16" s="181"/>
      <c r="C16" s="183"/>
      <c r="D16" s="183"/>
      <c r="E16" s="183"/>
      <c r="F16" s="183"/>
      <c r="G16" s="114" t="s">
        <v>1250</v>
      </c>
      <c r="H16" s="184">
        <v>12000</v>
      </c>
      <c r="I16" s="184"/>
      <c r="J16" s="116" t="s">
        <v>1253</v>
      </c>
      <c r="K16" s="116"/>
      <c r="L16" s="114"/>
    </row>
    <row r="17" spans="1:256" s="112" customFormat="1" ht="18" customHeight="1">
      <c r="A17" s="186" t="s">
        <v>1254</v>
      </c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</row>
    <row r="18" spans="1:256" s="117" customFormat="1" ht="24.95" customHeight="1">
      <c r="A18" s="187" t="s">
        <v>1255</v>
      </c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</row>
    <row r="19" spans="1:256" ht="18" customHeight="1">
      <c r="A19" s="188" t="s">
        <v>1256</v>
      </c>
      <c r="B19" s="188"/>
      <c r="C19" s="189" t="s">
        <v>1257</v>
      </c>
      <c r="D19" s="189"/>
      <c r="E19" s="189"/>
      <c r="F19" s="189"/>
      <c r="G19" s="189"/>
      <c r="H19" s="190" t="s">
        <v>1258</v>
      </c>
      <c r="I19" s="191"/>
      <c r="J19" s="190" t="s">
        <v>1259</v>
      </c>
      <c r="K19" s="192"/>
      <c r="L19" s="191"/>
    </row>
    <row r="20" spans="1:256" ht="18" customHeight="1">
      <c r="A20" s="193" t="s">
        <v>1260</v>
      </c>
      <c r="B20" s="193"/>
      <c r="C20" s="194" t="s">
        <v>1261</v>
      </c>
      <c r="D20" s="194"/>
      <c r="E20" s="194"/>
      <c r="F20" s="194"/>
      <c r="G20" s="194"/>
      <c r="H20" s="195">
        <f>K54</f>
        <v>0</v>
      </c>
      <c r="I20" s="196"/>
      <c r="J20" s="197"/>
      <c r="K20" s="198"/>
      <c r="L20" s="199"/>
    </row>
    <row r="21" spans="1:256" ht="18" customHeight="1">
      <c r="A21" s="193" t="s">
        <v>1260</v>
      </c>
      <c r="B21" s="193"/>
      <c r="C21" s="194" t="s">
        <v>1262</v>
      </c>
      <c r="D21" s="194"/>
      <c r="E21" s="194"/>
      <c r="F21" s="194"/>
      <c r="G21" s="194"/>
      <c r="H21" s="195">
        <f>K45</f>
        <v>4290000</v>
      </c>
      <c r="I21" s="196"/>
      <c r="J21" s="197"/>
      <c r="K21" s="198"/>
      <c r="L21" s="199"/>
    </row>
    <row r="22" spans="1:256" ht="18" customHeight="1">
      <c r="A22" s="193" t="s">
        <v>1263</v>
      </c>
      <c r="B22" s="193"/>
      <c r="C22" s="194"/>
      <c r="D22" s="194"/>
      <c r="E22" s="194"/>
      <c r="F22" s="194"/>
      <c r="G22" s="194"/>
      <c r="H22" s="195">
        <f>'사용전검사비 (지구내)'!K23</f>
        <v>841000</v>
      </c>
      <c r="I22" s="196"/>
      <c r="J22" s="197"/>
      <c r="K22" s="198"/>
      <c r="L22" s="199"/>
    </row>
    <row r="23" spans="1:256" ht="18" customHeight="1">
      <c r="A23" s="193"/>
      <c r="B23" s="193"/>
      <c r="C23" s="194"/>
      <c r="D23" s="194"/>
      <c r="E23" s="194"/>
      <c r="F23" s="194"/>
      <c r="G23" s="194"/>
      <c r="H23" s="195"/>
      <c r="I23" s="196"/>
      <c r="J23" s="197"/>
      <c r="K23" s="198"/>
      <c r="L23" s="199"/>
    </row>
    <row r="24" spans="1:256" ht="18" customHeight="1">
      <c r="A24" s="193" t="s">
        <v>15</v>
      </c>
      <c r="B24" s="193"/>
      <c r="C24" s="200"/>
      <c r="D24" s="200"/>
      <c r="E24" s="200"/>
      <c r="F24" s="200"/>
      <c r="G24" s="200"/>
      <c r="H24" s="195">
        <f>SUM(H20:H23)</f>
        <v>5131000</v>
      </c>
      <c r="I24" s="196"/>
      <c r="J24" s="197" t="s">
        <v>1264</v>
      </c>
      <c r="K24" s="198"/>
      <c r="L24" s="199"/>
    </row>
    <row r="25" spans="1:256" ht="18" customHeight="1">
      <c r="A25" s="201" t="s">
        <v>1265</v>
      </c>
      <c r="B25" s="201"/>
      <c r="C25" s="202"/>
      <c r="D25" s="202"/>
      <c r="E25" s="202"/>
      <c r="F25" s="202"/>
      <c r="G25" s="202"/>
      <c r="H25" s="203">
        <f>TRUNC(H24,-3)</f>
        <v>5131000</v>
      </c>
      <c r="I25" s="204"/>
      <c r="J25" s="205" t="s">
        <v>1266</v>
      </c>
      <c r="K25" s="206"/>
      <c r="L25" s="207"/>
    </row>
    <row r="26" spans="1:256" ht="30" customHeight="1">
      <c r="A26" s="210" t="s">
        <v>1231</v>
      </c>
      <c r="B26" s="210"/>
      <c r="C26" s="210"/>
      <c r="D26" s="210"/>
      <c r="E26" s="210"/>
      <c r="F26" s="210"/>
      <c r="G26" s="210"/>
      <c r="H26" s="210"/>
      <c r="I26" s="210"/>
      <c r="J26" s="210"/>
      <c r="K26" s="210"/>
      <c r="L26" s="210"/>
    </row>
    <row r="27" spans="1:256" ht="20.100000000000001" customHeight="1">
      <c r="A27" s="211" t="s">
        <v>1256</v>
      </c>
      <c r="B27" s="208" t="s">
        <v>1267</v>
      </c>
      <c r="C27" s="208" t="s">
        <v>1268</v>
      </c>
      <c r="D27" s="215" t="s">
        <v>1269</v>
      </c>
      <c r="E27" s="216"/>
      <c r="F27" s="216"/>
      <c r="G27" s="216"/>
      <c r="H27" s="216"/>
      <c r="I27" s="217"/>
      <c r="J27" s="118" t="s">
        <v>1270</v>
      </c>
      <c r="K27" s="211" t="s">
        <v>1258</v>
      </c>
      <c r="L27" s="211" t="s">
        <v>1259</v>
      </c>
    </row>
    <row r="28" spans="1:256" ht="20.100000000000001" customHeight="1">
      <c r="A28" s="212"/>
      <c r="B28" s="214"/>
      <c r="C28" s="214"/>
      <c r="D28" s="208" t="s">
        <v>1271</v>
      </c>
      <c r="E28" s="208" t="s">
        <v>1272</v>
      </c>
      <c r="F28" s="218" t="s">
        <v>1273</v>
      </c>
      <c r="G28" s="219"/>
      <c r="H28" s="220"/>
      <c r="I28" s="208" t="s">
        <v>15</v>
      </c>
      <c r="J28" s="208" t="s">
        <v>1274</v>
      </c>
      <c r="K28" s="212"/>
      <c r="L28" s="212"/>
    </row>
    <row r="29" spans="1:256" ht="20.100000000000001" customHeight="1">
      <c r="A29" s="213"/>
      <c r="B29" s="209"/>
      <c r="C29" s="209"/>
      <c r="D29" s="209"/>
      <c r="E29" s="209"/>
      <c r="F29" s="221"/>
      <c r="G29" s="222"/>
      <c r="H29" s="223"/>
      <c r="I29" s="209"/>
      <c r="J29" s="209"/>
      <c r="K29" s="213"/>
      <c r="L29" s="213"/>
    </row>
    <row r="30" spans="1:256" ht="20.100000000000001" customHeight="1">
      <c r="A30" s="119" t="s">
        <v>1275</v>
      </c>
      <c r="B30" s="120"/>
      <c r="C30" s="121"/>
      <c r="D30" s="122"/>
      <c r="E30" s="123"/>
      <c r="F30" s="124"/>
      <c r="G30" s="123"/>
      <c r="H30" s="125"/>
      <c r="I30" s="125"/>
      <c r="J30" s="125"/>
      <c r="K30" s="125"/>
      <c r="L30" s="126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127"/>
      <c r="AG30" s="127"/>
      <c r="AH30" s="127"/>
      <c r="AI30" s="127"/>
      <c r="AJ30" s="127"/>
      <c r="AK30" s="127"/>
      <c r="AL30" s="127"/>
      <c r="AM30" s="127"/>
      <c r="AN30" s="127"/>
      <c r="AO30" s="127"/>
      <c r="AP30" s="127"/>
      <c r="AQ30" s="127"/>
      <c r="AR30" s="127"/>
      <c r="AS30" s="127"/>
      <c r="AT30" s="127"/>
      <c r="AU30" s="127"/>
      <c r="AV30" s="127"/>
      <c r="AW30" s="127"/>
      <c r="AX30" s="127"/>
      <c r="AY30" s="127"/>
      <c r="AZ30" s="127"/>
      <c r="BA30" s="127"/>
      <c r="BB30" s="127"/>
      <c r="BC30" s="127"/>
      <c r="BD30" s="127"/>
      <c r="BE30" s="127"/>
      <c r="BF30" s="127"/>
      <c r="BG30" s="127"/>
      <c r="BH30" s="127"/>
      <c r="BI30" s="127"/>
      <c r="BJ30" s="127"/>
      <c r="BK30" s="127"/>
      <c r="BL30" s="127"/>
      <c r="BM30" s="127"/>
      <c r="BN30" s="127"/>
      <c r="BO30" s="127"/>
      <c r="BP30" s="127"/>
      <c r="BQ30" s="127"/>
      <c r="BR30" s="127"/>
      <c r="BS30" s="127"/>
      <c r="BT30" s="127"/>
      <c r="BU30" s="127"/>
      <c r="BV30" s="127"/>
      <c r="BW30" s="127"/>
      <c r="BX30" s="127"/>
      <c r="BY30" s="127"/>
      <c r="BZ30" s="127"/>
      <c r="CA30" s="127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  <c r="CN30" s="127"/>
      <c r="CO30" s="127"/>
      <c r="CP30" s="127"/>
      <c r="CQ30" s="127"/>
      <c r="CR30" s="127"/>
      <c r="CS30" s="127"/>
      <c r="CT30" s="127"/>
      <c r="CU30" s="127"/>
      <c r="CV30" s="127"/>
      <c r="CW30" s="127"/>
      <c r="CX30" s="127"/>
      <c r="CY30" s="127"/>
      <c r="CZ30" s="127"/>
      <c r="DA30" s="127"/>
      <c r="DB30" s="127"/>
      <c r="DC30" s="127"/>
      <c r="DD30" s="127"/>
      <c r="DE30" s="127"/>
      <c r="DF30" s="127"/>
      <c r="DG30" s="127"/>
      <c r="DH30" s="127"/>
      <c r="DI30" s="127"/>
      <c r="DJ30" s="127"/>
      <c r="DK30" s="127"/>
      <c r="DL30" s="127"/>
      <c r="DM30" s="127"/>
      <c r="DN30" s="127"/>
      <c r="DO30" s="127"/>
      <c r="DP30" s="127"/>
      <c r="DQ30" s="127"/>
      <c r="DR30" s="127"/>
      <c r="DS30" s="127"/>
      <c r="DT30" s="127"/>
      <c r="DU30" s="127"/>
      <c r="DV30" s="127"/>
      <c r="DW30" s="127"/>
      <c r="DX30" s="127"/>
      <c r="DY30" s="127"/>
      <c r="DZ30" s="127"/>
      <c r="EA30" s="127"/>
      <c r="EB30" s="127"/>
      <c r="EC30" s="127"/>
      <c r="ED30" s="127"/>
      <c r="EE30" s="127"/>
      <c r="EF30" s="127"/>
      <c r="EG30" s="127"/>
      <c r="EH30" s="127"/>
      <c r="EI30" s="127"/>
      <c r="EJ30" s="127"/>
      <c r="EK30" s="127"/>
      <c r="EL30" s="127"/>
      <c r="EM30" s="127"/>
      <c r="EN30" s="127"/>
      <c r="EO30" s="127"/>
      <c r="EP30" s="127"/>
      <c r="EQ30" s="127"/>
      <c r="ER30" s="127"/>
      <c r="ES30" s="127"/>
      <c r="ET30" s="127"/>
      <c r="EU30" s="127"/>
      <c r="EV30" s="127"/>
      <c r="EW30" s="127"/>
      <c r="EX30" s="127"/>
      <c r="EY30" s="127"/>
      <c r="EZ30" s="127"/>
      <c r="FA30" s="127"/>
      <c r="FB30" s="127"/>
      <c r="FC30" s="127"/>
      <c r="FD30" s="127"/>
      <c r="FE30" s="127"/>
      <c r="FF30" s="127"/>
      <c r="FG30" s="127"/>
      <c r="FH30" s="127"/>
      <c r="FI30" s="127"/>
      <c r="FJ30" s="127"/>
      <c r="FK30" s="127"/>
      <c r="FL30" s="127"/>
      <c r="FM30" s="127"/>
      <c r="FN30" s="127"/>
      <c r="FO30" s="127"/>
      <c r="FP30" s="127"/>
      <c r="FQ30" s="127"/>
      <c r="FR30" s="127"/>
      <c r="FS30" s="127"/>
      <c r="FT30" s="127"/>
      <c r="FU30" s="127"/>
      <c r="FV30" s="127"/>
      <c r="FW30" s="127"/>
      <c r="FX30" s="127"/>
      <c r="FY30" s="127"/>
      <c r="FZ30" s="127"/>
      <c r="GA30" s="127"/>
      <c r="GB30" s="127"/>
      <c r="GC30" s="127"/>
      <c r="GD30" s="127"/>
      <c r="GE30" s="127"/>
      <c r="GF30" s="127"/>
      <c r="GG30" s="127"/>
      <c r="GH30" s="127"/>
      <c r="GI30" s="127"/>
      <c r="GJ30" s="127"/>
      <c r="GK30" s="127"/>
      <c r="GL30" s="127"/>
      <c r="GM30" s="127"/>
      <c r="GN30" s="127"/>
      <c r="GO30" s="127"/>
      <c r="GP30" s="127"/>
      <c r="GQ30" s="127"/>
      <c r="GR30" s="127"/>
      <c r="GS30" s="127"/>
      <c r="GT30" s="127"/>
      <c r="GU30" s="127"/>
      <c r="GV30" s="127"/>
      <c r="GW30" s="127"/>
      <c r="GX30" s="127"/>
      <c r="GY30" s="127"/>
      <c r="GZ30" s="127"/>
      <c r="HA30" s="127"/>
      <c r="HB30" s="127"/>
      <c r="HC30" s="127"/>
      <c r="HD30" s="127"/>
      <c r="HE30" s="127"/>
      <c r="HF30" s="127"/>
      <c r="HG30" s="127"/>
      <c r="HH30" s="127"/>
      <c r="HI30" s="127"/>
      <c r="HJ30" s="127"/>
      <c r="HK30" s="127"/>
      <c r="HL30" s="127"/>
      <c r="HM30" s="127"/>
      <c r="HN30" s="127"/>
      <c r="HO30" s="127"/>
      <c r="HP30" s="127"/>
      <c r="HQ30" s="127"/>
      <c r="HR30" s="127"/>
      <c r="HS30" s="127"/>
      <c r="HT30" s="127"/>
      <c r="HU30" s="127"/>
      <c r="HV30" s="127"/>
      <c r="HW30" s="127"/>
      <c r="HX30" s="127"/>
      <c r="HY30" s="127"/>
      <c r="HZ30" s="127"/>
      <c r="IA30" s="127"/>
      <c r="IB30" s="127"/>
      <c r="IC30" s="127"/>
      <c r="ID30" s="127"/>
      <c r="IE30" s="127"/>
      <c r="IF30" s="127"/>
      <c r="IG30" s="127"/>
      <c r="IH30" s="127"/>
      <c r="II30" s="127"/>
      <c r="IJ30" s="127"/>
      <c r="IK30" s="127"/>
      <c r="IL30" s="127"/>
      <c r="IM30" s="127"/>
      <c r="IN30" s="127"/>
      <c r="IO30" s="127"/>
      <c r="IP30" s="127"/>
      <c r="IQ30" s="127"/>
      <c r="IR30" s="127"/>
      <c r="IS30" s="127"/>
      <c r="IT30" s="127"/>
      <c r="IU30" s="127"/>
      <c r="IV30" s="127"/>
    </row>
    <row r="31" spans="1:256" ht="20.100000000000001" customHeight="1">
      <c r="A31" s="128" t="s">
        <v>1276</v>
      </c>
      <c r="B31" s="129">
        <v>50</v>
      </c>
      <c r="C31" s="130">
        <v>3</v>
      </c>
      <c r="D31" s="131">
        <v>1</v>
      </c>
      <c r="E31" s="132">
        <f>$H$7*D31</f>
        <v>306000</v>
      </c>
      <c r="F31" s="133">
        <f>IF(C31&gt;5*D31,C31-5*D31,0)</f>
        <v>0</v>
      </c>
      <c r="G31" s="132">
        <f>IF(F31=0,0,$J$8)</f>
        <v>0</v>
      </c>
      <c r="H31" s="134">
        <f>F31*G31</f>
        <v>0</v>
      </c>
      <c r="I31" s="134">
        <f>E31+H31</f>
        <v>306000</v>
      </c>
      <c r="J31" s="134" t="str">
        <f>IF(L31="가공",IF(B31&lt;200,"0",IF(B31&gt;=200,(B31-200)*$H$14)),IF(L31="지중",IF(B31&lt;50,"0",IF(B31&gt;=50,(B31-50)*$J$13))))</f>
        <v>0</v>
      </c>
      <c r="K31" s="134">
        <f>I31+J31</f>
        <v>306000</v>
      </c>
      <c r="L31" s="128" t="s">
        <v>1277</v>
      </c>
    </row>
    <row r="32" spans="1:256" ht="20.100000000000001" customHeight="1">
      <c r="A32" s="128" t="s">
        <v>1278</v>
      </c>
      <c r="B32" s="129">
        <v>50</v>
      </c>
      <c r="C32" s="130">
        <v>3</v>
      </c>
      <c r="D32" s="131">
        <v>1</v>
      </c>
      <c r="E32" s="132">
        <f>$H$7*D32</f>
        <v>306000</v>
      </c>
      <c r="F32" s="133">
        <f>IF(C32&gt;5*D32,C32-5*D32,0)</f>
        <v>0</v>
      </c>
      <c r="G32" s="132">
        <f>IF(F32=0,0,$J$8)</f>
        <v>0</v>
      </c>
      <c r="H32" s="134">
        <f>F32*G32</f>
        <v>0</v>
      </c>
      <c r="I32" s="134">
        <f>E32+H32</f>
        <v>306000</v>
      </c>
      <c r="J32" s="134" t="str">
        <f>IF(L32="가공",IF(B32&lt;200,"0",IF(B32&gt;=200,(B32-200)*$H$14)),IF(L32="지중",IF(B32&lt;50,"0",IF(B32&gt;=50,(B32-50)*$J$13))))</f>
        <v>0</v>
      </c>
      <c r="K32" s="134">
        <f>I32+J32</f>
        <v>306000</v>
      </c>
      <c r="L32" s="128" t="s">
        <v>1277</v>
      </c>
    </row>
    <row r="33" spans="1:256" ht="20.100000000000001" customHeight="1">
      <c r="A33" s="128" t="s">
        <v>1279</v>
      </c>
      <c r="B33" s="129">
        <v>50</v>
      </c>
      <c r="C33" s="130">
        <v>3</v>
      </c>
      <c r="D33" s="131">
        <v>1</v>
      </c>
      <c r="E33" s="132">
        <f t="shared" ref="E33:E34" si="0">$H$7*D33</f>
        <v>306000</v>
      </c>
      <c r="F33" s="133">
        <f t="shared" ref="F33:F34" si="1">IF(C33&gt;5*D33,C33-5*D33,0)</f>
        <v>0</v>
      </c>
      <c r="G33" s="132">
        <f t="shared" ref="G33:G34" si="2">IF(F33=0,0,$J$8)</f>
        <v>0</v>
      </c>
      <c r="H33" s="134">
        <f t="shared" ref="H33:H34" si="3">F33*G33</f>
        <v>0</v>
      </c>
      <c r="I33" s="134">
        <f t="shared" ref="I33:I34" si="4">E33+H33</f>
        <v>306000</v>
      </c>
      <c r="J33" s="134" t="str">
        <f t="shared" ref="J33:J34" si="5">IF(L33="가공",IF(B33&lt;200,"0",IF(B33&gt;=200,(B33-200)*$H$14)),IF(L33="지중",IF(B33&lt;50,"0",IF(B33&gt;=50,(B33-50)*$J$13))))</f>
        <v>0</v>
      </c>
      <c r="K33" s="134">
        <f t="shared" ref="K33:K34" si="6">I33+J33</f>
        <v>306000</v>
      </c>
      <c r="L33" s="128" t="s">
        <v>1277</v>
      </c>
    </row>
    <row r="34" spans="1:256" ht="20.100000000000001" customHeight="1">
      <c r="A34" s="128" t="s">
        <v>1280</v>
      </c>
      <c r="B34" s="129">
        <v>50</v>
      </c>
      <c r="C34" s="130">
        <v>3</v>
      </c>
      <c r="D34" s="131">
        <v>1</v>
      </c>
      <c r="E34" s="132">
        <f t="shared" si="0"/>
        <v>306000</v>
      </c>
      <c r="F34" s="133">
        <f t="shared" si="1"/>
        <v>0</v>
      </c>
      <c r="G34" s="132">
        <f t="shared" si="2"/>
        <v>0</v>
      </c>
      <c r="H34" s="134">
        <f t="shared" si="3"/>
        <v>0</v>
      </c>
      <c r="I34" s="134">
        <f t="shared" si="4"/>
        <v>306000</v>
      </c>
      <c r="J34" s="134" t="str">
        <f t="shared" si="5"/>
        <v>0</v>
      </c>
      <c r="K34" s="134">
        <f t="shared" si="6"/>
        <v>306000</v>
      </c>
      <c r="L34" s="128" t="s">
        <v>1277</v>
      </c>
    </row>
    <row r="35" spans="1:256" ht="20.100000000000001" customHeight="1">
      <c r="A35" s="128"/>
      <c r="B35" s="129"/>
      <c r="C35" s="130"/>
      <c r="D35" s="131"/>
      <c r="E35" s="132"/>
      <c r="F35" s="133"/>
      <c r="G35" s="132"/>
      <c r="H35" s="134"/>
      <c r="I35" s="134"/>
      <c r="J35" s="134"/>
      <c r="K35" s="134"/>
      <c r="L35" s="128"/>
    </row>
    <row r="36" spans="1:256" ht="20.100000000000001" customHeight="1">
      <c r="A36" s="119" t="s">
        <v>1281</v>
      </c>
      <c r="B36" s="120"/>
      <c r="C36" s="121"/>
      <c r="D36" s="122"/>
      <c r="E36" s="123"/>
      <c r="F36" s="124"/>
      <c r="G36" s="123"/>
      <c r="H36" s="125"/>
      <c r="I36" s="125"/>
      <c r="J36" s="125"/>
      <c r="K36" s="125"/>
      <c r="L36" s="126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127"/>
      <c r="AG36" s="127"/>
      <c r="AH36" s="127"/>
      <c r="AI36" s="127"/>
      <c r="AJ36" s="127"/>
      <c r="AK36" s="127"/>
      <c r="AL36" s="127"/>
      <c r="AM36" s="127"/>
      <c r="AN36" s="127"/>
      <c r="AO36" s="127"/>
      <c r="AP36" s="127"/>
      <c r="AQ36" s="127"/>
      <c r="AR36" s="127"/>
      <c r="AS36" s="127"/>
      <c r="AT36" s="127"/>
      <c r="AU36" s="127"/>
      <c r="AV36" s="127"/>
      <c r="AW36" s="127"/>
      <c r="AX36" s="127"/>
      <c r="AY36" s="127"/>
      <c r="AZ36" s="127"/>
      <c r="BA36" s="127"/>
      <c r="BB36" s="127"/>
      <c r="BC36" s="127"/>
      <c r="BD36" s="127"/>
      <c r="BE36" s="127"/>
      <c r="BF36" s="127"/>
      <c r="BG36" s="127"/>
      <c r="BH36" s="127"/>
      <c r="BI36" s="127"/>
      <c r="BJ36" s="127"/>
      <c r="BK36" s="127"/>
      <c r="BL36" s="127"/>
      <c r="BM36" s="127"/>
      <c r="BN36" s="127"/>
      <c r="BO36" s="127"/>
      <c r="BP36" s="127"/>
      <c r="BQ36" s="127"/>
      <c r="BR36" s="127"/>
      <c r="BS36" s="127"/>
      <c r="BT36" s="127"/>
      <c r="BU36" s="127"/>
      <c r="BV36" s="127"/>
      <c r="BW36" s="127"/>
      <c r="BX36" s="127"/>
      <c r="BY36" s="127"/>
      <c r="BZ36" s="127"/>
      <c r="CA36" s="127"/>
      <c r="CB36" s="127"/>
      <c r="CC36" s="127"/>
      <c r="CD36" s="127"/>
      <c r="CE36" s="127"/>
      <c r="CF36" s="127"/>
      <c r="CG36" s="127"/>
      <c r="CH36" s="127"/>
      <c r="CI36" s="127"/>
      <c r="CJ36" s="127"/>
      <c r="CK36" s="127"/>
      <c r="CL36" s="127"/>
      <c r="CM36" s="127"/>
      <c r="CN36" s="127"/>
      <c r="CO36" s="127"/>
      <c r="CP36" s="127"/>
      <c r="CQ36" s="127"/>
      <c r="CR36" s="127"/>
      <c r="CS36" s="127"/>
      <c r="CT36" s="127"/>
      <c r="CU36" s="127"/>
      <c r="CV36" s="127"/>
      <c r="CW36" s="127"/>
      <c r="CX36" s="127"/>
      <c r="CY36" s="127"/>
      <c r="CZ36" s="127"/>
      <c r="DA36" s="127"/>
      <c r="DB36" s="127"/>
      <c r="DC36" s="127"/>
      <c r="DD36" s="127"/>
      <c r="DE36" s="127"/>
      <c r="DF36" s="127"/>
      <c r="DG36" s="127"/>
      <c r="DH36" s="127"/>
      <c r="DI36" s="127"/>
      <c r="DJ36" s="127"/>
      <c r="DK36" s="127"/>
      <c r="DL36" s="127"/>
      <c r="DM36" s="127"/>
      <c r="DN36" s="127"/>
      <c r="DO36" s="127"/>
      <c r="DP36" s="127"/>
      <c r="DQ36" s="127"/>
      <c r="DR36" s="127"/>
      <c r="DS36" s="127"/>
      <c r="DT36" s="127"/>
      <c r="DU36" s="127"/>
      <c r="DV36" s="127"/>
      <c r="DW36" s="127"/>
      <c r="DX36" s="127"/>
      <c r="DY36" s="127"/>
      <c r="DZ36" s="127"/>
      <c r="EA36" s="127"/>
      <c r="EB36" s="127"/>
      <c r="EC36" s="127"/>
      <c r="ED36" s="127"/>
      <c r="EE36" s="127"/>
      <c r="EF36" s="127"/>
      <c r="EG36" s="127"/>
      <c r="EH36" s="127"/>
      <c r="EI36" s="127"/>
      <c r="EJ36" s="127"/>
      <c r="EK36" s="127"/>
      <c r="EL36" s="127"/>
      <c r="EM36" s="127"/>
      <c r="EN36" s="127"/>
      <c r="EO36" s="127"/>
      <c r="EP36" s="127"/>
      <c r="EQ36" s="127"/>
      <c r="ER36" s="127"/>
      <c r="ES36" s="127"/>
      <c r="ET36" s="127"/>
      <c r="EU36" s="127"/>
      <c r="EV36" s="127"/>
      <c r="EW36" s="127"/>
      <c r="EX36" s="127"/>
      <c r="EY36" s="127"/>
      <c r="EZ36" s="127"/>
      <c r="FA36" s="127"/>
      <c r="FB36" s="127"/>
      <c r="FC36" s="127"/>
      <c r="FD36" s="127"/>
      <c r="FE36" s="127"/>
      <c r="FF36" s="127"/>
      <c r="FG36" s="127"/>
      <c r="FH36" s="127"/>
      <c r="FI36" s="127"/>
      <c r="FJ36" s="127"/>
      <c r="FK36" s="127"/>
      <c r="FL36" s="127"/>
      <c r="FM36" s="127"/>
      <c r="FN36" s="127"/>
      <c r="FO36" s="127"/>
      <c r="FP36" s="127"/>
      <c r="FQ36" s="127"/>
      <c r="FR36" s="127"/>
      <c r="FS36" s="127"/>
      <c r="FT36" s="127"/>
      <c r="FU36" s="127"/>
      <c r="FV36" s="127"/>
      <c r="FW36" s="127"/>
      <c r="FX36" s="127"/>
      <c r="FY36" s="127"/>
      <c r="FZ36" s="127"/>
      <c r="GA36" s="127"/>
      <c r="GB36" s="127"/>
      <c r="GC36" s="127"/>
      <c r="GD36" s="127"/>
      <c r="GE36" s="127"/>
      <c r="GF36" s="127"/>
      <c r="GG36" s="127"/>
      <c r="GH36" s="127"/>
      <c r="GI36" s="127"/>
      <c r="GJ36" s="127"/>
      <c r="GK36" s="127"/>
      <c r="GL36" s="127"/>
      <c r="GM36" s="127"/>
      <c r="GN36" s="127"/>
      <c r="GO36" s="127"/>
      <c r="GP36" s="127"/>
      <c r="GQ36" s="127"/>
      <c r="GR36" s="127"/>
      <c r="GS36" s="127"/>
      <c r="GT36" s="127"/>
      <c r="GU36" s="127"/>
      <c r="GV36" s="127"/>
      <c r="GW36" s="127"/>
      <c r="GX36" s="127"/>
      <c r="GY36" s="127"/>
      <c r="GZ36" s="127"/>
      <c r="HA36" s="127"/>
      <c r="HB36" s="127"/>
      <c r="HC36" s="127"/>
      <c r="HD36" s="127"/>
      <c r="HE36" s="127"/>
      <c r="HF36" s="127"/>
      <c r="HG36" s="127"/>
      <c r="HH36" s="127"/>
      <c r="HI36" s="127"/>
      <c r="HJ36" s="127"/>
      <c r="HK36" s="127"/>
      <c r="HL36" s="127"/>
      <c r="HM36" s="127"/>
      <c r="HN36" s="127"/>
      <c r="HO36" s="127"/>
      <c r="HP36" s="127"/>
      <c r="HQ36" s="127"/>
      <c r="HR36" s="127"/>
      <c r="HS36" s="127"/>
      <c r="HT36" s="127"/>
      <c r="HU36" s="127"/>
      <c r="HV36" s="127"/>
      <c r="HW36" s="127"/>
      <c r="HX36" s="127"/>
      <c r="HY36" s="127"/>
      <c r="HZ36" s="127"/>
      <c r="IA36" s="127"/>
      <c r="IB36" s="127"/>
      <c r="IC36" s="127"/>
      <c r="ID36" s="127"/>
      <c r="IE36" s="127"/>
      <c r="IF36" s="127"/>
      <c r="IG36" s="127"/>
      <c r="IH36" s="127"/>
      <c r="II36" s="127"/>
      <c r="IJ36" s="127"/>
      <c r="IK36" s="127"/>
      <c r="IL36" s="127"/>
      <c r="IM36" s="127"/>
      <c r="IN36" s="127"/>
      <c r="IO36" s="127"/>
      <c r="IP36" s="127"/>
      <c r="IQ36" s="127"/>
      <c r="IR36" s="127"/>
      <c r="IS36" s="127"/>
      <c r="IT36" s="127"/>
      <c r="IU36" s="127"/>
      <c r="IV36" s="127"/>
    </row>
    <row r="37" spans="1:256" ht="20.100000000000001" customHeight="1">
      <c r="A37" s="128" t="s">
        <v>1282</v>
      </c>
      <c r="B37" s="129">
        <v>50</v>
      </c>
      <c r="C37" s="133">
        <v>1</v>
      </c>
      <c r="D37" s="131">
        <v>2</v>
      </c>
      <c r="E37" s="132">
        <f>$H$7*D37</f>
        <v>612000</v>
      </c>
      <c r="F37" s="133">
        <f>IF(C37&gt;5*D37,C37-5*D37,0)</f>
        <v>0</v>
      </c>
      <c r="G37" s="132">
        <f>IF(F37=0,0,$J$8)</f>
        <v>0</v>
      </c>
      <c r="H37" s="134">
        <f>F37*G37</f>
        <v>0</v>
      </c>
      <c r="I37" s="134">
        <f>E37+H37</f>
        <v>612000</v>
      </c>
      <c r="J37" s="134" t="str">
        <f>IF(L37="가공",IF(B37&lt;200,"0",IF(B37&gt;=200,(B37-200)*$H$14)),IF(L37="지중",IF(B37&lt;50,"0",IF(B37&gt;=50,(B37-50)*$J$13))))</f>
        <v>0</v>
      </c>
      <c r="K37" s="134">
        <f>I37+J37</f>
        <v>612000</v>
      </c>
      <c r="L37" s="128" t="s">
        <v>1277</v>
      </c>
    </row>
    <row r="38" spans="1:256" ht="20.100000000000001" customHeight="1">
      <c r="A38" s="128"/>
      <c r="B38" s="129"/>
      <c r="C38" s="133"/>
      <c r="D38" s="131"/>
      <c r="E38" s="132"/>
      <c r="F38" s="133"/>
      <c r="G38" s="132"/>
      <c r="H38" s="134"/>
      <c r="I38" s="134"/>
      <c r="J38" s="134"/>
      <c r="K38" s="134"/>
      <c r="L38" s="128"/>
    </row>
    <row r="39" spans="1:256" ht="20.100000000000001" customHeight="1">
      <c r="A39" s="119" t="s">
        <v>1283</v>
      </c>
      <c r="B39" s="120"/>
      <c r="C39" s="121"/>
      <c r="D39" s="122"/>
      <c r="E39" s="123"/>
      <c r="F39" s="124"/>
      <c r="G39" s="123"/>
      <c r="H39" s="125"/>
      <c r="I39" s="125"/>
      <c r="J39" s="125"/>
      <c r="K39" s="125"/>
      <c r="L39" s="126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  <c r="AA39" s="127"/>
      <c r="AB39" s="127"/>
      <c r="AC39" s="127"/>
      <c r="AD39" s="127"/>
      <c r="AE39" s="127"/>
      <c r="AF39" s="127"/>
      <c r="AG39" s="127"/>
      <c r="AH39" s="127"/>
      <c r="AI39" s="127"/>
      <c r="AJ39" s="127"/>
      <c r="AK39" s="127"/>
      <c r="AL39" s="127"/>
      <c r="AM39" s="127"/>
      <c r="AN39" s="127"/>
      <c r="AO39" s="127"/>
      <c r="AP39" s="127"/>
      <c r="AQ39" s="127"/>
      <c r="AR39" s="127"/>
      <c r="AS39" s="127"/>
      <c r="AT39" s="127"/>
      <c r="AU39" s="127"/>
      <c r="AV39" s="127"/>
      <c r="AW39" s="127"/>
      <c r="AX39" s="127"/>
      <c r="AY39" s="127"/>
      <c r="AZ39" s="127"/>
      <c r="BA39" s="127"/>
      <c r="BB39" s="127"/>
      <c r="BC39" s="127"/>
      <c r="BD39" s="127"/>
      <c r="BE39" s="127"/>
      <c r="BF39" s="127"/>
      <c r="BG39" s="127"/>
      <c r="BH39" s="127"/>
      <c r="BI39" s="127"/>
      <c r="BJ39" s="127"/>
      <c r="BK39" s="127"/>
      <c r="BL39" s="127"/>
      <c r="BM39" s="127"/>
      <c r="BN39" s="127"/>
      <c r="BO39" s="127"/>
      <c r="BP39" s="127"/>
      <c r="BQ39" s="127"/>
      <c r="BR39" s="127"/>
      <c r="BS39" s="127"/>
      <c r="BT39" s="127"/>
      <c r="BU39" s="127"/>
      <c r="BV39" s="127"/>
      <c r="BW39" s="127"/>
      <c r="BX39" s="127"/>
      <c r="BY39" s="127"/>
      <c r="BZ39" s="127"/>
      <c r="CA39" s="127"/>
      <c r="CB39" s="127"/>
      <c r="CC39" s="127"/>
      <c r="CD39" s="127"/>
      <c r="CE39" s="127"/>
      <c r="CF39" s="127"/>
      <c r="CG39" s="127"/>
      <c r="CH39" s="127"/>
      <c r="CI39" s="127"/>
      <c r="CJ39" s="127"/>
      <c r="CK39" s="127"/>
      <c r="CL39" s="127"/>
      <c r="CM39" s="127"/>
      <c r="CN39" s="127"/>
      <c r="CO39" s="127"/>
      <c r="CP39" s="127"/>
      <c r="CQ39" s="127"/>
      <c r="CR39" s="127"/>
      <c r="CS39" s="127"/>
      <c r="CT39" s="127"/>
      <c r="CU39" s="127"/>
      <c r="CV39" s="127"/>
      <c r="CW39" s="127"/>
      <c r="CX39" s="127"/>
      <c r="CY39" s="127"/>
      <c r="CZ39" s="127"/>
      <c r="DA39" s="127"/>
      <c r="DB39" s="127"/>
      <c r="DC39" s="127"/>
      <c r="DD39" s="127"/>
      <c r="DE39" s="127"/>
      <c r="DF39" s="127"/>
      <c r="DG39" s="127"/>
      <c r="DH39" s="127"/>
      <c r="DI39" s="127"/>
      <c r="DJ39" s="127"/>
      <c r="DK39" s="127"/>
      <c r="DL39" s="127"/>
      <c r="DM39" s="127"/>
      <c r="DN39" s="127"/>
      <c r="DO39" s="127"/>
      <c r="DP39" s="127"/>
      <c r="DQ39" s="127"/>
      <c r="DR39" s="127"/>
      <c r="DS39" s="127"/>
      <c r="DT39" s="127"/>
      <c r="DU39" s="127"/>
      <c r="DV39" s="127"/>
      <c r="DW39" s="127"/>
      <c r="DX39" s="127"/>
      <c r="DY39" s="127"/>
      <c r="DZ39" s="127"/>
      <c r="EA39" s="127"/>
      <c r="EB39" s="127"/>
      <c r="EC39" s="127"/>
      <c r="ED39" s="127"/>
      <c r="EE39" s="127"/>
      <c r="EF39" s="127"/>
      <c r="EG39" s="127"/>
      <c r="EH39" s="127"/>
      <c r="EI39" s="127"/>
      <c r="EJ39" s="127"/>
      <c r="EK39" s="127"/>
      <c r="EL39" s="127"/>
      <c r="EM39" s="127"/>
      <c r="EN39" s="127"/>
      <c r="EO39" s="127"/>
      <c r="EP39" s="127"/>
      <c r="EQ39" s="127"/>
      <c r="ER39" s="127"/>
      <c r="ES39" s="127"/>
      <c r="ET39" s="127"/>
      <c r="EU39" s="127"/>
      <c r="EV39" s="127"/>
      <c r="EW39" s="127"/>
      <c r="EX39" s="127"/>
      <c r="EY39" s="127"/>
      <c r="EZ39" s="127"/>
      <c r="FA39" s="127"/>
      <c r="FB39" s="127"/>
      <c r="FC39" s="127"/>
      <c r="FD39" s="127"/>
      <c r="FE39" s="127"/>
      <c r="FF39" s="127"/>
      <c r="FG39" s="127"/>
      <c r="FH39" s="127"/>
      <c r="FI39" s="127"/>
      <c r="FJ39" s="127"/>
      <c r="FK39" s="127"/>
      <c r="FL39" s="127"/>
      <c r="FM39" s="127"/>
      <c r="FN39" s="127"/>
      <c r="FO39" s="127"/>
      <c r="FP39" s="127"/>
      <c r="FQ39" s="127"/>
      <c r="FR39" s="127"/>
      <c r="FS39" s="127"/>
      <c r="FT39" s="127"/>
      <c r="FU39" s="127"/>
      <c r="FV39" s="127"/>
      <c r="FW39" s="127"/>
      <c r="FX39" s="127"/>
      <c r="FY39" s="127"/>
      <c r="FZ39" s="127"/>
      <c r="GA39" s="127"/>
      <c r="GB39" s="127"/>
      <c r="GC39" s="127"/>
      <c r="GD39" s="127"/>
      <c r="GE39" s="127"/>
      <c r="GF39" s="127"/>
      <c r="GG39" s="127"/>
      <c r="GH39" s="127"/>
      <c r="GI39" s="127"/>
      <c r="GJ39" s="127"/>
      <c r="GK39" s="127"/>
      <c r="GL39" s="127"/>
      <c r="GM39" s="127"/>
      <c r="GN39" s="127"/>
      <c r="GO39" s="127"/>
      <c r="GP39" s="127"/>
      <c r="GQ39" s="127"/>
      <c r="GR39" s="127"/>
      <c r="GS39" s="127"/>
      <c r="GT39" s="127"/>
      <c r="GU39" s="127"/>
      <c r="GV39" s="127"/>
      <c r="GW39" s="127"/>
      <c r="GX39" s="127"/>
      <c r="GY39" s="127"/>
      <c r="GZ39" s="127"/>
      <c r="HA39" s="127"/>
      <c r="HB39" s="127"/>
      <c r="HC39" s="127"/>
      <c r="HD39" s="127"/>
      <c r="HE39" s="127"/>
      <c r="HF39" s="127"/>
      <c r="HG39" s="127"/>
      <c r="HH39" s="127"/>
      <c r="HI39" s="127"/>
      <c r="HJ39" s="127"/>
      <c r="HK39" s="127"/>
      <c r="HL39" s="127"/>
      <c r="HM39" s="127"/>
      <c r="HN39" s="127"/>
      <c r="HO39" s="127"/>
      <c r="HP39" s="127"/>
      <c r="HQ39" s="127"/>
      <c r="HR39" s="127"/>
      <c r="HS39" s="127"/>
      <c r="HT39" s="127"/>
      <c r="HU39" s="127"/>
      <c r="HV39" s="127"/>
      <c r="HW39" s="127"/>
      <c r="HX39" s="127"/>
      <c r="HY39" s="127"/>
      <c r="HZ39" s="127"/>
      <c r="IA39" s="127"/>
      <c r="IB39" s="127"/>
      <c r="IC39" s="127"/>
      <c r="ID39" s="127"/>
      <c r="IE39" s="127"/>
      <c r="IF39" s="127"/>
      <c r="IG39" s="127"/>
      <c r="IH39" s="127"/>
      <c r="II39" s="127"/>
      <c r="IJ39" s="127"/>
      <c r="IK39" s="127"/>
      <c r="IL39" s="127"/>
      <c r="IM39" s="127"/>
      <c r="IN39" s="127"/>
      <c r="IO39" s="127"/>
      <c r="IP39" s="127"/>
      <c r="IQ39" s="127"/>
      <c r="IR39" s="127"/>
      <c r="IS39" s="127"/>
      <c r="IT39" s="127"/>
      <c r="IU39" s="127"/>
      <c r="IV39" s="127"/>
    </row>
    <row r="40" spans="1:256" ht="20.100000000000001" customHeight="1">
      <c r="A40" s="128" t="s">
        <v>1284</v>
      </c>
      <c r="B40" s="129">
        <v>50</v>
      </c>
      <c r="C40" s="130">
        <v>10</v>
      </c>
      <c r="D40" s="131">
        <v>1</v>
      </c>
      <c r="E40" s="132">
        <f>$H$7*D40</f>
        <v>306000</v>
      </c>
      <c r="F40" s="133">
        <f>IF(C40&gt;5*D40,C40-5*D40,0)</f>
        <v>5</v>
      </c>
      <c r="G40" s="132">
        <f>IF(F40=0,0,$J$8)</f>
        <v>141000</v>
      </c>
      <c r="H40" s="134">
        <f>F40*G40</f>
        <v>705000</v>
      </c>
      <c r="I40" s="134">
        <f>E40+H40</f>
        <v>1011000</v>
      </c>
      <c r="J40" s="134" t="str">
        <f>IF(L40="가공",IF(B40&lt;200,"0",IF(B40&gt;=200,(B40-200)*$H$14)),IF(L40="지중",IF(B40&lt;50,"0",IF(B40&gt;=50,(B40-50)*$J$13))))</f>
        <v>0</v>
      </c>
      <c r="K40" s="134">
        <f>I40+J40</f>
        <v>1011000</v>
      </c>
      <c r="L40" s="128" t="s">
        <v>1277</v>
      </c>
    </row>
    <row r="41" spans="1:256" ht="20.100000000000001" customHeight="1">
      <c r="A41" s="128" t="s">
        <v>1285</v>
      </c>
      <c r="B41" s="129">
        <v>50</v>
      </c>
      <c r="C41" s="130">
        <v>10</v>
      </c>
      <c r="D41" s="131">
        <v>1</v>
      </c>
      <c r="E41" s="132">
        <f>$H$7*D41</f>
        <v>306000</v>
      </c>
      <c r="F41" s="133">
        <f>IF(C41&gt;5*D41,C41-5*D41,0)</f>
        <v>5</v>
      </c>
      <c r="G41" s="132">
        <f>IF(F41=0,0,$J$8)</f>
        <v>141000</v>
      </c>
      <c r="H41" s="134">
        <f>F41*G41</f>
        <v>705000</v>
      </c>
      <c r="I41" s="134">
        <f>E41+H41</f>
        <v>1011000</v>
      </c>
      <c r="J41" s="134" t="str">
        <f>IF(L41="가공",IF(B41&lt;200,"0",IF(B41&gt;=200,(B41-200)*$H$14)),IF(L41="지중",IF(B41&lt;50,"0",IF(B41&gt;=50,(B41-50)*$J$13))))</f>
        <v>0</v>
      </c>
      <c r="K41" s="134">
        <f>I41+J41</f>
        <v>1011000</v>
      </c>
      <c r="L41" s="128" t="s">
        <v>1277</v>
      </c>
    </row>
    <row r="42" spans="1:256" ht="20.100000000000001" customHeight="1">
      <c r="A42" s="128"/>
      <c r="B42" s="129"/>
      <c r="C42" s="130"/>
      <c r="D42" s="131"/>
      <c r="E42" s="132"/>
      <c r="F42" s="133"/>
      <c r="G42" s="132"/>
      <c r="H42" s="134"/>
      <c r="I42" s="134"/>
      <c r="J42" s="134"/>
      <c r="K42" s="134"/>
      <c r="L42" s="128"/>
    </row>
    <row r="43" spans="1:256" ht="20.100000000000001" customHeight="1">
      <c r="A43" s="128" t="s">
        <v>1286</v>
      </c>
      <c r="B43" s="135"/>
      <c r="C43" s="135"/>
      <c r="D43" s="135"/>
      <c r="E43" s="136"/>
      <c r="F43" s="136"/>
      <c r="G43" s="136"/>
      <c r="H43" s="136"/>
      <c r="I43" s="136"/>
      <c r="J43" s="137"/>
      <c r="K43" s="134">
        <f>ROUNDUP(SUM(K31:K42)/100000,0)*100000</f>
        <v>3900000</v>
      </c>
      <c r="L43" s="128"/>
    </row>
    <row r="44" spans="1:256" ht="20.100000000000001" customHeight="1">
      <c r="A44" s="128" t="s">
        <v>1287</v>
      </c>
      <c r="B44" s="135"/>
      <c r="C44" s="135"/>
      <c r="D44" s="135"/>
      <c r="E44" s="136"/>
      <c r="F44" s="136"/>
      <c r="G44" s="136"/>
      <c r="H44" s="136"/>
      <c r="I44" s="136"/>
      <c r="J44" s="137"/>
      <c r="K44" s="134">
        <f>K43*0.1</f>
        <v>390000</v>
      </c>
      <c r="L44" s="138" t="s">
        <v>1288</v>
      </c>
    </row>
    <row r="45" spans="1:256" ht="20.100000000000001" customHeight="1">
      <c r="A45" s="139" t="s">
        <v>15</v>
      </c>
      <c r="B45" s="135"/>
      <c r="C45" s="135"/>
      <c r="D45" s="135"/>
      <c r="E45" s="136"/>
      <c r="F45" s="136"/>
      <c r="G45" s="136"/>
      <c r="H45" s="136"/>
      <c r="I45" s="136"/>
      <c r="J45" s="137"/>
      <c r="K45" s="134">
        <f>SUM(K43:K44)</f>
        <v>4290000</v>
      </c>
      <c r="L45" s="139"/>
    </row>
    <row r="46" spans="1:256" ht="20.100000000000001" customHeight="1">
      <c r="A46" s="128"/>
      <c r="B46" s="129"/>
      <c r="C46" s="133"/>
      <c r="D46" s="132"/>
      <c r="E46" s="140"/>
      <c r="F46" s="140"/>
      <c r="G46" s="132"/>
      <c r="H46" s="132"/>
      <c r="I46" s="132"/>
      <c r="J46" s="134"/>
      <c r="K46" s="134"/>
      <c r="L46" s="128"/>
    </row>
    <row r="47" spans="1:256" ht="20.100000000000001" customHeight="1">
      <c r="A47" s="128"/>
      <c r="B47" s="129"/>
      <c r="C47" s="133"/>
      <c r="D47" s="132"/>
      <c r="E47" s="140"/>
      <c r="F47" s="140"/>
      <c r="G47" s="132"/>
      <c r="H47" s="132"/>
      <c r="I47" s="132"/>
      <c r="J47" s="134"/>
      <c r="K47" s="134"/>
      <c r="L47" s="128"/>
    </row>
    <row r="48" spans="1:256" ht="20.100000000000001" customHeight="1">
      <c r="A48" s="128"/>
      <c r="B48" s="129"/>
      <c r="C48" s="133"/>
      <c r="D48" s="132"/>
      <c r="E48" s="140"/>
      <c r="F48" s="140"/>
      <c r="G48" s="132"/>
      <c r="H48" s="132"/>
      <c r="I48" s="132"/>
      <c r="J48" s="134"/>
      <c r="K48" s="134"/>
      <c r="L48" s="128"/>
    </row>
    <row r="49" spans="1:12" ht="20.100000000000001" customHeight="1">
      <c r="A49" s="128"/>
      <c r="B49" s="129"/>
      <c r="C49" s="133"/>
      <c r="D49" s="132"/>
      <c r="E49" s="140"/>
      <c r="F49" s="140"/>
      <c r="G49" s="132"/>
      <c r="H49" s="132"/>
      <c r="I49" s="132"/>
      <c r="J49" s="134"/>
      <c r="K49" s="134"/>
      <c r="L49" s="128"/>
    </row>
    <row r="50" spans="1:12" ht="20.100000000000001" customHeight="1">
      <c r="A50" s="128"/>
      <c r="B50" s="129"/>
      <c r="C50" s="133"/>
      <c r="D50" s="132"/>
      <c r="E50" s="140"/>
      <c r="F50" s="140"/>
      <c r="G50" s="132"/>
      <c r="H50" s="132"/>
      <c r="I50" s="132"/>
      <c r="J50" s="134"/>
      <c r="K50" s="134"/>
      <c r="L50" s="128"/>
    </row>
    <row r="51" spans="1:12" ht="20.100000000000001" customHeight="1">
      <c r="A51" s="128"/>
      <c r="B51" s="129"/>
      <c r="C51" s="133"/>
      <c r="D51" s="132"/>
      <c r="E51" s="140"/>
      <c r="F51" s="140"/>
      <c r="G51" s="132"/>
      <c r="H51" s="132"/>
      <c r="I51" s="132"/>
      <c r="J51" s="134"/>
      <c r="K51" s="134"/>
      <c r="L51" s="128"/>
    </row>
    <row r="52" spans="1:12" ht="20.100000000000001" customHeight="1">
      <c r="A52" s="128"/>
      <c r="B52" s="135"/>
      <c r="C52" s="135"/>
      <c r="D52" s="135"/>
      <c r="E52" s="136"/>
      <c r="F52" s="136"/>
      <c r="G52" s="136"/>
      <c r="H52" s="136"/>
      <c r="I52" s="136"/>
      <c r="J52" s="137"/>
      <c r="K52" s="134"/>
      <c r="L52" s="128"/>
    </row>
    <row r="53" spans="1:12" ht="20.100000000000001" customHeight="1">
      <c r="A53" s="128"/>
      <c r="B53" s="135"/>
      <c r="C53" s="135"/>
      <c r="D53" s="135"/>
      <c r="E53" s="136"/>
      <c r="F53" s="136"/>
      <c r="G53" s="136"/>
      <c r="H53" s="136"/>
      <c r="I53" s="136"/>
      <c r="J53" s="137"/>
      <c r="K53" s="134"/>
      <c r="L53" s="138"/>
    </row>
    <row r="54" spans="1:12" ht="20.100000000000001" customHeight="1">
      <c r="A54" s="139"/>
      <c r="B54" s="135"/>
      <c r="C54" s="135"/>
      <c r="D54" s="135"/>
      <c r="E54" s="136"/>
      <c r="F54" s="136"/>
      <c r="G54" s="136"/>
      <c r="H54" s="136"/>
      <c r="I54" s="136"/>
      <c r="J54" s="137"/>
      <c r="K54" s="134"/>
      <c r="L54" s="139"/>
    </row>
    <row r="55" spans="1:12" ht="20.100000000000001" customHeight="1">
      <c r="A55" s="139"/>
      <c r="B55" s="135"/>
      <c r="C55" s="135"/>
      <c r="D55" s="135"/>
      <c r="E55" s="136"/>
      <c r="F55" s="136"/>
      <c r="G55" s="136"/>
      <c r="H55" s="136"/>
      <c r="I55" s="136"/>
      <c r="J55" s="137"/>
      <c r="K55" s="134"/>
      <c r="L55" s="139"/>
    </row>
    <row r="56" spans="1:12" ht="20.100000000000001" customHeight="1">
      <c r="A56" s="139"/>
      <c r="B56" s="135"/>
      <c r="C56" s="135"/>
      <c r="D56" s="135"/>
      <c r="E56" s="136"/>
      <c r="F56" s="136"/>
      <c r="G56" s="136"/>
      <c r="H56" s="136"/>
      <c r="I56" s="136"/>
      <c r="J56" s="137"/>
      <c r="K56" s="134"/>
      <c r="L56" s="139"/>
    </row>
    <row r="57" spans="1:12" ht="20.100000000000001" customHeight="1">
      <c r="A57" s="139"/>
      <c r="B57" s="135"/>
      <c r="C57" s="135"/>
      <c r="D57" s="135"/>
      <c r="E57" s="136"/>
      <c r="F57" s="136"/>
      <c r="G57" s="136"/>
      <c r="H57" s="136"/>
      <c r="I57" s="136"/>
      <c r="J57" s="137"/>
      <c r="K57" s="134">
        <f>K45+'사용전검사비 (지구내)'!K23</f>
        <v>5131000</v>
      </c>
      <c r="L57" s="139"/>
    </row>
    <row r="58" spans="1:12" ht="20.100000000000001" customHeight="1">
      <c r="A58" s="139"/>
      <c r="B58" s="135"/>
      <c r="C58" s="135"/>
      <c r="D58" s="135"/>
      <c r="E58" s="136"/>
      <c r="F58" s="136"/>
      <c r="G58" s="136"/>
      <c r="H58" s="136"/>
      <c r="I58" s="136"/>
      <c r="J58" s="137"/>
      <c r="K58" s="134"/>
      <c r="L58" s="139"/>
    </row>
    <row r="59" spans="1:12" ht="20.100000000000001" customHeight="1">
      <c r="A59" s="139"/>
      <c r="B59" s="135"/>
      <c r="C59" s="135"/>
      <c r="D59" s="135"/>
      <c r="E59" s="136"/>
      <c r="F59" s="136"/>
      <c r="G59" s="136"/>
      <c r="H59" s="136"/>
      <c r="I59" s="136"/>
      <c r="J59" s="137"/>
      <c r="K59" s="141"/>
      <c r="L59" s="139"/>
    </row>
  </sheetData>
  <mergeCells count="75">
    <mergeCell ref="A25:B25"/>
    <mergeCell ref="C25:G25"/>
    <mergeCell ref="H25:I25"/>
    <mergeCell ref="J25:L25"/>
    <mergeCell ref="I28:I29"/>
    <mergeCell ref="J28:J29"/>
    <mergeCell ref="A26:L26"/>
    <mergeCell ref="A27:A29"/>
    <mergeCell ref="B27:B29"/>
    <mergeCell ref="C27:C29"/>
    <mergeCell ref="D27:I27"/>
    <mergeCell ref="K27:K29"/>
    <mergeCell ref="L27:L29"/>
    <mergeCell ref="D28:D29"/>
    <mergeCell ref="E28:E29"/>
    <mergeCell ref="F28:H29"/>
    <mergeCell ref="A23:B23"/>
    <mergeCell ref="C23:G23"/>
    <mergeCell ref="H23:I23"/>
    <mergeCell ref="J23:L23"/>
    <mergeCell ref="A24:B24"/>
    <mergeCell ref="C24:G24"/>
    <mergeCell ref="H24:I24"/>
    <mergeCell ref="J24:L24"/>
    <mergeCell ref="A21:B21"/>
    <mergeCell ref="C21:G21"/>
    <mergeCell ref="H21:I21"/>
    <mergeCell ref="J21:L21"/>
    <mergeCell ref="A22:B22"/>
    <mergeCell ref="C22:G22"/>
    <mergeCell ref="H22:I22"/>
    <mergeCell ref="J22:L22"/>
    <mergeCell ref="A19:B19"/>
    <mergeCell ref="C19:G19"/>
    <mergeCell ref="H19:I19"/>
    <mergeCell ref="J19:L19"/>
    <mergeCell ref="A20:B20"/>
    <mergeCell ref="C20:G20"/>
    <mergeCell ref="H20:I20"/>
    <mergeCell ref="J20:L20"/>
    <mergeCell ref="A17:L17"/>
    <mergeCell ref="A18:L18"/>
    <mergeCell ref="A15:B16"/>
    <mergeCell ref="C15:F16"/>
    <mergeCell ref="H15:I15"/>
    <mergeCell ref="H16:I16"/>
    <mergeCell ref="A13:B14"/>
    <mergeCell ref="C13:F14"/>
    <mergeCell ref="J13:K13"/>
    <mergeCell ref="H14:I14"/>
    <mergeCell ref="J14:K14"/>
    <mergeCell ref="J9:K9"/>
    <mergeCell ref="A10:L10"/>
    <mergeCell ref="A11:G12"/>
    <mergeCell ref="H11:I11"/>
    <mergeCell ref="J11:K12"/>
    <mergeCell ref="L11:L12"/>
    <mergeCell ref="A9:B9"/>
    <mergeCell ref="C9:G9"/>
    <mergeCell ref="H9:I9"/>
    <mergeCell ref="A7:B8"/>
    <mergeCell ref="C7:G7"/>
    <mergeCell ref="H7:I7"/>
    <mergeCell ref="J7:K7"/>
    <mergeCell ref="C8:G8"/>
    <mergeCell ref="H8:I8"/>
    <mergeCell ref="J8:K8"/>
    <mergeCell ref="A1:L2"/>
    <mergeCell ref="A3:L3"/>
    <mergeCell ref="A4:L4"/>
    <mergeCell ref="A5:G6"/>
    <mergeCell ref="H5:K5"/>
    <mergeCell ref="L5:L6"/>
    <mergeCell ref="H6:I6"/>
    <mergeCell ref="J6:K6"/>
  </mergeCells>
  <phoneticPr fontId="2" type="noConversion"/>
  <pageMargins left="0.47244094488188981" right="0.35433070866141736" top="0.98425196850393704" bottom="0.78740157480314965" header="0.51181102362204722" footer="0.51181102362204722"/>
  <pageSetup paperSize="9" orientation="landscape" blackAndWhite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35"/>
  </sheetPr>
  <dimension ref="A1:O23"/>
  <sheetViews>
    <sheetView showZeros="0" view="pageBreakPreview" zoomScale="115" workbookViewId="0">
      <selection activeCell="D37" sqref="D37"/>
    </sheetView>
  </sheetViews>
  <sheetFormatPr defaultColWidth="9.77734375" defaultRowHeight="20.100000000000001" customHeight="1"/>
  <cols>
    <col min="1" max="4" width="9.77734375" style="110"/>
    <col min="5" max="12" width="8.77734375" style="110" customWidth="1"/>
    <col min="13" max="13" width="14.109375" style="110" customWidth="1"/>
    <col min="14" max="14" width="14.21875" style="110" customWidth="1"/>
    <col min="15" max="260" width="9.77734375" style="110"/>
    <col min="261" max="268" width="8.77734375" style="110" customWidth="1"/>
    <col min="269" max="269" width="14.109375" style="110" customWidth="1"/>
    <col min="270" max="270" width="14.21875" style="110" customWidth="1"/>
    <col min="271" max="516" width="9.77734375" style="110"/>
    <col min="517" max="524" width="8.77734375" style="110" customWidth="1"/>
    <col min="525" max="525" width="14.109375" style="110" customWidth="1"/>
    <col min="526" max="526" width="14.21875" style="110" customWidth="1"/>
    <col min="527" max="772" width="9.77734375" style="110"/>
    <col min="773" max="780" width="8.77734375" style="110" customWidth="1"/>
    <col min="781" max="781" width="14.109375" style="110" customWidth="1"/>
    <col min="782" max="782" width="14.21875" style="110" customWidth="1"/>
    <col min="783" max="1028" width="9.77734375" style="110"/>
    <col min="1029" max="1036" width="8.77734375" style="110" customWidth="1"/>
    <col min="1037" max="1037" width="14.109375" style="110" customWidth="1"/>
    <col min="1038" max="1038" width="14.21875" style="110" customWidth="1"/>
    <col min="1039" max="1284" width="9.77734375" style="110"/>
    <col min="1285" max="1292" width="8.77734375" style="110" customWidth="1"/>
    <col min="1293" max="1293" width="14.109375" style="110" customWidth="1"/>
    <col min="1294" max="1294" width="14.21875" style="110" customWidth="1"/>
    <col min="1295" max="1540" width="9.77734375" style="110"/>
    <col min="1541" max="1548" width="8.77734375" style="110" customWidth="1"/>
    <col min="1549" max="1549" width="14.109375" style="110" customWidth="1"/>
    <col min="1550" max="1550" width="14.21875" style="110" customWidth="1"/>
    <col min="1551" max="1796" width="9.77734375" style="110"/>
    <col min="1797" max="1804" width="8.77734375" style="110" customWidth="1"/>
    <col min="1805" max="1805" width="14.109375" style="110" customWidth="1"/>
    <col min="1806" max="1806" width="14.21875" style="110" customWidth="1"/>
    <col min="1807" max="2052" width="9.77734375" style="110"/>
    <col min="2053" max="2060" width="8.77734375" style="110" customWidth="1"/>
    <col min="2061" max="2061" width="14.109375" style="110" customWidth="1"/>
    <col min="2062" max="2062" width="14.21875" style="110" customWidth="1"/>
    <col min="2063" max="2308" width="9.77734375" style="110"/>
    <col min="2309" max="2316" width="8.77734375" style="110" customWidth="1"/>
    <col min="2317" max="2317" width="14.109375" style="110" customWidth="1"/>
    <col min="2318" max="2318" width="14.21875" style="110" customWidth="1"/>
    <col min="2319" max="2564" width="9.77734375" style="110"/>
    <col min="2565" max="2572" width="8.77734375" style="110" customWidth="1"/>
    <col min="2573" max="2573" width="14.109375" style="110" customWidth="1"/>
    <col min="2574" max="2574" width="14.21875" style="110" customWidth="1"/>
    <col min="2575" max="2820" width="9.77734375" style="110"/>
    <col min="2821" max="2828" width="8.77734375" style="110" customWidth="1"/>
    <col min="2829" max="2829" width="14.109375" style="110" customWidth="1"/>
    <col min="2830" max="2830" width="14.21875" style="110" customWidth="1"/>
    <col min="2831" max="3076" width="9.77734375" style="110"/>
    <col min="3077" max="3084" width="8.77734375" style="110" customWidth="1"/>
    <col min="3085" max="3085" width="14.109375" style="110" customWidth="1"/>
    <col min="3086" max="3086" width="14.21875" style="110" customWidth="1"/>
    <col min="3087" max="3332" width="9.77734375" style="110"/>
    <col min="3333" max="3340" width="8.77734375" style="110" customWidth="1"/>
    <col min="3341" max="3341" width="14.109375" style="110" customWidth="1"/>
    <col min="3342" max="3342" width="14.21875" style="110" customWidth="1"/>
    <col min="3343" max="3588" width="9.77734375" style="110"/>
    <col min="3589" max="3596" width="8.77734375" style="110" customWidth="1"/>
    <col min="3597" max="3597" width="14.109375" style="110" customWidth="1"/>
    <col min="3598" max="3598" width="14.21875" style="110" customWidth="1"/>
    <col min="3599" max="3844" width="9.77734375" style="110"/>
    <col min="3845" max="3852" width="8.77734375" style="110" customWidth="1"/>
    <col min="3853" max="3853" width="14.109375" style="110" customWidth="1"/>
    <col min="3854" max="3854" width="14.21875" style="110" customWidth="1"/>
    <col min="3855" max="4100" width="9.77734375" style="110"/>
    <col min="4101" max="4108" width="8.77734375" style="110" customWidth="1"/>
    <col min="4109" max="4109" width="14.109375" style="110" customWidth="1"/>
    <col min="4110" max="4110" width="14.21875" style="110" customWidth="1"/>
    <col min="4111" max="4356" width="9.77734375" style="110"/>
    <col min="4357" max="4364" width="8.77734375" style="110" customWidth="1"/>
    <col min="4365" max="4365" width="14.109375" style="110" customWidth="1"/>
    <col min="4366" max="4366" width="14.21875" style="110" customWidth="1"/>
    <col min="4367" max="4612" width="9.77734375" style="110"/>
    <col min="4613" max="4620" width="8.77734375" style="110" customWidth="1"/>
    <col min="4621" max="4621" width="14.109375" style="110" customWidth="1"/>
    <col min="4622" max="4622" width="14.21875" style="110" customWidth="1"/>
    <col min="4623" max="4868" width="9.77734375" style="110"/>
    <col min="4869" max="4876" width="8.77734375" style="110" customWidth="1"/>
    <col min="4877" max="4877" width="14.109375" style="110" customWidth="1"/>
    <col min="4878" max="4878" width="14.21875" style="110" customWidth="1"/>
    <col min="4879" max="5124" width="9.77734375" style="110"/>
    <col min="5125" max="5132" width="8.77734375" style="110" customWidth="1"/>
    <col min="5133" max="5133" width="14.109375" style="110" customWidth="1"/>
    <col min="5134" max="5134" width="14.21875" style="110" customWidth="1"/>
    <col min="5135" max="5380" width="9.77734375" style="110"/>
    <col min="5381" max="5388" width="8.77734375" style="110" customWidth="1"/>
    <col min="5389" max="5389" width="14.109375" style="110" customWidth="1"/>
    <col min="5390" max="5390" width="14.21875" style="110" customWidth="1"/>
    <col min="5391" max="5636" width="9.77734375" style="110"/>
    <col min="5637" max="5644" width="8.77734375" style="110" customWidth="1"/>
    <col min="5645" max="5645" width="14.109375" style="110" customWidth="1"/>
    <col min="5646" max="5646" width="14.21875" style="110" customWidth="1"/>
    <col min="5647" max="5892" width="9.77734375" style="110"/>
    <col min="5893" max="5900" width="8.77734375" style="110" customWidth="1"/>
    <col min="5901" max="5901" width="14.109375" style="110" customWidth="1"/>
    <col min="5902" max="5902" width="14.21875" style="110" customWidth="1"/>
    <col min="5903" max="6148" width="9.77734375" style="110"/>
    <col min="6149" max="6156" width="8.77734375" style="110" customWidth="1"/>
    <col min="6157" max="6157" width="14.109375" style="110" customWidth="1"/>
    <col min="6158" max="6158" width="14.21875" style="110" customWidth="1"/>
    <col min="6159" max="6404" width="9.77734375" style="110"/>
    <col min="6405" max="6412" width="8.77734375" style="110" customWidth="1"/>
    <col min="6413" max="6413" width="14.109375" style="110" customWidth="1"/>
    <col min="6414" max="6414" width="14.21875" style="110" customWidth="1"/>
    <col min="6415" max="6660" width="9.77734375" style="110"/>
    <col min="6661" max="6668" width="8.77734375" style="110" customWidth="1"/>
    <col min="6669" max="6669" width="14.109375" style="110" customWidth="1"/>
    <col min="6670" max="6670" width="14.21875" style="110" customWidth="1"/>
    <col min="6671" max="6916" width="9.77734375" style="110"/>
    <col min="6917" max="6924" width="8.77734375" style="110" customWidth="1"/>
    <col min="6925" max="6925" width="14.109375" style="110" customWidth="1"/>
    <col min="6926" max="6926" width="14.21875" style="110" customWidth="1"/>
    <col min="6927" max="7172" width="9.77734375" style="110"/>
    <col min="7173" max="7180" width="8.77734375" style="110" customWidth="1"/>
    <col min="7181" max="7181" width="14.109375" style="110" customWidth="1"/>
    <col min="7182" max="7182" width="14.21875" style="110" customWidth="1"/>
    <col min="7183" max="7428" width="9.77734375" style="110"/>
    <col min="7429" max="7436" width="8.77734375" style="110" customWidth="1"/>
    <col min="7437" max="7437" width="14.109375" style="110" customWidth="1"/>
    <col min="7438" max="7438" width="14.21875" style="110" customWidth="1"/>
    <col min="7439" max="7684" width="9.77734375" style="110"/>
    <col min="7685" max="7692" width="8.77734375" style="110" customWidth="1"/>
    <col min="7693" max="7693" width="14.109375" style="110" customWidth="1"/>
    <col min="7694" max="7694" width="14.21875" style="110" customWidth="1"/>
    <col min="7695" max="7940" width="9.77734375" style="110"/>
    <col min="7941" max="7948" width="8.77734375" style="110" customWidth="1"/>
    <col min="7949" max="7949" width="14.109375" style="110" customWidth="1"/>
    <col min="7950" max="7950" width="14.21875" style="110" customWidth="1"/>
    <col min="7951" max="8196" width="9.77734375" style="110"/>
    <col min="8197" max="8204" width="8.77734375" style="110" customWidth="1"/>
    <col min="8205" max="8205" width="14.109375" style="110" customWidth="1"/>
    <col min="8206" max="8206" width="14.21875" style="110" customWidth="1"/>
    <col min="8207" max="8452" width="9.77734375" style="110"/>
    <col min="8453" max="8460" width="8.77734375" style="110" customWidth="1"/>
    <col min="8461" max="8461" width="14.109375" style="110" customWidth="1"/>
    <col min="8462" max="8462" width="14.21875" style="110" customWidth="1"/>
    <col min="8463" max="8708" width="9.77734375" style="110"/>
    <col min="8709" max="8716" width="8.77734375" style="110" customWidth="1"/>
    <col min="8717" max="8717" width="14.109375" style="110" customWidth="1"/>
    <col min="8718" max="8718" width="14.21875" style="110" customWidth="1"/>
    <col min="8719" max="8964" width="9.77734375" style="110"/>
    <col min="8965" max="8972" width="8.77734375" style="110" customWidth="1"/>
    <col min="8973" max="8973" width="14.109375" style="110" customWidth="1"/>
    <col min="8974" max="8974" width="14.21875" style="110" customWidth="1"/>
    <col min="8975" max="9220" width="9.77734375" style="110"/>
    <col min="9221" max="9228" width="8.77734375" style="110" customWidth="1"/>
    <col min="9229" max="9229" width="14.109375" style="110" customWidth="1"/>
    <col min="9230" max="9230" width="14.21875" style="110" customWidth="1"/>
    <col min="9231" max="9476" width="9.77734375" style="110"/>
    <col min="9477" max="9484" width="8.77734375" style="110" customWidth="1"/>
    <col min="9485" max="9485" width="14.109375" style="110" customWidth="1"/>
    <col min="9486" max="9486" width="14.21875" style="110" customWidth="1"/>
    <col min="9487" max="9732" width="9.77734375" style="110"/>
    <col min="9733" max="9740" width="8.77734375" style="110" customWidth="1"/>
    <col min="9741" max="9741" width="14.109375" style="110" customWidth="1"/>
    <col min="9742" max="9742" width="14.21875" style="110" customWidth="1"/>
    <col min="9743" max="9988" width="9.77734375" style="110"/>
    <col min="9989" max="9996" width="8.77734375" style="110" customWidth="1"/>
    <col min="9997" max="9997" width="14.109375" style="110" customWidth="1"/>
    <col min="9998" max="9998" width="14.21875" style="110" customWidth="1"/>
    <col min="9999" max="10244" width="9.77734375" style="110"/>
    <col min="10245" max="10252" width="8.77734375" style="110" customWidth="1"/>
    <col min="10253" max="10253" width="14.109375" style="110" customWidth="1"/>
    <col min="10254" max="10254" width="14.21875" style="110" customWidth="1"/>
    <col min="10255" max="10500" width="9.77734375" style="110"/>
    <col min="10501" max="10508" width="8.77734375" style="110" customWidth="1"/>
    <col min="10509" max="10509" width="14.109375" style="110" customWidth="1"/>
    <col min="10510" max="10510" width="14.21875" style="110" customWidth="1"/>
    <col min="10511" max="10756" width="9.77734375" style="110"/>
    <col min="10757" max="10764" width="8.77734375" style="110" customWidth="1"/>
    <col min="10765" max="10765" width="14.109375" style="110" customWidth="1"/>
    <col min="10766" max="10766" width="14.21875" style="110" customWidth="1"/>
    <col min="10767" max="11012" width="9.77734375" style="110"/>
    <col min="11013" max="11020" width="8.77734375" style="110" customWidth="1"/>
    <col min="11021" max="11021" width="14.109375" style="110" customWidth="1"/>
    <col min="11022" max="11022" width="14.21875" style="110" customWidth="1"/>
    <col min="11023" max="11268" width="9.77734375" style="110"/>
    <col min="11269" max="11276" width="8.77734375" style="110" customWidth="1"/>
    <col min="11277" max="11277" width="14.109375" style="110" customWidth="1"/>
    <col min="11278" max="11278" width="14.21875" style="110" customWidth="1"/>
    <col min="11279" max="11524" width="9.77734375" style="110"/>
    <col min="11525" max="11532" width="8.77734375" style="110" customWidth="1"/>
    <col min="11533" max="11533" width="14.109375" style="110" customWidth="1"/>
    <col min="11534" max="11534" width="14.21875" style="110" customWidth="1"/>
    <col min="11535" max="11780" width="9.77734375" style="110"/>
    <col min="11781" max="11788" width="8.77734375" style="110" customWidth="1"/>
    <col min="11789" max="11789" width="14.109375" style="110" customWidth="1"/>
    <col min="11790" max="11790" width="14.21875" style="110" customWidth="1"/>
    <col min="11791" max="12036" width="9.77734375" style="110"/>
    <col min="12037" max="12044" width="8.77734375" style="110" customWidth="1"/>
    <col min="12045" max="12045" width="14.109375" style="110" customWidth="1"/>
    <col min="12046" max="12046" width="14.21875" style="110" customWidth="1"/>
    <col min="12047" max="12292" width="9.77734375" style="110"/>
    <col min="12293" max="12300" width="8.77734375" style="110" customWidth="1"/>
    <col min="12301" max="12301" width="14.109375" style="110" customWidth="1"/>
    <col min="12302" max="12302" width="14.21875" style="110" customWidth="1"/>
    <col min="12303" max="12548" width="9.77734375" style="110"/>
    <col min="12549" max="12556" width="8.77734375" style="110" customWidth="1"/>
    <col min="12557" max="12557" width="14.109375" style="110" customWidth="1"/>
    <col min="12558" max="12558" width="14.21875" style="110" customWidth="1"/>
    <col min="12559" max="12804" width="9.77734375" style="110"/>
    <col min="12805" max="12812" width="8.77734375" style="110" customWidth="1"/>
    <col min="12813" max="12813" width="14.109375" style="110" customWidth="1"/>
    <col min="12814" max="12814" width="14.21875" style="110" customWidth="1"/>
    <col min="12815" max="13060" width="9.77734375" style="110"/>
    <col min="13061" max="13068" width="8.77734375" style="110" customWidth="1"/>
    <col min="13069" max="13069" width="14.109375" style="110" customWidth="1"/>
    <col min="13070" max="13070" width="14.21875" style="110" customWidth="1"/>
    <col min="13071" max="13316" width="9.77734375" style="110"/>
    <col min="13317" max="13324" width="8.77734375" style="110" customWidth="1"/>
    <col min="13325" max="13325" width="14.109375" style="110" customWidth="1"/>
    <col min="13326" max="13326" width="14.21875" style="110" customWidth="1"/>
    <col min="13327" max="13572" width="9.77734375" style="110"/>
    <col min="13573" max="13580" width="8.77734375" style="110" customWidth="1"/>
    <col min="13581" max="13581" width="14.109375" style="110" customWidth="1"/>
    <col min="13582" max="13582" width="14.21875" style="110" customWidth="1"/>
    <col min="13583" max="13828" width="9.77734375" style="110"/>
    <col min="13829" max="13836" width="8.77734375" style="110" customWidth="1"/>
    <col min="13837" max="13837" width="14.109375" style="110" customWidth="1"/>
    <col min="13838" max="13838" width="14.21875" style="110" customWidth="1"/>
    <col min="13839" max="14084" width="9.77734375" style="110"/>
    <col min="14085" max="14092" width="8.77734375" style="110" customWidth="1"/>
    <col min="14093" max="14093" width="14.109375" style="110" customWidth="1"/>
    <col min="14094" max="14094" width="14.21875" style="110" customWidth="1"/>
    <col min="14095" max="14340" width="9.77734375" style="110"/>
    <col min="14341" max="14348" width="8.77734375" style="110" customWidth="1"/>
    <col min="14349" max="14349" width="14.109375" style="110" customWidth="1"/>
    <col min="14350" max="14350" width="14.21875" style="110" customWidth="1"/>
    <col min="14351" max="14596" width="9.77734375" style="110"/>
    <col min="14597" max="14604" width="8.77734375" style="110" customWidth="1"/>
    <col min="14605" max="14605" width="14.109375" style="110" customWidth="1"/>
    <col min="14606" max="14606" width="14.21875" style="110" customWidth="1"/>
    <col min="14607" max="14852" width="9.77734375" style="110"/>
    <col min="14853" max="14860" width="8.77734375" style="110" customWidth="1"/>
    <col min="14861" max="14861" width="14.109375" style="110" customWidth="1"/>
    <col min="14862" max="14862" width="14.21875" style="110" customWidth="1"/>
    <col min="14863" max="15108" width="9.77734375" style="110"/>
    <col min="15109" max="15116" width="8.77734375" style="110" customWidth="1"/>
    <col min="15117" max="15117" width="14.109375" style="110" customWidth="1"/>
    <col min="15118" max="15118" width="14.21875" style="110" customWidth="1"/>
    <col min="15119" max="15364" width="9.77734375" style="110"/>
    <col min="15365" max="15372" width="8.77734375" style="110" customWidth="1"/>
    <col min="15373" max="15373" width="14.109375" style="110" customWidth="1"/>
    <col min="15374" max="15374" width="14.21875" style="110" customWidth="1"/>
    <col min="15375" max="15620" width="9.77734375" style="110"/>
    <col min="15621" max="15628" width="8.77734375" style="110" customWidth="1"/>
    <col min="15629" max="15629" width="14.109375" style="110" customWidth="1"/>
    <col min="15630" max="15630" width="14.21875" style="110" customWidth="1"/>
    <col min="15631" max="15876" width="9.77734375" style="110"/>
    <col min="15877" max="15884" width="8.77734375" style="110" customWidth="1"/>
    <col min="15885" max="15885" width="14.109375" style="110" customWidth="1"/>
    <col min="15886" max="15886" width="14.21875" style="110" customWidth="1"/>
    <col min="15887" max="16132" width="9.77734375" style="110"/>
    <col min="16133" max="16140" width="8.77734375" style="110" customWidth="1"/>
    <col min="16141" max="16141" width="14.109375" style="110" customWidth="1"/>
    <col min="16142" max="16142" width="14.21875" style="110" customWidth="1"/>
    <col min="16143" max="16384" width="9.77734375" style="110"/>
  </cols>
  <sheetData>
    <row r="1" spans="1:15" ht="20.100000000000001" customHeight="1">
      <c r="A1" s="224" t="s">
        <v>1289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</row>
    <row r="2" spans="1:15" ht="20.100000000000001" customHeight="1">
      <c r="A2" s="224"/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</row>
    <row r="3" spans="1:15" s="111" customFormat="1" ht="20.100000000000001" customHeight="1">
      <c r="A3" s="225" t="s">
        <v>1290</v>
      </c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</row>
    <row r="4" spans="1:15" s="112" customFormat="1" ht="20.100000000000001" customHeight="1">
      <c r="A4" s="226" t="s">
        <v>1291</v>
      </c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</row>
    <row r="5" spans="1:15" s="112" customFormat="1" ht="20.100000000000001" customHeight="1">
      <c r="A5" s="227" t="s">
        <v>1234</v>
      </c>
      <c r="B5" s="228"/>
      <c r="C5" s="227" t="s">
        <v>1292</v>
      </c>
      <c r="D5" s="229"/>
      <c r="E5" s="227" t="s">
        <v>1293</v>
      </c>
      <c r="F5" s="228"/>
      <c r="G5" s="228"/>
      <c r="H5" s="229"/>
      <c r="I5" s="227" t="s">
        <v>1236</v>
      </c>
      <c r="J5" s="228"/>
      <c r="K5" s="228"/>
      <c r="L5" s="229"/>
    </row>
    <row r="6" spans="1:15" s="112" customFormat="1" ht="20.100000000000001" customHeight="1">
      <c r="A6" s="232" t="s">
        <v>1294</v>
      </c>
      <c r="B6" s="233"/>
      <c r="C6" s="234">
        <v>94000</v>
      </c>
      <c r="D6" s="235"/>
      <c r="E6" s="232"/>
      <c r="F6" s="236"/>
      <c r="G6" s="143"/>
      <c r="H6" s="142">
        <v>391</v>
      </c>
      <c r="I6" s="237" t="s">
        <v>1295</v>
      </c>
      <c r="J6" s="238"/>
      <c r="K6" s="238"/>
      <c r="L6" s="239"/>
    </row>
    <row r="7" spans="1:15" s="112" customFormat="1" ht="20.100000000000001" customHeight="1">
      <c r="A7" s="232" t="s">
        <v>1296</v>
      </c>
      <c r="B7" s="233"/>
      <c r="C7" s="234">
        <v>298000</v>
      </c>
      <c r="D7" s="235"/>
      <c r="E7" s="232"/>
      <c r="F7" s="236"/>
      <c r="G7" s="143"/>
      <c r="H7" s="142">
        <v>660</v>
      </c>
      <c r="I7" s="240"/>
      <c r="J7" s="241"/>
      <c r="K7" s="241"/>
      <c r="L7" s="242"/>
    </row>
    <row r="8" spans="1:15" s="112" customFormat="1" ht="20.100000000000001" customHeight="1">
      <c r="A8" s="232" t="s">
        <v>1297</v>
      </c>
      <c r="B8" s="233"/>
      <c r="C8" s="234">
        <v>559000</v>
      </c>
      <c r="D8" s="235"/>
      <c r="E8" s="246" t="s">
        <v>1298</v>
      </c>
      <c r="F8" s="247"/>
      <c r="G8" s="247"/>
      <c r="H8" s="142">
        <v>315</v>
      </c>
      <c r="I8" s="240"/>
      <c r="J8" s="241"/>
      <c r="K8" s="241"/>
      <c r="L8" s="242"/>
    </row>
    <row r="9" spans="1:15" s="112" customFormat="1" ht="20.100000000000001" customHeight="1">
      <c r="A9" s="248" t="s">
        <v>1299</v>
      </c>
      <c r="B9" s="248"/>
      <c r="C9" s="249">
        <v>678000</v>
      </c>
      <c r="D9" s="250"/>
      <c r="E9" s="246" t="s">
        <v>1300</v>
      </c>
      <c r="F9" s="247"/>
      <c r="G9" s="247"/>
      <c r="H9" s="142">
        <v>268</v>
      </c>
      <c r="I9" s="240"/>
      <c r="J9" s="241"/>
      <c r="K9" s="241"/>
      <c r="L9" s="242"/>
    </row>
    <row r="10" spans="1:15" s="112" customFormat="1" ht="20.100000000000001" customHeight="1">
      <c r="A10" s="248"/>
      <c r="B10" s="248"/>
      <c r="C10" s="251"/>
      <c r="D10" s="252"/>
      <c r="E10" s="246" t="s">
        <v>1301</v>
      </c>
      <c r="F10" s="247"/>
      <c r="G10" s="247"/>
      <c r="H10" s="142">
        <v>152</v>
      </c>
      <c r="I10" s="240"/>
      <c r="J10" s="241"/>
      <c r="K10" s="241"/>
      <c r="L10" s="242"/>
    </row>
    <row r="11" spans="1:15" s="112" customFormat="1" ht="20.100000000000001" customHeight="1">
      <c r="A11" s="248"/>
      <c r="B11" s="248"/>
      <c r="C11" s="253"/>
      <c r="D11" s="254"/>
      <c r="E11" s="246" t="s">
        <v>1302</v>
      </c>
      <c r="F11" s="247"/>
      <c r="G11" s="247"/>
      <c r="H11" s="142">
        <v>32</v>
      </c>
      <c r="I11" s="243"/>
      <c r="J11" s="244"/>
      <c r="K11" s="244"/>
      <c r="L11" s="245"/>
    </row>
    <row r="12" spans="1:15" s="112" customFormat="1" ht="20.100000000000001" customHeight="1">
      <c r="A12" s="144"/>
      <c r="B12" s="144"/>
      <c r="C12" s="145"/>
      <c r="D12" s="145"/>
      <c r="E12" s="145"/>
      <c r="F12" s="145"/>
      <c r="G12" s="145"/>
      <c r="H12" s="145"/>
      <c r="I12" s="146"/>
      <c r="J12" s="146"/>
      <c r="K12" s="146"/>
      <c r="L12" s="146"/>
    </row>
    <row r="13" spans="1:15" ht="15" customHeight="1">
      <c r="A13" s="230" t="s">
        <v>1303</v>
      </c>
      <c r="B13" s="230"/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O13" s="147">
        <f>ROUNDDOWN(N13,-3)</f>
        <v>0</v>
      </c>
    </row>
    <row r="14" spans="1:15" ht="15" customHeight="1">
      <c r="A14" s="231"/>
      <c r="B14" s="231"/>
      <c r="C14" s="231"/>
      <c r="D14" s="231"/>
      <c r="E14" s="231"/>
      <c r="F14" s="231"/>
      <c r="G14" s="231"/>
      <c r="H14" s="231"/>
      <c r="I14" s="231"/>
      <c r="J14" s="231"/>
      <c r="K14" s="231"/>
      <c r="L14" s="231"/>
      <c r="O14" s="147">
        <f>ROUNDDOWN(N14,-3)</f>
        <v>0</v>
      </c>
    </row>
    <row r="15" spans="1:15" ht="15" customHeight="1">
      <c r="A15" s="211" t="s">
        <v>1256</v>
      </c>
      <c r="B15" s="218" t="s">
        <v>1304</v>
      </c>
      <c r="C15" s="220"/>
      <c r="D15" s="208" t="s">
        <v>1268</v>
      </c>
      <c r="E15" s="211" t="s">
        <v>1269</v>
      </c>
      <c r="F15" s="211"/>
      <c r="G15" s="211"/>
      <c r="H15" s="208" t="s">
        <v>1305</v>
      </c>
      <c r="I15" s="208"/>
      <c r="J15" s="208"/>
      <c r="K15" s="211" t="s">
        <v>1258</v>
      </c>
      <c r="L15" s="211" t="s">
        <v>1259</v>
      </c>
      <c r="O15" s="147">
        <f>ROUNDDOWN(N15,-3)</f>
        <v>0</v>
      </c>
    </row>
    <row r="16" spans="1:15" ht="15" customHeight="1">
      <c r="A16" s="213"/>
      <c r="B16" s="221"/>
      <c r="C16" s="223"/>
      <c r="D16" s="209"/>
      <c r="E16" s="213"/>
      <c r="F16" s="213"/>
      <c r="G16" s="213"/>
      <c r="H16" s="209"/>
      <c r="I16" s="209"/>
      <c r="J16" s="209"/>
      <c r="K16" s="213"/>
      <c r="L16" s="213"/>
      <c r="O16" s="147">
        <f>ROUNDDOWN(N16,-3)</f>
        <v>0</v>
      </c>
    </row>
    <row r="17" spans="1:15" ht="20.100000000000001" customHeight="1">
      <c r="A17" s="128" t="s">
        <v>1306</v>
      </c>
      <c r="B17" s="255" t="s">
        <v>1307</v>
      </c>
      <c r="C17" s="256"/>
      <c r="D17" s="130">
        <f>'한전인입공사비 (지구내)'!C31+'한전인입공사비 (지구내)'!C32+'한전인입공사비 (지구내)'!C33+'한전인입공사비 (지구내)'!C34</f>
        <v>12</v>
      </c>
      <c r="E17" s="257">
        <f>C6*4</f>
        <v>376000</v>
      </c>
      <c r="F17" s="258"/>
      <c r="G17" s="259"/>
      <c r="H17" s="257">
        <f>D17*$H$6</f>
        <v>4692</v>
      </c>
      <c r="I17" s="258"/>
      <c r="J17" s="259"/>
      <c r="K17" s="134">
        <f>H17+E17</f>
        <v>380692</v>
      </c>
      <c r="L17" s="134"/>
      <c r="N17" s="147"/>
      <c r="O17" s="147"/>
    </row>
    <row r="18" spans="1:15" ht="20.100000000000001" customHeight="1">
      <c r="A18" s="128" t="s">
        <v>1282</v>
      </c>
      <c r="B18" s="255" t="s">
        <v>1308</v>
      </c>
      <c r="C18" s="256"/>
      <c r="D18" s="133">
        <f>'한전인입공사비 (지구내)'!C37*1</f>
        <v>1</v>
      </c>
      <c r="E18" s="257">
        <f>C6*'한전인입공사비 (지구내)'!D37</f>
        <v>188000</v>
      </c>
      <c r="F18" s="258"/>
      <c r="G18" s="259"/>
      <c r="H18" s="257">
        <f>D18*$H$6</f>
        <v>391</v>
      </c>
      <c r="I18" s="258"/>
      <c r="J18" s="259"/>
      <c r="K18" s="134">
        <f>H18+E18</f>
        <v>188391</v>
      </c>
      <c r="L18" s="134"/>
      <c r="N18" s="147"/>
      <c r="O18" s="147"/>
    </row>
    <row r="19" spans="1:15" ht="20.100000000000001" customHeight="1">
      <c r="A19" s="128" t="s">
        <v>1309</v>
      </c>
      <c r="B19" s="255" t="s">
        <v>1310</v>
      </c>
      <c r="C19" s="256"/>
      <c r="D19" s="130">
        <f>'한전인입공사비 (지구내)'!C40+'한전인입공사비 (지구내)'!C41</f>
        <v>20</v>
      </c>
      <c r="E19" s="257">
        <f>C6*2</f>
        <v>188000</v>
      </c>
      <c r="F19" s="258"/>
      <c r="G19" s="259"/>
      <c r="H19" s="257">
        <f>D19*$H$6</f>
        <v>7820</v>
      </c>
      <c r="I19" s="258"/>
      <c r="J19" s="259"/>
      <c r="K19" s="134">
        <f>H19+E19</f>
        <v>195820</v>
      </c>
      <c r="L19" s="134"/>
      <c r="N19" s="147"/>
      <c r="O19" s="147"/>
    </row>
    <row r="20" spans="1:15" ht="20.100000000000001" customHeight="1">
      <c r="A20" s="128"/>
      <c r="B20" s="255"/>
      <c r="C20" s="256"/>
      <c r="D20" s="130"/>
      <c r="E20" s="257"/>
      <c r="F20" s="258"/>
      <c r="G20" s="259"/>
      <c r="H20" s="257"/>
      <c r="I20" s="258"/>
      <c r="J20" s="259"/>
      <c r="K20" s="134"/>
      <c r="L20" s="134"/>
      <c r="N20" s="147"/>
      <c r="O20" s="147"/>
    </row>
    <row r="21" spans="1:15" ht="20.100000000000001" customHeight="1">
      <c r="A21" s="128" t="s">
        <v>1286</v>
      </c>
      <c r="B21" s="255"/>
      <c r="C21" s="256"/>
      <c r="D21" s="135"/>
      <c r="E21" s="257"/>
      <c r="F21" s="258"/>
      <c r="G21" s="259"/>
      <c r="H21" s="257"/>
      <c r="I21" s="258"/>
      <c r="J21" s="259"/>
      <c r="K21" s="134">
        <f>SUM(K17:K20)</f>
        <v>764903</v>
      </c>
      <c r="L21" s="134"/>
      <c r="N21" s="134">
        <f>K21-900000</f>
        <v>-135097</v>
      </c>
    </row>
    <row r="22" spans="1:15" ht="20.100000000000001" customHeight="1">
      <c r="A22" s="128" t="s">
        <v>1287</v>
      </c>
      <c r="B22" s="260">
        <v>0.1</v>
      </c>
      <c r="C22" s="261"/>
      <c r="D22" s="135"/>
      <c r="E22" s="257"/>
      <c r="F22" s="258"/>
      <c r="G22" s="259"/>
      <c r="H22" s="257"/>
      <c r="I22" s="262"/>
      <c r="J22" s="263"/>
      <c r="K22" s="134">
        <f>K21*0.1</f>
        <v>76490.3</v>
      </c>
      <c r="L22" s="138"/>
    </row>
    <row r="23" spans="1:15" ht="20.100000000000001" customHeight="1">
      <c r="A23" s="139" t="s">
        <v>15</v>
      </c>
      <c r="B23" s="255"/>
      <c r="C23" s="256"/>
      <c r="D23" s="135"/>
      <c r="E23" s="257">
        <f>$J$7</f>
        <v>0</v>
      </c>
      <c r="F23" s="258"/>
      <c r="G23" s="259"/>
      <c r="H23" s="257">
        <f>$J$7</f>
        <v>0</v>
      </c>
      <c r="I23" s="258"/>
      <c r="J23" s="259"/>
      <c r="K23" s="134">
        <f>TRUNC(SUM(K21:K22),-3)</f>
        <v>841000</v>
      </c>
      <c r="L23" s="134"/>
      <c r="N23" s="134">
        <f>K23-1000000</f>
        <v>-159000</v>
      </c>
      <c r="O23" s="134">
        <f>SUM(O13:O22)</f>
        <v>0</v>
      </c>
    </row>
  </sheetData>
  <mergeCells count="51">
    <mergeCell ref="B23:C23"/>
    <mergeCell ref="E23:G23"/>
    <mergeCell ref="H23:J23"/>
    <mergeCell ref="B21:C21"/>
    <mergeCell ref="E21:G21"/>
    <mergeCell ref="H21:J21"/>
    <mergeCell ref="B22:C22"/>
    <mergeCell ref="E22:G22"/>
    <mergeCell ref="H22:J22"/>
    <mergeCell ref="B19:C19"/>
    <mergeCell ref="E19:G19"/>
    <mergeCell ref="H19:J19"/>
    <mergeCell ref="B20:C20"/>
    <mergeCell ref="E20:G20"/>
    <mergeCell ref="H20:J20"/>
    <mergeCell ref="L15:L16"/>
    <mergeCell ref="B17:C17"/>
    <mergeCell ref="E17:G17"/>
    <mergeCell ref="H17:J17"/>
    <mergeCell ref="B18:C18"/>
    <mergeCell ref="E18:G18"/>
    <mergeCell ref="H18:J18"/>
    <mergeCell ref="K15:K16"/>
    <mergeCell ref="A15:A16"/>
    <mergeCell ref="B15:C16"/>
    <mergeCell ref="D15:D16"/>
    <mergeCell ref="E15:G16"/>
    <mergeCell ref="H15:J16"/>
    <mergeCell ref="A13:L14"/>
    <mergeCell ref="A6:B6"/>
    <mergeCell ref="C6:D6"/>
    <mergeCell ref="E6:F6"/>
    <mergeCell ref="I6:L11"/>
    <mergeCell ref="A7:B7"/>
    <mergeCell ref="C7:D7"/>
    <mergeCell ref="E7:F7"/>
    <mergeCell ref="A8:B8"/>
    <mergeCell ref="C8:D8"/>
    <mergeCell ref="E8:G8"/>
    <mergeCell ref="A9:B11"/>
    <mergeCell ref="C9:D11"/>
    <mergeCell ref="E9:G9"/>
    <mergeCell ref="E10:G10"/>
    <mergeCell ref="E11:G11"/>
    <mergeCell ref="A1:L2"/>
    <mergeCell ref="A3:L3"/>
    <mergeCell ref="A4:L4"/>
    <mergeCell ref="A5:B5"/>
    <mergeCell ref="C5:D5"/>
    <mergeCell ref="E5:H5"/>
    <mergeCell ref="I5:L5"/>
  </mergeCells>
  <phoneticPr fontId="2" type="noConversion"/>
  <pageMargins left="0.47244094488188981" right="0.35433070866141736" top="0.98425196850393704" bottom="0.78740157480314965" header="0.51181102362204722" footer="0.51181102362204722"/>
  <pageSetup paperSize="9" orientation="landscape" blackAndWhite="1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Q81"/>
  <sheetViews>
    <sheetView view="pageBreakPreview" zoomScaleSheetLayoutView="100" workbookViewId="0">
      <pane xSplit="2" ySplit="3" topLeftCell="C4" activePane="bottomRight" state="frozen"/>
      <selection activeCell="A2" sqref="A2"/>
      <selection pane="topRight" activeCell="A2" sqref="A2"/>
      <selection pane="bottomLeft" activeCell="A2" sqref="A2"/>
      <selection pane="bottomRight" activeCell="A2" sqref="A2:A3"/>
    </sheetView>
  </sheetViews>
  <sheetFormatPr defaultRowHeight="23.1" customHeight="1"/>
  <cols>
    <col min="1" max="1" width="9.109375" style="64" hidden="1" customWidth="1"/>
    <col min="2" max="2" width="9.88671875" style="64" hidden="1" customWidth="1"/>
    <col min="3" max="3" width="12.77734375" style="64" customWidth="1"/>
    <col min="4" max="4" width="23.109375" style="64" customWidth="1"/>
    <col min="5" max="5" width="23.77734375" style="64" customWidth="1"/>
    <col min="6" max="6" width="4.6640625" style="48" customWidth="1"/>
    <col min="7" max="7" width="6.44140625" style="48" hidden="1" customWidth="1"/>
    <col min="8" max="9" width="11.21875" style="49" customWidth="1"/>
    <col min="10" max="10" width="5" style="49" hidden="1" customWidth="1"/>
    <col min="11" max="13" width="11.21875" style="49" customWidth="1"/>
    <col min="14" max="14" width="11.109375" style="49" customWidth="1"/>
    <col min="15" max="15" width="7" style="49" hidden="1" customWidth="1"/>
    <col min="16" max="16" width="11.21875" style="49" customWidth="1"/>
    <col min="17" max="17" width="12.21875" style="48" customWidth="1"/>
    <col min="18" max="16384" width="8.88671875" style="48"/>
  </cols>
  <sheetData>
    <row r="1" spans="1:17" ht="23.1" customHeight="1">
      <c r="A1" s="64" t="s">
        <v>566</v>
      </c>
      <c r="B1" s="64" t="s">
        <v>913</v>
      </c>
      <c r="C1" s="157" t="s">
        <v>698</v>
      </c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</row>
    <row r="2" spans="1:17" s="78" customFormat="1" ht="23.1" customHeight="1">
      <c r="A2" s="149" t="s">
        <v>71</v>
      </c>
      <c r="B2" s="149" t="s">
        <v>37</v>
      </c>
      <c r="C2" s="151" t="s">
        <v>25</v>
      </c>
      <c r="D2" s="151" t="s">
        <v>78</v>
      </c>
      <c r="E2" s="151" t="s">
        <v>79</v>
      </c>
      <c r="F2" s="154" t="s">
        <v>1</v>
      </c>
      <c r="G2" s="264" t="s">
        <v>2</v>
      </c>
      <c r="H2" s="153" t="s">
        <v>32</v>
      </c>
      <c r="I2" s="153"/>
      <c r="J2" s="153" t="s">
        <v>33</v>
      </c>
      <c r="K2" s="153"/>
      <c r="L2" s="153"/>
      <c r="M2" s="153" t="s">
        <v>34</v>
      </c>
      <c r="N2" s="153"/>
      <c r="O2" s="67" t="s">
        <v>15</v>
      </c>
      <c r="P2" s="153" t="s">
        <v>44</v>
      </c>
      <c r="Q2" s="151" t="s">
        <v>36</v>
      </c>
    </row>
    <row r="3" spans="1:17" s="78" customFormat="1" ht="23.1" customHeight="1">
      <c r="A3" s="149"/>
      <c r="B3" s="149"/>
      <c r="C3" s="152"/>
      <c r="D3" s="152"/>
      <c r="E3" s="152"/>
      <c r="F3" s="155"/>
      <c r="G3" s="265"/>
      <c r="H3" s="69" t="s">
        <v>39</v>
      </c>
      <c r="I3" s="69" t="s">
        <v>40</v>
      </c>
      <c r="J3" s="69" t="s">
        <v>2</v>
      </c>
      <c r="K3" s="69" t="s">
        <v>39</v>
      </c>
      <c r="L3" s="69" t="s">
        <v>40</v>
      </c>
      <c r="M3" s="69" t="s">
        <v>41</v>
      </c>
      <c r="N3" s="69" t="s">
        <v>40</v>
      </c>
      <c r="O3" s="69" t="s">
        <v>29</v>
      </c>
      <c r="P3" s="156"/>
      <c r="Q3" s="152"/>
    </row>
    <row r="4" spans="1:17" ht="23.1" customHeight="1">
      <c r="A4" s="64" t="s">
        <v>699</v>
      </c>
      <c r="B4" s="64" t="s">
        <v>700</v>
      </c>
      <c r="C4" s="57" t="s">
        <v>701</v>
      </c>
      <c r="D4" s="74" t="s">
        <v>702</v>
      </c>
      <c r="E4" s="74" t="s">
        <v>703</v>
      </c>
      <c r="F4" s="54" t="s">
        <v>294</v>
      </c>
      <c r="G4" s="84"/>
      <c r="H4" s="58">
        <f>일위대가!I7</f>
        <v>501</v>
      </c>
      <c r="I4" s="58">
        <f t="shared" ref="I4:I35" si="0">H4</f>
        <v>501</v>
      </c>
      <c r="J4" s="58"/>
      <c r="K4" s="58">
        <f>일위대가!L7</f>
        <v>4659</v>
      </c>
      <c r="L4" s="58">
        <f t="shared" ref="L4:L35" si="1">K4</f>
        <v>4659</v>
      </c>
      <c r="M4" s="58">
        <f>일위대가!N7</f>
        <v>483</v>
      </c>
      <c r="N4" s="58">
        <f t="shared" ref="N4:N35" si="2">M4</f>
        <v>483</v>
      </c>
      <c r="O4" s="58"/>
      <c r="P4" s="58">
        <f t="shared" ref="P4:P35" si="3">I4+L4+N4</f>
        <v>5643</v>
      </c>
      <c r="Q4" s="74"/>
    </row>
    <row r="5" spans="1:17" ht="23.1" customHeight="1">
      <c r="A5" s="64" t="s">
        <v>704</v>
      </c>
      <c r="B5" s="64" t="s">
        <v>705</v>
      </c>
      <c r="C5" s="57" t="s">
        <v>706</v>
      </c>
      <c r="D5" s="74" t="s">
        <v>707</v>
      </c>
      <c r="E5" s="74" t="s">
        <v>703</v>
      </c>
      <c r="F5" s="54" t="s">
        <v>294</v>
      </c>
      <c r="G5" s="84"/>
      <c r="H5" s="58">
        <f>일위대가!I12</f>
        <v>449</v>
      </c>
      <c r="I5" s="58">
        <f t="shared" si="0"/>
        <v>449</v>
      </c>
      <c r="J5" s="58"/>
      <c r="K5" s="58">
        <f>일위대가!L12</f>
        <v>2939</v>
      </c>
      <c r="L5" s="58">
        <f t="shared" si="1"/>
        <v>2939</v>
      </c>
      <c r="M5" s="58">
        <f>일위대가!N12</f>
        <v>483</v>
      </c>
      <c r="N5" s="58">
        <f t="shared" si="2"/>
        <v>483</v>
      </c>
      <c r="O5" s="58"/>
      <c r="P5" s="58">
        <f t="shared" si="3"/>
        <v>3871</v>
      </c>
      <c r="Q5" s="74"/>
    </row>
    <row r="6" spans="1:17" ht="23.1" customHeight="1">
      <c r="A6" s="64" t="s">
        <v>708</v>
      </c>
      <c r="B6" s="64" t="s">
        <v>709</v>
      </c>
      <c r="C6" s="74" t="s">
        <v>710</v>
      </c>
      <c r="D6" s="74" t="s">
        <v>711</v>
      </c>
      <c r="E6" s="74" t="s">
        <v>712</v>
      </c>
      <c r="F6" s="80" t="s">
        <v>294</v>
      </c>
      <c r="G6" s="80"/>
      <c r="H6" s="58">
        <f>일위대가!I17</f>
        <v>1032</v>
      </c>
      <c r="I6" s="58">
        <f t="shared" si="0"/>
        <v>1032</v>
      </c>
      <c r="J6" s="58"/>
      <c r="K6" s="58">
        <f>일위대가!L17</f>
        <v>34413</v>
      </c>
      <c r="L6" s="58">
        <f t="shared" si="1"/>
        <v>34413</v>
      </c>
      <c r="M6" s="58">
        <f>일위대가!N17</f>
        <v>0</v>
      </c>
      <c r="N6" s="58">
        <f t="shared" si="2"/>
        <v>0</v>
      </c>
      <c r="O6" s="58"/>
      <c r="P6" s="58">
        <f t="shared" si="3"/>
        <v>35445</v>
      </c>
      <c r="Q6" s="80"/>
    </row>
    <row r="7" spans="1:17" ht="23.1" customHeight="1">
      <c r="A7" s="64" t="s">
        <v>713</v>
      </c>
      <c r="B7" s="64" t="s">
        <v>714</v>
      </c>
      <c r="C7" s="74" t="s">
        <v>715</v>
      </c>
      <c r="D7" s="74" t="s">
        <v>716</v>
      </c>
      <c r="E7" s="74" t="s">
        <v>717</v>
      </c>
      <c r="F7" s="80" t="s">
        <v>294</v>
      </c>
      <c r="G7" s="80"/>
      <c r="H7" s="58">
        <f>일위대가!I23</f>
        <v>1759</v>
      </c>
      <c r="I7" s="58">
        <f t="shared" si="0"/>
        <v>1759</v>
      </c>
      <c r="J7" s="58"/>
      <c r="K7" s="58">
        <f>일위대가!L23</f>
        <v>58635</v>
      </c>
      <c r="L7" s="58">
        <f t="shared" si="1"/>
        <v>58635</v>
      </c>
      <c r="M7" s="58">
        <f>일위대가!N23</f>
        <v>0</v>
      </c>
      <c r="N7" s="58">
        <f t="shared" si="2"/>
        <v>0</v>
      </c>
      <c r="O7" s="58"/>
      <c r="P7" s="58">
        <f t="shared" si="3"/>
        <v>60394</v>
      </c>
      <c r="Q7" s="80"/>
    </row>
    <row r="8" spans="1:17" ht="23.1" customHeight="1">
      <c r="A8" s="64" t="s">
        <v>718</v>
      </c>
      <c r="B8" s="64" t="s">
        <v>719</v>
      </c>
      <c r="C8" s="74" t="s">
        <v>720</v>
      </c>
      <c r="D8" s="74" t="s">
        <v>721</v>
      </c>
      <c r="E8" s="74" t="s">
        <v>722</v>
      </c>
      <c r="F8" s="80" t="s">
        <v>298</v>
      </c>
      <c r="G8" s="80"/>
      <c r="H8" s="58">
        <f>일위대가!I32</f>
        <v>24425</v>
      </c>
      <c r="I8" s="58">
        <f t="shared" si="0"/>
        <v>24425</v>
      </c>
      <c r="J8" s="58"/>
      <c r="K8" s="58">
        <f>일위대가!L32</f>
        <v>35498</v>
      </c>
      <c r="L8" s="58">
        <f t="shared" si="1"/>
        <v>35498</v>
      </c>
      <c r="M8" s="58">
        <f>일위대가!N32</f>
        <v>0</v>
      </c>
      <c r="N8" s="58">
        <f t="shared" si="2"/>
        <v>0</v>
      </c>
      <c r="O8" s="58"/>
      <c r="P8" s="58">
        <f t="shared" si="3"/>
        <v>59923</v>
      </c>
      <c r="Q8" s="80"/>
    </row>
    <row r="9" spans="1:17" ht="23.1" customHeight="1">
      <c r="A9" s="64" t="s">
        <v>723</v>
      </c>
      <c r="B9" s="64" t="s">
        <v>724</v>
      </c>
      <c r="C9" s="74" t="s">
        <v>725</v>
      </c>
      <c r="D9" s="74" t="s">
        <v>726</v>
      </c>
      <c r="E9" s="74" t="s">
        <v>727</v>
      </c>
      <c r="F9" s="80" t="s">
        <v>458</v>
      </c>
      <c r="G9" s="80"/>
      <c r="H9" s="58">
        <f>일위대가!I38</f>
        <v>11653</v>
      </c>
      <c r="I9" s="58">
        <f t="shared" si="0"/>
        <v>11653</v>
      </c>
      <c r="J9" s="58"/>
      <c r="K9" s="58">
        <f>일위대가!L38</f>
        <v>117311</v>
      </c>
      <c r="L9" s="58">
        <f t="shared" si="1"/>
        <v>117311</v>
      </c>
      <c r="M9" s="58">
        <f>일위대가!N38</f>
        <v>31713</v>
      </c>
      <c r="N9" s="58">
        <f t="shared" si="2"/>
        <v>31713</v>
      </c>
      <c r="O9" s="58"/>
      <c r="P9" s="58">
        <f t="shared" si="3"/>
        <v>160677</v>
      </c>
      <c r="Q9" s="80"/>
    </row>
    <row r="10" spans="1:17" ht="23.1" customHeight="1">
      <c r="A10" s="64" t="s">
        <v>728</v>
      </c>
      <c r="B10" s="64" t="s">
        <v>729</v>
      </c>
      <c r="C10" s="74" t="s">
        <v>730</v>
      </c>
      <c r="D10" s="74" t="s">
        <v>726</v>
      </c>
      <c r="E10" s="74" t="s">
        <v>731</v>
      </c>
      <c r="F10" s="80" t="s">
        <v>458</v>
      </c>
      <c r="G10" s="80"/>
      <c r="H10" s="58">
        <f>일위대가!I44</f>
        <v>14212</v>
      </c>
      <c r="I10" s="58">
        <f t="shared" si="0"/>
        <v>14212</v>
      </c>
      <c r="J10" s="58"/>
      <c r="K10" s="58">
        <f>일위대가!L44</f>
        <v>153319</v>
      </c>
      <c r="L10" s="58">
        <f t="shared" si="1"/>
        <v>153319</v>
      </c>
      <c r="M10" s="58">
        <f>일위대가!N44</f>
        <v>37479</v>
      </c>
      <c r="N10" s="58">
        <f t="shared" si="2"/>
        <v>37479</v>
      </c>
      <c r="O10" s="58"/>
      <c r="P10" s="58">
        <f t="shared" si="3"/>
        <v>205010</v>
      </c>
      <c r="Q10" s="80"/>
    </row>
    <row r="11" spans="1:17" ht="23.1" customHeight="1">
      <c r="A11" s="64" t="s">
        <v>732</v>
      </c>
      <c r="B11" s="64" t="s">
        <v>733</v>
      </c>
      <c r="C11" s="74" t="s">
        <v>734</v>
      </c>
      <c r="D11" s="74" t="s">
        <v>735</v>
      </c>
      <c r="E11" s="74" t="s">
        <v>736</v>
      </c>
      <c r="F11" s="80" t="s">
        <v>294</v>
      </c>
      <c r="G11" s="80"/>
      <c r="H11" s="58">
        <f>일위대가!I49</f>
        <v>1032</v>
      </c>
      <c r="I11" s="58">
        <f t="shared" si="0"/>
        <v>1032</v>
      </c>
      <c r="J11" s="58"/>
      <c r="K11" s="58">
        <f>일위대가!L49</f>
        <v>34413</v>
      </c>
      <c r="L11" s="58">
        <f t="shared" si="1"/>
        <v>34413</v>
      </c>
      <c r="M11" s="58">
        <f>일위대가!N49</f>
        <v>0</v>
      </c>
      <c r="N11" s="58">
        <f t="shared" si="2"/>
        <v>0</v>
      </c>
      <c r="O11" s="58"/>
      <c r="P11" s="58">
        <f t="shared" si="3"/>
        <v>35445</v>
      </c>
      <c r="Q11" s="80"/>
    </row>
    <row r="12" spans="1:17" ht="23.1" customHeight="1">
      <c r="A12" s="64" t="s">
        <v>737</v>
      </c>
      <c r="B12" s="64" t="s">
        <v>738</v>
      </c>
      <c r="C12" s="74" t="s">
        <v>739</v>
      </c>
      <c r="D12" s="74" t="s">
        <v>740</v>
      </c>
      <c r="E12" s="74" t="s">
        <v>736</v>
      </c>
      <c r="F12" s="80" t="s">
        <v>294</v>
      </c>
      <c r="G12" s="80"/>
      <c r="H12" s="58">
        <f>일위대가!I54</f>
        <v>516</v>
      </c>
      <c r="I12" s="58">
        <f t="shared" si="0"/>
        <v>516</v>
      </c>
      <c r="J12" s="58"/>
      <c r="K12" s="58">
        <f>일위대가!L54</f>
        <v>17206</v>
      </c>
      <c r="L12" s="58">
        <f t="shared" si="1"/>
        <v>17206</v>
      </c>
      <c r="M12" s="58">
        <f>일위대가!N54</f>
        <v>0</v>
      </c>
      <c r="N12" s="58">
        <f t="shared" si="2"/>
        <v>0</v>
      </c>
      <c r="O12" s="58"/>
      <c r="P12" s="58">
        <f t="shared" si="3"/>
        <v>17722</v>
      </c>
      <c r="Q12" s="80"/>
    </row>
    <row r="13" spans="1:17" ht="23.1" customHeight="1">
      <c r="A13" s="64" t="s">
        <v>741</v>
      </c>
      <c r="B13" s="64" t="s">
        <v>742</v>
      </c>
      <c r="C13" s="74" t="s">
        <v>743</v>
      </c>
      <c r="D13" s="74" t="s">
        <v>194</v>
      </c>
      <c r="E13" s="74" t="s">
        <v>195</v>
      </c>
      <c r="F13" s="80" t="s">
        <v>744</v>
      </c>
      <c r="G13" s="80"/>
      <c r="H13" s="58">
        <f>일위대가!I64</f>
        <v>945</v>
      </c>
      <c r="I13" s="58">
        <f t="shared" si="0"/>
        <v>945</v>
      </c>
      <c r="J13" s="58"/>
      <c r="K13" s="58">
        <f>일위대가!L64</f>
        <v>9002</v>
      </c>
      <c r="L13" s="58">
        <f t="shared" si="1"/>
        <v>9002</v>
      </c>
      <c r="M13" s="58">
        <f>일위대가!N64</f>
        <v>0</v>
      </c>
      <c r="N13" s="58">
        <f t="shared" si="2"/>
        <v>0</v>
      </c>
      <c r="O13" s="58"/>
      <c r="P13" s="58">
        <f t="shared" si="3"/>
        <v>9947</v>
      </c>
      <c r="Q13" s="80"/>
    </row>
    <row r="14" spans="1:17" ht="23.1" customHeight="1">
      <c r="A14" s="64" t="s">
        <v>745</v>
      </c>
      <c r="B14" s="64" t="s">
        <v>746</v>
      </c>
      <c r="C14" s="74" t="s">
        <v>747</v>
      </c>
      <c r="D14" s="74" t="s">
        <v>194</v>
      </c>
      <c r="E14" s="74" t="s">
        <v>200</v>
      </c>
      <c r="F14" s="80" t="s">
        <v>744</v>
      </c>
      <c r="G14" s="80"/>
      <c r="H14" s="58">
        <f>일위대가!I74</f>
        <v>1170</v>
      </c>
      <c r="I14" s="58">
        <f t="shared" si="0"/>
        <v>1170</v>
      </c>
      <c r="J14" s="58"/>
      <c r="K14" s="58">
        <f>일위대가!L74</f>
        <v>9002</v>
      </c>
      <c r="L14" s="58">
        <f t="shared" si="1"/>
        <v>9002</v>
      </c>
      <c r="M14" s="58">
        <f>일위대가!N74</f>
        <v>0</v>
      </c>
      <c r="N14" s="58">
        <f t="shared" si="2"/>
        <v>0</v>
      </c>
      <c r="O14" s="58"/>
      <c r="P14" s="58">
        <f t="shared" si="3"/>
        <v>10172</v>
      </c>
      <c r="Q14" s="80"/>
    </row>
    <row r="15" spans="1:17" ht="23.1" customHeight="1">
      <c r="A15" s="64" t="s">
        <v>748</v>
      </c>
      <c r="B15" s="64" t="s">
        <v>749</v>
      </c>
      <c r="C15" s="74" t="s">
        <v>750</v>
      </c>
      <c r="D15" s="74" t="s">
        <v>194</v>
      </c>
      <c r="E15" s="74" t="s">
        <v>202</v>
      </c>
      <c r="F15" s="80" t="s">
        <v>744</v>
      </c>
      <c r="G15" s="80"/>
      <c r="H15" s="58">
        <f>일위대가!I84</f>
        <v>1825</v>
      </c>
      <c r="I15" s="58">
        <f t="shared" si="0"/>
        <v>1825</v>
      </c>
      <c r="J15" s="58"/>
      <c r="K15" s="58">
        <f>일위대가!L84</f>
        <v>11280</v>
      </c>
      <c r="L15" s="58">
        <f t="shared" si="1"/>
        <v>11280</v>
      </c>
      <c r="M15" s="58">
        <f>일위대가!N84</f>
        <v>0</v>
      </c>
      <c r="N15" s="58">
        <f t="shared" si="2"/>
        <v>0</v>
      </c>
      <c r="O15" s="58"/>
      <c r="P15" s="58">
        <f t="shared" si="3"/>
        <v>13105</v>
      </c>
      <c r="Q15" s="80"/>
    </row>
    <row r="16" spans="1:17" ht="23.1" customHeight="1">
      <c r="A16" s="64" t="s">
        <v>751</v>
      </c>
      <c r="B16" s="64" t="s">
        <v>752</v>
      </c>
      <c r="C16" s="74" t="s">
        <v>753</v>
      </c>
      <c r="D16" s="74" t="s">
        <v>194</v>
      </c>
      <c r="E16" s="74" t="s">
        <v>204</v>
      </c>
      <c r="F16" s="80" t="s">
        <v>744</v>
      </c>
      <c r="G16" s="80"/>
      <c r="H16" s="58">
        <f>일위대가!I94</f>
        <v>2296</v>
      </c>
      <c r="I16" s="58">
        <f t="shared" si="0"/>
        <v>2296</v>
      </c>
      <c r="J16" s="58"/>
      <c r="K16" s="58">
        <f>일위대가!L94</f>
        <v>11280</v>
      </c>
      <c r="L16" s="58">
        <f t="shared" si="1"/>
        <v>11280</v>
      </c>
      <c r="M16" s="58">
        <f>일위대가!N94</f>
        <v>0</v>
      </c>
      <c r="N16" s="58">
        <f t="shared" si="2"/>
        <v>0</v>
      </c>
      <c r="O16" s="58"/>
      <c r="P16" s="58">
        <f t="shared" si="3"/>
        <v>13576</v>
      </c>
      <c r="Q16" s="80"/>
    </row>
    <row r="17" spans="1:17" ht="23.1" customHeight="1">
      <c r="A17" s="64" t="s">
        <v>754</v>
      </c>
      <c r="B17" s="64" t="s">
        <v>755</v>
      </c>
      <c r="C17" s="74" t="s">
        <v>756</v>
      </c>
      <c r="D17" s="74" t="s">
        <v>194</v>
      </c>
      <c r="E17" s="74" t="s">
        <v>206</v>
      </c>
      <c r="F17" s="80" t="s">
        <v>744</v>
      </c>
      <c r="G17" s="80"/>
      <c r="H17" s="58">
        <f>일위대가!I104</f>
        <v>3128</v>
      </c>
      <c r="I17" s="58">
        <f t="shared" si="0"/>
        <v>3128</v>
      </c>
      <c r="J17" s="58"/>
      <c r="K17" s="58">
        <f>일위대가!L104</f>
        <v>16761</v>
      </c>
      <c r="L17" s="58">
        <f t="shared" si="1"/>
        <v>16761</v>
      </c>
      <c r="M17" s="58">
        <f>일위대가!N104</f>
        <v>0</v>
      </c>
      <c r="N17" s="58">
        <f t="shared" si="2"/>
        <v>0</v>
      </c>
      <c r="O17" s="58"/>
      <c r="P17" s="58">
        <f t="shared" si="3"/>
        <v>19889</v>
      </c>
      <c r="Q17" s="80"/>
    </row>
    <row r="18" spans="1:17" ht="23.1" customHeight="1">
      <c r="A18" s="64" t="s">
        <v>757</v>
      </c>
      <c r="B18" s="64" t="s">
        <v>758</v>
      </c>
      <c r="C18" s="74" t="s">
        <v>759</v>
      </c>
      <c r="D18" s="74" t="s">
        <v>194</v>
      </c>
      <c r="E18" s="74" t="s">
        <v>208</v>
      </c>
      <c r="F18" s="80" t="s">
        <v>744</v>
      </c>
      <c r="G18" s="80"/>
      <c r="H18" s="58">
        <f>일위대가!I114</f>
        <v>855</v>
      </c>
      <c r="I18" s="58">
        <f t="shared" si="0"/>
        <v>855</v>
      </c>
      <c r="J18" s="58"/>
      <c r="K18" s="58">
        <f>일위대가!L114</f>
        <v>6001</v>
      </c>
      <c r="L18" s="58">
        <f t="shared" si="1"/>
        <v>6001</v>
      </c>
      <c r="M18" s="58">
        <f>일위대가!N114</f>
        <v>0</v>
      </c>
      <c r="N18" s="58">
        <f t="shared" si="2"/>
        <v>0</v>
      </c>
      <c r="O18" s="58"/>
      <c r="P18" s="58">
        <f t="shared" si="3"/>
        <v>6856</v>
      </c>
      <c r="Q18" s="80"/>
    </row>
    <row r="19" spans="1:17" ht="23.1" customHeight="1">
      <c r="A19" s="64" t="s">
        <v>760</v>
      </c>
      <c r="B19" s="64" t="s">
        <v>761</v>
      </c>
      <c r="C19" s="74" t="s">
        <v>762</v>
      </c>
      <c r="D19" s="74" t="s">
        <v>194</v>
      </c>
      <c r="E19" s="74" t="s">
        <v>210</v>
      </c>
      <c r="F19" s="80" t="s">
        <v>744</v>
      </c>
      <c r="G19" s="80"/>
      <c r="H19" s="58">
        <f>일위대가!I124</f>
        <v>1080</v>
      </c>
      <c r="I19" s="58">
        <f t="shared" si="0"/>
        <v>1080</v>
      </c>
      <c r="J19" s="58"/>
      <c r="K19" s="58">
        <f>일위대가!L124</f>
        <v>6001</v>
      </c>
      <c r="L19" s="58">
        <f t="shared" si="1"/>
        <v>6001</v>
      </c>
      <c r="M19" s="58">
        <f>일위대가!N124</f>
        <v>0</v>
      </c>
      <c r="N19" s="58">
        <f t="shared" si="2"/>
        <v>0</v>
      </c>
      <c r="O19" s="58"/>
      <c r="P19" s="58">
        <f t="shared" si="3"/>
        <v>7081</v>
      </c>
      <c r="Q19" s="80"/>
    </row>
    <row r="20" spans="1:17" ht="23.1" customHeight="1">
      <c r="A20" s="64" t="s">
        <v>763</v>
      </c>
      <c r="B20" s="64" t="s">
        <v>764</v>
      </c>
      <c r="C20" s="74" t="s">
        <v>765</v>
      </c>
      <c r="D20" s="74" t="s">
        <v>212</v>
      </c>
      <c r="E20" s="74" t="s">
        <v>213</v>
      </c>
      <c r="F20" s="80" t="s">
        <v>744</v>
      </c>
      <c r="G20" s="80"/>
      <c r="H20" s="58">
        <f>일위대가!I134</f>
        <v>34596</v>
      </c>
      <c r="I20" s="58">
        <f t="shared" si="0"/>
        <v>34596</v>
      </c>
      <c r="J20" s="58"/>
      <c r="K20" s="58">
        <f>일위대가!L134</f>
        <v>10206</v>
      </c>
      <c r="L20" s="58">
        <f t="shared" si="1"/>
        <v>10206</v>
      </c>
      <c r="M20" s="58">
        <f>일위대가!N134</f>
        <v>0</v>
      </c>
      <c r="N20" s="58">
        <f t="shared" si="2"/>
        <v>0</v>
      </c>
      <c r="O20" s="58"/>
      <c r="P20" s="58">
        <f t="shared" si="3"/>
        <v>44802</v>
      </c>
      <c r="Q20" s="80"/>
    </row>
    <row r="21" spans="1:17" ht="23.1" customHeight="1">
      <c r="A21" s="64" t="s">
        <v>766</v>
      </c>
      <c r="B21" s="64" t="s">
        <v>767</v>
      </c>
      <c r="C21" s="74" t="s">
        <v>768</v>
      </c>
      <c r="D21" s="74" t="s">
        <v>217</v>
      </c>
      <c r="E21" s="74" t="s">
        <v>218</v>
      </c>
      <c r="F21" s="80" t="s">
        <v>744</v>
      </c>
      <c r="G21" s="80"/>
      <c r="H21" s="58">
        <f>일위대가!I142</f>
        <v>1879</v>
      </c>
      <c r="I21" s="58">
        <f t="shared" si="0"/>
        <v>1879</v>
      </c>
      <c r="J21" s="58"/>
      <c r="K21" s="58">
        <f>일위대가!L142</f>
        <v>2463</v>
      </c>
      <c r="L21" s="58">
        <f t="shared" si="1"/>
        <v>2463</v>
      </c>
      <c r="M21" s="58">
        <f>일위대가!N142</f>
        <v>0</v>
      </c>
      <c r="N21" s="58">
        <f t="shared" si="2"/>
        <v>0</v>
      </c>
      <c r="O21" s="58"/>
      <c r="P21" s="58">
        <f t="shared" si="3"/>
        <v>4342</v>
      </c>
      <c r="Q21" s="80"/>
    </row>
    <row r="22" spans="1:17" ht="23.1" customHeight="1">
      <c r="A22" s="64" t="s">
        <v>769</v>
      </c>
      <c r="B22" s="64" t="s">
        <v>770</v>
      </c>
      <c r="C22" s="74" t="s">
        <v>771</v>
      </c>
      <c r="D22" s="74" t="s">
        <v>222</v>
      </c>
      <c r="E22" s="74" t="s">
        <v>223</v>
      </c>
      <c r="F22" s="80" t="s">
        <v>744</v>
      </c>
      <c r="G22" s="80"/>
      <c r="H22" s="58">
        <f>일위대가!I150</f>
        <v>3116</v>
      </c>
      <c r="I22" s="58">
        <f t="shared" si="0"/>
        <v>3116</v>
      </c>
      <c r="J22" s="58"/>
      <c r="K22" s="58">
        <f>일위대가!L150</f>
        <v>2463</v>
      </c>
      <c r="L22" s="58">
        <f t="shared" si="1"/>
        <v>2463</v>
      </c>
      <c r="M22" s="58">
        <f>일위대가!N150</f>
        <v>0</v>
      </c>
      <c r="N22" s="58">
        <f t="shared" si="2"/>
        <v>0</v>
      </c>
      <c r="O22" s="58"/>
      <c r="P22" s="58">
        <f t="shared" si="3"/>
        <v>5579</v>
      </c>
      <c r="Q22" s="80"/>
    </row>
    <row r="23" spans="1:17" ht="23.1" customHeight="1">
      <c r="A23" s="64" t="s">
        <v>772</v>
      </c>
      <c r="B23" s="64" t="s">
        <v>773</v>
      </c>
      <c r="C23" s="74" t="s">
        <v>774</v>
      </c>
      <c r="D23" s="74" t="s">
        <v>222</v>
      </c>
      <c r="E23" s="74" t="s">
        <v>225</v>
      </c>
      <c r="F23" s="80" t="s">
        <v>744</v>
      </c>
      <c r="G23" s="80"/>
      <c r="H23" s="58">
        <f>일위대가!I158</f>
        <v>4094</v>
      </c>
      <c r="I23" s="58">
        <f t="shared" si="0"/>
        <v>4094</v>
      </c>
      <c r="J23" s="58"/>
      <c r="K23" s="58">
        <f>일위대가!L158</f>
        <v>2873</v>
      </c>
      <c r="L23" s="58">
        <f t="shared" si="1"/>
        <v>2873</v>
      </c>
      <c r="M23" s="58">
        <f>일위대가!N158</f>
        <v>0</v>
      </c>
      <c r="N23" s="58">
        <f t="shared" si="2"/>
        <v>0</v>
      </c>
      <c r="O23" s="58"/>
      <c r="P23" s="58">
        <f t="shared" si="3"/>
        <v>6967</v>
      </c>
      <c r="Q23" s="80"/>
    </row>
    <row r="24" spans="1:17" ht="23.1" customHeight="1">
      <c r="A24" s="64" t="s">
        <v>775</v>
      </c>
      <c r="B24" s="64" t="s">
        <v>776</v>
      </c>
      <c r="C24" s="74" t="s">
        <v>777</v>
      </c>
      <c r="D24" s="74" t="s">
        <v>227</v>
      </c>
      <c r="E24" s="74" t="s">
        <v>228</v>
      </c>
      <c r="F24" s="80" t="s">
        <v>744</v>
      </c>
      <c r="G24" s="80"/>
      <c r="H24" s="58">
        <f>일위대가!I166</f>
        <v>2116</v>
      </c>
      <c r="I24" s="58">
        <f t="shared" si="0"/>
        <v>2116</v>
      </c>
      <c r="J24" s="58"/>
      <c r="K24" s="58">
        <f>일위대가!L166</f>
        <v>4258</v>
      </c>
      <c r="L24" s="58">
        <f t="shared" si="1"/>
        <v>4258</v>
      </c>
      <c r="M24" s="58">
        <f>일위대가!N166</f>
        <v>0</v>
      </c>
      <c r="N24" s="58">
        <f t="shared" si="2"/>
        <v>0</v>
      </c>
      <c r="O24" s="58"/>
      <c r="P24" s="58">
        <f t="shared" si="3"/>
        <v>6374</v>
      </c>
      <c r="Q24" s="80"/>
    </row>
    <row r="25" spans="1:17" ht="23.1" customHeight="1">
      <c r="A25" s="64" t="s">
        <v>778</v>
      </c>
      <c r="B25" s="64" t="s">
        <v>779</v>
      </c>
      <c r="C25" s="74" t="s">
        <v>780</v>
      </c>
      <c r="D25" s="74" t="s">
        <v>227</v>
      </c>
      <c r="E25" s="74" t="s">
        <v>244</v>
      </c>
      <c r="F25" s="80" t="s">
        <v>744</v>
      </c>
      <c r="G25" s="80"/>
      <c r="H25" s="58">
        <f>일위대가!I174</f>
        <v>5289</v>
      </c>
      <c r="I25" s="58">
        <f t="shared" si="0"/>
        <v>5289</v>
      </c>
      <c r="J25" s="58"/>
      <c r="K25" s="58">
        <f>일위대가!L174</f>
        <v>7908</v>
      </c>
      <c r="L25" s="58">
        <f t="shared" si="1"/>
        <v>7908</v>
      </c>
      <c r="M25" s="58">
        <f>일위대가!N174</f>
        <v>0</v>
      </c>
      <c r="N25" s="58">
        <f t="shared" si="2"/>
        <v>0</v>
      </c>
      <c r="O25" s="58"/>
      <c r="P25" s="58">
        <f t="shared" si="3"/>
        <v>13197</v>
      </c>
      <c r="Q25" s="80"/>
    </row>
    <row r="26" spans="1:17" ht="23.1" customHeight="1">
      <c r="A26" s="64" t="s">
        <v>781</v>
      </c>
      <c r="B26" s="64" t="s">
        <v>782</v>
      </c>
      <c r="C26" s="74" t="s">
        <v>783</v>
      </c>
      <c r="D26" s="74" t="s">
        <v>252</v>
      </c>
      <c r="E26" s="74" t="s">
        <v>253</v>
      </c>
      <c r="F26" s="80" t="s">
        <v>744</v>
      </c>
      <c r="G26" s="80"/>
      <c r="H26" s="58">
        <f>일위대가!I182</f>
        <v>3832</v>
      </c>
      <c r="I26" s="58">
        <f t="shared" si="0"/>
        <v>3832</v>
      </c>
      <c r="J26" s="58"/>
      <c r="K26" s="58">
        <f>일위대가!L182</f>
        <v>9732</v>
      </c>
      <c r="L26" s="58">
        <f t="shared" si="1"/>
        <v>9732</v>
      </c>
      <c r="M26" s="58">
        <f>일위대가!N182</f>
        <v>0</v>
      </c>
      <c r="N26" s="58">
        <f t="shared" si="2"/>
        <v>0</v>
      </c>
      <c r="O26" s="58"/>
      <c r="P26" s="58">
        <f t="shared" si="3"/>
        <v>13564</v>
      </c>
      <c r="Q26" s="80"/>
    </row>
    <row r="27" spans="1:17" ht="23.1" customHeight="1">
      <c r="A27" s="64" t="s">
        <v>784</v>
      </c>
      <c r="B27" s="64" t="s">
        <v>785</v>
      </c>
      <c r="C27" s="74" t="s">
        <v>786</v>
      </c>
      <c r="D27" s="74" t="s">
        <v>257</v>
      </c>
      <c r="E27" s="74" t="s">
        <v>258</v>
      </c>
      <c r="F27" s="80" t="s">
        <v>744</v>
      </c>
      <c r="G27" s="80"/>
      <c r="H27" s="58">
        <f>일위대가!I191</f>
        <v>1211</v>
      </c>
      <c r="I27" s="58">
        <f t="shared" si="0"/>
        <v>1211</v>
      </c>
      <c r="J27" s="58"/>
      <c r="K27" s="58">
        <f>일위대가!L191</f>
        <v>5376</v>
      </c>
      <c r="L27" s="58">
        <f t="shared" si="1"/>
        <v>5376</v>
      </c>
      <c r="M27" s="58">
        <f>일위대가!N191</f>
        <v>0</v>
      </c>
      <c r="N27" s="58">
        <f t="shared" si="2"/>
        <v>0</v>
      </c>
      <c r="O27" s="58"/>
      <c r="P27" s="58">
        <f t="shared" si="3"/>
        <v>6587</v>
      </c>
      <c r="Q27" s="80"/>
    </row>
    <row r="28" spans="1:17" ht="23.1" customHeight="1">
      <c r="A28" s="64" t="s">
        <v>787</v>
      </c>
      <c r="B28" s="64" t="s">
        <v>788</v>
      </c>
      <c r="C28" s="74" t="s">
        <v>789</v>
      </c>
      <c r="D28" s="74" t="s">
        <v>260</v>
      </c>
      <c r="E28" s="74" t="s">
        <v>261</v>
      </c>
      <c r="F28" s="80" t="s">
        <v>262</v>
      </c>
      <c r="G28" s="80"/>
      <c r="H28" s="58">
        <f>일위대가!I198</f>
        <v>202876</v>
      </c>
      <c r="I28" s="58">
        <f t="shared" si="0"/>
        <v>202876</v>
      </c>
      <c r="J28" s="58"/>
      <c r="K28" s="58">
        <f>일위대가!L198</f>
        <v>95868</v>
      </c>
      <c r="L28" s="58">
        <f t="shared" si="1"/>
        <v>95868</v>
      </c>
      <c r="M28" s="58">
        <f>일위대가!N198</f>
        <v>0</v>
      </c>
      <c r="N28" s="58">
        <f t="shared" si="2"/>
        <v>0</v>
      </c>
      <c r="O28" s="58"/>
      <c r="P28" s="58">
        <f t="shared" si="3"/>
        <v>298744</v>
      </c>
      <c r="Q28" s="80"/>
    </row>
    <row r="29" spans="1:17" ht="23.1" customHeight="1">
      <c r="A29" s="64" t="s">
        <v>790</v>
      </c>
      <c r="B29" s="64" t="s">
        <v>791</v>
      </c>
      <c r="C29" s="74" t="s">
        <v>792</v>
      </c>
      <c r="D29" s="74" t="s">
        <v>264</v>
      </c>
      <c r="E29" s="74" t="s">
        <v>265</v>
      </c>
      <c r="F29" s="80" t="s">
        <v>266</v>
      </c>
      <c r="G29" s="80"/>
      <c r="H29" s="58">
        <f>일위대가!I205</f>
        <v>7096</v>
      </c>
      <c r="I29" s="58">
        <f t="shared" si="0"/>
        <v>7096</v>
      </c>
      <c r="J29" s="58"/>
      <c r="K29" s="58">
        <f>일위대가!L205</f>
        <v>43869</v>
      </c>
      <c r="L29" s="58">
        <f t="shared" si="1"/>
        <v>43869</v>
      </c>
      <c r="M29" s="58">
        <f>일위대가!N205</f>
        <v>0</v>
      </c>
      <c r="N29" s="58">
        <f t="shared" si="2"/>
        <v>0</v>
      </c>
      <c r="O29" s="58"/>
      <c r="P29" s="58">
        <f t="shared" si="3"/>
        <v>50965</v>
      </c>
      <c r="Q29" s="80"/>
    </row>
    <row r="30" spans="1:17" ht="23.1" customHeight="1">
      <c r="A30" s="64" t="s">
        <v>793</v>
      </c>
      <c r="B30" s="64" t="s">
        <v>794</v>
      </c>
      <c r="C30" s="74" t="s">
        <v>795</v>
      </c>
      <c r="D30" s="74" t="s">
        <v>268</v>
      </c>
      <c r="E30" s="74" t="s">
        <v>269</v>
      </c>
      <c r="F30" s="80" t="s">
        <v>266</v>
      </c>
      <c r="G30" s="80"/>
      <c r="H30" s="58">
        <f>일위대가!I211</f>
        <v>721</v>
      </c>
      <c r="I30" s="58">
        <f t="shared" si="0"/>
        <v>721</v>
      </c>
      <c r="J30" s="58"/>
      <c r="K30" s="58">
        <f>일위대가!L211</f>
        <v>7389</v>
      </c>
      <c r="L30" s="58">
        <f t="shared" si="1"/>
        <v>7389</v>
      </c>
      <c r="M30" s="58">
        <f>일위대가!N211</f>
        <v>0</v>
      </c>
      <c r="N30" s="58">
        <f t="shared" si="2"/>
        <v>0</v>
      </c>
      <c r="O30" s="58"/>
      <c r="P30" s="58">
        <f t="shared" si="3"/>
        <v>8110</v>
      </c>
      <c r="Q30" s="80"/>
    </row>
    <row r="31" spans="1:17" ht="23.1" customHeight="1">
      <c r="A31" s="64" t="s">
        <v>796</v>
      </c>
      <c r="B31" s="64" t="s">
        <v>797</v>
      </c>
      <c r="C31" s="74" t="s">
        <v>798</v>
      </c>
      <c r="D31" s="74" t="s">
        <v>271</v>
      </c>
      <c r="E31" s="74" t="s">
        <v>272</v>
      </c>
      <c r="F31" s="80" t="s">
        <v>196</v>
      </c>
      <c r="G31" s="80"/>
      <c r="H31" s="58">
        <f>일위대가!I218</f>
        <v>187</v>
      </c>
      <c r="I31" s="58">
        <f t="shared" si="0"/>
        <v>187</v>
      </c>
      <c r="J31" s="58"/>
      <c r="K31" s="58">
        <f>일위대가!L218</f>
        <v>237</v>
      </c>
      <c r="L31" s="58">
        <f t="shared" si="1"/>
        <v>237</v>
      </c>
      <c r="M31" s="58">
        <f>일위대가!N218</f>
        <v>0</v>
      </c>
      <c r="N31" s="58">
        <f t="shared" si="2"/>
        <v>0</v>
      </c>
      <c r="O31" s="58"/>
      <c r="P31" s="58">
        <f t="shared" si="3"/>
        <v>424</v>
      </c>
      <c r="Q31" s="80"/>
    </row>
    <row r="32" spans="1:17" ht="23.1" customHeight="1">
      <c r="A32" s="64" t="s">
        <v>799</v>
      </c>
      <c r="B32" s="64" t="s">
        <v>800</v>
      </c>
      <c r="C32" s="74" t="s">
        <v>801</v>
      </c>
      <c r="D32" s="74" t="s">
        <v>274</v>
      </c>
      <c r="E32" s="74" t="s">
        <v>275</v>
      </c>
      <c r="F32" s="80" t="s">
        <v>266</v>
      </c>
      <c r="G32" s="80"/>
      <c r="H32" s="58">
        <f>일위대가!I224</f>
        <v>1086</v>
      </c>
      <c r="I32" s="58">
        <f t="shared" si="0"/>
        <v>1086</v>
      </c>
      <c r="J32" s="58"/>
      <c r="K32" s="58">
        <f>일위대가!L224</f>
        <v>29563</v>
      </c>
      <c r="L32" s="58">
        <f t="shared" si="1"/>
        <v>29563</v>
      </c>
      <c r="M32" s="58">
        <f>일위대가!N224</f>
        <v>0</v>
      </c>
      <c r="N32" s="58">
        <f t="shared" si="2"/>
        <v>0</v>
      </c>
      <c r="O32" s="58"/>
      <c r="P32" s="58">
        <f t="shared" si="3"/>
        <v>30649</v>
      </c>
      <c r="Q32" s="80"/>
    </row>
    <row r="33" spans="1:17" ht="23.1" customHeight="1">
      <c r="A33" s="64" t="s">
        <v>802</v>
      </c>
      <c r="B33" s="64" t="s">
        <v>803</v>
      </c>
      <c r="C33" s="74" t="s">
        <v>804</v>
      </c>
      <c r="D33" s="74" t="s">
        <v>274</v>
      </c>
      <c r="E33" s="74" t="s">
        <v>279</v>
      </c>
      <c r="F33" s="80" t="s">
        <v>266</v>
      </c>
      <c r="G33" s="80"/>
      <c r="H33" s="58">
        <f>일위대가!I230</f>
        <v>1343</v>
      </c>
      <c r="I33" s="58">
        <f t="shared" si="0"/>
        <v>1343</v>
      </c>
      <c r="J33" s="58"/>
      <c r="K33" s="58">
        <f>일위대가!L230</f>
        <v>36133</v>
      </c>
      <c r="L33" s="58">
        <f t="shared" si="1"/>
        <v>36133</v>
      </c>
      <c r="M33" s="58">
        <f>일위대가!N230</f>
        <v>0</v>
      </c>
      <c r="N33" s="58">
        <f t="shared" si="2"/>
        <v>0</v>
      </c>
      <c r="O33" s="58"/>
      <c r="P33" s="58">
        <f t="shared" si="3"/>
        <v>37476</v>
      </c>
      <c r="Q33" s="80"/>
    </row>
    <row r="34" spans="1:17" ht="23.1" customHeight="1">
      <c r="A34" s="64" t="s">
        <v>805</v>
      </c>
      <c r="B34" s="64" t="s">
        <v>806</v>
      </c>
      <c r="C34" s="74" t="s">
        <v>807</v>
      </c>
      <c r="D34" s="74" t="s">
        <v>274</v>
      </c>
      <c r="E34" s="74" t="s">
        <v>281</v>
      </c>
      <c r="F34" s="80" t="s">
        <v>266</v>
      </c>
      <c r="G34" s="80"/>
      <c r="H34" s="58">
        <f>일위대가!I236</f>
        <v>1498</v>
      </c>
      <c r="I34" s="58">
        <f t="shared" si="0"/>
        <v>1498</v>
      </c>
      <c r="J34" s="58"/>
      <c r="K34" s="58">
        <f>일위대가!L236</f>
        <v>39418</v>
      </c>
      <c r="L34" s="58">
        <f t="shared" si="1"/>
        <v>39418</v>
      </c>
      <c r="M34" s="58">
        <f>일위대가!N236</f>
        <v>0</v>
      </c>
      <c r="N34" s="58">
        <f t="shared" si="2"/>
        <v>0</v>
      </c>
      <c r="O34" s="58"/>
      <c r="P34" s="58">
        <f t="shared" si="3"/>
        <v>40916</v>
      </c>
      <c r="Q34" s="80"/>
    </row>
    <row r="35" spans="1:17" ht="23.1" customHeight="1">
      <c r="A35" s="64" t="s">
        <v>808</v>
      </c>
      <c r="B35" s="64" t="s">
        <v>809</v>
      </c>
      <c r="C35" s="74" t="s">
        <v>810</v>
      </c>
      <c r="D35" s="74" t="s">
        <v>283</v>
      </c>
      <c r="E35" s="74" t="s">
        <v>284</v>
      </c>
      <c r="F35" s="80" t="s">
        <v>285</v>
      </c>
      <c r="G35" s="80"/>
      <c r="H35" s="58">
        <f>일위대가!I245</f>
        <v>121913</v>
      </c>
      <c r="I35" s="58">
        <f t="shared" si="0"/>
        <v>121913</v>
      </c>
      <c r="J35" s="58"/>
      <c r="K35" s="58">
        <f>일위대가!L245</f>
        <v>397128</v>
      </c>
      <c r="L35" s="58">
        <f t="shared" si="1"/>
        <v>397128</v>
      </c>
      <c r="M35" s="58">
        <f>일위대가!N245</f>
        <v>0</v>
      </c>
      <c r="N35" s="58">
        <f t="shared" si="2"/>
        <v>0</v>
      </c>
      <c r="O35" s="58"/>
      <c r="P35" s="58">
        <f t="shared" si="3"/>
        <v>519041</v>
      </c>
      <c r="Q35" s="80"/>
    </row>
    <row r="36" spans="1:17" ht="23.1" customHeight="1">
      <c r="A36" s="64" t="s">
        <v>811</v>
      </c>
      <c r="B36" s="64" t="s">
        <v>812</v>
      </c>
      <c r="C36" s="74" t="s">
        <v>813</v>
      </c>
      <c r="D36" s="74" t="s">
        <v>288</v>
      </c>
      <c r="E36" s="74" t="s">
        <v>289</v>
      </c>
      <c r="F36" s="80" t="s">
        <v>290</v>
      </c>
      <c r="G36" s="80"/>
      <c r="H36" s="58">
        <f>일위대가!I252</f>
        <v>380691</v>
      </c>
      <c r="I36" s="58">
        <f t="shared" ref="I36:I67" si="4">H36</f>
        <v>380691</v>
      </c>
      <c r="J36" s="58"/>
      <c r="K36" s="58">
        <f>일위대가!L252</f>
        <v>356382</v>
      </c>
      <c r="L36" s="58">
        <f t="shared" ref="L36:L67" si="5">K36</f>
        <v>356382</v>
      </c>
      <c r="M36" s="58">
        <f>일위대가!N252</f>
        <v>0</v>
      </c>
      <c r="N36" s="58">
        <f t="shared" ref="N36:N67" si="6">M36</f>
        <v>0</v>
      </c>
      <c r="O36" s="58"/>
      <c r="P36" s="58">
        <f t="shared" ref="P36:P69" si="7">I36+L36+N36</f>
        <v>737073</v>
      </c>
      <c r="Q36" s="80"/>
    </row>
    <row r="37" spans="1:17" ht="23.1" customHeight="1">
      <c r="A37" s="64" t="s">
        <v>814</v>
      </c>
      <c r="B37" s="64" t="s">
        <v>815</v>
      </c>
      <c r="C37" s="74" t="s">
        <v>816</v>
      </c>
      <c r="D37" s="74" t="s">
        <v>304</v>
      </c>
      <c r="E37" s="74" t="s">
        <v>305</v>
      </c>
      <c r="F37" s="80" t="s">
        <v>306</v>
      </c>
      <c r="G37" s="80"/>
      <c r="H37" s="58">
        <f>일위대가!I259</f>
        <v>38396</v>
      </c>
      <c r="I37" s="58">
        <f t="shared" si="4"/>
        <v>38396</v>
      </c>
      <c r="J37" s="58"/>
      <c r="K37" s="58">
        <f>일위대가!L259</f>
        <v>110220</v>
      </c>
      <c r="L37" s="58">
        <f t="shared" si="5"/>
        <v>110220</v>
      </c>
      <c r="M37" s="58">
        <f>일위대가!N259</f>
        <v>0</v>
      </c>
      <c r="N37" s="58">
        <f t="shared" si="6"/>
        <v>0</v>
      </c>
      <c r="O37" s="58"/>
      <c r="P37" s="58">
        <f t="shared" si="7"/>
        <v>148616</v>
      </c>
      <c r="Q37" s="80"/>
    </row>
    <row r="38" spans="1:17" ht="23.1" customHeight="1">
      <c r="A38" s="64" t="s">
        <v>817</v>
      </c>
      <c r="B38" s="64" t="s">
        <v>818</v>
      </c>
      <c r="C38" s="74" t="s">
        <v>819</v>
      </c>
      <c r="D38" s="74" t="s">
        <v>314</v>
      </c>
      <c r="E38" s="74" t="s">
        <v>315</v>
      </c>
      <c r="F38" s="80" t="s">
        <v>316</v>
      </c>
      <c r="G38" s="80"/>
      <c r="H38" s="58">
        <f>일위대가!I265</f>
        <v>38940</v>
      </c>
      <c r="I38" s="58">
        <f t="shared" si="4"/>
        <v>38940</v>
      </c>
      <c r="J38" s="58"/>
      <c r="K38" s="58">
        <f>일위대가!L265</f>
        <v>131364</v>
      </c>
      <c r="L38" s="58">
        <f t="shared" si="5"/>
        <v>131364</v>
      </c>
      <c r="M38" s="58">
        <f>일위대가!N265</f>
        <v>0</v>
      </c>
      <c r="N38" s="58">
        <f t="shared" si="6"/>
        <v>0</v>
      </c>
      <c r="O38" s="58"/>
      <c r="P38" s="58">
        <f t="shared" si="7"/>
        <v>170304</v>
      </c>
      <c r="Q38" s="80"/>
    </row>
    <row r="39" spans="1:17" ht="23.1" customHeight="1">
      <c r="A39" s="64" t="s">
        <v>820</v>
      </c>
      <c r="B39" s="64" t="s">
        <v>821</v>
      </c>
      <c r="C39" s="74" t="s">
        <v>822</v>
      </c>
      <c r="D39" s="74" t="s">
        <v>318</v>
      </c>
      <c r="E39" s="74" t="s">
        <v>319</v>
      </c>
      <c r="F39" s="80" t="s">
        <v>266</v>
      </c>
      <c r="G39" s="80"/>
      <c r="H39" s="58">
        <f>일위대가!I272</f>
        <v>354509</v>
      </c>
      <c r="I39" s="58">
        <f t="shared" si="4"/>
        <v>354509</v>
      </c>
      <c r="J39" s="58"/>
      <c r="K39" s="58">
        <f>일위대가!L272</f>
        <v>150304</v>
      </c>
      <c r="L39" s="58">
        <f t="shared" si="5"/>
        <v>150304</v>
      </c>
      <c r="M39" s="58">
        <f>일위대가!N272</f>
        <v>0</v>
      </c>
      <c r="N39" s="58">
        <f t="shared" si="6"/>
        <v>0</v>
      </c>
      <c r="O39" s="58"/>
      <c r="P39" s="58">
        <f t="shared" si="7"/>
        <v>504813</v>
      </c>
      <c r="Q39" s="80"/>
    </row>
    <row r="40" spans="1:17" ht="23.1" customHeight="1">
      <c r="A40" s="64" t="s">
        <v>823</v>
      </c>
      <c r="B40" s="64" t="s">
        <v>824</v>
      </c>
      <c r="C40" s="74" t="s">
        <v>825</v>
      </c>
      <c r="D40" s="74" t="s">
        <v>321</v>
      </c>
      <c r="E40" s="74" t="s">
        <v>322</v>
      </c>
      <c r="F40" s="80" t="s">
        <v>262</v>
      </c>
      <c r="G40" s="80"/>
      <c r="H40" s="58">
        <f>일위대가!I282</f>
        <v>21063</v>
      </c>
      <c r="I40" s="58">
        <f t="shared" si="4"/>
        <v>21063</v>
      </c>
      <c r="J40" s="58"/>
      <c r="K40" s="58">
        <f>일위대가!L282</f>
        <v>702133</v>
      </c>
      <c r="L40" s="58">
        <f t="shared" si="5"/>
        <v>702133</v>
      </c>
      <c r="M40" s="58">
        <f>일위대가!N282</f>
        <v>0</v>
      </c>
      <c r="N40" s="58">
        <f t="shared" si="6"/>
        <v>0</v>
      </c>
      <c r="O40" s="58"/>
      <c r="P40" s="58">
        <f t="shared" si="7"/>
        <v>723196</v>
      </c>
      <c r="Q40" s="80"/>
    </row>
    <row r="41" spans="1:17" ht="23.1" customHeight="1">
      <c r="A41" s="64" t="s">
        <v>826</v>
      </c>
      <c r="B41" s="64" t="s">
        <v>827</v>
      </c>
      <c r="C41" s="74" t="s">
        <v>828</v>
      </c>
      <c r="D41" s="74" t="s">
        <v>333</v>
      </c>
      <c r="E41" s="74" t="s">
        <v>334</v>
      </c>
      <c r="F41" s="80" t="s">
        <v>744</v>
      </c>
      <c r="G41" s="80"/>
      <c r="H41" s="58">
        <f>일위대가!I289</f>
        <v>125</v>
      </c>
      <c r="I41" s="58">
        <f t="shared" si="4"/>
        <v>125</v>
      </c>
      <c r="J41" s="58"/>
      <c r="K41" s="58">
        <f>일위대가!L289</f>
        <v>4181</v>
      </c>
      <c r="L41" s="58">
        <f t="shared" si="5"/>
        <v>4181</v>
      </c>
      <c r="M41" s="58">
        <f>일위대가!N289</f>
        <v>0</v>
      </c>
      <c r="N41" s="58">
        <f t="shared" si="6"/>
        <v>0</v>
      </c>
      <c r="O41" s="58"/>
      <c r="P41" s="58">
        <f t="shared" si="7"/>
        <v>4306</v>
      </c>
      <c r="Q41" s="80"/>
    </row>
    <row r="42" spans="1:17" ht="23.1" customHeight="1">
      <c r="A42" s="64" t="s">
        <v>829</v>
      </c>
      <c r="B42" s="64" t="s">
        <v>830</v>
      </c>
      <c r="C42" s="74" t="s">
        <v>831</v>
      </c>
      <c r="D42" s="74" t="s">
        <v>333</v>
      </c>
      <c r="E42" s="74" t="s">
        <v>335</v>
      </c>
      <c r="F42" s="80" t="s">
        <v>744</v>
      </c>
      <c r="G42" s="80"/>
      <c r="H42" s="58">
        <f>일위대가!I296</f>
        <v>131</v>
      </c>
      <c r="I42" s="58">
        <f t="shared" si="4"/>
        <v>131</v>
      </c>
      <c r="J42" s="58"/>
      <c r="K42" s="58">
        <f>일위대가!L296</f>
        <v>4381</v>
      </c>
      <c r="L42" s="58">
        <f t="shared" si="5"/>
        <v>4381</v>
      </c>
      <c r="M42" s="58">
        <f>일위대가!N296</f>
        <v>0</v>
      </c>
      <c r="N42" s="58">
        <f t="shared" si="6"/>
        <v>0</v>
      </c>
      <c r="O42" s="58"/>
      <c r="P42" s="58">
        <f t="shared" si="7"/>
        <v>4512</v>
      </c>
      <c r="Q42" s="80"/>
    </row>
    <row r="43" spans="1:17" ht="23.1" customHeight="1">
      <c r="A43" s="64" t="s">
        <v>832</v>
      </c>
      <c r="B43" s="64" t="s">
        <v>833</v>
      </c>
      <c r="C43" s="74" t="s">
        <v>834</v>
      </c>
      <c r="D43" s="74" t="s">
        <v>333</v>
      </c>
      <c r="E43" s="74" t="s">
        <v>336</v>
      </c>
      <c r="F43" s="80" t="s">
        <v>744</v>
      </c>
      <c r="G43" s="80"/>
      <c r="H43" s="58">
        <f>일위대가!I303</f>
        <v>143</v>
      </c>
      <c r="I43" s="58">
        <f t="shared" si="4"/>
        <v>143</v>
      </c>
      <c r="J43" s="58"/>
      <c r="K43" s="58">
        <f>일위대가!L303</f>
        <v>4776</v>
      </c>
      <c r="L43" s="58">
        <f t="shared" si="5"/>
        <v>4776</v>
      </c>
      <c r="M43" s="58">
        <f>일위대가!N303</f>
        <v>0</v>
      </c>
      <c r="N43" s="58">
        <f t="shared" si="6"/>
        <v>0</v>
      </c>
      <c r="O43" s="58"/>
      <c r="P43" s="58">
        <f t="shared" si="7"/>
        <v>4919</v>
      </c>
      <c r="Q43" s="80"/>
    </row>
    <row r="44" spans="1:17" ht="23.1" customHeight="1">
      <c r="A44" s="64" t="s">
        <v>835</v>
      </c>
      <c r="B44" s="64" t="s">
        <v>836</v>
      </c>
      <c r="C44" s="74" t="s">
        <v>837</v>
      </c>
      <c r="D44" s="74" t="s">
        <v>333</v>
      </c>
      <c r="E44" s="74" t="s">
        <v>338</v>
      </c>
      <c r="F44" s="80" t="s">
        <v>744</v>
      </c>
      <c r="G44" s="80"/>
      <c r="H44" s="58">
        <f>일위대가!I310</f>
        <v>165</v>
      </c>
      <c r="I44" s="58">
        <f t="shared" si="4"/>
        <v>165</v>
      </c>
      <c r="J44" s="58"/>
      <c r="K44" s="58">
        <f>일위대가!L310</f>
        <v>5509</v>
      </c>
      <c r="L44" s="58">
        <f t="shared" si="5"/>
        <v>5509</v>
      </c>
      <c r="M44" s="58">
        <f>일위대가!N310</f>
        <v>0</v>
      </c>
      <c r="N44" s="58">
        <f t="shared" si="6"/>
        <v>0</v>
      </c>
      <c r="O44" s="58"/>
      <c r="P44" s="58">
        <f t="shared" si="7"/>
        <v>5674</v>
      </c>
      <c r="Q44" s="80"/>
    </row>
    <row r="45" spans="1:17" ht="23.1" customHeight="1">
      <c r="A45" s="64" t="s">
        <v>838</v>
      </c>
      <c r="B45" s="64" t="s">
        <v>839</v>
      </c>
      <c r="C45" s="74" t="s">
        <v>840</v>
      </c>
      <c r="D45" s="74" t="s">
        <v>333</v>
      </c>
      <c r="E45" s="74" t="s">
        <v>340</v>
      </c>
      <c r="F45" s="80" t="s">
        <v>744</v>
      </c>
      <c r="G45" s="80"/>
      <c r="H45" s="58">
        <f>일위대가!I317</f>
        <v>178</v>
      </c>
      <c r="I45" s="58">
        <f t="shared" si="4"/>
        <v>178</v>
      </c>
      <c r="J45" s="58"/>
      <c r="K45" s="58">
        <f>일위대가!L317</f>
        <v>5952</v>
      </c>
      <c r="L45" s="58">
        <f t="shared" si="5"/>
        <v>5952</v>
      </c>
      <c r="M45" s="58">
        <f>일위대가!N317</f>
        <v>0</v>
      </c>
      <c r="N45" s="58">
        <f t="shared" si="6"/>
        <v>0</v>
      </c>
      <c r="O45" s="58"/>
      <c r="P45" s="58">
        <f t="shared" si="7"/>
        <v>6130</v>
      </c>
      <c r="Q45" s="80"/>
    </row>
    <row r="46" spans="1:17" ht="23.1" customHeight="1">
      <c r="A46" s="64" t="s">
        <v>841</v>
      </c>
      <c r="B46" s="64" t="s">
        <v>842</v>
      </c>
      <c r="C46" s="74" t="s">
        <v>843</v>
      </c>
      <c r="D46" s="74" t="s">
        <v>333</v>
      </c>
      <c r="E46" s="74" t="s">
        <v>342</v>
      </c>
      <c r="F46" s="80" t="s">
        <v>744</v>
      </c>
      <c r="G46" s="80"/>
      <c r="H46" s="58">
        <f>일위대가!I324</f>
        <v>204</v>
      </c>
      <c r="I46" s="58">
        <f t="shared" si="4"/>
        <v>204</v>
      </c>
      <c r="J46" s="58"/>
      <c r="K46" s="58">
        <f>일위대가!L324</f>
        <v>6819</v>
      </c>
      <c r="L46" s="58">
        <f t="shared" si="5"/>
        <v>6819</v>
      </c>
      <c r="M46" s="58">
        <f>일위대가!N324</f>
        <v>0</v>
      </c>
      <c r="N46" s="58">
        <f t="shared" si="6"/>
        <v>0</v>
      </c>
      <c r="O46" s="58"/>
      <c r="P46" s="58">
        <f t="shared" si="7"/>
        <v>7023</v>
      </c>
      <c r="Q46" s="80"/>
    </row>
    <row r="47" spans="1:17" ht="23.1" customHeight="1">
      <c r="A47" s="64" t="s">
        <v>844</v>
      </c>
      <c r="B47" s="64" t="s">
        <v>845</v>
      </c>
      <c r="C47" s="74" t="s">
        <v>846</v>
      </c>
      <c r="D47" s="74" t="s">
        <v>333</v>
      </c>
      <c r="E47" s="74" t="s">
        <v>344</v>
      </c>
      <c r="F47" s="80" t="s">
        <v>744</v>
      </c>
      <c r="G47" s="80"/>
      <c r="H47" s="58">
        <f>일위대가!I331</f>
        <v>214</v>
      </c>
      <c r="I47" s="58">
        <f t="shared" si="4"/>
        <v>214</v>
      </c>
      <c r="J47" s="58"/>
      <c r="K47" s="58">
        <f>일위대가!L331</f>
        <v>7143</v>
      </c>
      <c r="L47" s="58">
        <f t="shared" si="5"/>
        <v>7143</v>
      </c>
      <c r="M47" s="58">
        <f>일위대가!N331</f>
        <v>0</v>
      </c>
      <c r="N47" s="58">
        <f t="shared" si="6"/>
        <v>0</v>
      </c>
      <c r="O47" s="58"/>
      <c r="P47" s="58">
        <f t="shared" si="7"/>
        <v>7357</v>
      </c>
      <c r="Q47" s="80"/>
    </row>
    <row r="48" spans="1:17" ht="23.1" customHeight="1">
      <c r="A48" s="64" t="s">
        <v>847</v>
      </c>
      <c r="B48" s="64" t="s">
        <v>848</v>
      </c>
      <c r="C48" s="74" t="s">
        <v>849</v>
      </c>
      <c r="D48" s="74" t="s">
        <v>333</v>
      </c>
      <c r="E48" s="74" t="s">
        <v>345</v>
      </c>
      <c r="F48" s="80" t="s">
        <v>744</v>
      </c>
      <c r="G48" s="80"/>
      <c r="H48" s="58">
        <f>일위대가!I338</f>
        <v>269</v>
      </c>
      <c r="I48" s="58">
        <f t="shared" si="4"/>
        <v>269</v>
      </c>
      <c r="J48" s="58"/>
      <c r="K48" s="58">
        <f>일위대가!L338</f>
        <v>8991</v>
      </c>
      <c r="L48" s="58">
        <f t="shared" si="5"/>
        <v>8991</v>
      </c>
      <c r="M48" s="58">
        <f>일위대가!N338</f>
        <v>0</v>
      </c>
      <c r="N48" s="58">
        <f t="shared" si="6"/>
        <v>0</v>
      </c>
      <c r="O48" s="58"/>
      <c r="P48" s="58">
        <f t="shared" si="7"/>
        <v>9260</v>
      </c>
      <c r="Q48" s="80"/>
    </row>
    <row r="49" spans="1:17" ht="23.1" customHeight="1">
      <c r="A49" s="64" t="s">
        <v>850</v>
      </c>
      <c r="B49" s="64" t="s">
        <v>851</v>
      </c>
      <c r="C49" s="74" t="s">
        <v>852</v>
      </c>
      <c r="D49" s="74" t="s">
        <v>347</v>
      </c>
      <c r="E49" s="74" t="s">
        <v>348</v>
      </c>
      <c r="F49" s="80" t="s">
        <v>266</v>
      </c>
      <c r="G49" s="80"/>
      <c r="H49" s="58">
        <f>일위대가!I345</f>
        <v>622655</v>
      </c>
      <c r="I49" s="58">
        <f t="shared" si="4"/>
        <v>622655</v>
      </c>
      <c r="J49" s="58"/>
      <c r="K49" s="58">
        <f>일위대가!L345</f>
        <v>88522</v>
      </c>
      <c r="L49" s="58">
        <f t="shared" si="5"/>
        <v>88522</v>
      </c>
      <c r="M49" s="58">
        <f>일위대가!N345</f>
        <v>0</v>
      </c>
      <c r="N49" s="58">
        <f t="shared" si="6"/>
        <v>0</v>
      </c>
      <c r="O49" s="58"/>
      <c r="P49" s="58">
        <f t="shared" si="7"/>
        <v>711177</v>
      </c>
      <c r="Q49" s="80"/>
    </row>
    <row r="50" spans="1:17" ht="23.1" customHeight="1">
      <c r="A50" s="64" t="s">
        <v>853</v>
      </c>
      <c r="B50" s="64" t="s">
        <v>854</v>
      </c>
      <c r="C50" s="74" t="s">
        <v>855</v>
      </c>
      <c r="D50" s="74" t="s">
        <v>352</v>
      </c>
      <c r="E50" s="74" t="s">
        <v>353</v>
      </c>
      <c r="F50" s="80" t="s">
        <v>266</v>
      </c>
      <c r="G50" s="80"/>
      <c r="H50" s="58">
        <f>일위대가!I351</f>
        <v>501502</v>
      </c>
      <c r="I50" s="58">
        <f t="shared" si="4"/>
        <v>501502</v>
      </c>
      <c r="J50" s="58"/>
      <c r="K50" s="58">
        <f>일위대가!L351</f>
        <v>50082</v>
      </c>
      <c r="L50" s="58">
        <f t="shared" si="5"/>
        <v>50082</v>
      </c>
      <c r="M50" s="58">
        <f>일위대가!N351</f>
        <v>0</v>
      </c>
      <c r="N50" s="58">
        <f t="shared" si="6"/>
        <v>0</v>
      </c>
      <c r="O50" s="58"/>
      <c r="P50" s="58">
        <f t="shared" si="7"/>
        <v>551584</v>
      </c>
      <c r="Q50" s="80"/>
    </row>
    <row r="51" spans="1:17" ht="23.1" customHeight="1">
      <c r="A51" s="64" t="s">
        <v>856</v>
      </c>
      <c r="B51" s="64" t="s">
        <v>857</v>
      </c>
      <c r="C51" s="74" t="s">
        <v>858</v>
      </c>
      <c r="D51" s="74" t="s">
        <v>356</v>
      </c>
      <c r="E51" s="74"/>
      <c r="F51" s="80" t="s">
        <v>266</v>
      </c>
      <c r="G51" s="80"/>
      <c r="H51" s="58">
        <f>일위대가!I357</f>
        <v>551707</v>
      </c>
      <c r="I51" s="58">
        <f t="shared" si="4"/>
        <v>551707</v>
      </c>
      <c r="J51" s="58"/>
      <c r="K51" s="58">
        <f>일위대가!L357</f>
        <v>56924</v>
      </c>
      <c r="L51" s="58">
        <f t="shared" si="5"/>
        <v>56924</v>
      </c>
      <c r="M51" s="58">
        <f>일위대가!N357</f>
        <v>0</v>
      </c>
      <c r="N51" s="58">
        <f t="shared" si="6"/>
        <v>0</v>
      </c>
      <c r="O51" s="58"/>
      <c r="P51" s="58">
        <f t="shared" si="7"/>
        <v>608631</v>
      </c>
      <c r="Q51" s="80"/>
    </row>
    <row r="52" spans="1:17" ht="23.1" customHeight="1">
      <c r="A52" s="64" t="s">
        <v>859</v>
      </c>
      <c r="B52" s="64" t="s">
        <v>860</v>
      </c>
      <c r="C52" s="74" t="s">
        <v>861</v>
      </c>
      <c r="D52" s="74" t="s">
        <v>359</v>
      </c>
      <c r="E52" s="74" t="s">
        <v>360</v>
      </c>
      <c r="F52" s="80" t="s">
        <v>266</v>
      </c>
      <c r="G52" s="80"/>
      <c r="H52" s="58">
        <f>일위대가!I364</f>
        <v>105637</v>
      </c>
      <c r="I52" s="58">
        <f t="shared" si="4"/>
        <v>105637</v>
      </c>
      <c r="J52" s="58"/>
      <c r="K52" s="58">
        <f>일위대가!L364</f>
        <v>54586</v>
      </c>
      <c r="L52" s="58">
        <f t="shared" si="5"/>
        <v>54586</v>
      </c>
      <c r="M52" s="58">
        <f>일위대가!N364</f>
        <v>0</v>
      </c>
      <c r="N52" s="58">
        <f t="shared" si="6"/>
        <v>0</v>
      </c>
      <c r="O52" s="58"/>
      <c r="P52" s="58">
        <f t="shared" si="7"/>
        <v>160223</v>
      </c>
      <c r="Q52" s="80"/>
    </row>
    <row r="53" spans="1:17" ht="23.1" customHeight="1">
      <c r="A53" s="64" t="s">
        <v>862</v>
      </c>
      <c r="B53" s="64" t="s">
        <v>863</v>
      </c>
      <c r="C53" s="74" t="s">
        <v>864</v>
      </c>
      <c r="D53" s="74" t="s">
        <v>364</v>
      </c>
      <c r="E53" s="74" t="s">
        <v>365</v>
      </c>
      <c r="F53" s="80" t="s">
        <v>266</v>
      </c>
      <c r="G53" s="80"/>
      <c r="H53" s="58">
        <f>일위대가!I371</f>
        <v>309437</v>
      </c>
      <c r="I53" s="58">
        <f t="shared" si="4"/>
        <v>309437</v>
      </c>
      <c r="J53" s="58"/>
      <c r="K53" s="58">
        <f>일위대가!L371</f>
        <v>54586</v>
      </c>
      <c r="L53" s="58">
        <f t="shared" si="5"/>
        <v>54586</v>
      </c>
      <c r="M53" s="58">
        <f>일위대가!N371</f>
        <v>0</v>
      </c>
      <c r="N53" s="58">
        <f t="shared" si="6"/>
        <v>0</v>
      </c>
      <c r="O53" s="58"/>
      <c r="P53" s="58">
        <f t="shared" si="7"/>
        <v>364023</v>
      </c>
      <c r="Q53" s="80"/>
    </row>
    <row r="54" spans="1:17" ht="23.1" customHeight="1">
      <c r="A54" s="64" t="s">
        <v>865</v>
      </c>
      <c r="B54" s="64" t="s">
        <v>866</v>
      </c>
      <c r="C54" s="74" t="s">
        <v>867</v>
      </c>
      <c r="D54" s="74" t="s">
        <v>369</v>
      </c>
      <c r="E54" s="74" t="s">
        <v>370</v>
      </c>
      <c r="F54" s="80" t="s">
        <v>266</v>
      </c>
      <c r="G54" s="80"/>
      <c r="H54" s="58">
        <f>일위대가!I377</f>
        <v>6294374</v>
      </c>
      <c r="I54" s="58">
        <f t="shared" si="4"/>
        <v>6294374</v>
      </c>
      <c r="J54" s="58"/>
      <c r="K54" s="58">
        <f>일위대가!L377</f>
        <v>279149</v>
      </c>
      <c r="L54" s="58">
        <f t="shared" si="5"/>
        <v>279149</v>
      </c>
      <c r="M54" s="58">
        <f>일위대가!N377</f>
        <v>0</v>
      </c>
      <c r="N54" s="58">
        <f t="shared" si="6"/>
        <v>0</v>
      </c>
      <c r="O54" s="58"/>
      <c r="P54" s="58">
        <f t="shared" si="7"/>
        <v>6573523</v>
      </c>
      <c r="Q54" s="80"/>
    </row>
    <row r="55" spans="1:17" ht="23.1" customHeight="1">
      <c r="A55" s="64" t="s">
        <v>868</v>
      </c>
      <c r="B55" s="64" t="s">
        <v>869</v>
      </c>
      <c r="C55" s="74" t="s">
        <v>870</v>
      </c>
      <c r="D55" s="74" t="s">
        <v>369</v>
      </c>
      <c r="E55" s="74" t="s">
        <v>372</v>
      </c>
      <c r="F55" s="80" t="s">
        <v>266</v>
      </c>
      <c r="G55" s="80"/>
      <c r="H55" s="58">
        <f>일위대가!I383</f>
        <v>6440351</v>
      </c>
      <c r="I55" s="58">
        <f t="shared" si="4"/>
        <v>6440351</v>
      </c>
      <c r="J55" s="58"/>
      <c r="K55" s="58">
        <f>일위대가!L383</f>
        <v>11700</v>
      </c>
      <c r="L55" s="58">
        <f t="shared" si="5"/>
        <v>11700</v>
      </c>
      <c r="M55" s="58">
        <f>일위대가!N383</f>
        <v>0</v>
      </c>
      <c r="N55" s="58">
        <f t="shared" si="6"/>
        <v>0</v>
      </c>
      <c r="O55" s="58"/>
      <c r="P55" s="58">
        <f t="shared" si="7"/>
        <v>6452051</v>
      </c>
      <c r="Q55" s="80"/>
    </row>
    <row r="56" spans="1:17" ht="23.1" customHeight="1">
      <c r="A56" s="64" t="s">
        <v>871</v>
      </c>
      <c r="B56" s="64" t="s">
        <v>872</v>
      </c>
      <c r="C56" s="74" t="s">
        <v>873</v>
      </c>
      <c r="D56" s="74" t="s">
        <v>379</v>
      </c>
      <c r="E56" s="74" t="s">
        <v>380</v>
      </c>
      <c r="F56" s="80" t="s">
        <v>266</v>
      </c>
      <c r="G56" s="80"/>
      <c r="H56" s="58">
        <f>일위대가!I389</f>
        <v>10351</v>
      </c>
      <c r="I56" s="58">
        <f t="shared" si="4"/>
        <v>10351</v>
      </c>
      <c r="J56" s="58"/>
      <c r="K56" s="58">
        <f>일위대가!L389</f>
        <v>11700</v>
      </c>
      <c r="L56" s="58">
        <f t="shared" si="5"/>
        <v>11700</v>
      </c>
      <c r="M56" s="58">
        <f>일위대가!N389</f>
        <v>0</v>
      </c>
      <c r="N56" s="58">
        <f t="shared" si="6"/>
        <v>0</v>
      </c>
      <c r="O56" s="58"/>
      <c r="P56" s="58">
        <f t="shared" si="7"/>
        <v>22051</v>
      </c>
      <c r="Q56" s="80"/>
    </row>
    <row r="57" spans="1:17" ht="23.1" customHeight="1">
      <c r="A57" s="64" t="s">
        <v>874</v>
      </c>
      <c r="B57" s="64" t="s">
        <v>875</v>
      </c>
      <c r="C57" s="74" t="s">
        <v>876</v>
      </c>
      <c r="D57" s="74" t="s">
        <v>383</v>
      </c>
      <c r="E57" s="74" t="s">
        <v>384</v>
      </c>
      <c r="F57" s="80" t="s">
        <v>266</v>
      </c>
      <c r="G57" s="80"/>
      <c r="H57" s="58">
        <f>일위대가!I395</f>
        <v>1194545</v>
      </c>
      <c r="I57" s="58">
        <f t="shared" si="4"/>
        <v>1194545</v>
      </c>
      <c r="J57" s="58"/>
      <c r="K57" s="58">
        <f>일위대가!L395</f>
        <v>84839</v>
      </c>
      <c r="L57" s="58">
        <f t="shared" si="5"/>
        <v>84839</v>
      </c>
      <c r="M57" s="58">
        <f>일위대가!N395</f>
        <v>0</v>
      </c>
      <c r="N57" s="58">
        <f t="shared" si="6"/>
        <v>0</v>
      </c>
      <c r="O57" s="58"/>
      <c r="P57" s="58">
        <f t="shared" si="7"/>
        <v>1279384</v>
      </c>
      <c r="Q57" s="80"/>
    </row>
    <row r="58" spans="1:17" ht="23.1" customHeight="1">
      <c r="A58" s="64" t="s">
        <v>877</v>
      </c>
      <c r="B58" s="64" t="s">
        <v>878</v>
      </c>
      <c r="C58" s="74" t="s">
        <v>879</v>
      </c>
      <c r="D58" s="74" t="s">
        <v>399</v>
      </c>
      <c r="E58" s="74" t="s">
        <v>400</v>
      </c>
      <c r="F58" s="80" t="s">
        <v>266</v>
      </c>
      <c r="G58" s="80"/>
      <c r="H58" s="58">
        <f>일위대가!I402</f>
        <v>371518</v>
      </c>
      <c r="I58" s="58">
        <f t="shared" si="4"/>
        <v>371518</v>
      </c>
      <c r="J58" s="58"/>
      <c r="K58" s="58">
        <f>일위대가!L402</f>
        <v>383962</v>
      </c>
      <c r="L58" s="58">
        <f t="shared" si="5"/>
        <v>383962</v>
      </c>
      <c r="M58" s="58">
        <f>일위대가!N402</f>
        <v>0</v>
      </c>
      <c r="N58" s="58">
        <f t="shared" si="6"/>
        <v>0</v>
      </c>
      <c r="O58" s="58"/>
      <c r="P58" s="58">
        <f t="shared" si="7"/>
        <v>755480</v>
      </c>
      <c r="Q58" s="80"/>
    </row>
    <row r="59" spans="1:17" ht="23.1" customHeight="1">
      <c r="A59" s="64" t="s">
        <v>880</v>
      </c>
      <c r="B59" s="64" t="s">
        <v>881</v>
      </c>
      <c r="C59" s="74" t="s">
        <v>882</v>
      </c>
      <c r="D59" s="74" t="s">
        <v>399</v>
      </c>
      <c r="E59" s="74" t="s">
        <v>404</v>
      </c>
      <c r="F59" s="80" t="s">
        <v>266</v>
      </c>
      <c r="G59" s="80"/>
      <c r="H59" s="58">
        <f>일위대가!I409</f>
        <v>531518</v>
      </c>
      <c r="I59" s="58">
        <f t="shared" si="4"/>
        <v>531518</v>
      </c>
      <c r="J59" s="58"/>
      <c r="K59" s="58">
        <f>일위대가!L409</f>
        <v>383962</v>
      </c>
      <c r="L59" s="58">
        <f t="shared" si="5"/>
        <v>383962</v>
      </c>
      <c r="M59" s="58">
        <f>일위대가!N409</f>
        <v>0</v>
      </c>
      <c r="N59" s="58">
        <f t="shared" si="6"/>
        <v>0</v>
      </c>
      <c r="O59" s="58"/>
      <c r="P59" s="58">
        <f t="shared" si="7"/>
        <v>915480</v>
      </c>
      <c r="Q59" s="80"/>
    </row>
    <row r="60" spans="1:17" ht="23.1" customHeight="1">
      <c r="A60" s="64" t="s">
        <v>883</v>
      </c>
      <c r="B60" s="64" t="s">
        <v>884</v>
      </c>
      <c r="C60" s="74" t="s">
        <v>885</v>
      </c>
      <c r="D60" s="74" t="s">
        <v>423</v>
      </c>
      <c r="E60" s="74" t="s">
        <v>424</v>
      </c>
      <c r="F60" s="80" t="s">
        <v>266</v>
      </c>
      <c r="G60" s="80"/>
      <c r="H60" s="58">
        <f>일위대가!I415</f>
        <v>56559</v>
      </c>
      <c r="I60" s="58">
        <f t="shared" si="4"/>
        <v>56559</v>
      </c>
      <c r="J60" s="58"/>
      <c r="K60" s="58">
        <f>일위대가!L415</f>
        <v>51998</v>
      </c>
      <c r="L60" s="58">
        <f t="shared" si="5"/>
        <v>51998</v>
      </c>
      <c r="M60" s="58">
        <f>일위대가!N415</f>
        <v>0</v>
      </c>
      <c r="N60" s="58">
        <f t="shared" si="6"/>
        <v>0</v>
      </c>
      <c r="O60" s="58"/>
      <c r="P60" s="58">
        <f t="shared" si="7"/>
        <v>108557</v>
      </c>
      <c r="Q60" s="80"/>
    </row>
    <row r="61" spans="1:17" ht="23.1" customHeight="1">
      <c r="A61" s="64" t="s">
        <v>886</v>
      </c>
      <c r="B61" s="64" t="s">
        <v>887</v>
      </c>
      <c r="C61" s="74" t="s">
        <v>888</v>
      </c>
      <c r="D61" s="74" t="s">
        <v>440</v>
      </c>
      <c r="E61" s="74"/>
      <c r="F61" s="80" t="s">
        <v>266</v>
      </c>
      <c r="G61" s="80"/>
      <c r="H61" s="58">
        <f>일위대가!I422</f>
        <v>506592</v>
      </c>
      <c r="I61" s="58">
        <f t="shared" si="4"/>
        <v>506592</v>
      </c>
      <c r="J61" s="58"/>
      <c r="K61" s="58">
        <f>일위대가!L422</f>
        <v>219757</v>
      </c>
      <c r="L61" s="58">
        <f t="shared" si="5"/>
        <v>219757</v>
      </c>
      <c r="M61" s="58">
        <f>일위대가!N422</f>
        <v>0</v>
      </c>
      <c r="N61" s="58">
        <f t="shared" si="6"/>
        <v>0</v>
      </c>
      <c r="O61" s="58"/>
      <c r="P61" s="58">
        <f t="shared" si="7"/>
        <v>726349</v>
      </c>
      <c r="Q61" s="80"/>
    </row>
    <row r="62" spans="1:17" ht="23.1" customHeight="1">
      <c r="A62" s="64" t="s">
        <v>889</v>
      </c>
      <c r="B62" s="64" t="s">
        <v>890</v>
      </c>
      <c r="C62" s="74" t="s">
        <v>891</v>
      </c>
      <c r="D62" s="74" t="s">
        <v>442</v>
      </c>
      <c r="E62" s="74" t="s">
        <v>443</v>
      </c>
      <c r="F62" s="80" t="s">
        <v>266</v>
      </c>
      <c r="G62" s="80"/>
      <c r="H62" s="58">
        <f>일위대가!I429</f>
        <v>463981</v>
      </c>
      <c r="I62" s="58">
        <f t="shared" si="4"/>
        <v>463981</v>
      </c>
      <c r="J62" s="58"/>
      <c r="K62" s="58">
        <f>일위대가!L429</f>
        <v>466065</v>
      </c>
      <c r="L62" s="58">
        <f t="shared" si="5"/>
        <v>466065</v>
      </c>
      <c r="M62" s="58">
        <f>일위대가!N429</f>
        <v>0</v>
      </c>
      <c r="N62" s="58">
        <f t="shared" si="6"/>
        <v>0</v>
      </c>
      <c r="O62" s="58"/>
      <c r="P62" s="58">
        <f t="shared" si="7"/>
        <v>930046</v>
      </c>
      <c r="Q62" s="80"/>
    </row>
    <row r="63" spans="1:17" ht="23.1" customHeight="1">
      <c r="A63" s="64" t="s">
        <v>892</v>
      </c>
      <c r="B63" s="64" t="s">
        <v>893</v>
      </c>
      <c r="C63" s="74" t="s">
        <v>894</v>
      </c>
      <c r="D63" s="74" t="s">
        <v>445</v>
      </c>
      <c r="E63" s="74" t="s">
        <v>446</v>
      </c>
      <c r="F63" s="80" t="s">
        <v>266</v>
      </c>
      <c r="G63" s="80"/>
      <c r="H63" s="58">
        <f>일위대가!I436</f>
        <v>168495</v>
      </c>
      <c r="I63" s="58">
        <f t="shared" si="4"/>
        <v>168495</v>
      </c>
      <c r="J63" s="58"/>
      <c r="K63" s="58">
        <f>일위대가!L436</f>
        <v>116516</v>
      </c>
      <c r="L63" s="58">
        <f t="shared" si="5"/>
        <v>116516</v>
      </c>
      <c r="M63" s="58">
        <f>일위대가!N436</f>
        <v>0</v>
      </c>
      <c r="N63" s="58">
        <f t="shared" si="6"/>
        <v>0</v>
      </c>
      <c r="O63" s="58"/>
      <c r="P63" s="58">
        <f t="shared" si="7"/>
        <v>285011</v>
      </c>
      <c r="Q63" s="80"/>
    </row>
    <row r="64" spans="1:17" ht="23.1" customHeight="1">
      <c r="A64" s="64" t="s">
        <v>895</v>
      </c>
      <c r="B64" s="64" t="s">
        <v>896</v>
      </c>
      <c r="C64" s="74" t="s">
        <v>897</v>
      </c>
      <c r="D64" s="74" t="s">
        <v>474</v>
      </c>
      <c r="E64" s="74" t="s">
        <v>475</v>
      </c>
      <c r="F64" s="80" t="s">
        <v>266</v>
      </c>
      <c r="G64" s="80"/>
      <c r="H64" s="58">
        <f>일위대가!I443</f>
        <v>2011917</v>
      </c>
      <c r="I64" s="58">
        <f t="shared" si="4"/>
        <v>2011917</v>
      </c>
      <c r="J64" s="58"/>
      <c r="K64" s="58">
        <f>일위대가!L443</f>
        <v>397253</v>
      </c>
      <c r="L64" s="58">
        <f t="shared" si="5"/>
        <v>397253</v>
      </c>
      <c r="M64" s="58">
        <f>일위대가!N443</f>
        <v>0</v>
      </c>
      <c r="N64" s="58">
        <f t="shared" si="6"/>
        <v>0</v>
      </c>
      <c r="O64" s="58"/>
      <c r="P64" s="58">
        <f t="shared" si="7"/>
        <v>2409170</v>
      </c>
      <c r="Q64" s="80"/>
    </row>
    <row r="65" spans="1:17" ht="23.1" customHeight="1">
      <c r="A65" s="64" t="s">
        <v>898</v>
      </c>
      <c r="B65" s="64" t="s">
        <v>899</v>
      </c>
      <c r="C65" s="74" t="s">
        <v>900</v>
      </c>
      <c r="D65" s="74" t="s">
        <v>474</v>
      </c>
      <c r="E65" s="74" t="s">
        <v>477</v>
      </c>
      <c r="F65" s="80" t="s">
        <v>266</v>
      </c>
      <c r="G65" s="80"/>
      <c r="H65" s="58">
        <f>일위대가!I450</f>
        <v>2016684</v>
      </c>
      <c r="I65" s="58">
        <f t="shared" si="4"/>
        <v>2016684</v>
      </c>
      <c r="J65" s="58"/>
      <c r="K65" s="58">
        <f>일위대가!L450</f>
        <v>556154</v>
      </c>
      <c r="L65" s="58">
        <f t="shared" si="5"/>
        <v>556154</v>
      </c>
      <c r="M65" s="58">
        <f>일위대가!N450</f>
        <v>0</v>
      </c>
      <c r="N65" s="58">
        <f t="shared" si="6"/>
        <v>0</v>
      </c>
      <c r="O65" s="58"/>
      <c r="P65" s="58">
        <f t="shared" si="7"/>
        <v>2572838</v>
      </c>
      <c r="Q65" s="80"/>
    </row>
    <row r="66" spans="1:17" ht="23.1" customHeight="1">
      <c r="A66" s="64" t="s">
        <v>901</v>
      </c>
      <c r="B66" s="64" t="s">
        <v>902</v>
      </c>
      <c r="C66" s="74" t="s">
        <v>903</v>
      </c>
      <c r="D66" s="74" t="s">
        <v>474</v>
      </c>
      <c r="E66" s="74" t="s">
        <v>479</v>
      </c>
      <c r="F66" s="80" t="s">
        <v>266</v>
      </c>
      <c r="G66" s="80"/>
      <c r="H66" s="58">
        <f>일위대가!I457</f>
        <v>2011917</v>
      </c>
      <c r="I66" s="58">
        <f t="shared" si="4"/>
        <v>2011917</v>
      </c>
      <c r="J66" s="58"/>
      <c r="K66" s="58">
        <f>일위대가!L457</f>
        <v>397253</v>
      </c>
      <c r="L66" s="58">
        <f t="shared" si="5"/>
        <v>397253</v>
      </c>
      <c r="M66" s="58">
        <f>일위대가!N457</f>
        <v>0</v>
      </c>
      <c r="N66" s="58">
        <f t="shared" si="6"/>
        <v>0</v>
      </c>
      <c r="O66" s="58"/>
      <c r="P66" s="58">
        <f t="shared" si="7"/>
        <v>2409170</v>
      </c>
      <c r="Q66" s="80"/>
    </row>
    <row r="67" spans="1:17" ht="23.1" customHeight="1">
      <c r="A67" s="64" t="s">
        <v>904</v>
      </c>
      <c r="B67" s="64" t="s">
        <v>905</v>
      </c>
      <c r="C67" s="74" t="s">
        <v>906</v>
      </c>
      <c r="D67" s="74" t="s">
        <v>483</v>
      </c>
      <c r="E67" s="74"/>
      <c r="F67" s="80" t="s">
        <v>266</v>
      </c>
      <c r="G67" s="80"/>
      <c r="H67" s="58">
        <f>일위대가!I464</f>
        <v>653495</v>
      </c>
      <c r="I67" s="58">
        <f t="shared" si="4"/>
        <v>653495</v>
      </c>
      <c r="J67" s="58"/>
      <c r="K67" s="58">
        <f>일위대가!L464</f>
        <v>116516</v>
      </c>
      <c r="L67" s="58">
        <f t="shared" si="5"/>
        <v>116516</v>
      </c>
      <c r="M67" s="58">
        <f>일위대가!N464</f>
        <v>0</v>
      </c>
      <c r="N67" s="58">
        <f t="shared" si="6"/>
        <v>0</v>
      </c>
      <c r="O67" s="58"/>
      <c r="P67" s="58">
        <f t="shared" si="7"/>
        <v>770011</v>
      </c>
      <c r="Q67" s="80"/>
    </row>
    <row r="68" spans="1:17" ht="23.1" customHeight="1">
      <c r="A68" s="64" t="s">
        <v>907</v>
      </c>
      <c r="B68" s="64" t="s">
        <v>908</v>
      </c>
      <c r="C68" s="74" t="s">
        <v>909</v>
      </c>
      <c r="D68" s="74" t="s">
        <v>499</v>
      </c>
      <c r="E68" s="74" t="s">
        <v>500</v>
      </c>
      <c r="F68" s="80" t="s">
        <v>266</v>
      </c>
      <c r="G68" s="80"/>
      <c r="H68" s="58">
        <f>일위대가!I471</f>
        <v>141637</v>
      </c>
      <c r="I68" s="58">
        <f t="shared" ref="I68:I69" si="8">H68</f>
        <v>141637</v>
      </c>
      <c r="J68" s="58"/>
      <c r="K68" s="58">
        <f>일위대가!L471</f>
        <v>54586</v>
      </c>
      <c r="L68" s="58">
        <f t="shared" ref="L68:L69" si="9">K68</f>
        <v>54586</v>
      </c>
      <c r="M68" s="58">
        <f>일위대가!N471</f>
        <v>0</v>
      </c>
      <c r="N68" s="58">
        <f t="shared" ref="N68:N69" si="10">M68</f>
        <v>0</v>
      </c>
      <c r="O68" s="58"/>
      <c r="P68" s="58">
        <f t="shared" si="7"/>
        <v>196223</v>
      </c>
      <c r="Q68" s="80"/>
    </row>
    <row r="69" spans="1:17" ht="23.1" customHeight="1">
      <c r="A69" s="64" t="s">
        <v>910</v>
      </c>
      <c r="B69" s="64" t="s">
        <v>911</v>
      </c>
      <c r="C69" s="74" t="s">
        <v>912</v>
      </c>
      <c r="D69" s="74" t="s">
        <v>511</v>
      </c>
      <c r="E69" s="74" t="s">
        <v>512</v>
      </c>
      <c r="F69" s="80" t="s">
        <v>266</v>
      </c>
      <c r="G69" s="80"/>
      <c r="H69" s="58">
        <f>일위대가!I478</f>
        <v>444509</v>
      </c>
      <c r="I69" s="58">
        <f t="shared" si="8"/>
        <v>444509</v>
      </c>
      <c r="J69" s="58"/>
      <c r="K69" s="58">
        <f>일위대가!L478</f>
        <v>150304</v>
      </c>
      <c r="L69" s="58">
        <f t="shared" si="9"/>
        <v>150304</v>
      </c>
      <c r="M69" s="58">
        <f>일위대가!N478</f>
        <v>0</v>
      </c>
      <c r="N69" s="58">
        <f t="shared" si="10"/>
        <v>0</v>
      </c>
      <c r="O69" s="58"/>
      <c r="P69" s="58">
        <f t="shared" si="7"/>
        <v>594813</v>
      </c>
      <c r="Q69" s="80"/>
    </row>
    <row r="70" spans="1:17" ht="23.1" customHeight="1">
      <c r="C70" s="74"/>
      <c r="D70" s="74"/>
      <c r="E70" s="74"/>
      <c r="F70" s="80"/>
      <c r="G70" s="80"/>
      <c r="H70" s="58"/>
      <c r="I70" s="58"/>
      <c r="J70" s="58"/>
      <c r="K70" s="58"/>
      <c r="L70" s="58"/>
      <c r="M70" s="58"/>
      <c r="N70" s="58"/>
      <c r="O70" s="58"/>
      <c r="P70" s="58"/>
      <c r="Q70" s="80"/>
    </row>
    <row r="71" spans="1:17" ht="23.1" customHeight="1">
      <c r="C71" s="74"/>
      <c r="D71" s="74"/>
      <c r="E71" s="74"/>
      <c r="F71" s="80"/>
      <c r="G71" s="80"/>
      <c r="H71" s="58"/>
      <c r="I71" s="58"/>
      <c r="J71" s="58"/>
      <c r="K71" s="58"/>
      <c r="L71" s="58"/>
      <c r="M71" s="58"/>
      <c r="N71" s="58"/>
      <c r="O71" s="58"/>
      <c r="P71" s="58"/>
      <c r="Q71" s="80"/>
    </row>
    <row r="72" spans="1:17" ht="23.1" customHeight="1">
      <c r="C72" s="74"/>
      <c r="D72" s="74"/>
      <c r="E72" s="74"/>
      <c r="F72" s="80"/>
      <c r="G72" s="80"/>
      <c r="H72" s="58"/>
      <c r="I72" s="58"/>
      <c r="J72" s="58"/>
      <c r="K72" s="58"/>
      <c r="L72" s="58"/>
      <c r="M72" s="58"/>
      <c r="N72" s="58"/>
      <c r="O72" s="58"/>
      <c r="P72" s="58"/>
      <c r="Q72" s="80"/>
    </row>
    <row r="73" spans="1:17" ht="23.1" customHeight="1">
      <c r="C73" s="74"/>
      <c r="D73" s="74"/>
      <c r="E73" s="74"/>
      <c r="F73" s="80"/>
      <c r="G73" s="80"/>
      <c r="H73" s="58"/>
      <c r="I73" s="58"/>
      <c r="J73" s="58"/>
      <c r="K73" s="58"/>
      <c r="L73" s="58"/>
      <c r="M73" s="58"/>
      <c r="N73" s="58"/>
      <c r="O73" s="58"/>
      <c r="P73" s="58"/>
      <c r="Q73" s="80"/>
    </row>
    <row r="74" spans="1:17" ht="23.1" customHeight="1">
      <c r="C74" s="74"/>
      <c r="D74" s="74"/>
      <c r="E74" s="74"/>
      <c r="F74" s="80"/>
      <c r="G74" s="80"/>
      <c r="H74" s="58"/>
      <c r="I74" s="58"/>
      <c r="J74" s="58"/>
      <c r="K74" s="58"/>
      <c r="L74" s="58"/>
      <c r="M74" s="58"/>
      <c r="N74" s="58"/>
      <c r="O74" s="58"/>
      <c r="P74" s="58"/>
      <c r="Q74" s="80"/>
    </row>
    <row r="75" spans="1:17" ht="23.1" customHeight="1">
      <c r="C75" s="74"/>
      <c r="D75" s="74"/>
      <c r="E75" s="74"/>
      <c r="F75" s="80"/>
      <c r="G75" s="80"/>
      <c r="H75" s="58"/>
      <c r="I75" s="58"/>
      <c r="J75" s="58"/>
      <c r="K75" s="58"/>
      <c r="L75" s="58"/>
      <c r="M75" s="58"/>
      <c r="N75" s="58"/>
      <c r="O75" s="58"/>
      <c r="P75" s="58"/>
      <c r="Q75" s="80"/>
    </row>
    <row r="76" spans="1:17" ht="23.1" customHeight="1">
      <c r="C76" s="74"/>
      <c r="D76" s="74"/>
      <c r="E76" s="74"/>
      <c r="F76" s="80"/>
      <c r="G76" s="80"/>
      <c r="H76" s="58"/>
      <c r="I76" s="58"/>
      <c r="J76" s="58"/>
      <c r="K76" s="58"/>
      <c r="L76" s="58"/>
      <c r="M76" s="58"/>
      <c r="N76" s="58"/>
      <c r="O76" s="58"/>
      <c r="P76" s="58"/>
      <c r="Q76" s="80"/>
    </row>
    <row r="77" spans="1:17" ht="23.1" customHeight="1">
      <c r="C77" s="74"/>
      <c r="D77" s="74"/>
      <c r="E77" s="74"/>
      <c r="F77" s="80"/>
      <c r="G77" s="80"/>
      <c r="H77" s="58"/>
      <c r="I77" s="58"/>
      <c r="J77" s="58"/>
      <c r="K77" s="58"/>
      <c r="L77" s="58"/>
      <c r="M77" s="58"/>
      <c r="N77" s="58"/>
      <c r="O77" s="58"/>
      <c r="P77" s="58"/>
      <c r="Q77" s="80"/>
    </row>
    <row r="78" spans="1:17" ht="23.1" customHeight="1">
      <c r="C78" s="74"/>
      <c r="D78" s="74"/>
      <c r="E78" s="74"/>
      <c r="F78" s="80"/>
      <c r="G78" s="80"/>
      <c r="H78" s="58"/>
      <c r="I78" s="58"/>
      <c r="J78" s="58"/>
      <c r="K78" s="58"/>
      <c r="L78" s="58"/>
      <c r="M78" s="58"/>
      <c r="N78" s="58"/>
      <c r="O78" s="58"/>
      <c r="P78" s="58"/>
      <c r="Q78" s="80"/>
    </row>
    <row r="79" spans="1:17" ht="23.1" customHeight="1">
      <c r="C79" s="74"/>
      <c r="D79" s="74"/>
      <c r="E79" s="74"/>
      <c r="F79" s="80"/>
      <c r="G79" s="80"/>
      <c r="H79" s="58"/>
      <c r="I79" s="58"/>
      <c r="J79" s="58"/>
      <c r="K79" s="58"/>
      <c r="L79" s="58"/>
      <c r="M79" s="58"/>
      <c r="N79" s="58"/>
      <c r="O79" s="58"/>
      <c r="P79" s="58"/>
      <c r="Q79" s="80"/>
    </row>
    <row r="80" spans="1:17" ht="23.1" customHeight="1">
      <c r="C80" s="74"/>
      <c r="D80" s="74"/>
      <c r="E80" s="74"/>
      <c r="F80" s="80"/>
      <c r="G80" s="80"/>
      <c r="H80" s="58"/>
      <c r="I80" s="58"/>
      <c r="J80" s="58"/>
      <c r="K80" s="58"/>
      <c r="L80" s="58"/>
      <c r="M80" s="58"/>
      <c r="N80" s="58"/>
      <c r="O80" s="58"/>
      <c r="P80" s="58"/>
      <c r="Q80" s="80"/>
    </row>
    <row r="81" spans="3:17" ht="23.1" customHeight="1">
      <c r="C81" s="74"/>
      <c r="D81" s="74"/>
      <c r="E81" s="74"/>
      <c r="F81" s="80"/>
      <c r="G81" s="80"/>
      <c r="H81" s="58"/>
      <c r="I81" s="58"/>
      <c r="J81" s="58"/>
      <c r="K81" s="58"/>
      <c r="L81" s="58"/>
      <c r="M81" s="58"/>
      <c r="N81" s="58"/>
      <c r="O81" s="58"/>
      <c r="P81" s="58"/>
      <c r="Q81" s="80"/>
    </row>
  </sheetData>
  <mergeCells count="13">
    <mergeCell ref="C1:Q1"/>
    <mergeCell ref="A2:A3"/>
    <mergeCell ref="B2:B3"/>
    <mergeCell ref="C2:C3"/>
    <mergeCell ref="D2:D3"/>
    <mergeCell ref="E2:E3"/>
    <mergeCell ref="M2:N2"/>
    <mergeCell ref="J2:L2"/>
    <mergeCell ref="Q2:Q3"/>
    <mergeCell ref="P2:P3"/>
    <mergeCell ref="F2:F3"/>
    <mergeCell ref="G2:G3"/>
    <mergeCell ref="H2:I2"/>
  </mergeCells>
  <phoneticPr fontId="2" type="noConversion"/>
  <printOptions horizontalCentered="1" verticalCentered="1"/>
  <pageMargins left="0.74803149606299213" right="0.35433070866141736" top="0.59055118110236227" bottom="0.59055118110236227" header="0.51181102362204722" footer="0.47244094488188981"/>
  <pageSetup paperSize="9" scale="7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E497"/>
  <sheetViews>
    <sheetView view="pageBreakPreview" topLeftCell="D1" zoomScaleSheetLayoutView="100" workbookViewId="0">
      <pane ySplit="3" topLeftCell="A4" activePane="bottomLeft" state="frozen"/>
      <selection activeCell="A2" sqref="A2"/>
      <selection pane="bottomLeft" activeCell="A2" sqref="A2:A3"/>
    </sheetView>
  </sheetViews>
  <sheetFormatPr defaultRowHeight="23.25" customHeight="1"/>
  <cols>
    <col min="1" max="1" width="11.5546875" style="64" hidden="1" customWidth="1"/>
    <col min="2" max="2" width="10.77734375" style="64" hidden="1" customWidth="1"/>
    <col min="3" max="3" width="11.109375" style="76" hidden="1" customWidth="1"/>
    <col min="4" max="4" width="24.33203125" style="64" customWidth="1"/>
    <col min="5" max="5" width="25.33203125" style="64" customWidth="1"/>
    <col min="6" max="6" width="4.21875" style="78" customWidth="1"/>
    <col min="7" max="7" width="8.33203125" style="48" customWidth="1"/>
    <col min="8" max="8" width="11.88671875" style="48" customWidth="1"/>
    <col min="9" max="9" width="12.44140625" style="48" customWidth="1"/>
    <col min="10" max="10" width="6.6640625" style="48" customWidth="1"/>
    <col min="11" max="12" width="11.44140625" style="48" customWidth="1"/>
    <col min="13" max="13" width="6.33203125" style="48" customWidth="1"/>
    <col min="14" max="14" width="8.5546875" style="48" customWidth="1"/>
    <col min="15" max="15" width="9.109375" style="48" hidden="1" customWidth="1"/>
    <col min="16" max="16" width="11" style="48" customWidth="1"/>
    <col min="17" max="17" width="11.5546875" style="64" customWidth="1"/>
    <col min="18" max="16384" width="8.88671875" style="48"/>
  </cols>
  <sheetData>
    <row r="1" spans="1:31" ht="23.25" customHeight="1">
      <c r="A1" s="81" t="s">
        <v>566</v>
      </c>
      <c r="B1" s="64" t="s">
        <v>1063</v>
      </c>
      <c r="D1" s="157" t="s">
        <v>914</v>
      </c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W1" s="150" t="s">
        <v>84</v>
      </c>
      <c r="X1" s="150"/>
      <c r="Y1" s="150"/>
      <c r="Z1" s="78"/>
      <c r="AA1" s="78" t="s">
        <v>89</v>
      </c>
      <c r="AB1" s="78"/>
      <c r="AC1" s="78"/>
      <c r="AD1" s="78"/>
      <c r="AE1" s="78"/>
    </row>
    <row r="2" spans="1:31" s="78" customFormat="1" ht="23.25" customHeight="1">
      <c r="A2" s="149" t="s">
        <v>72</v>
      </c>
      <c r="B2" s="149" t="s">
        <v>134</v>
      </c>
      <c r="C2" s="149" t="s">
        <v>73</v>
      </c>
      <c r="D2" s="151" t="s">
        <v>78</v>
      </c>
      <c r="E2" s="151" t="s">
        <v>79</v>
      </c>
      <c r="F2" s="154" t="s">
        <v>1</v>
      </c>
      <c r="G2" s="154" t="s">
        <v>2</v>
      </c>
      <c r="H2" s="154" t="s">
        <v>32</v>
      </c>
      <c r="I2" s="154"/>
      <c r="J2" s="154" t="s">
        <v>33</v>
      </c>
      <c r="K2" s="154"/>
      <c r="L2" s="154"/>
      <c r="M2" s="154" t="s">
        <v>34</v>
      </c>
      <c r="N2" s="154"/>
      <c r="O2" s="54"/>
      <c r="P2" s="154" t="s">
        <v>15</v>
      </c>
      <c r="Q2" s="151" t="s">
        <v>36</v>
      </c>
      <c r="W2" s="78" t="s">
        <v>85</v>
      </c>
      <c r="X2" s="78" t="s">
        <v>86</v>
      </c>
      <c r="Y2" s="78" t="s">
        <v>87</v>
      </c>
      <c r="Z2" s="78" t="s">
        <v>88</v>
      </c>
      <c r="AA2" s="82" t="s">
        <v>148</v>
      </c>
      <c r="AB2" s="82" t="s">
        <v>147</v>
      </c>
      <c r="AC2" s="82" t="s">
        <v>90</v>
      </c>
      <c r="AD2" s="82" t="s">
        <v>92</v>
      </c>
      <c r="AE2" s="82" t="s">
        <v>91</v>
      </c>
    </row>
    <row r="3" spans="1:31" s="78" customFormat="1" ht="23.25" customHeight="1">
      <c r="A3" s="149"/>
      <c r="B3" s="149"/>
      <c r="C3" s="149"/>
      <c r="D3" s="152"/>
      <c r="E3" s="152"/>
      <c r="F3" s="155"/>
      <c r="G3" s="155"/>
      <c r="H3" s="79" t="s">
        <v>39</v>
      </c>
      <c r="I3" s="79" t="s">
        <v>40</v>
      </c>
      <c r="J3" s="79" t="s">
        <v>2</v>
      </c>
      <c r="K3" s="79" t="s">
        <v>39</v>
      </c>
      <c r="L3" s="79" t="s">
        <v>40</v>
      </c>
      <c r="M3" s="79" t="s">
        <v>41</v>
      </c>
      <c r="N3" s="79" t="s">
        <v>40</v>
      </c>
      <c r="O3" s="79" t="s">
        <v>74</v>
      </c>
      <c r="P3" s="155"/>
      <c r="Q3" s="152"/>
      <c r="W3" s="48"/>
      <c r="X3" s="48"/>
      <c r="Y3" s="48"/>
      <c r="Z3" s="48"/>
      <c r="AA3" s="49"/>
      <c r="AB3" s="49"/>
      <c r="AC3" s="49"/>
      <c r="AD3" s="49">
        <v>1</v>
      </c>
      <c r="AE3" s="49">
        <v>1</v>
      </c>
    </row>
    <row r="4" spans="1:31" ht="23.25" customHeight="1">
      <c r="A4" s="64" t="s">
        <v>699</v>
      </c>
      <c r="B4" s="64" t="s">
        <v>915</v>
      </c>
      <c r="C4" s="76" t="s">
        <v>700</v>
      </c>
      <c r="D4" s="158" t="s">
        <v>916</v>
      </c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60"/>
    </row>
    <row r="5" spans="1:31" ht="23.25" customHeight="1">
      <c r="A5" s="64" t="s">
        <v>732</v>
      </c>
      <c r="B5" s="64" t="s">
        <v>701</v>
      </c>
      <c r="C5" s="76" t="s">
        <v>733</v>
      </c>
      <c r="D5" s="74" t="s">
        <v>735</v>
      </c>
      <c r="E5" s="74" t="s">
        <v>736</v>
      </c>
      <c r="F5" s="54" t="s">
        <v>294</v>
      </c>
      <c r="G5" s="80">
        <v>0.1</v>
      </c>
      <c r="H5" s="80">
        <f>일대목차!H11</f>
        <v>1032</v>
      </c>
      <c r="I5" s="83">
        <f>IF(G5*H5&lt;&gt;0, TRUNC(G5*H5,1),"")</f>
        <v>103.2</v>
      </c>
      <c r="J5" s="80">
        <v>0.1</v>
      </c>
      <c r="K5" s="80">
        <f>일대목차!K11</f>
        <v>34413</v>
      </c>
      <c r="L5" s="83">
        <f>IF(G5*K5&lt;&gt;0, TRUNC(G5*K5,1),"")</f>
        <v>3441.3</v>
      </c>
      <c r="M5" s="80">
        <f>일대목차!M11</f>
        <v>0</v>
      </c>
      <c r="N5" s="83" t="str">
        <f>IF(G5*M5&lt;&gt;0, TRUNC(G5*M5,1),"")</f>
        <v/>
      </c>
      <c r="O5" s="80"/>
      <c r="P5" s="80">
        <f>IF(SUM(I5,L5,N5)&lt;&gt;0,TRUNC(SUM(I5,L5,N5),1),"")</f>
        <v>3544.5</v>
      </c>
      <c r="Q5" s="74" t="s">
        <v>734</v>
      </c>
      <c r="R5" s="48" t="s">
        <v>917</v>
      </c>
    </row>
    <row r="6" spans="1:31" ht="23.25" customHeight="1">
      <c r="A6" s="64" t="s">
        <v>918</v>
      </c>
      <c r="B6" s="64" t="s">
        <v>701</v>
      </c>
      <c r="C6" s="76" t="s">
        <v>517</v>
      </c>
      <c r="D6" s="74" t="s">
        <v>518</v>
      </c>
      <c r="E6" s="74" t="s">
        <v>519</v>
      </c>
      <c r="F6" s="54" t="s">
        <v>294</v>
      </c>
      <c r="G6" s="80">
        <v>0.9</v>
      </c>
      <c r="H6" s="80">
        <f>합산자재!H112</f>
        <v>442</v>
      </c>
      <c r="I6" s="80">
        <f>IF(G6*H6&lt;&gt;0, TRUNC(G6*H6,1),"")</f>
        <v>397.8</v>
      </c>
      <c r="J6" s="80">
        <v>0.9</v>
      </c>
      <c r="K6" s="80">
        <f>합산자재!I112</f>
        <v>1354</v>
      </c>
      <c r="L6" s="80">
        <f>IF(G6*K6&lt;&gt;0, TRUNC(G6*K6,1),"")</f>
        <v>1218.5999999999999</v>
      </c>
      <c r="M6" s="80">
        <f>합산자재!J112</f>
        <v>537</v>
      </c>
      <c r="N6" s="80">
        <f>IF(G6*M6&lt;&gt;0, TRUNC(G6*M6,1),"")</f>
        <v>483.3</v>
      </c>
      <c r="O6" s="80"/>
      <c r="P6" s="80">
        <f>IF(SUM(I6,L6,N6)&lt;&gt;0,TRUNC(SUM(I6,L6,N6),1),"")</f>
        <v>2099.6999999999998</v>
      </c>
      <c r="Q6" s="74" t="s">
        <v>569</v>
      </c>
      <c r="R6" s="48" t="s">
        <v>919</v>
      </c>
      <c r="Z6" s="48" t="s">
        <v>920</v>
      </c>
    </row>
    <row r="7" spans="1:31" ht="23.25" customHeight="1">
      <c r="B7" s="64" t="s">
        <v>921</v>
      </c>
      <c r="D7" s="74" t="s">
        <v>922</v>
      </c>
      <c r="E7" s="74"/>
      <c r="F7" s="54"/>
      <c r="G7" s="80"/>
      <c r="H7" s="80"/>
      <c r="I7" s="80">
        <f>TRUNC(SUM(I4:I6))</f>
        <v>501</v>
      </c>
      <c r="J7" s="80"/>
      <c r="K7" s="80"/>
      <c r="L7" s="80">
        <f>TRUNC(SUM(L4:L6))</f>
        <v>4659</v>
      </c>
      <c r="M7" s="80"/>
      <c r="N7" s="80">
        <f>TRUNC(SUM(N4:N6))</f>
        <v>483</v>
      </c>
      <c r="O7" s="80"/>
      <c r="P7" s="80">
        <f>IF(SUM(I7,L7,N7)&lt;&gt;0,TRUNC(SUM(I7,L7,N7),1),"")</f>
        <v>5643</v>
      </c>
      <c r="Q7" s="74"/>
      <c r="AE7" s="48">
        <f>TRUNC(SUM(AE4:AE6))</f>
        <v>0</v>
      </c>
    </row>
    <row r="8" spans="1:31" ht="23.25" customHeight="1">
      <c r="D8" s="74"/>
      <c r="E8" s="74"/>
      <c r="F8" s="54"/>
      <c r="G8" s="80"/>
      <c r="H8" s="80"/>
      <c r="I8" s="80" t="str">
        <f>IF(G8*H8&lt;&gt;0, TRUNC(G8*H8,1),"")</f>
        <v/>
      </c>
      <c r="J8" s="80"/>
      <c r="K8" s="80"/>
      <c r="L8" s="80" t="str">
        <f>IF(G8*K8&lt;&gt;0, TRUNC(G8*K8,1),"")</f>
        <v/>
      </c>
      <c r="M8" s="80"/>
      <c r="N8" s="80" t="str">
        <f>IF(G8*M8&lt;&gt;0, TRUNC(G8*M8,1),"")</f>
        <v/>
      </c>
      <c r="O8" s="80"/>
      <c r="P8" s="80" t="str">
        <f>IF(SUM(I8,L8,N8)&lt;&gt;0,TRUNC(SUM(I8,L8,N8),1),"")</f>
        <v/>
      </c>
      <c r="Q8" s="74"/>
    </row>
    <row r="9" spans="1:31" ht="23.25" customHeight="1">
      <c r="A9" s="64" t="s">
        <v>704</v>
      </c>
      <c r="B9" s="64" t="s">
        <v>915</v>
      </c>
      <c r="C9" s="76" t="s">
        <v>705</v>
      </c>
      <c r="D9" s="158" t="s">
        <v>923</v>
      </c>
      <c r="E9" s="159"/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60"/>
    </row>
    <row r="10" spans="1:31" ht="23.25" customHeight="1">
      <c r="A10" s="64" t="s">
        <v>737</v>
      </c>
      <c r="B10" s="64" t="s">
        <v>706</v>
      </c>
      <c r="C10" s="76" t="s">
        <v>738</v>
      </c>
      <c r="D10" s="74" t="s">
        <v>740</v>
      </c>
      <c r="E10" s="74" t="s">
        <v>736</v>
      </c>
      <c r="F10" s="54" t="s">
        <v>294</v>
      </c>
      <c r="G10" s="80">
        <v>0.1</v>
      </c>
      <c r="H10" s="80">
        <f>일대목차!H12</f>
        <v>516</v>
      </c>
      <c r="I10" s="80">
        <f>IF(G10*H10&lt;&gt;0, TRUNC(G10*H10,1),"")</f>
        <v>51.6</v>
      </c>
      <c r="J10" s="80">
        <v>0.1</v>
      </c>
      <c r="K10" s="80">
        <f>일대목차!K12</f>
        <v>17206</v>
      </c>
      <c r="L10" s="80">
        <f>IF(G10*K10&lt;&gt;0, TRUNC(G10*K10,1),"")</f>
        <v>1720.6</v>
      </c>
      <c r="M10" s="80">
        <f>일대목차!M12</f>
        <v>0</v>
      </c>
      <c r="N10" s="80" t="str">
        <f>IF(G10*M10&lt;&gt;0, TRUNC(G10*M10,1),"")</f>
        <v/>
      </c>
      <c r="O10" s="80"/>
      <c r="P10" s="80">
        <f>IF(SUM(I10,L10,N10)&lt;&gt;0,TRUNC(SUM(I10,L10,N10),1),"")</f>
        <v>1772.2</v>
      </c>
      <c r="Q10" s="74" t="s">
        <v>739</v>
      </c>
      <c r="R10" s="48" t="s">
        <v>917</v>
      </c>
      <c r="Z10" s="48" t="s">
        <v>920</v>
      </c>
    </row>
    <row r="11" spans="1:31" ht="23.25" customHeight="1">
      <c r="A11" s="64" t="s">
        <v>924</v>
      </c>
      <c r="B11" s="64" t="s">
        <v>706</v>
      </c>
      <c r="C11" s="76" t="s">
        <v>523</v>
      </c>
      <c r="D11" s="74" t="s">
        <v>524</v>
      </c>
      <c r="E11" s="74" t="s">
        <v>519</v>
      </c>
      <c r="F11" s="54" t="s">
        <v>294</v>
      </c>
      <c r="G11" s="80">
        <v>0.9</v>
      </c>
      <c r="H11" s="80">
        <f>합산자재!H113</f>
        <v>442</v>
      </c>
      <c r="I11" s="80">
        <f>IF(G11*H11&lt;&gt;0, TRUNC(G11*H11,1),"")</f>
        <v>397.8</v>
      </c>
      <c r="J11" s="80">
        <v>0.9</v>
      </c>
      <c r="K11" s="80">
        <f>합산자재!I113</f>
        <v>1354</v>
      </c>
      <c r="L11" s="80">
        <f>IF(G11*K11&lt;&gt;0, TRUNC(G11*K11,1),"")</f>
        <v>1218.5999999999999</v>
      </c>
      <c r="M11" s="80">
        <f>합산자재!J113</f>
        <v>537</v>
      </c>
      <c r="N11" s="80">
        <f>IF(G11*M11&lt;&gt;0, TRUNC(G11*M11,1),"")</f>
        <v>483.3</v>
      </c>
      <c r="O11" s="80"/>
      <c r="P11" s="80">
        <f>IF(SUM(I11,L11,N11)&lt;&gt;0,TRUNC(SUM(I11,L11,N11),1),"")</f>
        <v>2099.6999999999998</v>
      </c>
      <c r="Q11" s="74" t="s">
        <v>569</v>
      </c>
      <c r="R11" s="48" t="s">
        <v>919</v>
      </c>
    </row>
    <row r="12" spans="1:31" ht="23.25" customHeight="1">
      <c r="B12" s="64" t="s">
        <v>921</v>
      </c>
      <c r="D12" s="74" t="s">
        <v>922</v>
      </c>
      <c r="E12" s="74"/>
      <c r="F12" s="54"/>
      <c r="G12" s="80"/>
      <c r="H12" s="80"/>
      <c r="I12" s="80">
        <f>TRUNC(SUM(I9:I11))</f>
        <v>449</v>
      </c>
      <c r="J12" s="80"/>
      <c r="K12" s="80"/>
      <c r="L12" s="80">
        <f>TRUNC(SUM(L9:L11))</f>
        <v>2939</v>
      </c>
      <c r="M12" s="80"/>
      <c r="N12" s="80">
        <f>TRUNC(SUM(N9:N11))</f>
        <v>483</v>
      </c>
      <c r="O12" s="80"/>
      <c r="P12" s="80">
        <f>IF(SUM(I12,L12,N12)&lt;&gt;0,TRUNC(SUM(I12,L12,N12),1),"")</f>
        <v>3871</v>
      </c>
      <c r="Q12" s="74"/>
      <c r="AE12" s="48">
        <f>TRUNC(SUM(AE9:AE11))</f>
        <v>0</v>
      </c>
    </row>
    <row r="13" spans="1:31" ht="23.25" customHeight="1">
      <c r="D13" s="74"/>
      <c r="E13" s="74"/>
      <c r="F13" s="54"/>
      <c r="G13" s="80"/>
      <c r="H13" s="80"/>
      <c r="I13" s="80" t="str">
        <f>IF(G13*H13&lt;&gt;0, TRUNC(G13*H13,1),"")</f>
        <v/>
      </c>
      <c r="J13" s="80"/>
      <c r="K13" s="80"/>
      <c r="L13" s="80" t="str">
        <f>IF(G13*K13&lt;&gt;0, TRUNC(G13*K13,1),"")</f>
        <v/>
      </c>
      <c r="M13" s="80"/>
      <c r="N13" s="80" t="str">
        <f>IF(G13*M13&lt;&gt;0, TRUNC(G13*M13,1),"")</f>
        <v/>
      </c>
      <c r="O13" s="80"/>
      <c r="P13" s="80" t="str">
        <f>IF(SUM(I13,L13,N13)&lt;&gt;0,TRUNC(SUM(I13,L13,N13),1),"")</f>
        <v/>
      </c>
      <c r="Q13" s="74"/>
    </row>
    <row r="14" spans="1:31" ht="23.25" customHeight="1">
      <c r="A14" s="64" t="s">
        <v>708</v>
      </c>
      <c r="B14" s="64" t="s">
        <v>915</v>
      </c>
      <c r="C14" s="76" t="s">
        <v>709</v>
      </c>
      <c r="D14" s="158" t="s">
        <v>925</v>
      </c>
      <c r="E14" s="159"/>
      <c r="F14" s="159"/>
      <c r="G14" s="159"/>
      <c r="H14" s="159"/>
      <c r="I14" s="159"/>
      <c r="J14" s="159"/>
      <c r="K14" s="159"/>
      <c r="L14" s="159"/>
      <c r="M14" s="159"/>
      <c r="N14" s="159"/>
      <c r="O14" s="159"/>
      <c r="P14" s="159"/>
      <c r="Q14" s="160"/>
    </row>
    <row r="15" spans="1:31" ht="23.25" customHeight="1">
      <c r="A15" s="64" t="s">
        <v>579</v>
      </c>
      <c r="B15" s="64" t="s">
        <v>710</v>
      </c>
      <c r="C15" s="76" t="s">
        <v>549</v>
      </c>
      <c r="D15" s="74" t="s">
        <v>530</v>
      </c>
      <c r="E15" s="74" t="s">
        <v>550</v>
      </c>
      <c r="F15" s="54" t="s">
        <v>532</v>
      </c>
      <c r="G15" s="80">
        <f>일위노임!G6</f>
        <v>0.2</v>
      </c>
      <c r="H15" s="80">
        <f>합산자재!H124</f>
        <v>0</v>
      </c>
      <c r="I15" s="80" t="str">
        <f>IF(G15*H15&lt;&gt;0, TRUNC(G15*H15,1),"")</f>
        <v/>
      </c>
      <c r="J15" s="80">
        <v>0.2</v>
      </c>
      <c r="K15" s="80">
        <f>합산자재!I124</f>
        <v>172068</v>
      </c>
      <c r="L15" s="80">
        <f>IF(G15*K15&lt;&gt;0, TRUNC(G15*K15,1),"")</f>
        <v>34413.599999999999</v>
      </c>
      <c r="M15" s="80">
        <f>합산자재!J124</f>
        <v>0</v>
      </c>
      <c r="N15" s="80" t="str">
        <f>IF(G15*M15&lt;&gt;0, TRUNC(G15*M15,1),"")</f>
        <v/>
      </c>
      <c r="O15" s="80"/>
      <c r="P15" s="80">
        <f>IF(SUM(I15,L15,N15)&lt;&gt;0,TRUNC(SUM(I15,L15,N15),1),"")</f>
        <v>34413.599999999999</v>
      </c>
      <c r="Q15" s="74"/>
      <c r="Z15" s="48" t="s">
        <v>920</v>
      </c>
      <c r="AE15" s="48">
        <f>L15</f>
        <v>34413.599999999999</v>
      </c>
    </row>
    <row r="16" spans="1:31" ht="23.25" customHeight="1">
      <c r="A16" s="64" t="s">
        <v>926</v>
      </c>
      <c r="B16" s="64" t="s">
        <v>710</v>
      </c>
      <c r="C16" s="76" t="s">
        <v>927</v>
      </c>
      <c r="D16" s="74" t="s">
        <v>928</v>
      </c>
      <c r="E16" s="74" t="s">
        <v>929</v>
      </c>
      <c r="F16" s="54" t="s">
        <v>458</v>
      </c>
      <c r="G16" s="80">
        <v>1</v>
      </c>
      <c r="H16" s="80">
        <f>IF(TRUNC((AD17+AC17)/$AE$3,1)*$AE$3-AD17 &lt;0, AC17, TRUNC((AD17+AC17)/$AE$3,1)*$AE$3-AD17)</f>
        <v>1032.3000000000029</v>
      </c>
      <c r="I16" s="80">
        <f>H16</f>
        <v>1032.3000000000029</v>
      </c>
      <c r="J16" s="80">
        <v>1</v>
      </c>
      <c r="K16" s="80"/>
      <c r="L16" s="80" t="str">
        <f>IF(G16*K16&lt;&gt;0, TRUNC(G16*K16,1),"")</f>
        <v/>
      </c>
      <c r="M16" s="80"/>
      <c r="N16" s="80" t="str">
        <f>IF(G16*M16&lt;&gt;0, TRUNC(G16*M16,1),"")</f>
        <v/>
      </c>
      <c r="O16" s="80"/>
      <c r="P16" s="80">
        <f>IF(SUM(I16,L16,N16)&lt;&gt;0,TRUNC(SUM(I16,L16,N16),1),"")</f>
        <v>1032.3</v>
      </c>
      <c r="Q16" s="74"/>
    </row>
    <row r="17" spans="1:31" ht="23.25" customHeight="1">
      <c r="B17" s="64" t="s">
        <v>921</v>
      </c>
      <c r="D17" s="74" t="s">
        <v>922</v>
      </c>
      <c r="E17" s="74"/>
      <c r="F17" s="54"/>
      <c r="G17" s="80"/>
      <c r="H17" s="80"/>
      <c r="I17" s="80">
        <f>TRUNC(SUM(I14:I16))</f>
        <v>1032</v>
      </c>
      <c r="J17" s="80"/>
      <c r="K17" s="80"/>
      <c r="L17" s="80">
        <f>TRUNC(SUM(L14:L16))</f>
        <v>34413</v>
      </c>
      <c r="M17" s="80"/>
      <c r="N17" s="80">
        <f>TRUNC(SUM(N14:N16))</f>
        <v>0</v>
      </c>
      <c r="O17" s="80"/>
      <c r="P17" s="80">
        <f>IF(SUM(I17,L17,N17)&lt;&gt;0,TRUNC(SUM(I17,L17,N17),1),"")</f>
        <v>35445</v>
      </c>
      <c r="Q17" s="74"/>
      <c r="AC17" s="48">
        <f>TRUNC(AE17*옵션!$B$36/100,1)</f>
        <v>1032.3</v>
      </c>
      <c r="AD17" s="48">
        <f>TRUNC(SUM(L14:L15))</f>
        <v>34413</v>
      </c>
      <c r="AE17" s="48">
        <f>TRUNC(SUM(AE14:AE16))</f>
        <v>34413</v>
      </c>
    </row>
    <row r="18" spans="1:31" ht="23.25" customHeight="1">
      <c r="D18" s="74"/>
      <c r="E18" s="74"/>
      <c r="F18" s="54"/>
      <c r="G18" s="80"/>
      <c r="H18" s="80"/>
      <c r="I18" s="80" t="str">
        <f>IF(G18*H18&lt;&gt;0, TRUNC(G18*H18,1),"")</f>
        <v/>
      </c>
      <c r="J18" s="80"/>
      <c r="K18" s="80"/>
      <c r="L18" s="80" t="str">
        <f>IF(G18*K18&lt;&gt;0, TRUNC(G18*K18,1),"")</f>
        <v/>
      </c>
      <c r="M18" s="80"/>
      <c r="N18" s="80" t="str">
        <f>IF(G18*M18&lt;&gt;0, TRUNC(G18*M18,1),"")</f>
        <v/>
      </c>
      <c r="O18" s="80"/>
      <c r="P18" s="80" t="str">
        <f>IF(SUM(I18,L18,N18)&lt;&gt;0,TRUNC(SUM(I18,L18,N18),1),"")</f>
        <v/>
      </c>
      <c r="Q18" s="74"/>
    </row>
    <row r="19" spans="1:31" ht="23.25" customHeight="1">
      <c r="A19" s="64" t="s">
        <v>713</v>
      </c>
      <c r="B19" s="64" t="s">
        <v>915</v>
      </c>
      <c r="C19" s="76" t="s">
        <v>714</v>
      </c>
      <c r="D19" s="158" t="s">
        <v>930</v>
      </c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60"/>
      <c r="Z19" s="48" t="s">
        <v>920</v>
      </c>
    </row>
    <row r="20" spans="1:31" ht="23.25" customHeight="1">
      <c r="A20" s="64" t="s">
        <v>579</v>
      </c>
      <c r="B20" s="64" t="s">
        <v>715</v>
      </c>
      <c r="C20" s="76" t="s">
        <v>549</v>
      </c>
      <c r="D20" s="74" t="s">
        <v>530</v>
      </c>
      <c r="E20" s="74" t="s">
        <v>550</v>
      </c>
      <c r="F20" s="54" t="s">
        <v>532</v>
      </c>
      <c r="G20" s="80">
        <f>일위노임!G10</f>
        <v>0.15</v>
      </c>
      <c r="H20" s="80">
        <f>합산자재!H124</f>
        <v>0</v>
      </c>
      <c r="I20" s="80" t="str">
        <f>IF(G20*H20&lt;&gt;0, TRUNC(G20*H20,1),"")</f>
        <v/>
      </c>
      <c r="J20" s="80">
        <v>0.15</v>
      </c>
      <c r="K20" s="80">
        <f>합산자재!I124</f>
        <v>172068</v>
      </c>
      <c r="L20" s="80">
        <f>IF(G20*K20&lt;&gt;0, TRUNC(G20*K20,1),"")</f>
        <v>25810.2</v>
      </c>
      <c r="M20" s="80">
        <f>합산자재!J124</f>
        <v>0</v>
      </c>
      <c r="N20" s="80" t="str">
        <f>IF(G20*M20&lt;&gt;0, TRUNC(G20*M20,1),"")</f>
        <v/>
      </c>
      <c r="O20" s="80"/>
      <c r="P20" s="80">
        <f>IF(SUM(I20,L20,N20)&lt;&gt;0,TRUNC(SUM(I20,L20,N20),1),"")</f>
        <v>25810.2</v>
      </c>
      <c r="Q20" s="74"/>
      <c r="AE20" s="48">
        <f>L20</f>
        <v>25810.2</v>
      </c>
    </row>
    <row r="21" spans="1:31" ht="23.25" customHeight="1">
      <c r="A21" s="64" t="s">
        <v>584</v>
      </c>
      <c r="B21" s="64" t="s">
        <v>715</v>
      </c>
      <c r="C21" s="76" t="s">
        <v>559</v>
      </c>
      <c r="D21" s="74" t="s">
        <v>530</v>
      </c>
      <c r="E21" s="74" t="s">
        <v>560</v>
      </c>
      <c r="F21" s="54" t="s">
        <v>532</v>
      </c>
      <c r="G21" s="80">
        <f>일위노임!G11</f>
        <v>0.12</v>
      </c>
      <c r="H21" s="80">
        <f>합산자재!H129</f>
        <v>0</v>
      </c>
      <c r="I21" s="80" t="str">
        <f>IF(G21*H21&lt;&gt;0, TRUNC(G21*H21,1),"")</f>
        <v/>
      </c>
      <c r="J21" s="80">
        <v>0.12</v>
      </c>
      <c r="K21" s="80">
        <f>합산자재!I129</f>
        <v>273540</v>
      </c>
      <c r="L21" s="80">
        <f>IF(G21*K21&lt;&gt;0, TRUNC(G21*K21,1),"")</f>
        <v>32824.800000000003</v>
      </c>
      <c r="M21" s="80">
        <f>합산자재!J129</f>
        <v>0</v>
      </c>
      <c r="N21" s="80" t="str">
        <f>IF(G21*M21&lt;&gt;0, TRUNC(G21*M21,1),"")</f>
        <v/>
      </c>
      <c r="O21" s="80"/>
      <c r="P21" s="80">
        <f>IF(SUM(I21,L21,N21)&lt;&gt;0,TRUNC(SUM(I21,L21,N21),1),"")</f>
        <v>32824.800000000003</v>
      </c>
      <c r="Q21" s="74"/>
      <c r="AE21" s="48">
        <f>L21</f>
        <v>32824.800000000003</v>
      </c>
    </row>
    <row r="22" spans="1:31" ht="23.25" customHeight="1">
      <c r="A22" s="64" t="s">
        <v>926</v>
      </c>
      <c r="B22" s="64" t="s">
        <v>715</v>
      </c>
      <c r="C22" s="76" t="s">
        <v>927</v>
      </c>
      <c r="D22" s="74" t="s">
        <v>928</v>
      </c>
      <c r="E22" s="74" t="s">
        <v>929</v>
      </c>
      <c r="F22" s="54" t="s">
        <v>458</v>
      </c>
      <c r="G22" s="80">
        <v>1</v>
      </c>
      <c r="H22" s="80">
        <f>IF(TRUNC((AD23+AC23)/$AE$3,1)*$AE$3-AD23 &lt;0, AC23, TRUNC((AD23+AC23)/$AE$3,1)*$AE$3-AD23)</f>
        <v>1759</v>
      </c>
      <c r="I22" s="80">
        <f>H22</f>
        <v>1759</v>
      </c>
      <c r="J22" s="80">
        <v>1</v>
      </c>
      <c r="K22" s="80"/>
      <c r="L22" s="80" t="str">
        <f>IF(G22*K22&lt;&gt;0, TRUNC(G22*K22,1),"")</f>
        <v/>
      </c>
      <c r="M22" s="80"/>
      <c r="N22" s="80" t="str">
        <f>IF(G22*M22&lt;&gt;0, TRUNC(G22*M22,1),"")</f>
        <v/>
      </c>
      <c r="O22" s="80"/>
      <c r="P22" s="80">
        <f>IF(SUM(I22,L22,N22)&lt;&gt;0,TRUNC(SUM(I22,L22,N22),1),"")</f>
        <v>1759</v>
      </c>
      <c r="Q22" s="74"/>
      <c r="Z22" s="48" t="s">
        <v>920</v>
      </c>
    </row>
    <row r="23" spans="1:31" ht="23.25" customHeight="1">
      <c r="B23" s="64" t="s">
        <v>921</v>
      </c>
      <c r="D23" s="74" t="s">
        <v>922</v>
      </c>
      <c r="E23" s="74"/>
      <c r="F23" s="54"/>
      <c r="G23" s="80"/>
      <c r="H23" s="80"/>
      <c r="I23" s="80">
        <f>TRUNC(SUM(I19:I22))</f>
        <v>1759</v>
      </c>
      <c r="J23" s="80"/>
      <c r="K23" s="80"/>
      <c r="L23" s="80">
        <f>TRUNC(SUM(L19:L22))</f>
        <v>58635</v>
      </c>
      <c r="M23" s="80"/>
      <c r="N23" s="80">
        <f>TRUNC(SUM(N19:N22))</f>
        <v>0</v>
      </c>
      <c r="O23" s="80"/>
      <c r="P23" s="80">
        <f>IF(SUM(I23,L23,N23)&lt;&gt;0,TRUNC(SUM(I23,L23,N23),1),"")</f>
        <v>60394</v>
      </c>
      <c r="Q23" s="74"/>
      <c r="AC23" s="48">
        <f>TRUNC(AE23*옵션!$B$36/100,1)</f>
        <v>1759</v>
      </c>
      <c r="AD23" s="48">
        <f>TRUNC(SUM(L19:L21))</f>
        <v>58635</v>
      </c>
      <c r="AE23" s="48">
        <f>TRUNC(SUM(AE19:AE22))</f>
        <v>58635</v>
      </c>
    </row>
    <row r="24" spans="1:31" ht="23.25" customHeight="1">
      <c r="D24" s="74"/>
      <c r="E24" s="74"/>
      <c r="F24" s="54"/>
      <c r="G24" s="80"/>
      <c r="H24" s="80"/>
      <c r="I24" s="80" t="str">
        <f>IF(G24*H24&lt;&gt;0, TRUNC(G24*H24,1),"")</f>
        <v/>
      </c>
      <c r="J24" s="80"/>
      <c r="K24" s="80"/>
      <c r="L24" s="80" t="str">
        <f>IF(G24*K24&lt;&gt;0, TRUNC(G24*K24,1),"")</f>
        <v/>
      </c>
      <c r="M24" s="80"/>
      <c r="N24" s="80" t="str">
        <f>IF(G24*M24&lt;&gt;0, TRUNC(G24*M24,1),"")</f>
        <v/>
      </c>
      <c r="O24" s="80"/>
      <c r="P24" s="80" t="str">
        <f>IF(SUM(I24,L24,N24)&lt;&gt;0,TRUNC(SUM(I24,L24,N24),1),"")</f>
        <v/>
      </c>
      <c r="Q24" s="74"/>
    </row>
    <row r="25" spans="1:31" ht="23.25" customHeight="1">
      <c r="A25" s="64" t="s">
        <v>718</v>
      </c>
      <c r="B25" s="64" t="s">
        <v>915</v>
      </c>
      <c r="C25" s="76" t="s">
        <v>719</v>
      </c>
      <c r="D25" s="158" t="s">
        <v>931</v>
      </c>
      <c r="E25" s="159"/>
      <c r="F25" s="159"/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60"/>
      <c r="Z25" s="48" t="s">
        <v>920</v>
      </c>
    </row>
    <row r="26" spans="1:31" ht="23.25" customHeight="1">
      <c r="A26" s="64" t="s">
        <v>932</v>
      </c>
      <c r="B26" s="64" t="s">
        <v>720</v>
      </c>
      <c r="C26" s="76" t="s">
        <v>295</v>
      </c>
      <c r="D26" s="74" t="s">
        <v>296</v>
      </c>
      <c r="E26" s="74" t="s">
        <v>297</v>
      </c>
      <c r="F26" s="54" t="s">
        <v>298</v>
      </c>
      <c r="G26" s="80">
        <v>0.39140000000000003</v>
      </c>
      <c r="H26" s="80">
        <f>합산자재!H37</f>
        <v>10900</v>
      </c>
      <c r="I26" s="80">
        <f>IF(G26*H26&lt;&gt;0, TRUNC(G26*H26,1),"")</f>
        <v>4266.2</v>
      </c>
      <c r="J26" s="80">
        <v>0.39140000000000003</v>
      </c>
      <c r="K26" s="80">
        <f>합산자재!I37</f>
        <v>0</v>
      </c>
      <c r="L26" s="80" t="str">
        <f t="shared" ref="L26:L31" si="0">IF(G26*K26&lt;&gt;0, TRUNC(G26*K26,1),"")</f>
        <v/>
      </c>
      <c r="M26" s="80">
        <f>합산자재!J37</f>
        <v>0</v>
      </c>
      <c r="N26" s="80" t="str">
        <f t="shared" ref="N26:N31" si="1">IF(G26*M26&lt;&gt;0, TRUNC(G26*M26,1),"")</f>
        <v/>
      </c>
      <c r="O26" s="80"/>
      <c r="P26" s="80">
        <f t="shared" ref="P26:P33" si="2">IF(SUM(I26,L26,N26)&lt;&gt;0,TRUNC(SUM(I26,L26,N26),1),"")</f>
        <v>4266.2</v>
      </c>
      <c r="Q26" s="74"/>
    </row>
    <row r="27" spans="1:31" ht="23.25" customHeight="1">
      <c r="A27" s="64" t="s">
        <v>933</v>
      </c>
      <c r="B27" s="64" t="s">
        <v>720</v>
      </c>
      <c r="C27" s="76" t="s">
        <v>291</v>
      </c>
      <c r="D27" s="74" t="s">
        <v>292</v>
      </c>
      <c r="E27" s="74" t="s">
        <v>293</v>
      </c>
      <c r="F27" s="54" t="s">
        <v>294</v>
      </c>
      <c r="G27" s="80">
        <v>1.44E-2</v>
      </c>
      <c r="H27" s="80">
        <f>합산자재!H36</f>
        <v>1326000</v>
      </c>
      <c r="I27" s="80">
        <f>IF(G27*H27&lt;&gt;0, TRUNC(G27*H27,1),"")</f>
        <v>19094.400000000001</v>
      </c>
      <c r="J27" s="80">
        <v>1.44E-2</v>
      </c>
      <c r="K27" s="80">
        <f>합산자재!I36</f>
        <v>0</v>
      </c>
      <c r="L27" s="80" t="str">
        <f t="shared" si="0"/>
        <v/>
      </c>
      <c r="M27" s="80">
        <f>합산자재!J36</f>
        <v>0</v>
      </c>
      <c r="N27" s="80" t="str">
        <f t="shared" si="1"/>
        <v/>
      </c>
      <c r="O27" s="80"/>
      <c r="P27" s="80">
        <f t="shared" si="2"/>
        <v>19094.400000000001</v>
      </c>
      <c r="Q27" s="74"/>
    </row>
    <row r="28" spans="1:31" ht="23.25" customHeight="1">
      <c r="A28" s="64" t="s">
        <v>934</v>
      </c>
      <c r="B28" s="64" t="s">
        <v>720</v>
      </c>
      <c r="C28" s="76" t="s">
        <v>455</v>
      </c>
      <c r="D28" s="74" t="s">
        <v>456</v>
      </c>
      <c r="E28" s="74" t="s">
        <v>457</v>
      </c>
      <c r="F28" s="54" t="s">
        <v>458</v>
      </c>
      <c r="G28" s="80">
        <v>1</v>
      </c>
      <c r="H28" s="80">
        <f>합산자재!H88</f>
        <v>0</v>
      </c>
      <c r="I28" s="80" t="str">
        <f>IF(G28*H28&lt;&gt;0, TRUNC(G28*H28,1),"")</f>
        <v/>
      </c>
      <c r="J28" s="80">
        <v>1</v>
      </c>
      <c r="K28" s="80">
        <f>합산자재!I88</f>
        <v>0</v>
      </c>
      <c r="L28" s="80" t="str">
        <f t="shared" si="0"/>
        <v/>
      </c>
      <c r="M28" s="80">
        <f>합산자재!J88</f>
        <v>0</v>
      </c>
      <c r="N28" s="80" t="str">
        <f t="shared" si="1"/>
        <v/>
      </c>
      <c r="O28" s="80"/>
      <c r="P28" s="80" t="str">
        <f t="shared" si="2"/>
        <v/>
      </c>
      <c r="Q28" s="74"/>
      <c r="Z28" s="48" t="s">
        <v>920</v>
      </c>
    </row>
    <row r="29" spans="1:31" ht="23.25" customHeight="1">
      <c r="A29" s="64" t="s">
        <v>579</v>
      </c>
      <c r="B29" s="64" t="s">
        <v>720</v>
      </c>
      <c r="C29" s="76" t="s">
        <v>549</v>
      </c>
      <c r="D29" s="74" t="s">
        <v>530</v>
      </c>
      <c r="E29" s="74" t="s">
        <v>550</v>
      </c>
      <c r="F29" s="54" t="s">
        <v>532</v>
      </c>
      <c r="G29" s="80">
        <f>일위노임!G15</f>
        <v>0.03</v>
      </c>
      <c r="H29" s="80">
        <f>합산자재!H124</f>
        <v>0</v>
      </c>
      <c r="I29" s="80" t="str">
        <f>IF(G29*H29&lt;&gt;0, TRUNC(G29*H29,1),"")</f>
        <v/>
      </c>
      <c r="J29" s="80">
        <v>0.03</v>
      </c>
      <c r="K29" s="80">
        <f>합산자재!I124</f>
        <v>172068</v>
      </c>
      <c r="L29" s="80">
        <f t="shared" si="0"/>
        <v>5162</v>
      </c>
      <c r="M29" s="80">
        <f>합산자재!J124</f>
        <v>0</v>
      </c>
      <c r="N29" s="80" t="str">
        <f t="shared" si="1"/>
        <v/>
      </c>
      <c r="O29" s="80"/>
      <c r="P29" s="80">
        <f t="shared" si="2"/>
        <v>5162</v>
      </c>
      <c r="Q29" s="74"/>
      <c r="AE29" s="48">
        <f>L29</f>
        <v>5162</v>
      </c>
    </row>
    <row r="30" spans="1:31" ht="23.25" customHeight="1">
      <c r="A30" s="64" t="s">
        <v>589</v>
      </c>
      <c r="B30" s="64" t="s">
        <v>720</v>
      </c>
      <c r="C30" s="76" t="s">
        <v>555</v>
      </c>
      <c r="D30" s="74" t="s">
        <v>530</v>
      </c>
      <c r="E30" s="74" t="s">
        <v>556</v>
      </c>
      <c r="F30" s="54" t="s">
        <v>532</v>
      </c>
      <c r="G30" s="80">
        <f>일위노임!G16</f>
        <v>0.11</v>
      </c>
      <c r="H30" s="80">
        <f>합산자재!H127</f>
        <v>0</v>
      </c>
      <c r="I30" s="80" t="str">
        <f>IF(G30*H30&lt;&gt;0, TRUNC(G30*H30,1),"")</f>
        <v/>
      </c>
      <c r="J30" s="80">
        <v>0.11</v>
      </c>
      <c r="K30" s="80">
        <f>합산자재!I127</f>
        <v>275790</v>
      </c>
      <c r="L30" s="80">
        <f t="shared" si="0"/>
        <v>30336.9</v>
      </c>
      <c r="M30" s="80">
        <f>합산자재!J127</f>
        <v>0</v>
      </c>
      <c r="N30" s="80" t="str">
        <f t="shared" si="1"/>
        <v/>
      </c>
      <c r="O30" s="80"/>
      <c r="P30" s="80">
        <f t="shared" si="2"/>
        <v>30336.9</v>
      </c>
      <c r="Q30" s="74"/>
      <c r="AE30" s="48">
        <f>L30</f>
        <v>30336.9</v>
      </c>
    </row>
    <row r="31" spans="1:31" ht="23.25" customHeight="1">
      <c r="A31" s="64" t="s">
        <v>926</v>
      </c>
      <c r="B31" s="64" t="s">
        <v>720</v>
      </c>
      <c r="C31" s="76" t="s">
        <v>927</v>
      </c>
      <c r="D31" s="74" t="s">
        <v>928</v>
      </c>
      <c r="E31" s="74" t="s">
        <v>929</v>
      </c>
      <c r="F31" s="54" t="s">
        <v>458</v>
      </c>
      <c r="G31" s="80">
        <v>1</v>
      </c>
      <c r="H31" s="80">
        <f>IF(TRUNC((AD32+AC32)/$AE$3,1)*$AE$3-AD32 &lt;0, AC32, TRUNC((AD32+AC32)/$AE$3,1)*$AE$3-AD32)</f>
        <v>1064.9000000000015</v>
      </c>
      <c r="I31" s="80">
        <f>H31</f>
        <v>1064.9000000000015</v>
      </c>
      <c r="J31" s="80">
        <v>1</v>
      </c>
      <c r="K31" s="80"/>
      <c r="L31" s="80" t="str">
        <f t="shared" si="0"/>
        <v/>
      </c>
      <c r="M31" s="80"/>
      <c r="N31" s="80" t="str">
        <f t="shared" si="1"/>
        <v/>
      </c>
      <c r="O31" s="80"/>
      <c r="P31" s="80">
        <f t="shared" si="2"/>
        <v>1064.9000000000001</v>
      </c>
      <c r="Q31" s="74"/>
    </row>
    <row r="32" spans="1:31" ht="23.25" customHeight="1">
      <c r="B32" s="64" t="s">
        <v>921</v>
      </c>
      <c r="D32" s="74" t="s">
        <v>922</v>
      </c>
      <c r="E32" s="74"/>
      <c r="F32" s="54"/>
      <c r="G32" s="80"/>
      <c r="H32" s="80"/>
      <c r="I32" s="80">
        <f>TRUNC(SUM(I25:I31))</f>
        <v>24425</v>
      </c>
      <c r="J32" s="80"/>
      <c r="K32" s="80"/>
      <c r="L32" s="80">
        <f>TRUNC(SUM(L25:L31))</f>
        <v>35498</v>
      </c>
      <c r="M32" s="80"/>
      <c r="N32" s="80">
        <f>TRUNC(SUM(N25:N31))</f>
        <v>0</v>
      </c>
      <c r="O32" s="80"/>
      <c r="P32" s="80">
        <f t="shared" si="2"/>
        <v>59923</v>
      </c>
      <c r="Q32" s="74"/>
      <c r="Z32" s="48" t="s">
        <v>920</v>
      </c>
      <c r="AC32" s="48">
        <f>TRUNC(AE32*옵션!$B$36/100,1)</f>
        <v>1064.9000000000001</v>
      </c>
      <c r="AD32" s="48">
        <f>TRUNC(SUM(L25:L30))</f>
        <v>35498</v>
      </c>
      <c r="AE32" s="48">
        <f>TRUNC(SUM(AE25:AE31))</f>
        <v>35498</v>
      </c>
    </row>
    <row r="33" spans="1:31" ht="23.25" customHeight="1">
      <c r="D33" s="74"/>
      <c r="E33" s="74"/>
      <c r="F33" s="54"/>
      <c r="G33" s="80"/>
      <c r="H33" s="80"/>
      <c r="I33" s="80" t="str">
        <f>IF(G33*H33&lt;&gt;0, TRUNC(G33*H33,1),"")</f>
        <v/>
      </c>
      <c r="J33" s="80"/>
      <c r="K33" s="80"/>
      <c r="L33" s="80" t="str">
        <f>IF(G33*K33&lt;&gt;0, TRUNC(G33*K33,1),"")</f>
        <v/>
      </c>
      <c r="M33" s="80"/>
      <c r="N33" s="80" t="str">
        <f>IF(G33*M33&lt;&gt;0, TRUNC(G33*M33,1),"")</f>
        <v/>
      </c>
      <c r="O33" s="80"/>
      <c r="P33" s="80" t="str">
        <f t="shared" si="2"/>
        <v/>
      </c>
      <c r="Q33" s="74"/>
    </row>
    <row r="34" spans="1:31" ht="23.25" customHeight="1">
      <c r="A34" s="64" t="s">
        <v>723</v>
      </c>
      <c r="B34" s="64" t="s">
        <v>915</v>
      </c>
      <c r="C34" s="76" t="s">
        <v>724</v>
      </c>
      <c r="D34" s="158" t="s">
        <v>935</v>
      </c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Q34" s="160"/>
    </row>
    <row r="35" spans="1:31" ht="23.25" customHeight="1">
      <c r="A35" s="64" t="s">
        <v>936</v>
      </c>
      <c r="B35" s="64" t="s">
        <v>725</v>
      </c>
      <c r="C35" s="76" t="s">
        <v>525</v>
      </c>
      <c r="D35" s="74" t="s">
        <v>526</v>
      </c>
      <c r="E35" s="74" t="s">
        <v>527</v>
      </c>
      <c r="F35" s="54" t="s">
        <v>528</v>
      </c>
      <c r="G35" s="80">
        <v>33</v>
      </c>
      <c r="H35" s="80">
        <f>합산자재!H114</f>
        <v>276</v>
      </c>
      <c r="I35" s="80">
        <f>IF(G35*H35&lt;&gt;0, TRUNC(G35*H35,1),"")</f>
        <v>9108</v>
      </c>
      <c r="J35" s="80">
        <v>33</v>
      </c>
      <c r="K35" s="80">
        <f>합산자재!I114</f>
        <v>984</v>
      </c>
      <c r="L35" s="80">
        <f>IF(G35*K35&lt;&gt;0, TRUNC(G35*K35,1),"")</f>
        <v>32472</v>
      </c>
      <c r="M35" s="80">
        <f>합산자재!J114</f>
        <v>961</v>
      </c>
      <c r="N35" s="80">
        <f>IF(G35*M35&lt;&gt;0, TRUNC(G35*M35,1),"")</f>
        <v>31713</v>
      </c>
      <c r="O35" s="80"/>
      <c r="P35" s="80">
        <f>IF(SUM(I35,L35,N35)&lt;&gt;0,TRUNC(SUM(I35,L35,N35),1),"")</f>
        <v>73293</v>
      </c>
      <c r="Q35" s="74" t="s">
        <v>570</v>
      </c>
      <c r="R35" s="48" t="s">
        <v>919</v>
      </c>
    </row>
    <row r="36" spans="1:31" ht="23.25" customHeight="1">
      <c r="A36" s="64" t="s">
        <v>593</v>
      </c>
      <c r="B36" s="64" t="s">
        <v>725</v>
      </c>
      <c r="C36" s="76" t="s">
        <v>529</v>
      </c>
      <c r="D36" s="74" t="s">
        <v>530</v>
      </c>
      <c r="E36" s="74" t="s">
        <v>531</v>
      </c>
      <c r="F36" s="54" t="s">
        <v>532</v>
      </c>
      <c r="G36" s="80">
        <f>일위노임!G19</f>
        <v>0.31</v>
      </c>
      <c r="H36" s="80">
        <f>합산자재!H115</f>
        <v>0</v>
      </c>
      <c r="I36" s="80" t="str">
        <f>IF(G36*H36&lt;&gt;0, TRUNC(G36*H36,1),"")</f>
        <v/>
      </c>
      <c r="J36" s="80">
        <v>0.31</v>
      </c>
      <c r="K36" s="80">
        <f>합산자재!I115</f>
        <v>273676</v>
      </c>
      <c r="L36" s="80">
        <f>IF(G36*K36&lt;&gt;0, TRUNC(G36*K36,1),"")</f>
        <v>84839.5</v>
      </c>
      <c r="M36" s="80">
        <f>합산자재!J115</f>
        <v>0</v>
      </c>
      <c r="N36" s="80" t="str">
        <f>IF(G36*M36&lt;&gt;0, TRUNC(G36*M36,1),"")</f>
        <v/>
      </c>
      <c r="O36" s="80"/>
      <c r="P36" s="80">
        <f>IF(SUM(I36,L36,N36)&lt;&gt;0,TRUNC(SUM(I36,L36,N36),1),"")</f>
        <v>84839.5</v>
      </c>
      <c r="Q36" s="74"/>
      <c r="AE36" s="48">
        <f>L36</f>
        <v>84839.5</v>
      </c>
    </row>
    <row r="37" spans="1:31" ht="23.25" customHeight="1">
      <c r="A37" s="64" t="s">
        <v>926</v>
      </c>
      <c r="B37" s="64" t="s">
        <v>725</v>
      </c>
      <c r="C37" s="76" t="s">
        <v>927</v>
      </c>
      <c r="D37" s="74" t="s">
        <v>928</v>
      </c>
      <c r="E37" s="74" t="s">
        <v>929</v>
      </c>
      <c r="F37" s="54" t="s">
        <v>458</v>
      </c>
      <c r="G37" s="80">
        <v>1</v>
      </c>
      <c r="H37" s="80">
        <f>IF(TRUNC((AD38+AC38)/$AE$3,1)*$AE$3-AD38 &lt;0, AC38, TRUNC((AD38+AC38)/$AE$3,1)*$AE$3-AD38)</f>
        <v>2545.1000000000058</v>
      </c>
      <c r="I37" s="80">
        <f>H37</f>
        <v>2545.1000000000058</v>
      </c>
      <c r="J37" s="80">
        <v>1</v>
      </c>
      <c r="K37" s="80"/>
      <c r="L37" s="80" t="str">
        <f>IF(G37*K37&lt;&gt;0, TRUNC(G37*K37,1),"")</f>
        <v/>
      </c>
      <c r="M37" s="80"/>
      <c r="N37" s="80" t="str">
        <f>IF(G37*M37&lt;&gt;0, TRUNC(G37*M37,1),"")</f>
        <v/>
      </c>
      <c r="O37" s="80"/>
      <c r="P37" s="80">
        <f>IF(SUM(I37,L37,N37)&lt;&gt;0,TRUNC(SUM(I37,L37,N37),1),"")</f>
        <v>2545.1</v>
      </c>
      <c r="Q37" s="74"/>
      <c r="Z37" s="48" t="s">
        <v>920</v>
      </c>
    </row>
    <row r="38" spans="1:31" ht="23.25" customHeight="1">
      <c r="B38" s="64" t="s">
        <v>921</v>
      </c>
      <c r="D38" s="74" t="s">
        <v>922</v>
      </c>
      <c r="E38" s="74"/>
      <c r="F38" s="54"/>
      <c r="G38" s="80"/>
      <c r="H38" s="80"/>
      <c r="I38" s="80">
        <f>TRUNC(SUM(I34:I37))</f>
        <v>11653</v>
      </c>
      <c r="J38" s="80"/>
      <c r="K38" s="80"/>
      <c r="L38" s="80">
        <f>TRUNC(SUM(L34:L37))</f>
        <v>117311</v>
      </c>
      <c r="M38" s="80"/>
      <c r="N38" s="80">
        <f>TRUNC(SUM(N34:N37))</f>
        <v>31713</v>
      </c>
      <c r="O38" s="80"/>
      <c r="P38" s="80">
        <f>IF(SUM(I38,L38,N38)&lt;&gt;0,TRUNC(SUM(I38,L38,N38),1),"")</f>
        <v>160677</v>
      </c>
      <c r="Q38" s="74"/>
      <c r="AC38" s="48">
        <f>TRUNC(AE38*옵션!$B$36/100,1)</f>
        <v>2545.1</v>
      </c>
      <c r="AD38" s="48">
        <f>TRUNC(SUM(L34:L36))</f>
        <v>117311</v>
      </c>
      <c r="AE38" s="48">
        <f>TRUNC(SUM(AE34:AE37))</f>
        <v>84839</v>
      </c>
    </row>
    <row r="39" spans="1:31" ht="23.25" customHeight="1">
      <c r="D39" s="74"/>
      <c r="E39" s="74"/>
      <c r="F39" s="54"/>
      <c r="G39" s="80"/>
      <c r="H39" s="80"/>
      <c r="I39" s="80" t="str">
        <f>IF(G39*H39&lt;&gt;0, TRUNC(G39*H39,1),"")</f>
        <v/>
      </c>
      <c r="J39" s="80"/>
      <c r="K39" s="80"/>
      <c r="L39" s="80" t="str">
        <f>IF(G39*K39&lt;&gt;0, TRUNC(G39*K39,1),"")</f>
        <v/>
      </c>
      <c r="M39" s="80"/>
      <c r="N39" s="80" t="str">
        <f>IF(G39*M39&lt;&gt;0, TRUNC(G39*M39,1),"")</f>
        <v/>
      </c>
      <c r="O39" s="80"/>
      <c r="P39" s="80" t="str">
        <f>IF(SUM(I39,L39,N39)&lt;&gt;0,TRUNC(SUM(I39,L39,N39),1),"")</f>
        <v/>
      </c>
      <c r="Q39" s="74"/>
    </row>
    <row r="40" spans="1:31" ht="23.25" customHeight="1">
      <c r="A40" s="64" t="s">
        <v>728</v>
      </c>
      <c r="B40" s="64" t="s">
        <v>915</v>
      </c>
      <c r="C40" s="76" t="s">
        <v>729</v>
      </c>
      <c r="D40" s="158" t="s">
        <v>937</v>
      </c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60"/>
    </row>
    <row r="41" spans="1:31" ht="23.25" customHeight="1">
      <c r="A41" s="64" t="s">
        <v>936</v>
      </c>
      <c r="B41" s="64" t="s">
        <v>730</v>
      </c>
      <c r="C41" s="76" t="s">
        <v>525</v>
      </c>
      <c r="D41" s="74" t="s">
        <v>526</v>
      </c>
      <c r="E41" s="74" t="s">
        <v>527</v>
      </c>
      <c r="F41" s="54" t="s">
        <v>528</v>
      </c>
      <c r="G41" s="80">
        <v>39</v>
      </c>
      <c r="H41" s="80">
        <f>합산자재!H114</f>
        <v>276</v>
      </c>
      <c r="I41" s="80">
        <f>IF(G41*H41&lt;&gt;0, TRUNC(G41*H41,1),"")</f>
        <v>10764</v>
      </c>
      <c r="J41" s="80">
        <v>39</v>
      </c>
      <c r="K41" s="80">
        <f>합산자재!I114</f>
        <v>984</v>
      </c>
      <c r="L41" s="80">
        <f>IF(G41*K41&lt;&gt;0, TRUNC(G41*K41,1),"")</f>
        <v>38376</v>
      </c>
      <c r="M41" s="80">
        <f>합산자재!J114</f>
        <v>961</v>
      </c>
      <c r="N41" s="80">
        <f>IF(G41*M41&lt;&gt;0, TRUNC(G41*M41,1),"")</f>
        <v>37479</v>
      </c>
      <c r="O41" s="80"/>
      <c r="P41" s="80">
        <f>IF(SUM(I41,L41,N41)&lt;&gt;0,TRUNC(SUM(I41,L41,N41),1),"")</f>
        <v>86619</v>
      </c>
      <c r="Q41" s="74" t="s">
        <v>570</v>
      </c>
      <c r="R41" s="48" t="s">
        <v>919</v>
      </c>
    </row>
    <row r="42" spans="1:31" ht="23.25" customHeight="1">
      <c r="A42" s="64" t="s">
        <v>593</v>
      </c>
      <c r="B42" s="64" t="s">
        <v>730</v>
      </c>
      <c r="C42" s="76" t="s">
        <v>529</v>
      </c>
      <c r="D42" s="74" t="s">
        <v>530</v>
      </c>
      <c r="E42" s="74" t="s">
        <v>531</v>
      </c>
      <c r="F42" s="54" t="s">
        <v>532</v>
      </c>
      <c r="G42" s="80">
        <f>일위노임!G22</f>
        <v>0.42</v>
      </c>
      <c r="H42" s="80">
        <f>합산자재!H115</f>
        <v>0</v>
      </c>
      <c r="I42" s="80" t="str">
        <f>IF(G42*H42&lt;&gt;0, TRUNC(G42*H42,1),"")</f>
        <v/>
      </c>
      <c r="J42" s="80">
        <v>0.42</v>
      </c>
      <c r="K42" s="80">
        <f>합산자재!I115</f>
        <v>273676</v>
      </c>
      <c r="L42" s="80">
        <f>IF(G42*K42&lt;&gt;0, TRUNC(G42*K42,1),"")</f>
        <v>114943.9</v>
      </c>
      <c r="M42" s="80">
        <f>합산자재!J115</f>
        <v>0</v>
      </c>
      <c r="N42" s="80" t="str">
        <f>IF(G42*M42&lt;&gt;0, TRUNC(G42*M42,1),"")</f>
        <v/>
      </c>
      <c r="O42" s="80"/>
      <c r="P42" s="80">
        <f>IF(SUM(I42,L42,N42)&lt;&gt;0,TRUNC(SUM(I42,L42,N42),1),"")</f>
        <v>114943.9</v>
      </c>
      <c r="Q42" s="74"/>
      <c r="Z42" s="48" t="s">
        <v>920</v>
      </c>
      <c r="AE42" s="48">
        <f>L42</f>
        <v>114943.9</v>
      </c>
    </row>
    <row r="43" spans="1:31" ht="23.25" customHeight="1">
      <c r="A43" s="64" t="s">
        <v>926</v>
      </c>
      <c r="B43" s="64" t="s">
        <v>730</v>
      </c>
      <c r="C43" s="76" t="s">
        <v>927</v>
      </c>
      <c r="D43" s="74" t="s">
        <v>928</v>
      </c>
      <c r="E43" s="74" t="s">
        <v>929</v>
      </c>
      <c r="F43" s="54" t="s">
        <v>458</v>
      </c>
      <c r="G43" s="80">
        <v>1</v>
      </c>
      <c r="H43" s="80">
        <f>IF(TRUNC((AD44+AC44)/$AE$3,1)*$AE$3-AD44 &lt;0, AC44, TRUNC((AD44+AC44)/$AE$3,1)*$AE$3-AD44)</f>
        <v>3448.2000000000116</v>
      </c>
      <c r="I43" s="80">
        <f>H43</f>
        <v>3448.2000000000116</v>
      </c>
      <c r="J43" s="80">
        <v>1</v>
      </c>
      <c r="K43" s="80"/>
      <c r="L43" s="80" t="str">
        <f>IF(G43*K43&lt;&gt;0, TRUNC(G43*K43,1),"")</f>
        <v/>
      </c>
      <c r="M43" s="80"/>
      <c r="N43" s="80" t="str">
        <f>IF(G43*M43&lt;&gt;0, TRUNC(G43*M43,1),"")</f>
        <v/>
      </c>
      <c r="O43" s="80"/>
      <c r="P43" s="80">
        <f>IF(SUM(I43,L43,N43)&lt;&gt;0,TRUNC(SUM(I43,L43,N43),1),"")</f>
        <v>3448.2</v>
      </c>
      <c r="Q43" s="74"/>
    </row>
    <row r="44" spans="1:31" ht="23.25" customHeight="1">
      <c r="B44" s="64" t="s">
        <v>921</v>
      </c>
      <c r="D44" s="74" t="s">
        <v>922</v>
      </c>
      <c r="E44" s="74"/>
      <c r="F44" s="54"/>
      <c r="G44" s="80"/>
      <c r="H44" s="80"/>
      <c r="I44" s="80">
        <f>TRUNC(SUM(I40:I43))</f>
        <v>14212</v>
      </c>
      <c r="J44" s="80"/>
      <c r="K44" s="80"/>
      <c r="L44" s="80">
        <f>TRUNC(SUM(L40:L43))</f>
        <v>153319</v>
      </c>
      <c r="M44" s="80"/>
      <c r="N44" s="80">
        <f>TRUNC(SUM(N40:N43))</f>
        <v>37479</v>
      </c>
      <c r="O44" s="80"/>
      <c r="P44" s="80">
        <f>IF(SUM(I44,L44,N44)&lt;&gt;0,TRUNC(SUM(I44,L44,N44),1),"")</f>
        <v>205010</v>
      </c>
      <c r="Q44" s="74"/>
      <c r="AC44" s="48">
        <f>TRUNC(AE44*옵션!$B$36/100,1)</f>
        <v>3448.2</v>
      </c>
      <c r="AD44" s="48">
        <f>TRUNC(SUM(L40:L42))</f>
        <v>153319</v>
      </c>
      <c r="AE44" s="48">
        <f>TRUNC(SUM(AE40:AE43))</f>
        <v>114943</v>
      </c>
    </row>
    <row r="45" spans="1:31" ht="23.25" customHeight="1">
      <c r="D45" s="74"/>
      <c r="E45" s="74"/>
      <c r="F45" s="54"/>
      <c r="G45" s="80"/>
      <c r="H45" s="80"/>
      <c r="I45" s="80" t="str">
        <f>IF(G45*H45&lt;&gt;0, TRUNC(G45*H45,1),"")</f>
        <v/>
      </c>
      <c r="J45" s="80"/>
      <c r="K45" s="80"/>
      <c r="L45" s="80" t="str">
        <f>IF(G45*K45&lt;&gt;0, TRUNC(G45*K45,1),"")</f>
        <v/>
      </c>
      <c r="M45" s="80"/>
      <c r="N45" s="80" t="str">
        <f>IF(G45*M45&lt;&gt;0, TRUNC(G45*M45,1),"")</f>
        <v/>
      </c>
      <c r="O45" s="80"/>
      <c r="P45" s="80" t="str">
        <f>IF(SUM(I45,L45,N45)&lt;&gt;0,TRUNC(SUM(I45,L45,N45),1),"")</f>
        <v/>
      </c>
      <c r="Q45" s="74"/>
    </row>
    <row r="46" spans="1:31" ht="23.25" customHeight="1">
      <c r="A46" s="64" t="s">
        <v>732</v>
      </c>
      <c r="B46" s="64" t="s">
        <v>915</v>
      </c>
      <c r="C46" s="76" t="s">
        <v>733</v>
      </c>
      <c r="D46" s="158" t="s">
        <v>938</v>
      </c>
      <c r="E46" s="159"/>
      <c r="F46" s="159"/>
      <c r="G46" s="159"/>
      <c r="H46" s="159"/>
      <c r="I46" s="159"/>
      <c r="J46" s="159"/>
      <c r="K46" s="159"/>
      <c r="L46" s="159"/>
      <c r="M46" s="159"/>
      <c r="N46" s="159"/>
      <c r="O46" s="159"/>
      <c r="P46" s="159"/>
      <c r="Q46" s="160"/>
    </row>
    <row r="47" spans="1:31" ht="23.25" customHeight="1">
      <c r="A47" s="64" t="s">
        <v>579</v>
      </c>
      <c r="B47" s="64" t="s">
        <v>734</v>
      </c>
      <c r="C47" s="76" t="s">
        <v>549</v>
      </c>
      <c r="D47" s="74" t="s">
        <v>530</v>
      </c>
      <c r="E47" s="74" t="s">
        <v>550</v>
      </c>
      <c r="F47" s="54" t="s">
        <v>532</v>
      </c>
      <c r="G47" s="80">
        <f>일위노임!G25</f>
        <v>0.2</v>
      </c>
      <c r="H47" s="80">
        <f>합산자재!H124</f>
        <v>0</v>
      </c>
      <c r="I47" s="80" t="str">
        <f>IF(G47*H47&lt;&gt;0, TRUNC(G47*H47,1),"")</f>
        <v/>
      </c>
      <c r="J47" s="80">
        <v>0.2</v>
      </c>
      <c r="K47" s="80">
        <f>합산자재!I124</f>
        <v>172068</v>
      </c>
      <c r="L47" s="80">
        <f>IF(G47*K47&lt;&gt;0, TRUNC(G47*K47,1),"")</f>
        <v>34413.599999999999</v>
      </c>
      <c r="M47" s="80">
        <f>합산자재!J124</f>
        <v>0</v>
      </c>
      <c r="N47" s="80" t="str">
        <f>IF(G47*M47&lt;&gt;0, TRUNC(G47*M47,1),"")</f>
        <v/>
      </c>
      <c r="O47" s="80"/>
      <c r="P47" s="80">
        <f>IF(SUM(I47,L47,N47)&lt;&gt;0,TRUNC(SUM(I47,L47,N47),1),"")</f>
        <v>34413.599999999999</v>
      </c>
      <c r="Q47" s="74"/>
      <c r="Z47" s="48" t="s">
        <v>920</v>
      </c>
      <c r="AE47" s="48">
        <f>L47</f>
        <v>34413.599999999999</v>
      </c>
    </row>
    <row r="48" spans="1:31" ht="23.25" customHeight="1">
      <c r="A48" s="64" t="s">
        <v>926</v>
      </c>
      <c r="B48" s="64" t="s">
        <v>734</v>
      </c>
      <c r="C48" s="76" t="s">
        <v>927</v>
      </c>
      <c r="D48" s="74" t="s">
        <v>928</v>
      </c>
      <c r="E48" s="74" t="s">
        <v>929</v>
      </c>
      <c r="F48" s="54" t="s">
        <v>458</v>
      </c>
      <c r="G48" s="80">
        <v>1</v>
      </c>
      <c r="H48" s="80">
        <f>IF(TRUNC((AD49+AC49)/$AE$3,1)*$AE$3-AD49 &lt;0, AC49, TRUNC((AD49+AC49)/$AE$3,1)*$AE$3-AD49)</f>
        <v>1032.3000000000029</v>
      </c>
      <c r="I48" s="80">
        <f>H48</f>
        <v>1032.3000000000029</v>
      </c>
      <c r="J48" s="80">
        <v>1</v>
      </c>
      <c r="K48" s="80"/>
      <c r="L48" s="80" t="str">
        <f>IF(G48*K48&lt;&gt;0, TRUNC(G48*K48,1),"")</f>
        <v/>
      </c>
      <c r="M48" s="80"/>
      <c r="N48" s="80" t="str">
        <f>IF(G48*M48&lt;&gt;0, TRUNC(G48*M48,1),"")</f>
        <v/>
      </c>
      <c r="O48" s="80"/>
      <c r="P48" s="80">
        <f>IF(SUM(I48,L48,N48)&lt;&gt;0,TRUNC(SUM(I48,L48,N48),1),"")</f>
        <v>1032.3</v>
      </c>
      <c r="Q48" s="74"/>
    </row>
    <row r="49" spans="1:31" ht="23.25" customHeight="1">
      <c r="B49" s="64" t="s">
        <v>921</v>
      </c>
      <c r="D49" s="74" t="s">
        <v>922</v>
      </c>
      <c r="E49" s="74"/>
      <c r="F49" s="54"/>
      <c r="G49" s="80"/>
      <c r="H49" s="80"/>
      <c r="I49" s="80">
        <f>TRUNC(SUM(I46:I48))</f>
        <v>1032</v>
      </c>
      <c r="J49" s="80"/>
      <c r="K49" s="80"/>
      <c r="L49" s="80">
        <f>TRUNC(SUM(L46:L48))</f>
        <v>34413</v>
      </c>
      <c r="M49" s="80"/>
      <c r="N49" s="80">
        <f>TRUNC(SUM(N46:N48))</f>
        <v>0</v>
      </c>
      <c r="O49" s="80"/>
      <c r="P49" s="80">
        <f>IF(SUM(I49,L49,N49)&lt;&gt;0,TRUNC(SUM(I49,L49,N49),1),"")</f>
        <v>35445</v>
      </c>
      <c r="Q49" s="74"/>
      <c r="AC49" s="48">
        <f>TRUNC(AE49*옵션!$B$36/100,1)</f>
        <v>1032.3</v>
      </c>
      <c r="AD49" s="48">
        <f>TRUNC(SUM(L46:L47))</f>
        <v>34413</v>
      </c>
      <c r="AE49" s="48">
        <f>TRUNC(SUM(AE46:AE48))</f>
        <v>34413</v>
      </c>
    </row>
    <row r="50" spans="1:31" ht="23.25" customHeight="1">
      <c r="D50" s="74"/>
      <c r="E50" s="74"/>
      <c r="F50" s="54"/>
      <c r="G50" s="80"/>
      <c r="H50" s="80"/>
      <c r="I50" s="80" t="str">
        <f>IF(G50*H50&lt;&gt;0, TRUNC(G50*H50,1),"")</f>
        <v/>
      </c>
      <c r="J50" s="80"/>
      <c r="K50" s="80"/>
      <c r="L50" s="80" t="str">
        <f>IF(G50*K50&lt;&gt;0, TRUNC(G50*K50,1),"")</f>
        <v/>
      </c>
      <c r="M50" s="80"/>
      <c r="N50" s="80" t="str">
        <f>IF(G50*M50&lt;&gt;0, TRUNC(G50*M50,1),"")</f>
        <v/>
      </c>
      <c r="O50" s="80"/>
      <c r="P50" s="80" t="str">
        <f>IF(SUM(I50,L50,N50)&lt;&gt;0,TRUNC(SUM(I50,L50,N50),1),"")</f>
        <v/>
      </c>
      <c r="Q50" s="74"/>
    </row>
    <row r="51" spans="1:31" ht="23.25" customHeight="1">
      <c r="A51" s="64" t="s">
        <v>737</v>
      </c>
      <c r="B51" s="64" t="s">
        <v>915</v>
      </c>
      <c r="C51" s="76" t="s">
        <v>738</v>
      </c>
      <c r="D51" s="158" t="s">
        <v>939</v>
      </c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60"/>
    </row>
    <row r="52" spans="1:31" ht="23.25" customHeight="1">
      <c r="A52" s="64" t="s">
        <v>579</v>
      </c>
      <c r="B52" s="64" t="s">
        <v>739</v>
      </c>
      <c r="C52" s="76" t="s">
        <v>549</v>
      </c>
      <c r="D52" s="74" t="s">
        <v>530</v>
      </c>
      <c r="E52" s="74" t="s">
        <v>550</v>
      </c>
      <c r="F52" s="54" t="s">
        <v>532</v>
      </c>
      <c r="G52" s="80">
        <f>일위노임!G28</f>
        <v>0.1</v>
      </c>
      <c r="H52" s="80">
        <f>합산자재!H124</f>
        <v>0</v>
      </c>
      <c r="I52" s="80" t="str">
        <f>IF(G52*H52&lt;&gt;0, TRUNC(G52*H52,1),"")</f>
        <v/>
      </c>
      <c r="J52" s="80">
        <v>0.1</v>
      </c>
      <c r="K52" s="80">
        <f>합산자재!I124</f>
        <v>172068</v>
      </c>
      <c r="L52" s="80">
        <f>IF(G52*K52&lt;&gt;0, TRUNC(G52*K52,1),"")</f>
        <v>17206.8</v>
      </c>
      <c r="M52" s="80">
        <f>합산자재!J124</f>
        <v>0</v>
      </c>
      <c r="N52" s="80" t="str">
        <f>IF(G52*M52&lt;&gt;0, TRUNC(G52*M52,1),"")</f>
        <v/>
      </c>
      <c r="O52" s="80"/>
      <c r="P52" s="80">
        <f>IF(SUM(I52,L52,N52)&lt;&gt;0,TRUNC(SUM(I52,L52,N52),1),"")</f>
        <v>17206.8</v>
      </c>
      <c r="Q52" s="74"/>
      <c r="Z52" s="48" t="s">
        <v>920</v>
      </c>
      <c r="AE52" s="48">
        <f>L52</f>
        <v>17206.8</v>
      </c>
    </row>
    <row r="53" spans="1:31" ht="23.25" customHeight="1">
      <c r="A53" s="64" t="s">
        <v>926</v>
      </c>
      <c r="B53" s="64" t="s">
        <v>739</v>
      </c>
      <c r="C53" s="76" t="s">
        <v>927</v>
      </c>
      <c r="D53" s="74" t="s">
        <v>928</v>
      </c>
      <c r="E53" s="74" t="s">
        <v>929</v>
      </c>
      <c r="F53" s="54" t="s">
        <v>458</v>
      </c>
      <c r="G53" s="80">
        <v>1</v>
      </c>
      <c r="H53" s="80">
        <f>IF(TRUNC((AD54+AC54)/$AE$3,1)*$AE$3-AD54 &lt;0, AC54, TRUNC((AD54+AC54)/$AE$3,1)*$AE$3-AD54)</f>
        <v>516.09999999999854</v>
      </c>
      <c r="I53" s="80">
        <f>H53</f>
        <v>516.09999999999854</v>
      </c>
      <c r="J53" s="80">
        <v>1</v>
      </c>
      <c r="K53" s="80"/>
      <c r="L53" s="80" t="str">
        <f>IF(G53*K53&lt;&gt;0, TRUNC(G53*K53,1),"")</f>
        <v/>
      </c>
      <c r="M53" s="80"/>
      <c r="N53" s="80" t="str">
        <f>IF(G53*M53&lt;&gt;0, TRUNC(G53*M53,1),"")</f>
        <v/>
      </c>
      <c r="O53" s="80"/>
      <c r="P53" s="80">
        <f>IF(SUM(I53,L53,N53)&lt;&gt;0,TRUNC(SUM(I53,L53,N53),1),"")</f>
        <v>516</v>
      </c>
      <c r="Q53" s="74"/>
    </row>
    <row r="54" spans="1:31" ht="23.25" customHeight="1">
      <c r="B54" s="64" t="s">
        <v>921</v>
      </c>
      <c r="D54" s="74" t="s">
        <v>922</v>
      </c>
      <c r="E54" s="74"/>
      <c r="F54" s="54"/>
      <c r="G54" s="80"/>
      <c r="H54" s="80"/>
      <c r="I54" s="80">
        <f>TRUNC(SUM(I51:I53))</f>
        <v>516</v>
      </c>
      <c r="J54" s="80"/>
      <c r="K54" s="80"/>
      <c r="L54" s="80">
        <f>TRUNC(SUM(L51:L53))</f>
        <v>17206</v>
      </c>
      <c r="M54" s="80"/>
      <c r="N54" s="80">
        <f>TRUNC(SUM(N51:N53))</f>
        <v>0</v>
      </c>
      <c r="O54" s="80"/>
      <c r="P54" s="80">
        <f>IF(SUM(I54,L54,N54)&lt;&gt;0,TRUNC(SUM(I54,L54,N54),1),"")</f>
        <v>17722</v>
      </c>
      <c r="Q54" s="74"/>
      <c r="AC54" s="48">
        <f>TRUNC(AE54*옵션!$B$36/100,1)</f>
        <v>516.1</v>
      </c>
      <c r="AD54" s="48">
        <f>TRUNC(SUM(L51:L52))</f>
        <v>17206</v>
      </c>
      <c r="AE54" s="48">
        <f>TRUNC(SUM(AE51:AE53))</f>
        <v>17206</v>
      </c>
    </row>
    <row r="55" spans="1:31" ht="23.25" customHeight="1">
      <c r="D55" s="74"/>
      <c r="E55" s="74"/>
      <c r="F55" s="54"/>
      <c r="G55" s="80"/>
      <c r="H55" s="80"/>
      <c r="I55" s="80" t="str">
        <f>IF(G55*H55&lt;&gt;0, TRUNC(G55*H55,1),"")</f>
        <v/>
      </c>
      <c r="J55" s="80"/>
      <c r="K55" s="80"/>
      <c r="L55" s="80" t="str">
        <f>IF(G55*K55&lt;&gt;0, TRUNC(G55*K55,1),"")</f>
        <v/>
      </c>
      <c r="M55" s="80"/>
      <c r="N55" s="80" t="str">
        <f>IF(G55*M55&lt;&gt;0, TRUNC(G55*M55,1),"")</f>
        <v/>
      </c>
      <c r="O55" s="80"/>
      <c r="P55" s="80" t="str">
        <f>IF(SUM(I55,L55,N55)&lt;&gt;0,TRUNC(SUM(I55,L55,N55),1),"")</f>
        <v/>
      </c>
      <c r="Q55" s="74"/>
    </row>
    <row r="56" spans="1:31" ht="23.25" customHeight="1">
      <c r="A56" s="64" t="s">
        <v>741</v>
      </c>
      <c r="B56" s="64" t="s">
        <v>915</v>
      </c>
      <c r="C56" s="76" t="s">
        <v>742</v>
      </c>
      <c r="D56" s="158" t="s">
        <v>940</v>
      </c>
      <c r="E56" s="159"/>
      <c r="F56" s="159"/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Q56" s="160"/>
    </row>
    <row r="57" spans="1:31" ht="23.25" customHeight="1">
      <c r="A57" s="64" t="s">
        <v>941</v>
      </c>
      <c r="B57" s="64" t="s">
        <v>743</v>
      </c>
      <c r="C57" s="76" t="s">
        <v>193</v>
      </c>
      <c r="D57" s="74" t="s">
        <v>194</v>
      </c>
      <c r="E57" s="74" t="s">
        <v>195</v>
      </c>
      <c r="F57" s="54" t="s">
        <v>196</v>
      </c>
      <c r="G57" s="80">
        <v>1</v>
      </c>
      <c r="H57" s="80">
        <f>합산자재!H4</f>
        <v>563</v>
      </c>
      <c r="I57" s="80">
        <f>IF(G57*H57&lt;&gt;0, TRUNC(G57*H57,1),"")</f>
        <v>563</v>
      </c>
      <c r="J57" s="80">
        <v>1</v>
      </c>
      <c r="K57" s="80">
        <f>합산자재!I4</f>
        <v>0</v>
      </c>
      <c r="L57" s="80" t="str">
        <f t="shared" ref="L57:L63" si="3">IF(G57*K57&lt;&gt;0, TRUNC(G57*K57,1),"")</f>
        <v/>
      </c>
      <c r="M57" s="80">
        <f>합산자재!J4</f>
        <v>0</v>
      </c>
      <c r="N57" s="80" t="str">
        <f t="shared" ref="N57:N63" si="4">IF(G57*M57&lt;&gt;0, TRUNC(G57*M57,1),"")</f>
        <v/>
      </c>
      <c r="O57" s="80"/>
      <c r="P57" s="80">
        <f t="shared" ref="P57:P65" si="5">IF(SUM(I57,L57,N57)&lt;&gt;0,TRUNC(SUM(I57,L57,N57),1),"")</f>
        <v>563</v>
      </c>
      <c r="Q57" s="74"/>
      <c r="R57" s="48" t="s">
        <v>942</v>
      </c>
      <c r="Z57" s="48" t="s">
        <v>920</v>
      </c>
      <c r="AB57" s="48">
        <f>G57*H57</f>
        <v>563</v>
      </c>
      <c r="AC57" s="48">
        <f>G57*H57</f>
        <v>563</v>
      </c>
    </row>
    <row r="58" spans="1:31" ht="23.25" customHeight="1">
      <c r="A58" s="64" t="s">
        <v>941</v>
      </c>
      <c r="B58" s="64" t="s">
        <v>743</v>
      </c>
      <c r="C58" s="76" t="s">
        <v>193</v>
      </c>
      <c r="D58" s="74" t="s">
        <v>194</v>
      </c>
      <c r="E58" s="74" t="s">
        <v>195</v>
      </c>
      <c r="F58" s="54" t="s">
        <v>196</v>
      </c>
      <c r="G58" s="80">
        <v>0.03</v>
      </c>
      <c r="H58" s="80">
        <f>합산자재!H4</f>
        <v>563</v>
      </c>
      <c r="I58" s="80">
        <f>IF(G58*H58&lt;&gt;0, TRUNC(G58*H58,1),"")</f>
        <v>16.8</v>
      </c>
      <c r="J58" s="80">
        <v>0.03</v>
      </c>
      <c r="K58" s="80">
        <f>합산자재!I4</f>
        <v>0</v>
      </c>
      <c r="L58" s="80" t="str">
        <f t="shared" si="3"/>
        <v/>
      </c>
      <c r="M58" s="80">
        <f>합산자재!J4</f>
        <v>0</v>
      </c>
      <c r="N58" s="80" t="str">
        <f t="shared" si="4"/>
        <v/>
      </c>
      <c r="O58" s="80"/>
      <c r="P58" s="80">
        <f t="shared" si="5"/>
        <v>16.8</v>
      </c>
      <c r="Q58" s="74"/>
      <c r="R58" s="48" t="s">
        <v>942</v>
      </c>
    </row>
    <row r="59" spans="1:31" ht="23.25" customHeight="1">
      <c r="A59" s="64" t="s">
        <v>943</v>
      </c>
      <c r="B59" s="64" t="s">
        <v>743</v>
      </c>
      <c r="C59" s="76" t="s">
        <v>944</v>
      </c>
      <c r="D59" s="74" t="s">
        <v>945</v>
      </c>
      <c r="E59" s="74" t="s">
        <v>946</v>
      </c>
      <c r="F59" s="54" t="s">
        <v>458</v>
      </c>
      <c r="G59" s="80">
        <v>1</v>
      </c>
      <c r="H59" s="80">
        <f>TRUNC(AB59*옵션!$B$31/100,1)</f>
        <v>84.4</v>
      </c>
      <c r="I59" s="80">
        <f>IF(G59*H59&lt;&gt;0, TRUNC(G59*H59,1),"")</f>
        <v>84.4</v>
      </c>
      <c r="J59" s="80">
        <v>1</v>
      </c>
      <c r="K59" s="80"/>
      <c r="L59" s="80" t="str">
        <f t="shared" si="3"/>
        <v/>
      </c>
      <c r="M59" s="80"/>
      <c r="N59" s="80" t="str">
        <f t="shared" si="4"/>
        <v/>
      </c>
      <c r="O59" s="80"/>
      <c r="P59" s="80">
        <f t="shared" si="5"/>
        <v>84.4</v>
      </c>
      <c r="Q59" s="74"/>
      <c r="AB59" s="48">
        <f>TRUNC(SUM(AB56:AB58))</f>
        <v>563</v>
      </c>
    </row>
    <row r="60" spans="1:31" ht="23.25" customHeight="1">
      <c r="A60" s="64" t="s">
        <v>947</v>
      </c>
      <c r="B60" s="64" t="s">
        <v>743</v>
      </c>
      <c r="C60" s="76" t="s">
        <v>948</v>
      </c>
      <c r="D60" s="74" t="s">
        <v>949</v>
      </c>
      <c r="E60" s="74" t="s">
        <v>950</v>
      </c>
      <c r="F60" s="54" t="s">
        <v>458</v>
      </c>
      <c r="G60" s="80">
        <v>1</v>
      </c>
      <c r="H60" s="80">
        <f>IF(TRUNC((AD60+AC60)/$AD$3,1)*$AD$3-AD60 &lt;0, AC60, TRUNC((AD60+AC60)/$AD$3,1)*$AD$3-AD60)</f>
        <v>11.200000000000045</v>
      </c>
      <c r="I60" s="80">
        <f>H60</f>
        <v>11.200000000000045</v>
      </c>
      <c r="J60" s="80">
        <v>1</v>
      </c>
      <c r="K60" s="80"/>
      <c r="L60" s="80" t="str">
        <f t="shared" si="3"/>
        <v/>
      </c>
      <c r="M60" s="80"/>
      <c r="N60" s="80" t="str">
        <f t="shared" si="4"/>
        <v/>
      </c>
      <c r="O60" s="80"/>
      <c r="P60" s="80">
        <f t="shared" si="5"/>
        <v>11.2</v>
      </c>
      <c r="Q60" s="74"/>
      <c r="AC60" s="48">
        <f>TRUNC(TRUNC(SUM(AC56:AC59))*옵션!$B$33/100,1)</f>
        <v>11.2</v>
      </c>
      <c r="AD60" s="48">
        <f>TRUNC(SUM(I56:I59))+TRUNC(SUM(N56:N59))</f>
        <v>664</v>
      </c>
    </row>
    <row r="61" spans="1:31" ht="23.25" customHeight="1">
      <c r="A61" s="64" t="s">
        <v>605</v>
      </c>
      <c r="B61" s="64" t="s">
        <v>743</v>
      </c>
      <c r="C61" s="76" t="s">
        <v>537</v>
      </c>
      <c r="D61" s="74" t="s">
        <v>530</v>
      </c>
      <c r="E61" s="74" t="s">
        <v>538</v>
      </c>
      <c r="F61" s="54" t="s">
        <v>532</v>
      </c>
      <c r="G61" s="80">
        <f>일위노임!G32</f>
        <v>1.0500000000000001E-2</v>
      </c>
      <c r="H61" s="80">
        <f>합산자재!H118</f>
        <v>0</v>
      </c>
      <c r="I61" s="80" t="str">
        <f>IF(G61*H61&lt;&gt;0, TRUNC(G61*H61,1),"")</f>
        <v/>
      </c>
      <c r="J61" s="80">
        <v>1.0500000000000001E-2</v>
      </c>
      <c r="K61" s="80">
        <f>합산자재!I118</f>
        <v>414968</v>
      </c>
      <c r="L61" s="80">
        <f t="shared" si="3"/>
        <v>4357.1000000000004</v>
      </c>
      <c r="M61" s="80">
        <f>합산자재!J118</f>
        <v>0</v>
      </c>
      <c r="N61" s="80" t="str">
        <f t="shared" si="4"/>
        <v/>
      </c>
      <c r="O61" s="80"/>
      <c r="P61" s="80">
        <f t="shared" si="5"/>
        <v>4357.1000000000004</v>
      </c>
      <c r="Q61" s="74"/>
      <c r="AE61" s="48">
        <f>L61</f>
        <v>4357.1000000000004</v>
      </c>
    </row>
    <row r="62" spans="1:31" ht="23.25" customHeight="1">
      <c r="A62" s="64" t="s">
        <v>579</v>
      </c>
      <c r="B62" s="64" t="s">
        <v>743</v>
      </c>
      <c r="C62" s="76" t="s">
        <v>549</v>
      </c>
      <c r="D62" s="74" t="s">
        <v>530</v>
      </c>
      <c r="E62" s="74" t="s">
        <v>550</v>
      </c>
      <c r="F62" s="54" t="s">
        <v>532</v>
      </c>
      <c r="G62" s="80">
        <f>일위노임!G33</f>
        <v>2.7E-2</v>
      </c>
      <c r="H62" s="80">
        <f>합산자재!H124</f>
        <v>0</v>
      </c>
      <c r="I62" s="80" t="str">
        <f>IF(G62*H62&lt;&gt;0, TRUNC(G62*H62,1),"")</f>
        <v/>
      </c>
      <c r="J62" s="80">
        <v>2.7E-2</v>
      </c>
      <c r="K62" s="80">
        <f>합산자재!I124</f>
        <v>172068</v>
      </c>
      <c r="L62" s="80">
        <f t="shared" si="3"/>
        <v>4645.8</v>
      </c>
      <c r="M62" s="80">
        <f>합산자재!J124</f>
        <v>0</v>
      </c>
      <c r="N62" s="80" t="str">
        <f t="shared" si="4"/>
        <v/>
      </c>
      <c r="O62" s="80"/>
      <c r="P62" s="80">
        <f t="shared" si="5"/>
        <v>4645.8</v>
      </c>
      <c r="Q62" s="74"/>
      <c r="Z62" s="48" t="s">
        <v>920</v>
      </c>
      <c r="AE62" s="48">
        <f>L62</f>
        <v>4645.8</v>
      </c>
    </row>
    <row r="63" spans="1:31" ht="23.25" customHeight="1">
      <c r="A63" s="64" t="s">
        <v>926</v>
      </c>
      <c r="B63" s="64" t="s">
        <v>743</v>
      </c>
      <c r="C63" s="76" t="s">
        <v>927</v>
      </c>
      <c r="D63" s="74" t="s">
        <v>928</v>
      </c>
      <c r="E63" s="74" t="s">
        <v>929</v>
      </c>
      <c r="F63" s="54" t="s">
        <v>458</v>
      </c>
      <c r="G63" s="80">
        <v>1</v>
      </c>
      <c r="H63" s="80">
        <f>IF(TRUNC((AD64+AC64)/$AE$3,1)*$AE$3-AD64 &lt;0, AC64, TRUNC((AD64+AC64)/$AE$3,1)*$AE$3-AD64)</f>
        <v>270</v>
      </c>
      <c r="I63" s="80">
        <f>H63</f>
        <v>270</v>
      </c>
      <c r="J63" s="80">
        <v>1</v>
      </c>
      <c r="K63" s="80"/>
      <c r="L63" s="80" t="str">
        <f t="shared" si="3"/>
        <v/>
      </c>
      <c r="M63" s="80"/>
      <c r="N63" s="80" t="str">
        <f t="shared" si="4"/>
        <v/>
      </c>
      <c r="O63" s="80"/>
      <c r="P63" s="80">
        <f t="shared" si="5"/>
        <v>270</v>
      </c>
      <c r="Q63" s="74"/>
    </row>
    <row r="64" spans="1:31" ht="23.25" customHeight="1">
      <c r="B64" s="64" t="s">
        <v>921</v>
      </c>
      <c r="D64" s="74" t="s">
        <v>922</v>
      </c>
      <c r="E64" s="74"/>
      <c r="F64" s="54"/>
      <c r="G64" s="80"/>
      <c r="H64" s="80"/>
      <c r="I64" s="80">
        <f>TRUNC(SUM(I56:I63))</f>
        <v>945</v>
      </c>
      <c r="J64" s="80"/>
      <c r="K64" s="80"/>
      <c r="L64" s="80">
        <f>TRUNC(SUM(L56:L63))</f>
        <v>9002</v>
      </c>
      <c r="M64" s="80"/>
      <c r="N64" s="80">
        <f>TRUNC(SUM(N56:N63))</f>
        <v>0</v>
      </c>
      <c r="O64" s="80"/>
      <c r="P64" s="80">
        <f t="shared" si="5"/>
        <v>9947</v>
      </c>
      <c r="Q64" s="74"/>
      <c r="AC64" s="48">
        <f>TRUNC(AE64*옵션!$B$36/100,1)</f>
        <v>270</v>
      </c>
      <c r="AD64" s="48">
        <f>TRUNC(SUM(L56:L62))</f>
        <v>9002</v>
      </c>
      <c r="AE64" s="48">
        <f>TRUNC(SUM(AE56:AE63))</f>
        <v>9002</v>
      </c>
    </row>
    <row r="65" spans="1:31" ht="23.25" customHeight="1">
      <c r="D65" s="74"/>
      <c r="E65" s="74"/>
      <c r="F65" s="54"/>
      <c r="G65" s="80"/>
      <c r="H65" s="80"/>
      <c r="I65" s="80" t="str">
        <f>IF(G65*H65&lt;&gt;0, TRUNC(G65*H65,1),"")</f>
        <v/>
      </c>
      <c r="J65" s="80"/>
      <c r="K65" s="80"/>
      <c r="L65" s="80" t="str">
        <f>IF(G65*K65&lt;&gt;0, TRUNC(G65*K65,1),"")</f>
        <v/>
      </c>
      <c r="M65" s="80"/>
      <c r="N65" s="80" t="str">
        <f>IF(G65*M65&lt;&gt;0, TRUNC(G65*M65,1),"")</f>
        <v/>
      </c>
      <c r="O65" s="80"/>
      <c r="P65" s="80" t="str">
        <f t="shared" si="5"/>
        <v/>
      </c>
      <c r="Q65" s="74"/>
    </row>
    <row r="66" spans="1:31" ht="23.25" customHeight="1">
      <c r="A66" s="64" t="s">
        <v>745</v>
      </c>
      <c r="B66" s="64" t="s">
        <v>915</v>
      </c>
      <c r="C66" s="76" t="s">
        <v>746</v>
      </c>
      <c r="D66" s="158" t="s">
        <v>951</v>
      </c>
      <c r="E66" s="159"/>
      <c r="F66" s="159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60"/>
    </row>
    <row r="67" spans="1:31" ht="23.25" customHeight="1">
      <c r="A67" s="64" t="s">
        <v>952</v>
      </c>
      <c r="B67" s="64" t="s">
        <v>747</v>
      </c>
      <c r="C67" s="76" t="s">
        <v>199</v>
      </c>
      <c r="D67" s="74" t="s">
        <v>194</v>
      </c>
      <c r="E67" s="74" t="s">
        <v>200</v>
      </c>
      <c r="F67" s="54" t="s">
        <v>196</v>
      </c>
      <c r="G67" s="80">
        <v>1</v>
      </c>
      <c r="H67" s="80">
        <f>합산자재!H5</f>
        <v>750</v>
      </c>
      <c r="I67" s="80">
        <f>IF(G67*H67&lt;&gt;0, TRUNC(G67*H67,1),"")</f>
        <v>750</v>
      </c>
      <c r="J67" s="80">
        <v>1</v>
      </c>
      <c r="K67" s="80">
        <f>합산자재!I5</f>
        <v>0</v>
      </c>
      <c r="L67" s="80" t="str">
        <f t="shared" ref="L67:L73" si="6">IF(G67*K67&lt;&gt;0, TRUNC(G67*K67,1),"")</f>
        <v/>
      </c>
      <c r="M67" s="80">
        <f>합산자재!J5</f>
        <v>0</v>
      </c>
      <c r="N67" s="80" t="str">
        <f t="shared" ref="N67:N73" si="7">IF(G67*M67&lt;&gt;0, TRUNC(G67*M67,1),"")</f>
        <v/>
      </c>
      <c r="O67" s="80"/>
      <c r="P67" s="80">
        <f t="shared" ref="P67:P75" si="8">IF(SUM(I67,L67,N67)&lt;&gt;0,TRUNC(SUM(I67,L67,N67),1),"")</f>
        <v>750</v>
      </c>
      <c r="Q67" s="74"/>
      <c r="R67" s="48" t="s">
        <v>942</v>
      </c>
      <c r="Z67" s="48" t="s">
        <v>920</v>
      </c>
      <c r="AB67" s="48">
        <f>G67*H67</f>
        <v>750</v>
      </c>
      <c r="AC67" s="48">
        <f>G67*H67</f>
        <v>750</v>
      </c>
    </row>
    <row r="68" spans="1:31" ht="23.25" customHeight="1">
      <c r="A68" s="64" t="s">
        <v>952</v>
      </c>
      <c r="B68" s="64" t="s">
        <v>747</v>
      </c>
      <c r="C68" s="76" t="s">
        <v>199</v>
      </c>
      <c r="D68" s="74" t="s">
        <v>194</v>
      </c>
      <c r="E68" s="74" t="s">
        <v>200</v>
      </c>
      <c r="F68" s="54" t="s">
        <v>196</v>
      </c>
      <c r="G68" s="80">
        <v>0.03</v>
      </c>
      <c r="H68" s="80">
        <f>합산자재!H5</f>
        <v>750</v>
      </c>
      <c r="I68" s="80">
        <f>IF(G68*H68&lt;&gt;0, TRUNC(G68*H68,1),"")</f>
        <v>22.5</v>
      </c>
      <c r="J68" s="80">
        <v>0.03</v>
      </c>
      <c r="K68" s="80">
        <f>합산자재!I5</f>
        <v>0</v>
      </c>
      <c r="L68" s="80" t="str">
        <f t="shared" si="6"/>
        <v/>
      </c>
      <c r="M68" s="80">
        <f>합산자재!J5</f>
        <v>0</v>
      </c>
      <c r="N68" s="80" t="str">
        <f t="shared" si="7"/>
        <v/>
      </c>
      <c r="O68" s="80"/>
      <c r="P68" s="80">
        <f t="shared" si="8"/>
        <v>22.5</v>
      </c>
      <c r="Q68" s="74"/>
      <c r="R68" s="48" t="s">
        <v>942</v>
      </c>
    </row>
    <row r="69" spans="1:31" ht="23.25" customHeight="1">
      <c r="A69" s="64" t="s">
        <v>943</v>
      </c>
      <c r="B69" s="64" t="s">
        <v>747</v>
      </c>
      <c r="C69" s="76" t="s">
        <v>944</v>
      </c>
      <c r="D69" s="74" t="s">
        <v>945</v>
      </c>
      <c r="E69" s="74" t="s">
        <v>946</v>
      </c>
      <c r="F69" s="54" t="s">
        <v>458</v>
      </c>
      <c r="G69" s="80">
        <v>1</v>
      </c>
      <c r="H69" s="80">
        <f>TRUNC(AB69*옵션!$B$31/100,1)</f>
        <v>112.5</v>
      </c>
      <c r="I69" s="80">
        <f>IF(G69*H69&lt;&gt;0, TRUNC(G69*H69,1),"")</f>
        <v>112.5</v>
      </c>
      <c r="J69" s="80">
        <v>1</v>
      </c>
      <c r="K69" s="80"/>
      <c r="L69" s="80" t="str">
        <f t="shared" si="6"/>
        <v/>
      </c>
      <c r="M69" s="80"/>
      <c r="N69" s="80" t="str">
        <f t="shared" si="7"/>
        <v/>
      </c>
      <c r="O69" s="80"/>
      <c r="P69" s="80">
        <f t="shared" si="8"/>
        <v>112.5</v>
      </c>
      <c r="Q69" s="74"/>
      <c r="AB69" s="48">
        <f>TRUNC(SUM(AB66:AB68))</f>
        <v>750</v>
      </c>
    </row>
    <row r="70" spans="1:31" ht="23.25" customHeight="1">
      <c r="A70" s="64" t="s">
        <v>947</v>
      </c>
      <c r="B70" s="64" t="s">
        <v>747</v>
      </c>
      <c r="C70" s="76" t="s">
        <v>948</v>
      </c>
      <c r="D70" s="74" t="s">
        <v>949</v>
      </c>
      <c r="E70" s="74" t="s">
        <v>950</v>
      </c>
      <c r="F70" s="54" t="s">
        <v>458</v>
      </c>
      <c r="G70" s="80">
        <v>1</v>
      </c>
      <c r="H70" s="80">
        <f>IF(TRUNC((AD70+AC70)/$AD$3,1)*$AD$3-AD70 &lt;0, AC70, TRUNC((AD70+AC70)/$AD$3,1)*$AD$3-AD70)</f>
        <v>15</v>
      </c>
      <c r="I70" s="80">
        <f>H70</f>
        <v>15</v>
      </c>
      <c r="J70" s="80">
        <v>1</v>
      </c>
      <c r="K70" s="80"/>
      <c r="L70" s="80" t="str">
        <f t="shared" si="6"/>
        <v/>
      </c>
      <c r="M70" s="80"/>
      <c r="N70" s="80" t="str">
        <f t="shared" si="7"/>
        <v/>
      </c>
      <c r="O70" s="80"/>
      <c r="P70" s="80">
        <f t="shared" si="8"/>
        <v>15</v>
      </c>
      <c r="Q70" s="74"/>
      <c r="AC70" s="48">
        <f>TRUNC(TRUNC(SUM(AC66:AC69))*옵션!$B$33/100,1)</f>
        <v>15</v>
      </c>
      <c r="AD70" s="48">
        <f>TRUNC(SUM(I66:I69))+TRUNC(SUM(N66:N69))</f>
        <v>885</v>
      </c>
    </row>
    <row r="71" spans="1:31" ht="23.25" customHeight="1">
      <c r="A71" s="64" t="s">
        <v>605</v>
      </c>
      <c r="B71" s="64" t="s">
        <v>747</v>
      </c>
      <c r="C71" s="76" t="s">
        <v>537</v>
      </c>
      <c r="D71" s="74" t="s">
        <v>530</v>
      </c>
      <c r="E71" s="74" t="s">
        <v>538</v>
      </c>
      <c r="F71" s="54" t="s">
        <v>532</v>
      </c>
      <c r="G71" s="80">
        <f>일위노임!G37</f>
        <v>1.0500000000000001E-2</v>
      </c>
      <c r="H71" s="80">
        <f>합산자재!H118</f>
        <v>0</v>
      </c>
      <c r="I71" s="80" t="str">
        <f>IF(G71*H71&lt;&gt;0, TRUNC(G71*H71,1),"")</f>
        <v/>
      </c>
      <c r="J71" s="80">
        <v>1.0500000000000001E-2</v>
      </c>
      <c r="K71" s="80">
        <f>합산자재!I118</f>
        <v>414968</v>
      </c>
      <c r="L71" s="80">
        <f t="shared" si="6"/>
        <v>4357.1000000000004</v>
      </c>
      <c r="M71" s="80">
        <f>합산자재!J118</f>
        <v>0</v>
      </c>
      <c r="N71" s="80" t="str">
        <f t="shared" si="7"/>
        <v/>
      </c>
      <c r="O71" s="80"/>
      <c r="P71" s="80">
        <f t="shared" si="8"/>
        <v>4357.1000000000004</v>
      </c>
      <c r="Q71" s="74"/>
      <c r="Z71" s="48" t="s">
        <v>920</v>
      </c>
      <c r="AE71" s="48">
        <f>L71</f>
        <v>4357.1000000000004</v>
      </c>
    </row>
    <row r="72" spans="1:31" ht="23.25" customHeight="1">
      <c r="A72" s="64" t="s">
        <v>579</v>
      </c>
      <c r="B72" s="64" t="s">
        <v>747</v>
      </c>
      <c r="C72" s="76" t="s">
        <v>549</v>
      </c>
      <c r="D72" s="74" t="s">
        <v>530</v>
      </c>
      <c r="E72" s="74" t="s">
        <v>550</v>
      </c>
      <c r="F72" s="54" t="s">
        <v>532</v>
      </c>
      <c r="G72" s="80">
        <f>일위노임!G38</f>
        <v>2.7E-2</v>
      </c>
      <c r="H72" s="80">
        <f>합산자재!H124</f>
        <v>0</v>
      </c>
      <c r="I72" s="80" t="str">
        <f>IF(G72*H72&lt;&gt;0, TRUNC(G72*H72,1),"")</f>
        <v/>
      </c>
      <c r="J72" s="80">
        <v>2.7E-2</v>
      </c>
      <c r="K72" s="80">
        <f>합산자재!I124</f>
        <v>172068</v>
      </c>
      <c r="L72" s="80">
        <f t="shared" si="6"/>
        <v>4645.8</v>
      </c>
      <c r="M72" s="80">
        <f>합산자재!J124</f>
        <v>0</v>
      </c>
      <c r="N72" s="80" t="str">
        <f t="shared" si="7"/>
        <v/>
      </c>
      <c r="O72" s="80"/>
      <c r="P72" s="80">
        <f t="shared" si="8"/>
        <v>4645.8</v>
      </c>
      <c r="Q72" s="74"/>
      <c r="AE72" s="48">
        <f>L72</f>
        <v>4645.8</v>
      </c>
    </row>
    <row r="73" spans="1:31" ht="23.25" customHeight="1">
      <c r="A73" s="64" t="s">
        <v>926</v>
      </c>
      <c r="B73" s="64" t="s">
        <v>747</v>
      </c>
      <c r="C73" s="76" t="s">
        <v>927</v>
      </c>
      <c r="D73" s="74" t="s">
        <v>928</v>
      </c>
      <c r="E73" s="74" t="s">
        <v>929</v>
      </c>
      <c r="F73" s="54" t="s">
        <v>458</v>
      </c>
      <c r="G73" s="80">
        <v>1</v>
      </c>
      <c r="H73" s="80">
        <f>IF(TRUNC((AD74+AC74)/$AE$3,1)*$AE$3-AD74 &lt;0, AC74, TRUNC((AD74+AC74)/$AE$3,1)*$AE$3-AD74)</f>
        <v>270</v>
      </c>
      <c r="I73" s="80">
        <f>H73</f>
        <v>270</v>
      </c>
      <c r="J73" s="80">
        <v>1</v>
      </c>
      <c r="K73" s="80"/>
      <c r="L73" s="80" t="str">
        <f t="shared" si="6"/>
        <v/>
      </c>
      <c r="M73" s="80"/>
      <c r="N73" s="80" t="str">
        <f t="shared" si="7"/>
        <v/>
      </c>
      <c r="O73" s="80"/>
      <c r="P73" s="80">
        <f t="shared" si="8"/>
        <v>270</v>
      </c>
      <c r="Q73" s="74"/>
    </row>
    <row r="74" spans="1:31" ht="23.25" customHeight="1">
      <c r="B74" s="64" t="s">
        <v>921</v>
      </c>
      <c r="D74" s="74" t="s">
        <v>922</v>
      </c>
      <c r="E74" s="74"/>
      <c r="F74" s="54"/>
      <c r="G74" s="80"/>
      <c r="H74" s="80"/>
      <c r="I74" s="80">
        <f>TRUNC(SUM(I66:I73))</f>
        <v>1170</v>
      </c>
      <c r="J74" s="80"/>
      <c r="K74" s="80"/>
      <c r="L74" s="80">
        <f>TRUNC(SUM(L66:L73))</f>
        <v>9002</v>
      </c>
      <c r="M74" s="80"/>
      <c r="N74" s="80">
        <f>TRUNC(SUM(N66:N73))</f>
        <v>0</v>
      </c>
      <c r="O74" s="80"/>
      <c r="P74" s="80">
        <f t="shared" si="8"/>
        <v>10172</v>
      </c>
      <c r="Q74" s="74"/>
      <c r="Z74" s="48" t="s">
        <v>920</v>
      </c>
      <c r="AC74" s="48">
        <f>TRUNC(AE74*옵션!$B$36/100,1)</f>
        <v>270</v>
      </c>
      <c r="AD74" s="48">
        <f>TRUNC(SUM(L66:L72))</f>
        <v>9002</v>
      </c>
      <c r="AE74" s="48">
        <f>TRUNC(SUM(AE66:AE73))</f>
        <v>9002</v>
      </c>
    </row>
    <row r="75" spans="1:31" ht="23.25" customHeight="1">
      <c r="D75" s="74"/>
      <c r="E75" s="74"/>
      <c r="F75" s="54"/>
      <c r="G75" s="80"/>
      <c r="H75" s="80"/>
      <c r="I75" s="80" t="str">
        <f>IF(G75*H75&lt;&gt;0, TRUNC(G75*H75,1),"")</f>
        <v/>
      </c>
      <c r="J75" s="80"/>
      <c r="K75" s="80"/>
      <c r="L75" s="80" t="str">
        <f>IF(G75*K75&lt;&gt;0, TRUNC(G75*K75,1),"")</f>
        <v/>
      </c>
      <c r="M75" s="80"/>
      <c r="N75" s="80" t="str">
        <f>IF(G75*M75&lt;&gt;0, TRUNC(G75*M75,1),"")</f>
        <v/>
      </c>
      <c r="O75" s="80"/>
      <c r="P75" s="80" t="str">
        <f t="shared" si="8"/>
        <v/>
      </c>
      <c r="Q75" s="74"/>
    </row>
    <row r="76" spans="1:31" ht="23.25" customHeight="1">
      <c r="A76" s="64" t="s">
        <v>748</v>
      </c>
      <c r="B76" s="64" t="s">
        <v>915</v>
      </c>
      <c r="C76" s="76" t="s">
        <v>749</v>
      </c>
      <c r="D76" s="158" t="s">
        <v>953</v>
      </c>
      <c r="E76" s="159"/>
      <c r="F76" s="159"/>
      <c r="G76" s="159"/>
      <c r="H76" s="159"/>
      <c r="I76" s="159"/>
      <c r="J76" s="159"/>
      <c r="K76" s="159"/>
      <c r="L76" s="159"/>
      <c r="M76" s="159"/>
      <c r="N76" s="159"/>
      <c r="O76" s="159"/>
      <c r="P76" s="159"/>
      <c r="Q76" s="160"/>
    </row>
    <row r="77" spans="1:31" ht="23.25" customHeight="1">
      <c r="A77" s="64" t="s">
        <v>954</v>
      </c>
      <c r="B77" s="64" t="s">
        <v>750</v>
      </c>
      <c r="C77" s="76" t="s">
        <v>201</v>
      </c>
      <c r="D77" s="74" t="s">
        <v>194</v>
      </c>
      <c r="E77" s="74" t="s">
        <v>202</v>
      </c>
      <c r="F77" s="54" t="s">
        <v>196</v>
      </c>
      <c r="G77" s="80">
        <v>1</v>
      </c>
      <c r="H77" s="80">
        <f>합산자재!H6</f>
        <v>1239</v>
      </c>
      <c r="I77" s="80">
        <f>IF(G77*H77&lt;&gt;0, TRUNC(G77*H77,1),"")</f>
        <v>1239</v>
      </c>
      <c r="J77" s="80">
        <v>1</v>
      </c>
      <c r="K77" s="80">
        <f>합산자재!I6</f>
        <v>0</v>
      </c>
      <c r="L77" s="80" t="str">
        <f t="shared" ref="L77:L83" si="9">IF(G77*K77&lt;&gt;0, TRUNC(G77*K77,1),"")</f>
        <v/>
      </c>
      <c r="M77" s="80">
        <f>합산자재!J6</f>
        <v>0</v>
      </c>
      <c r="N77" s="80" t="str">
        <f t="shared" ref="N77:N83" si="10">IF(G77*M77&lt;&gt;0, TRUNC(G77*M77,1),"")</f>
        <v/>
      </c>
      <c r="O77" s="80"/>
      <c r="P77" s="80">
        <f t="shared" ref="P77:P85" si="11">IF(SUM(I77,L77,N77)&lt;&gt;0,TRUNC(SUM(I77,L77,N77),1),"")</f>
        <v>1239</v>
      </c>
      <c r="Q77" s="74"/>
      <c r="R77" s="48" t="s">
        <v>942</v>
      </c>
      <c r="Z77" s="48" t="s">
        <v>920</v>
      </c>
      <c r="AB77" s="48">
        <f>G77*H77</f>
        <v>1239</v>
      </c>
      <c r="AC77" s="48">
        <f>G77*H77</f>
        <v>1239</v>
      </c>
    </row>
    <row r="78" spans="1:31" ht="23.25" customHeight="1">
      <c r="A78" s="64" t="s">
        <v>954</v>
      </c>
      <c r="B78" s="64" t="s">
        <v>750</v>
      </c>
      <c r="C78" s="76" t="s">
        <v>201</v>
      </c>
      <c r="D78" s="74" t="s">
        <v>194</v>
      </c>
      <c r="E78" s="74" t="s">
        <v>202</v>
      </c>
      <c r="F78" s="54" t="s">
        <v>196</v>
      </c>
      <c r="G78" s="80">
        <v>0.03</v>
      </c>
      <c r="H78" s="80">
        <f>합산자재!H6</f>
        <v>1239</v>
      </c>
      <c r="I78" s="80">
        <f>IF(G78*H78&lt;&gt;0, TRUNC(G78*H78,1),"")</f>
        <v>37.1</v>
      </c>
      <c r="J78" s="80">
        <v>0.03</v>
      </c>
      <c r="K78" s="80">
        <f>합산자재!I6</f>
        <v>0</v>
      </c>
      <c r="L78" s="80" t="str">
        <f t="shared" si="9"/>
        <v/>
      </c>
      <c r="M78" s="80">
        <f>합산자재!J6</f>
        <v>0</v>
      </c>
      <c r="N78" s="80" t="str">
        <f t="shared" si="10"/>
        <v/>
      </c>
      <c r="O78" s="80"/>
      <c r="P78" s="80">
        <f t="shared" si="11"/>
        <v>37.1</v>
      </c>
      <c r="Q78" s="74"/>
      <c r="R78" s="48" t="s">
        <v>942</v>
      </c>
    </row>
    <row r="79" spans="1:31" ht="23.25" customHeight="1">
      <c r="A79" s="64" t="s">
        <v>943</v>
      </c>
      <c r="B79" s="64" t="s">
        <v>750</v>
      </c>
      <c r="C79" s="76" t="s">
        <v>944</v>
      </c>
      <c r="D79" s="74" t="s">
        <v>945</v>
      </c>
      <c r="E79" s="74" t="s">
        <v>946</v>
      </c>
      <c r="F79" s="54" t="s">
        <v>458</v>
      </c>
      <c r="G79" s="80">
        <v>1</v>
      </c>
      <c r="H79" s="80">
        <f>TRUNC(AB79*옵션!$B$31/100,1)</f>
        <v>185.8</v>
      </c>
      <c r="I79" s="80">
        <f>IF(G79*H79&lt;&gt;0, TRUNC(G79*H79,1),"")</f>
        <v>185.8</v>
      </c>
      <c r="J79" s="80">
        <v>1</v>
      </c>
      <c r="K79" s="80"/>
      <c r="L79" s="80" t="str">
        <f t="shared" si="9"/>
        <v/>
      </c>
      <c r="M79" s="80"/>
      <c r="N79" s="80" t="str">
        <f t="shared" si="10"/>
        <v/>
      </c>
      <c r="O79" s="80"/>
      <c r="P79" s="80">
        <f t="shared" si="11"/>
        <v>185.8</v>
      </c>
      <c r="Q79" s="74"/>
      <c r="AB79" s="48">
        <f>TRUNC(SUM(AB76:AB78))</f>
        <v>1239</v>
      </c>
    </row>
    <row r="80" spans="1:31" ht="23.25" customHeight="1">
      <c r="A80" s="64" t="s">
        <v>947</v>
      </c>
      <c r="B80" s="64" t="s">
        <v>750</v>
      </c>
      <c r="C80" s="76" t="s">
        <v>948</v>
      </c>
      <c r="D80" s="74" t="s">
        <v>949</v>
      </c>
      <c r="E80" s="74" t="s">
        <v>950</v>
      </c>
      <c r="F80" s="54" t="s">
        <v>458</v>
      </c>
      <c r="G80" s="80">
        <v>1</v>
      </c>
      <c r="H80" s="80">
        <f>IF(TRUNC((AD80+AC80)/$AD$3,1)*$AD$3-AD80 &lt;0, AC80, TRUNC((AD80+AC80)/$AD$3,1)*$AD$3-AD80)</f>
        <v>24.700000000000045</v>
      </c>
      <c r="I80" s="80">
        <f>H80</f>
        <v>24.700000000000045</v>
      </c>
      <c r="J80" s="80">
        <v>1</v>
      </c>
      <c r="K80" s="80"/>
      <c r="L80" s="80" t="str">
        <f t="shared" si="9"/>
        <v/>
      </c>
      <c r="M80" s="80"/>
      <c r="N80" s="80" t="str">
        <f t="shared" si="10"/>
        <v/>
      </c>
      <c r="O80" s="80"/>
      <c r="P80" s="80">
        <f t="shared" si="11"/>
        <v>24.7</v>
      </c>
      <c r="Q80" s="74"/>
      <c r="Z80" s="48" t="s">
        <v>920</v>
      </c>
      <c r="AC80" s="48">
        <f>TRUNC(TRUNC(SUM(AC76:AC79))*옵션!$B$33/100,1)</f>
        <v>24.7</v>
      </c>
      <c r="AD80" s="48">
        <f>TRUNC(SUM(I76:I79))+TRUNC(SUM(N76:N79))</f>
        <v>1461</v>
      </c>
    </row>
    <row r="81" spans="1:31" ht="23.25" customHeight="1">
      <c r="A81" s="64" t="s">
        <v>605</v>
      </c>
      <c r="B81" s="64" t="s">
        <v>750</v>
      </c>
      <c r="C81" s="76" t="s">
        <v>537</v>
      </c>
      <c r="D81" s="74" t="s">
        <v>530</v>
      </c>
      <c r="E81" s="74" t="s">
        <v>538</v>
      </c>
      <c r="F81" s="54" t="s">
        <v>532</v>
      </c>
      <c r="G81" s="80">
        <f>일위노임!G42</f>
        <v>1.35E-2</v>
      </c>
      <c r="H81" s="80">
        <f>합산자재!H118</f>
        <v>0</v>
      </c>
      <c r="I81" s="80" t="str">
        <f>IF(G81*H81&lt;&gt;0, TRUNC(G81*H81,1),"")</f>
        <v/>
      </c>
      <c r="J81" s="80">
        <v>1.35E-2</v>
      </c>
      <c r="K81" s="80">
        <f>합산자재!I118</f>
        <v>414968</v>
      </c>
      <c r="L81" s="80">
        <f t="shared" si="9"/>
        <v>5602</v>
      </c>
      <c r="M81" s="80">
        <f>합산자재!J118</f>
        <v>0</v>
      </c>
      <c r="N81" s="80" t="str">
        <f t="shared" si="10"/>
        <v/>
      </c>
      <c r="O81" s="80"/>
      <c r="P81" s="80">
        <f t="shared" si="11"/>
        <v>5602</v>
      </c>
      <c r="Q81" s="74"/>
      <c r="AE81" s="48">
        <f>L81</f>
        <v>5602</v>
      </c>
    </row>
    <row r="82" spans="1:31" ht="23.25" customHeight="1">
      <c r="A82" s="64" t="s">
        <v>579</v>
      </c>
      <c r="B82" s="64" t="s">
        <v>750</v>
      </c>
      <c r="C82" s="76" t="s">
        <v>549</v>
      </c>
      <c r="D82" s="74" t="s">
        <v>530</v>
      </c>
      <c r="E82" s="74" t="s">
        <v>550</v>
      </c>
      <c r="F82" s="54" t="s">
        <v>532</v>
      </c>
      <c r="G82" s="80">
        <f>일위노임!G43</f>
        <v>3.3000000000000002E-2</v>
      </c>
      <c r="H82" s="80">
        <f>합산자재!H124</f>
        <v>0</v>
      </c>
      <c r="I82" s="80" t="str">
        <f>IF(G82*H82&lt;&gt;0, TRUNC(G82*H82,1),"")</f>
        <v/>
      </c>
      <c r="J82" s="80">
        <v>3.3000000000000002E-2</v>
      </c>
      <c r="K82" s="80">
        <f>합산자재!I124</f>
        <v>172068</v>
      </c>
      <c r="L82" s="80">
        <f t="shared" si="9"/>
        <v>5678.2</v>
      </c>
      <c r="M82" s="80">
        <f>합산자재!J124</f>
        <v>0</v>
      </c>
      <c r="N82" s="80" t="str">
        <f t="shared" si="10"/>
        <v/>
      </c>
      <c r="O82" s="80"/>
      <c r="P82" s="80">
        <f t="shared" si="11"/>
        <v>5678.2</v>
      </c>
      <c r="Q82" s="74"/>
      <c r="AE82" s="48">
        <f>L82</f>
        <v>5678.2</v>
      </c>
    </row>
    <row r="83" spans="1:31" ht="23.25" customHeight="1">
      <c r="A83" s="64" t="s">
        <v>926</v>
      </c>
      <c r="B83" s="64" t="s">
        <v>750</v>
      </c>
      <c r="C83" s="76" t="s">
        <v>927</v>
      </c>
      <c r="D83" s="74" t="s">
        <v>928</v>
      </c>
      <c r="E83" s="74" t="s">
        <v>929</v>
      </c>
      <c r="F83" s="54" t="s">
        <v>458</v>
      </c>
      <c r="G83" s="80">
        <v>1</v>
      </c>
      <c r="H83" s="80">
        <f>IF(TRUNC((AD84+AC84)/$AE$3,1)*$AE$3-AD84 &lt;0, AC84, TRUNC((AD84+AC84)/$AE$3,1)*$AE$3-AD84)</f>
        <v>338.39999999999964</v>
      </c>
      <c r="I83" s="80">
        <f>H83</f>
        <v>338.39999999999964</v>
      </c>
      <c r="J83" s="80">
        <v>1</v>
      </c>
      <c r="K83" s="80"/>
      <c r="L83" s="80" t="str">
        <f t="shared" si="9"/>
        <v/>
      </c>
      <c r="M83" s="80"/>
      <c r="N83" s="80" t="str">
        <f t="shared" si="10"/>
        <v/>
      </c>
      <c r="O83" s="80"/>
      <c r="P83" s="80">
        <f t="shared" si="11"/>
        <v>338.4</v>
      </c>
      <c r="Q83" s="74"/>
      <c r="Z83" s="48" t="s">
        <v>920</v>
      </c>
    </row>
    <row r="84" spans="1:31" ht="23.25" customHeight="1">
      <c r="B84" s="64" t="s">
        <v>921</v>
      </c>
      <c r="D84" s="74" t="s">
        <v>922</v>
      </c>
      <c r="E84" s="74"/>
      <c r="F84" s="54"/>
      <c r="G84" s="80"/>
      <c r="H84" s="80"/>
      <c r="I84" s="80">
        <f>TRUNC(SUM(I76:I83))</f>
        <v>1825</v>
      </c>
      <c r="J84" s="80"/>
      <c r="K84" s="80"/>
      <c r="L84" s="80">
        <f>TRUNC(SUM(L76:L83))</f>
        <v>11280</v>
      </c>
      <c r="M84" s="80"/>
      <c r="N84" s="80">
        <f>TRUNC(SUM(N76:N83))</f>
        <v>0</v>
      </c>
      <c r="O84" s="80"/>
      <c r="P84" s="80">
        <f t="shared" si="11"/>
        <v>13105</v>
      </c>
      <c r="Q84" s="74"/>
      <c r="AC84" s="48">
        <f>TRUNC(AE84*옵션!$B$36/100,1)</f>
        <v>338.4</v>
      </c>
      <c r="AD84" s="48">
        <f>TRUNC(SUM(L76:L82))</f>
        <v>11280</v>
      </c>
      <c r="AE84" s="48">
        <f>TRUNC(SUM(AE76:AE83))</f>
        <v>11280</v>
      </c>
    </row>
    <row r="85" spans="1:31" ht="23.25" customHeight="1">
      <c r="D85" s="74"/>
      <c r="E85" s="74"/>
      <c r="F85" s="54"/>
      <c r="G85" s="80"/>
      <c r="H85" s="80"/>
      <c r="I85" s="80" t="str">
        <f>IF(G85*H85&lt;&gt;0, TRUNC(G85*H85,1),"")</f>
        <v/>
      </c>
      <c r="J85" s="80"/>
      <c r="K85" s="80"/>
      <c r="L85" s="80" t="str">
        <f>IF(G85*K85&lt;&gt;0, TRUNC(G85*K85,1),"")</f>
        <v/>
      </c>
      <c r="M85" s="80"/>
      <c r="N85" s="80" t="str">
        <f>IF(G85*M85&lt;&gt;0, TRUNC(G85*M85,1),"")</f>
        <v/>
      </c>
      <c r="O85" s="80"/>
      <c r="P85" s="80" t="str">
        <f t="shared" si="11"/>
        <v/>
      </c>
      <c r="Q85" s="74"/>
    </row>
    <row r="86" spans="1:31" ht="23.25" customHeight="1">
      <c r="A86" s="64" t="s">
        <v>751</v>
      </c>
      <c r="B86" s="64" t="s">
        <v>915</v>
      </c>
      <c r="C86" s="76" t="s">
        <v>752</v>
      </c>
      <c r="D86" s="158" t="s">
        <v>955</v>
      </c>
      <c r="E86" s="159"/>
      <c r="F86" s="159"/>
      <c r="G86" s="159"/>
      <c r="H86" s="159"/>
      <c r="I86" s="159"/>
      <c r="J86" s="159"/>
      <c r="K86" s="159"/>
      <c r="L86" s="159"/>
      <c r="M86" s="159"/>
      <c r="N86" s="159"/>
      <c r="O86" s="159"/>
      <c r="P86" s="159"/>
      <c r="Q86" s="160"/>
      <c r="Z86" s="48" t="s">
        <v>920</v>
      </c>
    </row>
    <row r="87" spans="1:31" ht="23.25" customHeight="1">
      <c r="A87" s="64" t="s">
        <v>956</v>
      </c>
      <c r="B87" s="64" t="s">
        <v>753</v>
      </c>
      <c r="C87" s="76" t="s">
        <v>203</v>
      </c>
      <c r="D87" s="74" t="s">
        <v>194</v>
      </c>
      <c r="E87" s="74" t="s">
        <v>204</v>
      </c>
      <c r="F87" s="54" t="s">
        <v>196</v>
      </c>
      <c r="G87" s="80">
        <v>1</v>
      </c>
      <c r="H87" s="80">
        <f>합산자재!H7</f>
        <v>1632</v>
      </c>
      <c r="I87" s="80">
        <f>IF(G87*H87&lt;&gt;0, TRUNC(G87*H87,1),"")</f>
        <v>1632</v>
      </c>
      <c r="J87" s="80">
        <v>1</v>
      </c>
      <c r="K87" s="80">
        <f>합산자재!I7</f>
        <v>0</v>
      </c>
      <c r="L87" s="80" t="str">
        <f t="shared" ref="L87:L93" si="12">IF(G87*K87&lt;&gt;0, TRUNC(G87*K87,1),"")</f>
        <v/>
      </c>
      <c r="M87" s="80">
        <f>합산자재!J7</f>
        <v>0</v>
      </c>
      <c r="N87" s="80" t="str">
        <f t="shared" ref="N87:N93" si="13">IF(G87*M87&lt;&gt;0, TRUNC(G87*M87,1),"")</f>
        <v/>
      </c>
      <c r="O87" s="80"/>
      <c r="P87" s="80">
        <f t="shared" ref="P87:P95" si="14">IF(SUM(I87,L87,N87)&lt;&gt;0,TRUNC(SUM(I87,L87,N87),1),"")</f>
        <v>1632</v>
      </c>
      <c r="Q87" s="74"/>
      <c r="R87" s="48" t="s">
        <v>942</v>
      </c>
      <c r="AB87" s="48">
        <f>G87*H87</f>
        <v>1632</v>
      </c>
      <c r="AC87" s="48">
        <f>G87*H87</f>
        <v>1632</v>
      </c>
    </row>
    <row r="88" spans="1:31" ht="23.25" customHeight="1">
      <c r="A88" s="64" t="s">
        <v>956</v>
      </c>
      <c r="B88" s="64" t="s">
        <v>753</v>
      </c>
      <c r="C88" s="76" t="s">
        <v>203</v>
      </c>
      <c r="D88" s="74" t="s">
        <v>194</v>
      </c>
      <c r="E88" s="74" t="s">
        <v>204</v>
      </c>
      <c r="F88" s="54" t="s">
        <v>196</v>
      </c>
      <c r="G88" s="80">
        <v>0.03</v>
      </c>
      <c r="H88" s="80">
        <f>합산자재!H7</f>
        <v>1632</v>
      </c>
      <c r="I88" s="80">
        <f>IF(G88*H88&lt;&gt;0, TRUNC(G88*H88,1),"")</f>
        <v>48.9</v>
      </c>
      <c r="J88" s="80">
        <v>0.03</v>
      </c>
      <c r="K88" s="80">
        <f>합산자재!I7</f>
        <v>0</v>
      </c>
      <c r="L88" s="80" t="str">
        <f t="shared" si="12"/>
        <v/>
      </c>
      <c r="M88" s="80">
        <f>합산자재!J7</f>
        <v>0</v>
      </c>
      <c r="N88" s="80" t="str">
        <f t="shared" si="13"/>
        <v/>
      </c>
      <c r="O88" s="80"/>
      <c r="P88" s="80">
        <f t="shared" si="14"/>
        <v>48.9</v>
      </c>
      <c r="Q88" s="74"/>
      <c r="R88" s="48" t="s">
        <v>942</v>
      </c>
    </row>
    <row r="89" spans="1:31" ht="23.25" customHeight="1">
      <c r="A89" s="64" t="s">
        <v>943</v>
      </c>
      <c r="B89" s="64" t="s">
        <v>753</v>
      </c>
      <c r="C89" s="76" t="s">
        <v>944</v>
      </c>
      <c r="D89" s="74" t="s">
        <v>945</v>
      </c>
      <c r="E89" s="74" t="s">
        <v>946</v>
      </c>
      <c r="F89" s="54" t="s">
        <v>458</v>
      </c>
      <c r="G89" s="80">
        <v>1</v>
      </c>
      <c r="H89" s="80">
        <f>TRUNC(AB89*옵션!$B$31/100,1)</f>
        <v>244.8</v>
      </c>
      <c r="I89" s="80">
        <f>IF(G89*H89&lt;&gt;0, TRUNC(G89*H89,1),"")</f>
        <v>244.8</v>
      </c>
      <c r="J89" s="80">
        <v>1</v>
      </c>
      <c r="K89" s="80"/>
      <c r="L89" s="80" t="str">
        <f t="shared" si="12"/>
        <v/>
      </c>
      <c r="M89" s="80"/>
      <c r="N89" s="80" t="str">
        <f t="shared" si="13"/>
        <v/>
      </c>
      <c r="O89" s="80"/>
      <c r="P89" s="80">
        <f t="shared" si="14"/>
        <v>244.8</v>
      </c>
      <c r="Q89" s="74"/>
      <c r="AB89" s="48">
        <f>TRUNC(SUM(AB86:AB88))</f>
        <v>1632</v>
      </c>
    </row>
    <row r="90" spans="1:31" ht="23.25" customHeight="1">
      <c r="A90" s="64" t="s">
        <v>947</v>
      </c>
      <c r="B90" s="64" t="s">
        <v>753</v>
      </c>
      <c r="C90" s="76" t="s">
        <v>948</v>
      </c>
      <c r="D90" s="74" t="s">
        <v>949</v>
      </c>
      <c r="E90" s="74" t="s">
        <v>950</v>
      </c>
      <c r="F90" s="54" t="s">
        <v>458</v>
      </c>
      <c r="G90" s="80">
        <v>1</v>
      </c>
      <c r="H90" s="80">
        <f>IF(TRUNC((AD90+AC90)/$AD$3,1)*$AD$3-AD90 &lt;0, AC90, TRUNC((AD90+AC90)/$AD$3,1)*$AD$3-AD90)</f>
        <v>32.599999999999909</v>
      </c>
      <c r="I90" s="80">
        <f>H90</f>
        <v>32.599999999999909</v>
      </c>
      <c r="J90" s="80">
        <v>1</v>
      </c>
      <c r="K90" s="80"/>
      <c r="L90" s="80" t="str">
        <f t="shared" si="12"/>
        <v/>
      </c>
      <c r="M90" s="80"/>
      <c r="N90" s="80" t="str">
        <f t="shared" si="13"/>
        <v/>
      </c>
      <c r="O90" s="80"/>
      <c r="P90" s="80">
        <f t="shared" si="14"/>
        <v>32.5</v>
      </c>
      <c r="Q90" s="74"/>
      <c r="Z90" s="48" t="s">
        <v>920</v>
      </c>
      <c r="AC90" s="48">
        <f>TRUNC(TRUNC(SUM(AC86:AC89))*옵션!$B$33/100,1)</f>
        <v>32.6</v>
      </c>
      <c r="AD90" s="48">
        <f>TRUNC(SUM(I86:I89))+TRUNC(SUM(N86:N89))</f>
        <v>1925</v>
      </c>
    </row>
    <row r="91" spans="1:31" ht="23.25" customHeight="1">
      <c r="A91" s="64" t="s">
        <v>605</v>
      </c>
      <c r="B91" s="64" t="s">
        <v>753</v>
      </c>
      <c r="C91" s="76" t="s">
        <v>537</v>
      </c>
      <c r="D91" s="74" t="s">
        <v>530</v>
      </c>
      <c r="E91" s="74" t="s">
        <v>538</v>
      </c>
      <c r="F91" s="54" t="s">
        <v>532</v>
      </c>
      <c r="G91" s="80">
        <f>일위노임!G47</f>
        <v>1.35E-2</v>
      </c>
      <c r="H91" s="80">
        <f>합산자재!H118</f>
        <v>0</v>
      </c>
      <c r="I91" s="80" t="str">
        <f>IF(G91*H91&lt;&gt;0, TRUNC(G91*H91,1),"")</f>
        <v/>
      </c>
      <c r="J91" s="80">
        <v>1.35E-2</v>
      </c>
      <c r="K91" s="80">
        <f>합산자재!I118</f>
        <v>414968</v>
      </c>
      <c r="L91" s="80">
        <f t="shared" si="12"/>
        <v>5602</v>
      </c>
      <c r="M91" s="80">
        <f>합산자재!J118</f>
        <v>0</v>
      </c>
      <c r="N91" s="80" t="str">
        <f t="shared" si="13"/>
        <v/>
      </c>
      <c r="O91" s="80"/>
      <c r="P91" s="80">
        <f t="shared" si="14"/>
        <v>5602</v>
      </c>
      <c r="Q91" s="74"/>
      <c r="AE91" s="48">
        <f>L91</f>
        <v>5602</v>
      </c>
    </row>
    <row r="92" spans="1:31" ht="23.25" customHeight="1">
      <c r="A92" s="64" t="s">
        <v>579</v>
      </c>
      <c r="B92" s="64" t="s">
        <v>753</v>
      </c>
      <c r="C92" s="76" t="s">
        <v>549</v>
      </c>
      <c r="D92" s="74" t="s">
        <v>530</v>
      </c>
      <c r="E92" s="74" t="s">
        <v>550</v>
      </c>
      <c r="F92" s="54" t="s">
        <v>532</v>
      </c>
      <c r="G92" s="80">
        <f>일위노임!G48</f>
        <v>3.3000000000000002E-2</v>
      </c>
      <c r="H92" s="80">
        <f>합산자재!H124</f>
        <v>0</v>
      </c>
      <c r="I92" s="80" t="str">
        <f>IF(G92*H92&lt;&gt;0, TRUNC(G92*H92,1),"")</f>
        <v/>
      </c>
      <c r="J92" s="80">
        <v>3.3000000000000002E-2</v>
      </c>
      <c r="K92" s="80">
        <f>합산자재!I124</f>
        <v>172068</v>
      </c>
      <c r="L92" s="80">
        <f t="shared" si="12"/>
        <v>5678.2</v>
      </c>
      <c r="M92" s="80">
        <f>합산자재!J124</f>
        <v>0</v>
      </c>
      <c r="N92" s="80" t="str">
        <f t="shared" si="13"/>
        <v/>
      </c>
      <c r="O92" s="80"/>
      <c r="P92" s="80">
        <f t="shared" si="14"/>
        <v>5678.2</v>
      </c>
      <c r="Q92" s="74"/>
      <c r="AE92" s="48">
        <f>L92</f>
        <v>5678.2</v>
      </c>
    </row>
    <row r="93" spans="1:31" ht="23.25" customHeight="1">
      <c r="A93" s="64" t="s">
        <v>926</v>
      </c>
      <c r="B93" s="64" t="s">
        <v>753</v>
      </c>
      <c r="C93" s="76" t="s">
        <v>927</v>
      </c>
      <c r="D93" s="74" t="s">
        <v>928</v>
      </c>
      <c r="E93" s="74" t="s">
        <v>929</v>
      </c>
      <c r="F93" s="54" t="s">
        <v>458</v>
      </c>
      <c r="G93" s="80">
        <v>1</v>
      </c>
      <c r="H93" s="80">
        <f>IF(TRUNC((AD94+AC94)/$AE$3,1)*$AE$3-AD94 &lt;0, AC94, TRUNC((AD94+AC94)/$AE$3,1)*$AE$3-AD94)</f>
        <v>338.39999999999964</v>
      </c>
      <c r="I93" s="80">
        <f>H93</f>
        <v>338.39999999999964</v>
      </c>
      <c r="J93" s="80">
        <v>1</v>
      </c>
      <c r="K93" s="80"/>
      <c r="L93" s="80" t="str">
        <f t="shared" si="12"/>
        <v/>
      </c>
      <c r="M93" s="80"/>
      <c r="N93" s="80" t="str">
        <f t="shared" si="13"/>
        <v/>
      </c>
      <c r="O93" s="80"/>
      <c r="P93" s="80">
        <f t="shared" si="14"/>
        <v>338.4</v>
      </c>
      <c r="Q93" s="74"/>
    </row>
    <row r="94" spans="1:31" ht="23.25" customHeight="1">
      <c r="B94" s="64" t="s">
        <v>921</v>
      </c>
      <c r="D94" s="74" t="s">
        <v>922</v>
      </c>
      <c r="E94" s="74"/>
      <c r="F94" s="54"/>
      <c r="G94" s="80"/>
      <c r="H94" s="80"/>
      <c r="I94" s="80">
        <f>TRUNC(SUM(I86:I93))</f>
        <v>2296</v>
      </c>
      <c r="J94" s="80"/>
      <c r="K94" s="80"/>
      <c r="L94" s="80">
        <f>TRUNC(SUM(L86:L93))</f>
        <v>11280</v>
      </c>
      <c r="M94" s="80"/>
      <c r="N94" s="80">
        <f>TRUNC(SUM(N86:N93))</f>
        <v>0</v>
      </c>
      <c r="O94" s="80"/>
      <c r="P94" s="80">
        <f t="shared" si="14"/>
        <v>13576</v>
      </c>
      <c r="Q94" s="74"/>
      <c r="AC94" s="48">
        <f>TRUNC(AE94*옵션!$B$36/100,1)</f>
        <v>338.4</v>
      </c>
      <c r="AD94" s="48">
        <f>TRUNC(SUM(L86:L92))</f>
        <v>11280</v>
      </c>
      <c r="AE94" s="48">
        <f>TRUNC(SUM(AE86:AE93))</f>
        <v>11280</v>
      </c>
    </row>
    <row r="95" spans="1:31" ht="23.25" customHeight="1">
      <c r="D95" s="74"/>
      <c r="E95" s="74"/>
      <c r="F95" s="54"/>
      <c r="G95" s="80"/>
      <c r="H95" s="80"/>
      <c r="I95" s="80" t="str">
        <f>IF(G95*H95&lt;&gt;0, TRUNC(G95*H95,1),"")</f>
        <v/>
      </c>
      <c r="J95" s="80"/>
      <c r="K95" s="80"/>
      <c r="L95" s="80" t="str">
        <f>IF(G95*K95&lt;&gt;0, TRUNC(G95*K95,1),"")</f>
        <v/>
      </c>
      <c r="M95" s="80"/>
      <c r="N95" s="80" t="str">
        <f>IF(G95*M95&lt;&gt;0, TRUNC(G95*M95,1),"")</f>
        <v/>
      </c>
      <c r="O95" s="80"/>
      <c r="P95" s="80" t="str">
        <f t="shared" si="14"/>
        <v/>
      </c>
      <c r="Q95" s="74"/>
      <c r="Z95" s="48" t="s">
        <v>920</v>
      </c>
    </row>
    <row r="96" spans="1:31" ht="23.25" customHeight="1">
      <c r="A96" s="64" t="s">
        <v>754</v>
      </c>
      <c r="B96" s="64" t="s">
        <v>915</v>
      </c>
      <c r="C96" s="76" t="s">
        <v>755</v>
      </c>
      <c r="D96" s="158" t="s">
        <v>957</v>
      </c>
      <c r="E96" s="159"/>
      <c r="F96" s="159"/>
      <c r="G96" s="159"/>
      <c r="H96" s="159"/>
      <c r="I96" s="159"/>
      <c r="J96" s="159"/>
      <c r="K96" s="159"/>
      <c r="L96" s="159"/>
      <c r="M96" s="159"/>
      <c r="N96" s="159"/>
      <c r="O96" s="159"/>
      <c r="P96" s="159"/>
      <c r="Q96" s="160"/>
    </row>
    <row r="97" spans="1:31" ht="23.25" customHeight="1">
      <c r="A97" s="64" t="s">
        <v>958</v>
      </c>
      <c r="B97" s="64" t="s">
        <v>756</v>
      </c>
      <c r="C97" s="76" t="s">
        <v>205</v>
      </c>
      <c r="D97" s="74" t="s">
        <v>194</v>
      </c>
      <c r="E97" s="74" t="s">
        <v>206</v>
      </c>
      <c r="F97" s="54" t="s">
        <v>196</v>
      </c>
      <c r="G97" s="80">
        <v>1</v>
      </c>
      <c r="H97" s="80">
        <f>합산자재!H8</f>
        <v>2188</v>
      </c>
      <c r="I97" s="80">
        <f>IF(G97*H97&lt;&gt;0, TRUNC(G97*H97,1),"")</f>
        <v>2188</v>
      </c>
      <c r="J97" s="80">
        <v>1</v>
      </c>
      <c r="K97" s="80">
        <f>합산자재!I8</f>
        <v>0</v>
      </c>
      <c r="L97" s="80" t="str">
        <f t="shared" ref="L97:L103" si="15">IF(G97*K97&lt;&gt;0, TRUNC(G97*K97,1),"")</f>
        <v/>
      </c>
      <c r="M97" s="80">
        <f>합산자재!J8</f>
        <v>0</v>
      </c>
      <c r="N97" s="80" t="str">
        <f t="shared" ref="N97:N103" si="16">IF(G97*M97&lt;&gt;0, TRUNC(G97*M97,1),"")</f>
        <v/>
      </c>
      <c r="O97" s="80"/>
      <c r="P97" s="80">
        <f t="shared" ref="P97:P105" si="17">IF(SUM(I97,L97,N97)&lt;&gt;0,TRUNC(SUM(I97,L97,N97),1),"")</f>
        <v>2188</v>
      </c>
      <c r="Q97" s="74"/>
      <c r="R97" s="48" t="s">
        <v>942</v>
      </c>
      <c r="AB97" s="48">
        <f>G97*H97</f>
        <v>2188</v>
      </c>
      <c r="AC97" s="48">
        <f>G97*H97</f>
        <v>2188</v>
      </c>
    </row>
    <row r="98" spans="1:31" ht="23.25" customHeight="1">
      <c r="A98" s="64" t="s">
        <v>958</v>
      </c>
      <c r="B98" s="64" t="s">
        <v>756</v>
      </c>
      <c r="C98" s="76" t="s">
        <v>205</v>
      </c>
      <c r="D98" s="74" t="s">
        <v>194</v>
      </c>
      <c r="E98" s="74" t="s">
        <v>206</v>
      </c>
      <c r="F98" s="54" t="s">
        <v>196</v>
      </c>
      <c r="G98" s="80">
        <v>0.03</v>
      </c>
      <c r="H98" s="80">
        <f>합산자재!H8</f>
        <v>2188</v>
      </c>
      <c r="I98" s="80">
        <f>IF(G98*H98&lt;&gt;0, TRUNC(G98*H98,1),"")</f>
        <v>65.599999999999994</v>
      </c>
      <c r="J98" s="80">
        <v>0.03</v>
      </c>
      <c r="K98" s="80">
        <f>합산자재!I8</f>
        <v>0</v>
      </c>
      <c r="L98" s="80" t="str">
        <f t="shared" si="15"/>
        <v/>
      </c>
      <c r="M98" s="80">
        <f>합산자재!J8</f>
        <v>0</v>
      </c>
      <c r="N98" s="80" t="str">
        <f t="shared" si="16"/>
        <v/>
      </c>
      <c r="O98" s="80"/>
      <c r="P98" s="80">
        <f t="shared" si="17"/>
        <v>65.599999999999994</v>
      </c>
      <c r="Q98" s="74"/>
      <c r="R98" s="48" t="s">
        <v>942</v>
      </c>
    </row>
    <row r="99" spans="1:31" ht="23.25" customHeight="1">
      <c r="A99" s="64" t="s">
        <v>943</v>
      </c>
      <c r="B99" s="64" t="s">
        <v>756</v>
      </c>
      <c r="C99" s="76" t="s">
        <v>944</v>
      </c>
      <c r="D99" s="74" t="s">
        <v>945</v>
      </c>
      <c r="E99" s="74" t="s">
        <v>946</v>
      </c>
      <c r="F99" s="54" t="s">
        <v>458</v>
      </c>
      <c r="G99" s="80">
        <v>1</v>
      </c>
      <c r="H99" s="80">
        <f>TRUNC(AB99*옵션!$B$31/100,1)</f>
        <v>328.2</v>
      </c>
      <c r="I99" s="80">
        <f>IF(G99*H99&lt;&gt;0, TRUNC(G99*H99,1),"")</f>
        <v>328.2</v>
      </c>
      <c r="J99" s="80">
        <v>1</v>
      </c>
      <c r="K99" s="80"/>
      <c r="L99" s="80" t="str">
        <f t="shared" si="15"/>
        <v/>
      </c>
      <c r="M99" s="80"/>
      <c r="N99" s="80" t="str">
        <f t="shared" si="16"/>
        <v/>
      </c>
      <c r="O99" s="80"/>
      <c r="P99" s="80">
        <f t="shared" si="17"/>
        <v>328.2</v>
      </c>
      <c r="Q99" s="74"/>
      <c r="AB99" s="48">
        <f>TRUNC(SUM(AB96:AB98))</f>
        <v>2188</v>
      </c>
    </row>
    <row r="100" spans="1:31" ht="23.25" customHeight="1">
      <c r="A100" s="64" t="s">
        <v>947</v>
      </c>
      <c r="B100" s="64" t="s">
        <v>756</v>
      </c>
      <c r="C100" s="76" t="s">
        <v>948</v>
      </c>
      <c r="D100" s="74" t="s">
        <v>949</v>
      </c>
      <c r="E100" s="74" t="s">
        <v>950</v>
      </c>
      <c r="F100" s="54" t="s">
        <v>458</v>
      </c>
      <c r="G100" s="80">
        <v>1</v>
      </c>
      <c r="H100" s="80">
        <f>IF(TRUNC((AD100+AC100)/$AD$3,1)*$AD$3-AD100 &lt;0, AC100, TRUNC((AD100+AC100)/$AD$3,1)*$AD$3-AD100)</f>
        <v>43.699999999999818</v>
      </c>
      <c r="I100" s="80">
        <f>H100</f>
        <v>43.699999999999818</v>
      </c>
      <c r="J100" s="80">
        <v>1</v>
      </c>
      <c r="K100" s="80"/>
      <c r="L100" s="80" t="str">
        <f t="shared" si="15"/>
        <v/>
      </c>
      <c r="M100" s="80"/>
      <c r="N100" s="80" t="str">
        <f t="shared" si="16"/>
        <v/>
      </c>
      <c r="O100" s="80"/>
      <c r="P100" s="80">
        <f t="shared" si="17"/>
        <v>43.6</v>
      </c>
      <c r="Q100" s="74"/>
      <c r="Z100" s="48" t="s">
        <v>920</v>
      </c>
      <c r="AC100" s="48">
        <f>TRUNC(TRUNC(SUM(AC96:AC99))*옵션!$B$33/100,1)</f>
        <v>43.7</v>
      </c>
      <c r="AD100" s="48">
        <f>TRUNC(SUM(I96:I99))+TRUNC(SUM(N96:N99))</f>
        <v>2581</v>
      </c>
    </row>
    <row r="101" spans="1:31" ht="23.25" customHeight="1">
      <c r="A101" s="64" t="s">
        <v>605</v>
      </c>
      <c r="B101" s="64" t="s">
        <v>756</v>
      </c>
      <c r="C101" s="76" t="s">
        <v>537</v>
      </c>
      <c r="D101" s="74" t="s">
        <v>530</v>
      </c>
      <c r="E101" s="74" t="s">
        <v>538</v>
      </c>
      <c r="F101" s="54" t="s">
        <v>532</v>
      </c>
      <c r="G101" s="80">
        <f>일위노임!G52</f>
        <v>1.7999999999999999E-2</v>
      </c>
      <c r="H101" s="80">
        <f>합산자재!H118</f>
        <v>0</v>
      </c>
      <c r="I101" s="80" t="str">
        <f>IF(G101*H101&lt;&gt;0, TRUNC(G101*H101,1),"")</f>
        <v/>
      </c>
      <c r="J101" s="80">
        <v>1.7999999999999999E-2</v>
      </c>
      <c r="K101" s="80">
        <f>합산자재!I118</f>
        <v>414968</v>
      </c>
      <c r="L101" s="80">
        <f t="shared" si="15"/>
        <v>7469.4</v>
      </c>
      <c r="M101" s="80">
        <f>합산자재!J118</f>
        <v>0</v>
      </c>
      <c r="N101" s="80" t="str">
        <f t="shared" si="16"/>
        <v/>
      </c>
      <c r="O101" s="80"/>
      <c r="P101" s="80">
        <f t="shared" si="17"/>
        <v>7469.4</v>
      </c>
      <c r="Q101" s="74"/>
      <c r="AE101" s="48">
        <f>L101</f>
        <v>7469.4</v>
      </c>
    </row>
    <row r="102" spans="1:31" ht="23.25" customHeight="1">
      <c r="A102" s="64" t="s">
        <v>579</v>
      </c>
      <c r="B102" s="64" t="s">
        <v>756</v>
      </c>
      <c r="C102" s="76" t="s">
        <v>549</v>
      </c>
      <c r="D102" s="74" t="s">
        <v>530</v>
      </c>
      <c r="E102" s="74" t="s">
        <v>550</v>
      </c>
      <c r="F102" s="54" t="s">
        <v>532</v>
      </c>
      <c r="G102" s="80">
        <f>일위노임!G53</f>
        <v>5.3999999999999999E-2</v>
      </c>
      <c r="H102" s="80">
        <f>합산자재!H124</f>
        <v>0</v>
      </c>
      <c r="I102" s="80" t="str">
        <f>IF(G102*H102&lt;&gt;0, TRUNC(G102*H102,1),"")</f>
        <v/>
      </c>
      <c r="J102" s="80">
        <v>5.3999999999999999E-2</v>
      </c>
      <c r="K102" s="80">
        <f>합산자재!I124</f>
        <v>172068</v>
      </c>
      <c r="L102" s="80">
        <f t="shared" si="15"/>
        <v>9291.6</v>
      </c>
      <c r="M102" s="80">
        <f>합산자재!J124</f>
        <v>0</v>
      </c>
      <c r="N102" s="80" t="str">
        <f t="shared" si="16"/>
        <v/>
      </c>
      <c r="O102" s="80"/>
      <c r="P102" s="80">
        <f t="shared" si="17"/>
        <v>9291.6</v>
      </c>
      <c r="Q102" s="74"/>
      <c r="AE102" s="48">
        <f>L102</f>
        <v>9291.6</v>
      </c>
    </row>
    <row r="103" spans="1:31" ht="23.25" customHeight="1">
      <c r="A103" s="64" t="s">
        <v>926</v>
      </c>
      <c r="B103" s="64" t="s">
        <v>756</v>
      </c>
      <c r="C103" s="76" t="s">
        <v>927</v>
      </c>
      <c r="D103" s="74" t="s">
        <v>928</v>
      </c>
      <c r="E103" s="74" t="s">
        <v>929</v>
      </c>
      <c r="F103" s="54" t="s">
        <v>458</v>
      </c>
      <c r="G103" s="80">
        <v>1</v>
      </c>
      <c r="H103" s="80">
        <f>IF(TRUNC((AD104+AC104)/$AE$3,1)*$AE$3-AD104 &lt;0, AC104, TRUNC((AD104+AC104)/$AE$3,1)*$AE$3-AD104)</f>
        <v>502.79999999999927</v>
      </c>
      <c r="I103" s="80">
        <f>H103</f>
        <v>502.79999999999927</v>
      </c>
      <c r="J103" s="80">
        <v>1</v>
      </c>
      <c r="K103" s="80"/>
      <c r="L103" s="80" t="str">
        <f t="shared" si="15"/>
        <v/>
      </c>
      <c r="M103" s="80"/>
      <c r="N103" s="80" t="str">
        <f t="shared" si="16"/>
        <v/>
      </c>
      <c r="O103" s="80"/>
      <c r="P103" s="80">
        <f t="shared" si="17"/>
        <v>502.7</v>
      </c>
      <c r="Q103" s="74"/>
    </row>
    <row r="104" spans="1:31" ht="23.25" customHeight="1">
      <c r="B104" s="64" t="s">
        <v>921</v>
      </c>
      <c r="D104" s="74" t="s">
        <v>922</v>
      </c>
      <c r="E104" s="74"/>
      <c r="F104" s="54"/>
      <c r="G104" s="80"/>
      <c r="H104" s="80"/>
      <c r="I104" s="80">
        <f>TRUNC(SUM(I96:I103))</f>
        <v>3128</v>
      </c>
      <c r="J104" s="80"/>
      <c r="K104" s="80"/>
      <c r="L104" s="80">
        <f>TRUNC(SUM(L96:L103))</f>
        <v>16761</v>
      </c>
      <c r="M104" s="80"/>
      <c r="N104" s="80">
        <f>TRUNC(SUM(N96:N103))</f>
        <v>0</v>
      </c>
      <c r="O104" s="80"/>
      <c r="P104" s="80">
        <f t="shared" si="17"/>
        <v>19889</v>
      </c>
      <c r="Q104" s="74"/>
      <c r="Z104" s="48" t="s">
        <v>920</v>
      </c>
      <c r="AC104" s="48">
        <f>TRUNC(AE104*옵션!$B$36/100,1)</f>
        <v>502.8</v>
      </c>
      <c r="AD104" s="48">
        <f>TRUNC(SUM(L96:L102))</f>
        <v>16761</v>
      </c>
      <c r="AE104" s="48">
        <f>TRUNC(SUM(AE96:AE103))</f>
        <v>16761</v>
      </c>
    </row>
    <row r="105" spans="1:31" ht="23.25" customHeight="1">
      <c r="D105" s="74"/>
      <c r="E105" s="74"/>
      <c r="F105" s="54"/>
      <c r="G105" s="80"/>
      <c r="H105" s="80"/>
      <c r="I105" s="80" t="str">
        <f>IF(G105*H105&lt;&gt;0, TRUNC(G105*H105,1),"")</f>
        <v/>
      </c>
      <c r="J105" s="80"/>
      <c r="K105" s="80"/>
      <c r="L105" s="80" t="str">
        <f>IF(G105*K105&lt;&gt;0, TRUNC(G105*K105,1),"")</f>
        <v/>
      </c>
      <c r="M105" s="80"/>
      <c r="N105" s="80" t="str">
        <f>IF(G105*M105&lt;&gt;0, TRUNC(G105*M105,1),"")</f>
        <v/>
      </c>
      <c r="O105" s="80"/>
      <c r="P105" s="80" t="str">
        <f t="shared" si="17"/>
        <v/>
      </c>
      <c r="Q105" s="74"/>
    </row>
    <row r="106" spans="1:31" ht="23.25" customHeight="1">
      <c r="A106" s="64" t="s">
        <v>757</v>
      </c>
      <c r="B106" s="64" t="s">
        <v>915</v>
      </c>
      <c r="C106" s="76" t="s">
        <v>758</v>
      </c>
      <c r="D106" s="158" t="s">
        <v>959</v>
      </c>
      <c r="E106" s="159"/>
      <c r="F106" s="159"/>
      <c r="G106" s="159"/>
      <c r="H106" s="159"/>
      <c r="I106" s="159"/>
      <c r="J106" s="159"/>
      <c r="K106" s="159"/>
      <c r="L106" s="159"/>
      <c r="M106" s="159"/>
      <c r="N106" s="159"/>
      <c r="O106" s="159"/>
      <c r="P106" s="159"/>
      <c r="Q106" s="160"/>
    </row>
    <row r="107" spans="1:31" ht="23.25" customHeight="1">
      <c r="A107" s="64" t="s">
        <v>960</v>
      </c>
      <c r="B107" s="64" t="s">
        <v>759</v>
      </c>
      <c r="C107" s="76" t="s">
        <v>207</v>
      </c>
      <c r="D107" s="74" t="s">
        <v>194</v>
      </c>
      <c r="E107" s="74" t="s">
        <v>208</v>
      </c>
      <c r="F107" s="54" t="s">
        <v>196</v>
      </c>
      <c r="G107" s="80">
        <v>1</v>
      </c>
      <c r="H107" s="80">
        <f>합산자재!H9</f>
        <v>563</v>
      </c>
      <c r="I107" s="80">
        <f>IF(G107*H107&lt;&gt;0, TRUNC(G107*H107,1),"")</f>
        <v>563</v>
      </c>
      <c r="J107" s="80">
        <v>1</v>
      </c>
      <c r="K107" s="80">
        <f>합산자재!I9</f>
        <v>0</v>
      </c>
      <c r="L107" s="80" t="str">
        <f t="shared" ref="L107:L113" si="18">IF(G107*K107&lt;&gt;0, TRUNC(G107*K107,1),"")</f>
        <v/>
      </c>
      <c r="M107" s="80">
        <f>합산자재!J9</f>
        <v>0</v>
      </c>
      <c r="N107" s="80" t="str">
        <f t="shared" ref="N107:N113" si="19">IF(G107*M107&lt;&gt;0, TRUNC(G107*M107,1),"")</f>
        <v/>
      </c>
      <c r="O107" s="80"/>
      <c r="P107" s="80">
        <f t="shared" ref="P107:P115" si="20">IF(SUM(I107,L107,N107)&lt;&gt;0,TRUNC(SUM(I107,L107,N107),1),"")</f>
        <v>563</v>
      </c>
      <c r="Q107" s="74"/>
      <c r="R107" s="48" t="s">
        <v>942</v>
      </c>
      <c r="AB107" s="48">
        <f>G107*H107</f>
        <v>563</v>
      </c>
      <c r="AC107" s="48">
        <f>G107*H107</f>
        <v>563</v>
      </c>
    </row>
    <row r="108" spans="1:31" ht="23.25" customHeight="1">
      <c r="A108" s="64" t="s">
        <v>960</v>
      </c>
      <c r="B108" s="64" t="s">
        <v>759</v>
      </c>
      <c r="C108" s="76" t="s">
        <v>207</v>
      </c>
      <c r="D108" s="74" t="s">
        <v>194</v>
      </c>
      <c r="E108" s="74" t="s">
        <v>208</v>
      </c>
      <c r="F108" s="54" t="s">
        <v>196</v>
      </c>
      <c r="G108" s="80">
        <v>0.03</v>
      </c>
      <c r="H108" s="80">
        <f>합산자재!H9</f>
        <v>563</v>
      </c>
      <c r="I108" s="80">
        <f>IF(G108*H108&lt;&gt;0, TRUNC(G108*H108,1),"")</f>
        <v>16.8</v>
      </c>
      <c r="J108" s="80">
        <v>0.03</v>
      </c>
      <c r="K108" s="80">
        <f>합산자재!I9</f>
        <v>0</v>
      </c>
      <c r="L108" s="80" t="str">
        <f t="shared" si="18"/>
        <v/>
      </c>
      <c r="M108" s="80">
        <f>합산자재!J9</f>
        <v>0</v>
      </c>
      <c r="N108" s="80" t="str">
        <f t="shared" si="19"/>
        <v/>
      </c>
      <c r="O108" s="80"/>
      <c r="P108" s="80">
        <f t="shared" si="20"/>
        <v>16.8</v>
      </c>
      <c r="Q108" s="74"/>
      <c r="R108" s="48" t="s">
        <v>942</v>
      </c>
      <c r="Z108" s="48" t="s">
        <v>920</v>
      </c>
    </row>
    <row r="109" spans="1:31" ht="23.25" customHeight="1">
      <c r="A109" s="64" t="s">
        <v>943</v>
      </c>
      <c r="B109" s="64" t="s">
        <v>759</v>
      </c>
      <c r="C109" s="76" t="s">
        <v>944</v>
      </c>
      <c r="D109" s="74" t="s">
        <v>945</v>
      </c>
      <c r="E109" s="74" t="s">
        <v>946</v>
      </c>
      <c r="F109" s="54" t="s">
        <v>458</v>
      </c>
      <c r="G109" s="80">
        <v>1</v>
      </c>
      <c r="H109" s="80">
        <f>TRUNC(AB109*옵션!$B$31/100,1)</f>
        <v>84.4</v>
      </c>
      <c r="I109" s="80">
        <f>IF(G109*H109&lt;&gt;0, TRUNC(G109*H109,1),"")</f>
        <v>84.4</v>
      </c>
      <c r="J109" s="80">
        <v>1</v>
      </c>
      <c r="K109" s="80"/>
      <c r="L109" s="80" t="str">
        <f t="shared" si="18"/>
        <v/>
      </c>
      <c r="M109" s="80"/>
      <c r="N109" s="80" t="str">
        <f t="shared" si="19"/>
        <v/>
      </c>
      <c r="O109" s="80"/>
      <c r="P109" s="80">
        <f t="shared" si="20"/>
        <v>84.4</v>
      </c>
      <c r="Q109" s="74"/>
      <c r="AB109" s="48">
        <f>TRUNC(SUM(AB106:AB108))</f>
        <v>563</v>
      </c>
    </row>
    <row r="110" spans="1:31" ht="23.25" customHeight="1">
      <c r="A110" s="64" t="s">
        <v>947</v>
      </c>
      <c r="B110" s="64" t="s">
        <v>759</v>
      </c>
      <c r="C110" s="76" t="s">
        <v>948</v>
      </c>
      <c r="D110" s="74" t="s">
        <v>949</v>
      </c>
      <c r="E110" s="74" t="s">
        <v>950</v>
      </c>
      <c r="F110" s="54" t="s">
        <v>458</v>
      </c>
      <c r="G110" s="80">
        <v>1</v>
      </c>
      <c r="H110" s="80">
        <f>IF(TRUNC((AD110+AC110)/$AD$3,1)*$AD$3-AD110 &lt;0, AC110, TRUNC((AD110+AC110)/$AD$3,1)*$AD$3-AD110)</f>
        <v>11.200000000000045</v>
      </c>
      <c r="I110" s="80">
        <f>H110</f>
        <v>11.200000000000045</v>
      </c>
      <c r="J110" s="80">
        <v>1</v>
      </c>
      <c r="K110" s="80"/>
      <c r="L110" s="80" t="str">
        <f t="shared" si="18"/>
        <v/>
      </c>
      <c r="M110" s="80"/>
      <c r="N110" s="80" t="str">
        <f t="shared" si="19"/>
        <v/>
      </c>
      <c r="O110" s="80"/>
      <c r="P110" s="80">
        <f t="shared" si="20"/>
        <v>11.2</v>
      </c>
      <c r="Q110" s="74"/>
      <c r="AC110" s="48">
        <f>TRUNC(TRUNC(SUM(AC106:AC109))*옵션!$B$33/100,1)</f>
        <v>11.2</v>
      </c>
      <c r="AD110" s="48">
        <f>TRUNC(SUM(I106:I109))+TRUNC(SUM(N106:N109))</f>
        <v>664</v>
      </c>
    </row>
    <row r="111" spans="1:31" ht="23.25" customHeight="1">
      <c r="A111" s="64" t="s">
        <v>605</v>
      </c>
      <c r="B111" s="64" t="s">
        <v>759</v>
      </c>
      <c r="C111" s="76" t="s">
        <v>537</v>
      </c>
      <c r="D111" s="74" t="s">
        <v>530</v>
      </c>
      <c r="E111" s="74" t="s">
        <v>538</v>
      </c>
      <c r="F111" s="54" t="s">
        <v>532</v>
      </c>
      <c r="G111" s="80">
        <f>일위노임!G57</f>
        <v>7.0000000000000001E-3</v>
      </c>
      <c r="H111" s="80">
        <f>합산자재!H118</f>
        <v>0</v>
      </c>
      <c r="I111" s="80" t="str">
        <f>IF(G111*H111&lt;&gt;0, TRUNC(G111*H111,1),"")</f>
        <v/>
      </c>
      <c r="J111" s="80">
        <v>7.0000000000000001E-3</v>
      </c>
      <c r="K111" s="80">
        <f>합산자재!I118</f>
        <v>414968</v>
      </c>
      <c r="L111" s="80">
        <f t="shared" si="18"/>
        <v>2904.7</v>
      </c>
      <c r="M111" s="80">
        <f>합산자재!J118</f>
        <v>0</v>
      </c>
      <c r="N111" s="80" t="str">
        <f t="shared" si="19"/>
        <v/>
      </c>
      <c r="O111" s="80"/>
      <c r="P111" s="80">
        <f t="shared" si="20"/>
        <v>2904.7</v>
      </c>
      <c r="Q111" s="74"/>
      <c r="AE111" s="48">
        <f>L111</f>
        <v>2904.7</v>
      </c>
    </row>
    <row r="112" spans="1:31" ht="23.25" customHeight="1">
      <c r="A112" s="64" t="s">
        <v>579</v>
      </c>
      <c r="B112" s="64" t="s">
        <v>759</v>
      </c>
      <c r="C112" s="76" t="s">
        <v>549</v>
      </c>
      <c r="D112" s="74" t="s">
        <v>530</v>
      </c>
      <c r="E112" s="74" t="s">
        <v>550</v>
      </c>
      <c r="F112" s="54" t="s">
        <v>532</v>
      </c>
      <c r="G112" s="80">
        <f>일위노임!G58</f>
        <v>1.7999999999999999E-2</v>
      </c>
      <c r="H112" s="80">
        <f>합산자재!H124</f>
        <v>0</v>
      </c>
      <c r="I112" s="80" t="str">
        <f>IF(G112*H112&lt;&gt;0, TRUNC(G112*H112,1),"")</f>
        <v/>
      </c>
      <c r="J112" s="80">
        <v>1.7999999999999999E-2</v>
      </c>
      <c r="K112" s="80">
        <f>합산자재!I124</f>
        <v>172068</v>
      </c>
      <c r="L112" s="80">
        <f t="shared" si="18"/>
        <v>3097.2</v>
      </c>
      <c r="M112" s="80">
        <f>합산자재!J124</f>
        <v>0</v>
      </c>
      <c r="N112" s="80" t="str">
        <f t="shared" si="19"/>
        <v/>
      </c>
      <c r="O112" s="80"/>
      <c r="P112" s="80">
        <f t="shared" si="20"/>
        <v>3097.2</v>
      </c>
      <c r="Q112" s="74"/>
      <c r="Z112" s="48" t="s">
        <v>920</v>
      </c>
      <c r="AE112" s="48">
        <f>L112</f>
        <v>3097.2</v>
      </c>
    </row>
    <row r="113" spans="1:31" ht="23.25" customHeight="1">
      <c r="A113" s="64" t="s">
        <v>926</v>
      </c>
      <c r="B113" s="64" t="s">
        <v>759</v>
      </c>
      <c r="C113" s="76" t="s">
        <v>927</v>
      </c>
      <c r="D113" s="74" t="s">
        <v>928</v>
      </c>
      <c r="E113" s="74" t="s">
        <v>929</v>
      </c>
      <c r="F113" s="54" t="s">
        <v>458</v>
      </c>
      <c r="G113" s="80">
        <v>1</v>
      </c>
      <c r="H113" s="80">
        <f>IF(TRUNC((AD114+AC114)/$AE$3,1)*$AE$3-AD114 &lt;0, AC114, TRUNC((AD114+AC114)/$AE$3,1)*$AE$3-AD114)</f>
        <v>180</v>
      </c>
      <c r="I113" s="80">
        <f>H113</f>
        <v>180</v>
      </c>
      <c r="J113" s="80">
        <v>1</v>
      </c>
      <c r="K113" s="80"/>
      <c r="L113" s="80" t="str">
        <f t="shared" si="18"/>
        <v/>
      </c>
      <c r="M113" s="80"/>
      <c r="N113" s="80" t="str">
        <f t="shared" si="19"/>
        <v/>
      </c>
      <c r="O113" s="80"/>
      <c r="P113" s="80">
        <f t="shared" si="20"/>
        <v>180</v>
      </c>
      <c r="Q113" s="74"/>
    </row>
    <row r="114" spans="1:31" ht="23.25" customHeight="1">
      <c r="B114" s="64" t="s">
        <v>921</v>
      </c>
      <c r="D114" s="74" t="s">
        <v>922</v>
      </c>
      <c r="E114" s="74"/>
      <c r="F114" s="54"/>
      <c r="G114" s="80"/>
      <c r="H114" s="80"/>
      <c r="I114" s="80">
        <f>TRUNC(SUM(I106:I113))</f>
        <v>855</v>
      </c>
      <c r="J114" s="80"/>
      <c r="K114" s="80"/>
      <c r="L114" s="80">
        <f>TRUNC(SUM(L106:L113))</f>
        <v>6001</v>
      </c>
      <c r="M114" s="80"/>
      <c r="N114" s="80">
        <f>TRUNC(SUM(N106:N113))</f>
        <v>0</v>
      </c>
      <c r="O114" s="80"/>
      <c r="P114" s="80">
        <f t="shared" si="20"/>
        <v>6856</v>
      </c>
      <c r="Q114" s="74"/>
      <c r="AC114" s="48">
        <f>TRUNC(AE114*옵션!$B$36/100,1)</f>
        <v>180</v>
      </c>
      <c r="AD114" s="48">
        <f>TRUNC(SUM(L106:L112))</f>
        <v>6001</v>
      </c>
      <c r="AE114" s="48">
        <f>TRUNC(SUM(AE106:AE113))</f>
        <v>6001</v>
      </c>
    </row>
    <row r="115" spans="1:31" ht="23.25" customHeight="1">
      <c r="D115" s="74"/>
      <c r="E115" s="74"/>
      <c r="F115" s="54"/>
      <c r="G115" s="80"/>
      <c r="H115" s="80"/>
      <c r="I115" s="80" t="str">
        <f>IF(G115*H115&lt;&gt;0, TRUNC(G115*H115,1),"")</f>
        <v/>
      </c>
      <c r="J115" s="80"/>
      <c r="K115" s="80"/>
      <c r="L115" s="80" t="str">
        <f>IF(G115*K115&lt;&gt;0, TRUNC(G115*K115,1),"")</f>
        <v/>
      </c>
      <c r="M115" s="80"/>
      <c r="N115" s="80" t="str">
        <f>IF(G115*M115&lt;&gt;0, TRUNC(G115*M115,1),"")</f>
        <v/>
      </c>
      <c r="O115" s="80"/>
      <c r="P115" s="80" t="str">
        <f t="shared" si="20"/>
        <v/>
      </c>
      <c r="Q115" s="74"/>
      <c r="Z115" s="48" t="s">
        <v>920</v>
      </c>
    </row>
    <row r="116" spans="1:31" ht="23.25" customHeight="1">
      <c r="A116" s="64" t="s">
        <v>760</v>
      </c>
      <c r="B116" s="64" t="s">
        <v>915</v>
      </c>
      <c r="C116" s="76" t="s">
        <v>761</v>
      </c>
      <c r="D116" s="158" t="s">
        <v>961</v>
      </c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60"/>
    </row>
    <row r="117" spans="1:31" ht="23.25" customHeight="1">
      <c r="A117" s="64" t="s">
        <v>962</v>
      </c>
      <c r="B117" s="64" t="s">
        <v>762</v>
      </c>
      <c r="C117" s="76" t="s">
        <v>209</v>
      </c>
      <c r="D117" s="74" t="s">
        <v>194</v>
      </c>
      <c r="E117" s="74" t="s">
        <v>210</v>
      </c>
      <c r="F117" s="54" t="s">
        <v>196</v>
      </c>
      <c r="G117" s="80">
        <v>1</v>
      </c>
      <c r="H117" s="80">
        <f>합산자재!H10</f>
        <v>750</v>
      </c>
      <c r="I117" s="80">
        <f>IF(G117*H117&lt;&gt;0, TRUNC(G117*H117,1),"")</f>
        <v>750</v>
      </c>
      <c r="J117" s="80">
        <v>1</v>
      </c>
      <c r="K117" s="80">
        <f>합산자재!I10</f>
        <v>0</v>
      </c>
      <c r="L117" s="80" t="str">
        <f t="shared" ref="L117:L123" si="21">IF(G117*K117&lt;&gt;0, TRUNC(G117*K117,1),"")</f>
        <v/>
      </c>
      <c r="M117" s="80">
        <f>합산자재!J10</f>
        <v>0</v>
      </c>
      <c r="N117" s="80" t="str">
        <f t="shared" ref="N117:N123" si="22">IF(G117*M117&lt;&gt;0, TRUNC(G117*M117,1),"")</f>
        <v/>
      </c>
      <c r="O117" s="80"/>
      <c r="P117" s="80">
        <f t="shared" ref="P117:P125" si="23">IF(SUM(I117,L117,N117)&lt;&gt;0,TRUNC(SUM(I117,L117,N117),1),"")</f>
        <v>750</v>
      </c>
      <c r="Q117" s="74"/>
      <c r="R117" s="48" t="s">
        <v>942</v>
      </c>
      <c r="AB117" s="48">
        <f>G117*H117</f>
        <v>750</v>
      </c>
      <c r="AC117" s="48">
        <f>G117*H117</f>
        <v>750</v>
      </c>
    </row>
    <row r="118" spans="1:31" ht="23.25" customHeight="1">
      <c r="A118" s="64" t="s">
        <v>962</v>
      </c>
      <c r="B118" s="64" t="s">
        <v>762</v>
      </c>
      <c r="C118" s="76" t="s">
        <v>209</v>
      </c>
      <c r="D118" s="74" t="s">
        <v>194</v>
      </c>
      <c r="E118" s="74" t="s">
        <v>210</v>
      </c>
      <c r="F118" s="54" t="s">
        <v>196</v>
      </c>
      <c r="G118" s="80">
        <v>0.03</v>
      </c>
      <c r="H118" s="80">
        <f>합산자재!H10</f>
        <v>750</v>
      </c>
      <c r="I118" s="80">
        <f>IF(G118*H118&lt;&gt;0, TRUNC(G118*H118,1),"")</f>
        <v>22.5</v>
      </c>
      <c r="J118" s="80">
        <v>0.03</v>
      </c>
      <c r="K118" s="80">
        <f>합산자재!I10</f>
        <v>0</v>
      </c>
      <c r="L118" s="80" t="str">
        <f t="shared" si="21"/>
        <v/>
      </c>
      <c r="M118" s="80">
        <f>합산자재!J10</f>
        <v>0</v>
      </c>
      <c r="N118" s="80" t="str">
        <f t="shared" si="22"/>
        <v/>
      </c>
      <c r="O118" s="80"/>
      <c r="P118" s="80">
        <f t="shared" si="23"/>
        <v>22.5</v>
      </c>
      <c r="Q118" s="74"/>
      <c r="R118" s="48" t="s">
        <v>942</v>
      </c>
      <c r="Z118" s="48" t="s">
        <v>920</v>
      </c>
    </row>
    <row r="119" spans="1:31" ht="23.25" customHeight="1">
      <c r="A119" s="64" t="s">
        <v>943</v>
      </c>
      <c r="B119" s="64" t="s">
        <v>762</v>
      </c>
      <c r="C119" s="76" t="s">
        <v>944</v>
      </c>
      <c r="D119" s="74" t="s">
        <v>945</v>
      </c>
      <c r="E119" s="74" t="s">
        <v>946</v>
      </c>
      <c r="F119" s="54" t="s">
        <v>458</v>
      </c>
      <c r="G119" s="80">
        <v>1</v>
      </c>
      <c r="H119" s="80">
        <f>TRUNC(AB119*옵션!$B$31/100,1)</f>
        <v>112.5</v>
      </c>
      <c r="I119" s="80">
        <f>IF(G119*H119&lt;&gt;0, TRUNC(G119*H119,1),"")</f>
        <v>112.5</v>
      </c>
      <c r="J119" s="80">
        <v>1</v>
      </c>
      <c r="K119" s="80"/>
      <c r="L119" s="80" t="str">
        <f t="shared" si="21"/>
        <v/>
      </c>
      <c r="M119" s="80"/>
      <c r="N119" s="80" t="str">
        <f t="shared" si="22"/>
        <v/>
      </c>
      <c r="O119" s="80"/>
      <c r="P119" s="80">
        <f t="shared" si="23"/>
        <v>112.5</v>
      </c>
      <c r="Q119" s="74"/>
      <c r="AB119" s="48">
        <f>TRUNC(SUM(AB116:AB118))</f>
        <v>750</v>
      </c>
    </row>
    <row r="120" spans="1:31" ht="23.25" customHeight="1">
      <c r="A120" s="64" t="s">
        <v>947</v>
      </c>
      <c r="B120" s="64" t="s">
        <v>762</v>
      </c>
      <c r="C120" s="76" t="s">
        <v>948</v>
      </c>
      <c r="D120" s="74" t="s">
        <v>949</v>
      </c>
      <c r="E120" s="74" t="s">
        <v>950</v>
      </c>
      <c r="F120" s="54" t="s">
        <v>458</v>
      </c>
      <c r="G120" s="80">
        <v>1</v>
      </c>
      <c r="H120" s="80">
        <f>IF(TRUNC((AD120+AC120)/$AD$3,1)*$AD$3-AD120 &lt;0, AC120, TRUNC((AD120+AC120)/$AD$3,1)*$AD$3-AD120)</f>
        <v>15</v>
      </c>
      <c r="I120" s="80">
        <f>H120</f>
        <v>15</v>
      </c>
      <c r="J120" s="80">
        <v>1</v>
      </c>
      <c r="K120" s="80"/>
      <c r="L120" s="80" t="str">
        <f t="shared" si="21"/>
        <v/>
      </c>
      <c r="M120" s="80"/>
      <c r="N120" s="80" t="str">
        <f t="shared" si="22"/>
        <v/>
      </c>
      <c r="O120" s="80"/>
      <c r="P120" s="80">
        <f t="shared" si="23"/>
        <v>15</v>
      </c>
      <c r="Q120" s="74"/>
      <c r="AC120" s="48">
        <f>TRUNC(TRUNC(SUM(AC116:AC119))*옵션!$B$33/100,1)</f>
        <v>15</v>
      </c>
      <c r="AD120" s="48">
        <f>TRUNC(SUM(I116:I119))+TRUNC(SUM(N116:N119))</f>
        <v>885</v>
      </c>
    </row>
    <row r="121" spans="1:31" ht="23.25" customHeight="1">
      <c r="A121" s="64" t="s">
        <v>605</v>
      </c>
      <c r="B121" s="64" t="s">
        <v>762</v>
      </c>
      <c r="C121" s="76" t="s">
        <v>537</v>
      </c>
      <c r="D121" s="74" t="s">
        <v>530</v>
      </c>
      <c r="E121" s="74" t="s">
        <v>538</v>
      </c>
      <c r="F121" s="54" t="s">
        <v>532</v>
      </c>
      <c r="G121" s="80">
        <f>일위노임!G62</f>
        <v>7.0000000000000001E-3</v>
      </c>
      <c r="H121" s="80">
        <f>합산자재!H118</f>
        <v>0</v>
      </c>
      <c r="I121" s="80" t="str">
        <f>IF(G121*H121&lt;&gt;0, TRUNC(G121*H121,1),"")</f>
        <v/>
      </c>
      <c r="J121" s="80">
        <v>7.0000000000000001E-3</v>
      </c>
      <c r="K121" s="80">
        <f>합산자재!I118</f>
        <v>414968</v>
      </c>
      <c r="L121" s="80">
        <f t="shared" si="21"/>
        <v>2904.7</v>
      </c>
      <c r="M121" s="80">
        <f>합산자재!J118</f>
        <v>0</v>
      </c>
      <c r="N121" s="80" t="str">
        <f t="shared" si="22"/>
        <v/>
      </c>
      <c r="O121" s="80"/>
      <c r="P121" s="80">
        <f t="shared" si="23"/>
        <v>2904.7</v>
      </c>
      <c r="Q121" s="74"/>
      <c r="AE121" s="48">
        <f>L121</f>
        <v>2904.7</v>
      </c>
    </row>
    <row r="122" spans="1:31" ht="23.25" customHeight="1">
      <c r="A122" s="64" t="s">
        <v>579</v>
      </c>
      <c r="B122" s="64" t="s">
        <v>762</v>
      </c>
      <c r="C122" s="76" t="s">
        <v>549</v>
      </c>
      <c r="D122" s="74" t="s">
        <v>530</v>
      </c>
      <c r="E122" s="74" t="s">
        <v>550</v>
      </c>
      <c r="F122" s="54" t="s">
        <v>532</v>
      </c>
      <c r="G122" s="80">
        <f>일위노임!G63</f>
        <v>1.7999999999999999E-2</v>
      </c>
      <c r="H122" s="80">
        <f>합산자재!H124</f>
        <v>0</v>
      </c>
      <c r="I122" s="80" t="str">
        <f>IF(G122*H122&lt;&gt;0, TRUNC(G122*H122,1),"")</f>
        <v/>
      </c>
      <c r="J122" s="80">
        <v>1.7999999999999999E-2</v>
      </c>
      <c r="K122" s="80">
        <f>합산자재!I124</f>
        <v>172068</v>
      </c>
      <c r="L122" s="80">
        <f t="shared" si="21"/>
        <v>3097.2</v>
      </c>
      <c r="M122" s="80">
        <f>합산자재!J124</f>
        <v>0</v>
      </c>
      <c r="N122" s="80" t="str">
        <f t="shared" si="22"/>
        <v/>
      </c>
      <c r="O122" s="80"/>
      <c r="P122" s="80">
        <f t="shared" si="23"/>
        <v>3097.2</v>
      </c>
      <c r="Q122" s="74"/>
      <c r="AE122" s="48">
        <f>L122</f>
        <v>3097.2</v>
      </c>
    </row>
    <row r="123" spans="1:31" ht="23.25" customHeight="1">
      <c r="A123" s="64" t="s">
        <v>926</v>
      </c>
      <c r="B123" s="64" t="s">
        <v>762</v>
      </c>
      <c r="C123" s="76" t="s">
        <v>927</v>
      </c>
      <c r="D123" s="74" t="s">
        <v>928</v>
      </c>
      <c r="E123" s="74" t="s">
        <v>929</v>
      </c>
      <c r="F123" s="54" t="s">
        <v>458</v>
      </c>
      <c r="G123" s="80">
        <v>1</v>
      </c>
      <c r="H123" s="80">
        <f>IF(TRUNC((AD124+AC124)/$AE$3,1)*$AE$3-AD124 &lt;0, AC124, TRUNC((AD124+AC124)/$AE$3,1)*$AE$3-AD124)</f>
        <v>180</v>
      </c>
      <c r="I123" s="80">
        <f>H123</f>
        <v>180</v>
      </c>
      <c r="J123" s="80">
        <v>1</v>
      </c>
      <c r="K123" s="80"/>
      <c r="L123" s="80" t="str">
        <f t="shared" si="21"/>
        <v/>
      </c>
      <c r="M123" s="80"/>
      <c r="N123" s="80" t="str">
        <f t="shared" si="22"/>
        <v/>
      </c>
      <c r="O123" s="80"/>
      <c r="P123" s="80">
        <f t="shared" si="23"/>
        <v>180</v>
      </c>
      <c r="Q123" s="74"/>
    </row>
    <row r="124" spans="1:31" ht="23.25" customHeight="1">
      <c r="B124" s="64" t="s">
        <v>921</v>
      </c>
      <c r="D124" s="74" t="s">
        <v>922</v>
      </c>
      <c r="E124" s="74"/>
      <c r="F124" s="54"/>
      <c r="G124" s="80"/>
      <c r="H124" s="80"/>
      <c r="I124" s="80">
        <f>TRUNC(SUM(I116:I123))</f>
        <v>1080</v>
      </c>
      <c r="J124" s="80"/>
      <c r="K124" s="80"/>
      <c r="L124" s="80">
        <f>TRUNC(SUM(L116:L123))</f>
        <v>6001</v>
      </c>
      <c r="M124" s="80"/>
      <c r="N124" s="80">
        <f>TRUNC(SUM(N116:N123))</f>
        <v>0</v>
      </c>
      <c r="O124" s="80"/>
      <c r="P124" s="80">
        <f t="shared" si="23"/>
        <v>7081</v>
      </c>
      <c r="Q124" s="74"/>
      <c r="Z124" s="48" t="s">
        <v>920</v>
      </c>
      <c r="AC124" s="48">
        <f>TRUNC(AE124*옵션!$B$36/100,1)</f>
        <v>180</v>
      </c>
      <c r="AD124" s="48">
        <f>TRUNC(SUM(L116:L122))</f>
        <v>6001</v>
      </c>
      <c r="AE124" s="48">
        <f>TRUNC(SUM(AE116:AE123))</f>
        <v>6001</v>
      </c>
    </row>
    <row r="125" spans="1:31" ht="23.25" customHeight="1">
      <c r="D125" s="74"/>
      <c r="E125" s="74"/>
      <c r="F125" s="54"/>
      <c r="G125" s="80"/>
      <c r="H125" s="80"/>
      <c r="I125" s="80" t="str">
        <f>IF(G125*H125&lt;&gt;0, TRUNC(G125*H125,1),"")</f>
        <v/>
      </c>
      <c r="J125" s="80"/>
      <c r="K125" s="80"/>
      <c r="L125" s="80" t="str">
        <f>IF(G125*K125&lt;&gt;0, TRUNC(G125*K125,1),"")</f>
        <v/>
      </c>
      <c r="M125" s="80"/>
      <c r="N125" s="80" t="str">
        <f>IF(G125*M125&lt;&gt;0, TRUNC(G125*M125,1),"")</f>
        <v/>
      </c>
      <c r="O125" s="80"/>
      <c r="P125" s="80" t="str">
        <f t="shared" si="23"/>
        <v/>
      </c>
      <c r="Q125" s="74"/>
    </row>
    <row r="126" spans="1:31" ht="23.25" customHeight="1">
      <c r="A126" s="64" t="s">
        <v>763</v>
      </c>
      <c r="B126" s="64" t="s">
        <v>915</v>
      </c>
      <c r="C126" s="76" t="s">
        <v>764</v>
      </c>
      <c r="D126" s="158" t="s">
        <v>963</v>
      </c>
      <c r="E126" s="159"/>
      <c r="F126" s="159"/>
      <c r="G126" s="159"/>
      <c r="H126" s="159"/>
      <c r="I126" s="159"/>
      <c r="J126" s="159"/>
      <c r="K126" s="159"/>
      <c r="L126" s="159"/>
      <c r="M126" s="159"/>
      <c r="N126" s="159"/>
      <c r="O126" s="159"/>
      <c r="P126" s="159"/>
      <c r="Q126" s="160"/>
    </row>
    <row r="127" spans="1:31" ht="23.25" customHeight="1">
      <c r="A127" s="64" t="s">
        <v>964</v>
      </c>
      <c r="B127" s="64" t="s">
        <v>765</v>
      </c>
      <c r="C127" s="76" t="s">
        <v>211</v>
      </c>
      <c r="D127" s="74" t="s">
        <v>212</v>
      </c>
      <c r="E127" s="74" t="s">
        <v>213</v>
      </c>
      <c r="F127" s="54" t="s">
        <v>196</v>
      </c>
      <c r="G127" s="80">
        <v>1</v>
      </c>
      <c r="H127" s="80">
        <f>합산자재!H11</f>
        <v>27000</v>
      </c>
      <c r="I127" s="80">
        <f>IF(G127*H127&lt;&gt;0, TRUNC(G127*H127,1),"")</f>
        <v>27000</v>
      </c>
      <c r="J127" s="80">
        <v>1</v>
      </c>
      <c r="K127" s="80">
        <f>합산자재!I11</f>
        <v>0</v>
      </c>
      <c r="L127" s="80" t="str">
        <f t="shared" ref="L127:L133" si="24">IF(G127*K127&lt;&gt;0, TRUNC(G127*K127,1),"")</f>
        <v/>
      </c>
      <c r="M127" s="80">
        <f>합산자재!J11</f>
        <v>0</v>
      </c>
      <c r="N127" s="80" t="str">
        <f t="shared" ref="N127:N133" si="25">IF(G127*M127&lt;&gt;0, TRUNC(G127*M127,1),"")</f>
        <v/>
      </c>
      <c r="O127" s="80"/>
      <c r="P127" s="80">
        <f t="shared" ref="P127:P135" si="26">IF(SUM(I127,L127,N127)&lt;&gt;0,TRUNC(SUM(I127,L127,N127),1),"")</f>
        <v>27000</v>
      </c>
      <c r="Q127" s="74"/>
      <c r="AB127" s="48">
        <f>G127*H127</f>
        <v>27000</v>
      </c>
      <c r="AC127" s="48">
        <f>G127*H127</f>
        <v>27000</v>
      </c>
    </row>
    <row r="128" spans="1:31" ht="23.25" customHeight="1">
      <c r="A128" s="64" t="s">
        <v>964</v>
      </c>
      <c r="B128" s="64" t="s">
        <v>765</v>
      </c>
      <c r="C128" s="76" t="s">
        <v>211</v>
      </c>
      <c r="D128" s="74" t="s">
        <v>212</v>
      </c>
      <c r="E128" s="74" t="s">
        <v>213</v>
      </c>
      <c r="F128" s="54" t="s">
        <v>196</v>
      </c>
      <c r="G128" s="80">
        <v>0.1</v>
      </c>
      <c r="H128" s="80">
        <f>합산자재!H11</f>
        <v>27000</v>
      </c>
      <c r="I128" s="80">
        <f>IF(G128*H128&lt;&gt;0, TRUNC(G128*H128,1),"")</f>
        <v>2700</v>
      </c>
      <c r="J128" s="80">
        <v>0.1</v>
      </c>
      <c r="K128" s="80">
        <f>합산자재!I11</f>
        <v>0</v>
      </c>
      <c r="L128" s="80" t="str">
        <f t="shared" si="24"/>
        <v/>
      </c>
      <c r="M128" s="80">
        <f>합산자재!J11</f>
        <v>0</v>
      </c>
      <c r="N128" s="80" t="str">
        <f t="shared" si="25"/>
        <v/>
      </c>
      <c r="O128" s="80"/>
      <c r="P128" s="80">
        <f t="shared" si="26"/>
        <v>2700</v>
      </c>
      <c r="Q128" s="74"/>
    </row>
    <row r="129" spans="1:31" ht="23.25" customHeight="1">
      <c r="A129" s="64" t="s">
        <v>943</v>
      </c>
      <c r="B129" s="64" t="s">
        <v>765</v>
      </c>
      <c r="C129" s="76" t="s">
        <v>944</v>
      </c>
      <c r="D129" s="74" t="s">
        <v>945</v>
      </c>
      <c r="E129" s="74" t="s">
        <v>946</v>
      </c>
      <c r="F129" s="54" t="s">
        <v>458</v>
      </c>
      <c r="G129" s="80">
        <v>1</v>
      </c>
      <c r="H129" s="80">
        <f>TRUNC(AB129*옵션!$B$31/100,1)</f>
        <v>4050</v>
      </c>
      <c r="I129" s="80">
        <f>IF(G129*H129&lt;&gt;0, TRUNC(G129*H129,1),"")</f>
        <v>4050</v>
      </c>
      <c r="J129" s="80">
        <v>1</v>
      </c>
      <c r="K129" s="80"/>
      <c r="L129" s="80" t="str">
        <f t="shared" si="24"/>
        <v/>
      </c>
      <c r="M129" s="80"/>
      <c r="N129" s="80" t="str">
        <f t="shared" si="25"/>
        <v/>
      </c>
      <c r="O129" s="80"/>
      <c r="P129" s="80">
        <f t="shared" si="26"/>
        <v>4050</v>
      </c>
      <c r="Q129" s="74"/>
      <c r="AB129" s="48">
        <f>TRUNC(SUM(AB126:AB128))</f>
        <v>27000</v>
      </c>
    </row>
    <row r="130" spans="1:31" ht="23.25" customHeight="1">
      <c r="A130" s="64" t="s">
        <v>947</v>
      </c>
      <c r="B130" s="64" t="s">
        <v>765</v>
      </c>
      <c r="C130" s="76" t="s">
        <v>948</v>
      </c>
      <c r="D130" s="74" t="s">
        <v>949</v>
      </c>
      <c r="E130" s="74" t="s">
        <v>950</v>
      </c>
      <c r="F130" s="54" t="s">
        <v>458</v>
      </c>
      <c r="G130" s="80">
        <v>1</v>
      </c>
      <c r="H130" s="80">
        <f>IF(TRUNC((AD130+AC130)/$AD$3,1)*$AD$3-AD130 &lt;0, AC130, TRUNC((AD130+AC130)/$AD$3,1)*$AD$3-AD130)</f>
        <v>540</v>
      </c>
      <c r="I130" s="80">
        <f>H130</f>
        <v>540</v>
      </c>
      <c r="J130" s="80">
        <v>1</v>
      </c>
      <c r="K130" s="80"/>
      <c r="L130" s="80" t="str">
        <f t="shared" si="24"/>
        <v/>
      </c>
      <c r="M130" s="80"/>
      <c r="N130" s="80" t="str">
        <f t="shared" si="25"/>
        <v/>
      </c>
      <c r="O130" s="80"/>
      <c r="P130" s="80">
        <f t="shared" si="26"/>
        <v>540</v>
      </c>
      <c r="Q130" s="74"/>
      <c r="AC130" s="48">
        <f>TRUNC(TRUNC(SUM(AC126:AC129))*옵션!$B$33/100,1)</f>
        <v>540</v>
      </c>
      <c r="AD130" s="48">
        <f>TRUNC(SUM(I126:I129))+TRUNC(SUM(N126:N129))</f>
        <v>33750</v>
      </c>
    </row>
    <row r="131" spans="1:31" ht="23.25" customHeight="1">
      <c r="A131" s="64" t="s">
        <v>614</v>
      </c>
      <c r="B131" s="64" t="s">
        <v>765</v>
      </c>
      <c r="C131" s="76" t="s">
        <v>543</v>
      </c>
      <c r="D131" s="74" t="s">
        <v>530</v>
      </c>
      <c r="E131" s="74" t="s">
        <v>544</v>
      </c>
      <c r="F131" s="54" t="s">
        <v>532</v>
      </c>
      <c r="G131" s="80">
        <f>일위노임!G67</f>
        <v>1.7299999999999999E-2</v>
      </c>
      <c r="H131" s="80">
        <f>합산자재!H121</f>
        <v>0</v>
      </c>
      <c r="I131" s="80" t="str">
        <f>IF(G131*H131&lt;&gt;0, TRUNC(G131*H131,1),"")</f>
        <v/>
      </c>
      <c r="J131" s="80">
        <v>1.7299999999999999E-2</v>
      </c>
      <c r="K131" s="80">
        <f>합산자재!I121</f>
        <v>408942</v>
      </c>
      <c r="L131" s="80">
        <f t="shared" si="24"/>
        <v>7074.6</v>
      </c>
      <c r="M131" s="80">
        <f>합산자재!J121</f>
        <v>0</v>
      </c>
      <c r="N131" s="80" t="str">
        <f t="shared" si="25"/>
        <v/>
      </c>
      <c r="O131" s="80"/>
      <c r="P131" s="80">
        <f t="shared" si="26"/>
        <v>7074.6</v>
      </c>
      <c r="Q131" s="74"/>
      <c r="Z131" s="48" t="s">
        <v>920</v>
      </c>
      <c r="AE131" s="48">
        <f>L131</f>
        <v>7074.6</v>
      </c>
    </row>
    <row r="132" spans="1:31" ht="23.25" customHeight="1">
      <c r="A132" s="64" t="s">
        <v>579</v>
      </c>
      <c r="B132" s="64" t="s">
        <v>765</v>
      </c>
      <c r="C132" s="76" t="s">
        <v>549</v>
      </c>
      <c r="D132" s="74" t="s">
        <v>530</v>
      </c>
      <c r="E132" s="74" t="s">
        <v>550</v>
      </c>
      <c r="F132" s="54" t="s">
        <v>532</v>
      </c>
      <c r="G132" s="80">
        <f>일위노임!G68</f>
        <v>1.8200000000000001E-2</v>
      </c>
      <c r="H132" s="80">
        <f>합산자재!H124</f>
        <v>0</v>
      </c>
      <c r="I132" s="80" t="str">
        <f>IF(G132*H132&lt;&gt;0, TRUNC(G132*H132,1),"")</f>
        <v/>
      </c>
      <c r="J132" s="80">
        <v>1.8200000000000001E-2</v>
      </c>
      <c r="K132" s="80">
        <f>합산자재!I124</f>
        <v>172068</v>
      </c>
      <c r="L132" s="80">
        <f t="shared" si="24"/>
        <v>3131.6</v>
      </c>
      <c r="M132" s="80">
        <f>합산자재!J124</f>
        <v>0</v>
      </c>
      <c r="N132" s="80" t="str">
        <f t="shared" si="25"/>
        <v/>
      </c>
      <c r="O132" s="80"/>
      <c r="P132" s="80">
        <f t="shared" si="26"/>
        <v>3131.6</v>
      </c>
      <c r="Q132" s="74"/>
      <c r="AE132" s="48">
        <f>L132</f>
        <v>3131.6</v>
      </c>
    </row>
    <row r="133" spans="1:31" ht="23.25" customHeight="1">
      <c r="A133" s="64" t="s">
        <v>926</v>
      </c>
      <c r="B133" s="64" t="s">
        <v>765</v>
      </c>
      <c r="C133" s="76" t="s">
        <v>927</v>
      </c>
      <c r="D133" s="74" t="s">
        <v>928</v>
      </c>
      <c r="E133" s="74" t="s">
        <v>929</v>
      </c>
      <c r="F133" s="54" t="s">
        <v>458</v>
      </c>
      <c r="G133" s="80">
        <v>1</v>
      </c>
      <c r="H133" s="80">
        <f>IF(TRUNC((AD134+AC134)/$AE$3,1)*$AE$3-AD134 &lt;0, AC134, TRUNC((AD134+AC134)/$AE$3,1)*$AE$3-AD134)</f>
        <v>306.10000000000036</v>
      </c>
      <c r="I133" s="80">
        <f>H133</f>
        <v>306.10000000000036</v>
      </c>
      <c r="J133" s="80">
        <v>1</v>
      </c>
      <c r="K133" s="80"/>
      <c r="L133" s="80" t="str">
        <f t="shared" si="24"/>
        <v/>
      </c>
      <c r="M133" s="80"/>
      <c r="N133" s="80" t="str">
        <f t="shared" si="25"/>
        <v/>
      </c>
      <c r="O133" s="80"/>
      <c r="P133" s="80">
        <f t="shared" si="26"/>
        <v>306.10000000000002</v>
      </c>
      <c r="Q133" s="74"/>
    </row>
    <row r="134" spans="1:31" ht="23.25" customHeight="1">
      <c r="B134" s="64" t="s">
        <v>921</v>
      </c>
      <c r="D134" s="74" t="s">
        <v>922</v>
      </c>
      <c r="E134" s="74"/>
      <c r="F134" s="54"/>
      <c r="G134" s="80"/>
      <c r="H134" s="80"/>
      <c r="I134" s="80">
        <f>TRUNC(SUM(I126:I133))</f>
        <v>34596</v>
      </c>
      <c r="J134" s="80"/>
      <c r="K134" s="80"/>
      <c r="L134" s="80">
        <f>TRUNC(SUM(L126:L133))</f>
        <v>10206</v>
      </c>
      <c r="M134" s="80"/>
      <c r="N134" s="80">
        <f>TRUNC(SUM(N126:N133))</f>
        <v>0</v>
      </c>
      <c r="O134" s="80"/>
      <c r="P134" s="80">
        <f t="shared" si="26"/>
        <v>44802</v>
      </c>
      <c r="Q134" s="74"/>
      <c r="AC134" s="48">
        <f>TRUNC(AE134*옵션!$B$36/100,1)</f>
        <v>306.10000000000002</v>
      </c>
      <c r="AD134" s="48">
        <f>TRUNC(SUM(L126:L132))</f>
        <v>10206</v>
      </c>
      <c r="AE134" s="48">
        <f>TRUNC(SUM(AE126:AE133))</f>
        <v>10206</v>
      </c>
    </row>
    <row r="135" spans="1:31" ht="23.25" customHeight="1">
      <c r="D135" s="74"/>
      <c r="E135" s="74"/>
      <c r="F135" s="54"/>
      <c r="G135" s="80"/>
      <c r="H135" s="80"/>
      <c r="I135" s="80" t="str">
        <f>IF(G135*H135&lt;&gt;0, TRUNC(G135*H135,1),"")</f>
        <v/>
      </c>
      <c r="J135" s="80"/>
      <c r="K135" s="80"/>
      <c r="L135" s="80" t="str">
        <f>IF(G135*K135&lt;&gt;0, TRUNC(G135*K135,1),"")</f>
        <v/>
      </c>
      <c r="M135" s="80"/>
      <c r="N135" s="80" t="str">
        <f>IF(G135*M135&lt;&gt;0, TRUNC(G135*M135,1),"")</f>
        <v/>
      </c>
      <c r="O135" s="80"/>
      <c r="P135" s="80" t="str">
        <f t="shared" si="26"/>
        <v/>
      </c>
      <c r="Q135" s="74"/>
    </row>
    <row r="136" spans="1:31" ht="23.25" customHeight="1">
      <c r="A136" s="64" t="s">
        <v>766</v>
      </c>
      <c r="B136" s="64" t="s">
        <v>915</v>
      </c>
      <c r="C136" s="76" t="s">
        <v>767</v>
      </c>
      <c r="D136" s="158" t="s">
        <v>965</v>
      </c>
      <c r="E136" s="159"/>
      <c r="F136" s="159"/>
      <c r="G136" s="159"/>
      <c r="H136" s="159"/>
      <c r="I136" s="159"/>
      <c r="J136" s="159"/>
      <c r="K136" s="159"/>
      <c r="L136" s="159"/>
      <c r="M136" s="159"/>
      <c r="N136" s="159"/>
      <c r="O136" s="159"/>
      <c r="P136" s="159"/>
      <c r="Q136" s="160"/>
      <c r="Z136" s="48" t="s">
        <v>920</v>
      </c>
    </row>
    <row r="137" spans="1:31" ht="23.25" customHeight="1">
      <c r="A137" s="64" t="s">
        <v>966</v>
      </c>
      <c r="B137" s="64" t="s">
        <v>768</v>
      </c>
      <c r="C137" s="76" t="s">
        <v>216</v>
      </c>
      <c r="D137" s="74" t="s">
        <v>217</v>
      </c>
      <c r="E137" s="74" t="s">
        <v>218</v>
      </c>
      <c r="F137" s="54" t="s">
        <v>196</v>
      </c>
      <c r="G137" s="80">
        <v>1</v>
      </c>
      <c r="H137" s="80">
        <f>합산자재!H12</f>
        <v>1612</v>
      </c>
      <c r="I137" s="80">
        <f>IF(G137*H137&lt;&gt;0, TRUNC(G137*H137,1),"")</f>
        <v>1612</v>
      </c>
      <c r="J137" s="80">
        <v>1</v>
      </c>
      <c r="K137" s="80">
        <f>합산자재!I12</f>
        <v>0</v>
      </c>
      <c r="L137" s="80" t="str">
        <f>IF(G137*K137&lt;&gt;0, TRUNC(G137*K137,1),"")</f>
        <v/>
      </c>
      <c r="M137" s="80">
        <f>합산자재!J12</f>
        <v>0</v>
      </c>
      <c r="N137" s="80" t="str">
        <f>IF(G137*M137&lt;&gt;0, TRUNC(G137*M137,1),"")</f>
        <v/>
      </c>
      <c r="O137" s="80"/>
      <c r="P137" s="80">
        <f t="shared" ref="P137:P143" si="27">IF(SUM(I137,L137,N137)&lt;&gt;0,TRUNC(SUM(I137,L137,N137),1),"")</f>
        <v>1612</v>
      </c>
      <c r="Q137" s="74"/>
      <c r="AC137" s="48">
        <f>G137*H137</f>
        <v>1612</v>
      </c>
    </row>
    <row r="138" spans="1:31" ht="23.25" customHeight="1">
      <c r="A138" s="64" t="s">
        <v>966</v>
      </c>
      <c r="B138" s="64" t="s">
        <v>768</v>
      </c>
      <c r="C138" s="76" t="s">
        <v>216</v>
      </c>
      <c r="D138" s="74" t="s">
        <v>217</v>
      </c>
      <c r="E138" s="74" t="s">
        <v>218</v>
      </c>
      <c r="F138" s="54" t="s">
        <v>196</v>
      </c>
      <c r="G138" s="80">
        <v>0.1</v>
      </c>
      <c r="H138" s="80">
        <f>합산자재!H12</f>
        <v>1612</v>
      </c>
      <c r="I138" s="80">
        <f>IF(G138*H138&lt;&gt;0, TRUNC(G138*H138,1),"")</f>
        <v>161.19999999999999</v>
      </c>
      <c r="J138" s="80">
        <v>0.1</v>
      </c>
      <c r="K138" s="80">
        <f>합산자재!I12</f>
        <v>0</v>
      </c>
      <c r="L138" s="80" t="str">
        <f>IF(G138*K138&lt;&gt;0, TRUNC(G138*K138,1),"")</f>
        <v/>
      </c>
      <c r="M138" s="80">
        <f>합산자재!J12</f>
        <v>0</v>
      </c>
      <c r="N138" s="80" t="str">
        <f>IF(G138*M138&lt;&gt;0, TRUNC(G138*M138,1),"")</f>
        <v/>
      </c>
      <c r="O138" s="80"/>
      <c r="P138" s="80">
        <f t="shared" si="27"/>
        <v>161.19999999999999</v>
      </c>
      <c r="Q138" s="74"/>
    </row>
    <row r="139" spans="1:31" ht="23.25" customHeight="1">
      <c r="A139" s="64" t="s">
        <v>947</v>
      </c>
      <c r="B139" s="64" t="s">
        <v>768</v>
      </c>
      <c r="C139" s="76" t="s">
        <v>948</v>
      </c>
      <c r="D139" s="74" t="s">
        <v>949</v>
      </c>
      <c r="E139" s="74" t="s">
        <v>950</v>
      </c>
      <c r="F139" s="54" t="s">
        <v>458</v>
      </c>
      <c r="G139" s="80">
        <v>1</v>
      </c>
      <c r="H139" s="80">
        <f>IF(TRUNC((AD139+AC139)/$AD$3,1)*$AD$3-AD139 &lt;0, AC139, TRUNC((AD139+AC139)/$AD$3,1)*$AD$3-AD139)</f>
        <v>32.200000000000045</v>
      </c>
      <c r="I139" s="80">
        <f>H139</f>
        <v>32.200000000000045</v>
      </c>
      <c r="J139" s="80">
        <v>1</v>
      </c>
      <c r="K139" s="80"/>
      <c r="L139" s="80" t="str">
        <f>IF(G139*K139&lt;&gt;0, TRUNC(G139*K139,1),"")</f>
        <v/>
      </c>
      <c r="M139" s="80"/>
      <c r="N139" s="80" t="str">
        <f>IF(G139*M139&lt;&gt;0, TRUNC(G139*M139,1),"")</f>
        <v/>
      </c>
      <c r="O139" s="80"/>
      <c r="P139" s="80">
        <f t="shared" si="27"/>
        <v>32.200000000000003</v>
      </c>
      <c r="Q139" s="74"/>
      <c r="AC139" s="48">
        <f>TRUNC(TRUNC(SUM(AC136:AC138))*옵션!$B$33/100,1)</f>
        <v>32.200000000000003</v>
      </c>
      <c r="AD139" s="48">
        <f>TRUNC(SUM(I136:I138))+TRUNC(SUM(N136:N138))</f>
        <v>1773</v>
      </c>
    </row>
    <row r="140" spans="1:31" ht="23.25" customHeight="1">
      <c r="A140" s="64" t="s">
        <v>593</v>
      </c>
      <c r="B140" s="64" t="s">
        <v>768</v>
      </c>
      <c r="C140" s="76" t="s">
        <v>529</v>
      </c>
      <c r="D140" s="74" t="s">
        <v>530</v>
      </c>
      <c r="E140" s="74" t="s">
        <v>531</v>
      </c>
      <c r="F140" s="54" t="s">
        <v>532</v>
      </c>
      <c r="G140" s="80">
        <f>일위노임!G71</f>
        <v>8.9999999999999993E-3</v>
      </c>
      <c r="H140" s="80">
        <f>합산자재!H115</f>
        <v>0</v>
      </c>
      <c r="I140" s="80" t="str">
        <f>IF(G140*H140&lt;&gt;0, TRUNC(G140*H140,1),"")</f>
        <v/>
      </c>
      <c r="J140" s="80">
        <v>8.9999999999999993E-3</v>
      </c>
      <c r="K140" s="80">
        <f>합산자재!I115</f>
        <v>273676</v>
      </c>
      <c r="L140" s="80">
        <f>IF(G140*K140&lt;&gt;0, TRUNC(G140*K140,1),"")</f>
        <v>2463</v>
      </c>
      <c r="M140" s="80">
        <f>합산자재!J115</f>
        <v>0</v>
      </c>
      <c r="N140" s="80" t="str">
        <f>IF(G140*M140&lt;&gt;0, TRUNC(G140*M140,1),"")</f>
        <v/>
      </c>
      <c r="O140" s="80"/>
      <c r="P140" s="80">
        <f t="shared" si="27"/>
        <v>2463</v>
      </c>
      <c r="Q140" s="74"/>
      <c r="Z140" s="48" t="s">
        <v>920</v>
      </c>
      <c r="AE140" s="48">
        <f>L140</f>
        <v>2463</v>
      </c>
    </row>
    <row r="141" spans="1:31" ht="23.25" customHeight="1">
      <c r="A141" s="64" t="s">
        <v>926</v>
      </c>
      <c r="B141" s="64" t="s">
        <v>768</v>
      </c>
      <c r="C141" s="76" t="s">
        <v>927</v>
      </c>
      <c r="D141" s="74" t="s">
        <v>928</v>
      </c>
      <c r="E141" s="74" t="s">
        <v>929</v>
      </c>
      <c r="F141" s="54" t="s">
        <v>458</v>
      </c>
      <c r="G141" s="80">
        <v>1</v>
      </c>
      <c r="H141" s="80">
        <f>IF(TRUNC((AD142+AC142)/$AE$3,1)*$AE$3-AD142 &lt;0, AC142, TRUNC((AD142+AC142)/$AE$3,1)*$AE$3-AD142)</f>
        <v>73.800000000000182</v>
      </c>
      <c r="I141" s="80">
        <f>H141</f>
        <v>73.800000000000182</v>
      </c>
      <c r="J141" s="80">
        <v>1</v>
      </c>
      <c r="K141" s="80"/>
      <c r="L141" s="80" t="str">
        <f>IF(G141*K141&lt;&gt;0, TRUNC(G141*K141,1),"")</f>
        <v/>
      </c>
      <c r="M141" s="80"/>
      <c r="N141" s="80" t="str">
        <f>IF(G141*M141&lt;&gt;0, TRUNC(G141*M141,1),"")</f>
        <v/>
      </c>
      <c r="O141" s="80"/>
      <c r="P141" s="80">
        <f t="shared" si="27"/>
        <v>73.8</v>
      </c>
      <c r="Q141" s="74"/>
    </row>
    <row r="142" spans="1:31" ht="23.25" customHeight="1">
      <c r="B142" s="64" t="s">
        <v>921</v>
      </c>
      <c r="D142" s="74" t="s">
        <v>922</v>
      </c>
      <c r="E142" s="74"/>
      <c r="F142" s="54"/>
      <c r="G142" s="80"/>
      <c r="H142" s="80"/>
      <c r="I142" s="80">
        <f>TRUNC(SUM(I136:I141))</f>
        <v>1879</v>
      </c>
      <c r="J142" s="80"/>
      <c r="K142" s="80"/>
      <c r="L142" s="80">
        <f>TRUNC(SUM(L136:L141))</f>
        <v>2463</v>
      </c>
      <c r="M142" s="80"/>
      <c r="N142" s="80">
        <f>TRUNC(SUM(N136:N141))</f>
        <v>0</v>
      </c>
      <c r="O142" s="80"/>
      <c r="P142" s="80">
        <f t="shared" si="27"/>
        <v>4342</v>
      </c>
      <c r="Q142" s="74"/>
      <c r="AC142" s="48">
        <f>TRUNC(AE142*옵션!$B$36/100,1)</f>
        <v>73.8</v>
      </c>
      <c r="AD142" s="48">
        <f>TRUNC(SUM(L136:L140))</f>
        <v>2463</v>
      </c>
      <c r="AE142" s="48">
        <f>TRUNC(SUM(AE136:AE141))</f>
        <v>2463</v>
      </c>
    </row>
    <row r="143" spans="1:31" ht="23.25" customHeight="1">
      <c r="D143" s="74"/>
      <c r="E143" s="74"/>
      <c r="F143" s="54"/>
      <c r="G143" s="80"/>
      <c r="H143" s="80"/>
      <c r="I143" s="80" t="str">
        <f>IF(G143*H143&lt;&gt;0, TRUNC(G143*H143,1),"")</f>
        <v/>
      </c>
      <c r="J143" s="80"/>
      <c r="K143" s="80"/>
      <c r="L143" s="80" t="str">
        <f>IF(G143*K143&lt;&gt;0, TRUNC(G143*K143,1),"")</f>
        <v/>
      </c>
      <c r="M143" s="80"/>
      <c r="N143" s="80" t="str">
        <f>IF(G143*M143&lt;&gt;0, TRUNC(G143*M143,1),"")</f>
        <v/>
      </c>
      <c r="O143" s="80"/>
      <c r="P143" s="80" t="str">
        <f t="shared" si="27"/>
        <v/>
      </c>
      <c r="Q143" s="74"/>
    </row>
    <row r="144" spans="1:31" ht="23.25" customHeight="1">
      <c r="A144" s="64" t="s">
        <v>769</v>
      </c>
      <c r="B144" s="64" t="s">
        <v>915</v>
      </c>
      <c r="C144" s="76" t="s">
        <v>770</v>
      </c>
      <c r="D144" s="158" t="s">
        <v>967</v>
      </c>
      <c r="E144" s="159"/>
      <c r="F144" s="159"/>
      <c r="G144" s="159"/>
      <c r="H144" s="159"/>
      <c r="I144" s="159"/>
      <c r="J144" s="159"/>
      <c r="K144" s="159"/>
      <c r="L144" s="159"/>
      <c r="M144" s="159"/>
      <c r="N144" s="159"/>
      <c r="O144" s="159"/>
      <c r="P144" s="159"/>
      <c r="Q144" s="160"/>
      <c r="Z144" s="48" t="s">
        <v>920</v>
      </c>
    </row>
    <row r="145" spans="1:31" ht="23.25" customHeight="1">
      <c r="A145" s="64" t="s">
        <v>968</v>
      </c>
      <c r="B145" s="64" t="s">
        <v>771</v>
      </c>
      <c r="C145" s="76" t="s">
        <v>221</v>
      </c>
      <c r="D145" s="74" t="s">
        <v>222</v>
      </c>
      <c r="E145" s="74" t="s">
        <v>223</v>
      </c>
      <c r="F145" s="54" t="s">
        <v>196</v>
      </c>
      <c r="G145" s="80">
        <v>1</v>
      </c>
      <c r="H145" s="80">
        <f>합산자재!H13</f>
        <v>2717</v>
      </c>
      <c r="I145" s="80">
        <f>IF(G145*H145&lt;&gt;0, TRUNC(G145*H145,1),"")</f>
        <v>2717</v>
      </c>
      <c r="J145" s="80">
        <v>1</v>
      </c>
      <c r="K145" s="80">
        <f>합산자재!I13</f>
        <v>0</v>
      </c>
      <c r="L145" s="80" t="str">
        <f>IF(G145*K145&lt;&gt;0, TRUNC(G145*K145,1),"")</f>
        <v/>
      </c>
      <c r="M145" s="80">
        <f>합산자재!J13</f>
        <v>0</v>
      </c>
      <c r="N145" s="80" t="str">
        <f>IF(G145*M145&lt;&gt;0, TRUNC(G145*M145,1),"")</f>
        <v/>
      </c>
      <c r="O145" s="80"/>
      <c r="P145" s="80">
        <f t="shared" ref="P145:P151" si="28">IF(SUM(I145,L145,N145)&lt;&gt;0,TRUNC(SUM(I145,L145,N145),1),"")</f>
        <v>2717</v>
      </c>
      <c r="Q145" s="74"/>
      <c r="AC145" s="48">
        <f>G145*H145</f>
        <v>2717</v>
      </c>
    </row>
    <row r="146" spans="1:31" ht="23.25" customHeight="1">
      <c r="A146" s="64" t="s">
        <v>968</v>
      </c>
      <c r="B146" s="64" t="s">
        <v>771</v>
      </c>
      <c r="C146" s="76" t="s">
        <v>221</v>
      </c>
      <c r="D146" s="74" t="s">
        <v>222</v>
      </c>
      <c r="E146" s="74" t="s">
        <v>223</v>
      </c>
      <c r="F146" s="54" t="s">
        <v>196</v>
      </c>
      <c r="G146" s="80">
        <v>0.1</v>
      </c>
      <c r="H146" s="80">
        <f>합산자재!H13</f>
        <v>2717</v>
      </c>
      <c r="I146" s="80">
        <f>IF(G146*H146&lt;&gt;0, TRUNC(G146*H146,1),"")</f>
        <v>271.7</v>
      </c>
      <c r="J146" s="80">
        <v>0.1</v>
      </c>
      <c r="K146" s="80">
        <f>합산자재!I13</f>
        <v>0</v>
      </c>
      <c r="L146" s="80" t="str">
        <f>IF(G146*K146&lt;&gt;0, TRUNC(G146*K146,1),"")</f>
        <v/>
      </c>
      <c r="M146" s="80">
        <f>합산자재!J13</f>
        <v>0</v>
      </c>
      <c r="N146" s="80" t="str">
        <f>IF(G146*M146&lt;&gt;0, TRUNC(G146*M146,1),"")</f>
        <v/>
      </c>
      <c r="O146" s="80"/>
      <c r="P146" s="80">
        <f t="shared" si="28"/>
        <v>271.7</v>
      </c>
      <c r="Q146" s="74"/>
    </row>
    <row r="147" spans="1:31" ht="23.25" customHeight="1">
      <c r="A147" s="64" t="s">
        <v>947</v>
      </c>
      <c r="B147" s="64" t="s">
        <v>771</v>
      </c>
      <c r="C147" s="76" t="s">
        <v>948</v>
      </c>
      <c r="D147" s="74" t="s">
        <v>949</v>
      </c>
      <c r="E147" s="74" t="s">
        <v>950</v>
      </c>
      <c r="F147" s="54" t="s">
        <v>458</v>
      </c>
      <c r="G147" s="80">
        <v>1</v>
      </c>
      <c r="H147" s="80">
        <f>IF(TRUNC((AD147+AC147)/$AD$3,1)*$AD$3-AD147 &lt;0, AC147, TRUNC((AD147+AC147)/$AD$3,1)*$AD$3-AD147)</f>
        <v>54.300000000000182</v>
      </c>
      <c r="I147" s="80">
        <f>H147</f>
        <v>54.300000000000182</v>
      </c>
      <c r="J147" s="80">
        <v>1</v>
      </c>
      <c r="K147" s="80"/>
      <c r="L147" s="80" t="str">
        <f>IF(G147*K147&lt;&gt;0, TRUNC(G147*K147,1),"")</f>
        <v/>
      </c>
      <c r="M147" s="80"/>
      <c r="N147" s="80" t="str">
        <f>IF(G147*M147&lt;&gt;0, TRUNC(G147*M147,1),"")</f>
        <v/>
      </c>
      <c r="O147" s="80"/>
      <c r="P147" s="80">
        <f t="shared" si="28"/>
        <v>54.3</v>
      </c>
      <c r="Q147" s="74"/>
      <c r="AC147" s="48">
        <f>TRUNC(TRUNC(SUM(AC144:AC146))*옵션!$B$33/100,1)</f>
        <v>54.3</v>
      </c>
      <c r="AD147" s="48">
        <f>TRUNC(SUM(I144:I146))+TRUNC(SUM(N144:N146))</f>
        <v>2988</v>
      </c>
    </row>
    <row r="148" spans="1:31" ht="23.25" customHeight="1">
      <c r="A148" s="64" t="s">
        <v>593</v>
      </c>
      <c r="B148" s="64" t="s">
        <v>771</v>
      </c>
      <c r="C148" s="76" t="s">
        <v>529</v>
      </c>
      <c r="D148" s="74" t="s">
        <v>530</v>
      </c>
      <c r="E148" s="74" t="s">
        <v>531</v>
      </c>
      <c r="F148" s="54" t="s">
        <v>532</v>
      </c>
      <c r="G148" s="80">
        <f>일위노임!G74</f>
        <v>8.9999999999999993E-3</v>
      </c>
      <c r="H148" s="80">
        <f>합산자재!H115</f>
        <v>0</v>
      </c>
      <c r="I148" s="80" t="str">
        <f>IF(G148*H148&lt;&gt;0, TRUNC(G148*H148,1),"")</f>
        <v/>
      </c>
      <c r="J148" s="80">
        <v>8.9999999999999993E-3</v>
      </c>
      <c r="K148" s="80">
        <f>합산자재!I115</f>
        <v>273676</v>
      </c>
      <c r="L148" s="80">
        <f>IF(G148*K148&lt;&gt;0, TRUNC(G148*K148,1),"")</f>
        <v>2463</v>
      </c>
      <c r="M148" s="80">
        <f>합산자재!J115</f>
        <v>0</v>
      </c>
      <c r="N148" s="80" t="str">
        <f>IF(G148*M148&lt;&gt;0, TRUNC(G148*M148,1),"")</f>
        <v/>
      </c>
      <c r="O148" s="80"/>
      <c r="P148" s="80">
        <f t="shared" si="28"/>
        <v>2463</v>
      </c>
      <c r="Q148" s="74"/>
      <c r="AE148" s="48">
        <f>L148</f>
        <v>2463</v>
      </c>
    </row>
    <row r="149" spans="1:31" ht="23.25" customHeight="1">
      <c r="A149" s="64" t="s">
        <v>926</v>
      </c>
      <c r="B149" s="64" t="s">
        <v>771</v>
      </c>
      <c r="C149" s="76" t="s">
        <v>927</v>
      </c>
      <c r="D149" s="74" t="s">
        <v>928</v>
      </c>
      <c r="E149" s="74" t="s">
        <v>929</v>
      </c>
      <c r="F149" s="54" t="s">
        <v>458</v>
      </c>
      <c r="G149" s="80">
        <v>1</v>
      </c>
      <c r="H149" s="80">
        <f>IF(TRUNC((AD150+AC150)/$AE$3,1)*$AE$3-AD150 &lt;0, AC150, TRUNC((AD150+AC150)/$AE$3,1)*$AE$3-AD150)</f>
        <v>73.800000000000182</v>
      </c>
      <c r="I149" s="80">
        <f>H149</f>
        <v>73.800000000000182</v>
      </c>
      <c r="J149" s="80">
        <v>1</v>
      </c>
      <c r="K149" s="80"/>
      <c r="L149" s="80" t="str">
        <f>IF(G149*K149&lt;&gt;0, TRUNC(G149*K149,1),"")</f>
        <v/>
      </c>
      <c r="M149" s="80"/>
      <c r="N149" s="80" t="str">
        <f>IF(G149*M149&lt;&gt;0, TRUNC(G149*M149,1),"")</f>
        <v/>
      </c>
      <c r="O149" s="80"/>
      <c r="P149" s="80">
        <f t="shared" si="28"/>
        <v>73.8</v>
      </c>
      <c r="Q149" s="74"/>
    </row>
    <row r="150" spans="1:31" ht="23.25" customHeight="1">
      <c r="B150" s="64" t="s">
        <v>921</v>
      </c>
      <c r="D150" s="74" t="s">
        <v>922</v>
      </c>
      <c r="E150" s="74"/>
      <c r="F150" s="54"/>
      <c r="G150" s="80"/>
      <c r="H150" s="80"/>
      <c r="I150" s="80">
        <f>TRUNC(SUM(I144:I149))</f>
        <v>3116</v>
      </c>
      <c r="J150" s="80"/>
      <c r="K150" s="80"/>
      <c r="L150" s="80">
        <f>TRUNC(SUM(L144:L149))</f>
        <v>2463</v>
      </c>
      <c r="M150" s="80"/>
      <c r="N150" s="80">
        <f>TRUNC(SUM(N144:N149))</f>
        <v>0</v>
      </c>
      <c r="O150" s="80"/>
      <c r="P150" s="80">
        <f t="shared" si="28"/>
        <v>5579</v>
      </c>
      <c r="Q150" s="74"/>
      <c r="AC150" s="48">
        <f>TRUNC(AE150*옵션!$B$36/100,1)</f>
        <v>73.8</v>
      </c>
      <c r="AD150" s="48">
        <f>TRUNC(SUM(L144:L148))</f>
        <v>2463</v>
      </c>
      <c r="AE150" s="48">
        <f>TRUNC(SUM(AE144:AE149))</f>
        <v>2463</v>
      </c>
    </row>
    <row r="151" spans="1:31" ht="23.25" customHeight="1">
      <c r="D151" s="74"/>
      <c r="E151" s="74"/>
      <c r="F151" s="54"/>
      <c r="G151" s="80"/>
      <c r="H151" s="80"/>
      <c r="I151" s="80" t="str">
        <f>IF(G151*H151&lt;&gt;0, TRUNC(G151*H151,1),"")</f>
        <v/>
      </c>
      <c r="J151" s="80"/>
      <c r="K151" s="80"/>
      <c r="L151" s="80" t="str">
        <f>IF(G151*K151&lt;&gt;0, TRUNC(G151*K151,1),"")</f>
        <v/>
      </c>
      <c r="M151" s="80"/>
      <c r="N151" s="80" t="str">
        <f>IF(G151*M151&lt;&gt;0, TRUNC(G151*M151,1),"")</f>
        <v/>
      </c>
      <c r="O151" s="80"/>
      <c r="P151" s="80" t="str">
        <f t="shared" si="28"/>
        <v/>
      </c>
      <c r="Q151" s="74"/>
    </row>
    <row r="152" spans="1:31" ht="23.25" customHeight="1">
      <c r="A152" s="64" t="s">
        <v>772</v>
      </c>
      <c r="B152" s="64" t="s">
        <v>915</v>
      </c>
      <c r="C152" s="76" t="s">
        <v>773</v>
      </c>
      <c r="D152" s="158" t="s">
        <v>969</v>
      </c>
      <c r="E152" s="159"/>
      <c r="F152" s="159"/>
      <c r="G152" s="159"/>
      <c r="H152" s="159"/>
      <c r="I152" s="159"/>
      <c r="J152" s="159"/>
      <c r="K152" s="159"/>
      <c r="L152" s="159"/>
      <c r="M152" s="159"/>
      <c r="N152" s="159"/>
      <c r="O152" s="159"/>
      <c r="P152" s="159"/>
      <c r="Q152" s="160"/>
      <c r="Z152" s="48" t="s">
        <v>920</v>
      </c>
    </row>
    <row r="153" spans="1:31" ht="23.25" customHeight="1">
      <c r="A153" s="64" t="s">
        <v>970</v>
      </c>
      <c r="B153" s="64" t="s">
        <v>774</v>
      </c>
      <c r="C153" s="76" t="s">
        <v>224</v>
      </c>
      <c r="D153" s="74" t="s">
        <v>222</v>
      </c>
      <c r="E153" s="74" t="s">
        <v>225</v>
      </c>
      <c r="F153" s="54" t="s">
        <v>196</v>
      </c>
      <c r="G153" s="80">
        <v>1</v>
      </c>
      <c r="H153" s="80">
        <f>합산자재!H14</f>
        <v>3579</v>
      </c>
      <c r="I153" s="80">
        <f>IF(G153*H153&lt;&gt;0, TRUNC(G153*H153,1),"")</f>
        <v>3579</v>
      </c>
      <c r="J153" s="80">
        <v>1</v>
      </c>
      <c r="K153" s="80">
        <f>합산자재!I14</f>
        <v>0</v>
      </c>
      <c r="L153" s="80" t="str">
        <f>IF(G153*K153&lt;&gt;0, TRUNC(G153*K153,1),"")</f>
        <v/>
      </c>
      <c r="M153" s="80">
        <f>합산자재!J14</f>
        <v>0</v>
      </c>
      <c r="N153" s="80" t="str">
        <f>IF(G153*M153&lt;&gt;0, TRUNC(G153*M153,1),"")</f>
        <v/>
      </c>
      <c r="O153" s="80"/>
      <c r="P153" s="80">
        <f t="shared" ref="P153:P159" si="29">IF(SUM(I153,L153,N153)&lt;&gt;0,TRUNC(SUM(I153,L153,N153),1),"")</f>
        <v>3579</v>
      </c>
      <c r="Q153" s="74"/>
      <c r="AC153" s="48">
        <f>G153*H153</f>
        <v>3579</v>
      </c>
    </row>
    <row r="154" spans="1:31" ht="23.25" customHeight="1">
      <c r="A154" s="64" t="s">
        <v>970</v>
      </c>
      <c r="B154" s="64" t="s">
        <v>774</v>
      </c>
      <c r="C154" s="76" t="s">
        <v>224</v>
      </c>
      <c r="D154" s="74" t="s">
        <v>222</v>
      </c>
      <c r="E154" s="74" t="s">
        <v>225</v>
      </c>
      <c r="F154" s="54" t="s">
        <v>196</v>
      </c>
      <c r="G154" s="80">
        <v>0.1</v>
      </c>
      <c r="H154" s="80">
        <f>합산자재!H14</f>
        <v>3579</v>
      </c>
      <c r="I154" s="80">
        <f>IF(G154*H154&lt;&gt;0, TRUNC(G154*H154,1),"")</f>
        <v>357.9</v>
      </c>
      <c r="J154" s="80">
        <v>0.1</v>
      </c>
      <c r="K154" s="80">
        <f>합산자재!I14</f>
        <v>0</v>
      </c>
      <c r="L154" s="80" t="str">
        <f>IF(G154*K154&lt;&gt;0, TRUNC(G154*K154,1),"")</f>
        <v/>
      </c>
      <c r="M154" s="80">
        <f>합산자재!J14</f>
        <v>0</v>
      </c>
      <c r="N154" s="80" t="str">
        <f>IF(G154*M154&lt;&gt;0, TRUNC(G154*M154,1),"")</f>
        <v/>
      </c>
      <c r="O154" s="80"/>
      <c r="P154" s="80">
        <f t="shared" si="29"/>
        <v>357.9</v>
      </c>
      <c r="Q154" s="74"/>
    </row>
    <row r="155" spans="1:31" ht="23.25" customHeight="1">
      <c r="A155" s="64" t="s">
        <v>947</v>
      </c>
      <c r="B155" s="64" t="s">
        <v>774</v>
      </c>
      <c r="C155" s="76" t="s">
        <v>948</v>
      </c>
      <c r="D155" s="74" t="s">
        <v>949</v>
      </c>
      <c r="E155" s="74" t="s">
        <v>950</v>
      </c>
      <c r="F155" s="54" t="s">
        <v>458</v>
      </c>
      <c r="G155" s="80">
        <v>1</v>
      </c>
      <c r="H155" s="80">
        <f>IF(TRUNC((AD155+AC155)/$AD$3,1)*$AD$3-AD155 &lt;0, AC155, TRUNC((AD155+AC155)/$AD$3,1)*$AD$3-AD155)</f>
        <v>71.5</v>
      </c>
      <c r="I155" s="80">
        <f>H155</f>
        <v>71.5</v>
      </c>
      <c r="J155" s="80">
        <v>1</v>
      </c>
      <c r="K155" s="80"/>
      <c r="L155" s="80" t="str">
        <f>IF(G155*K155&lt;&gt;0, TRUNC(G155*K155,1),"")</f>
        <v/>
      </c>
      <c r="M155" s="80"/>
      <c r="N155" s="80" t="str">
        <f>IF(G155*M155&lt;&gt;0, TRUNC(G155*M155,1),"")</f>
        <v/>
      </c>
      <c r="O155" s="80"/>
      <c r="P155" s="80">
        <f t="shared" si="29"/>
        <v>71.5</v>
      </c>
      <c r="Q155" s="74"/>
      <c r="AC155" s="48">
        <f>TRUNC(TRUNC(SUM(AC152:AC154))*옵션!$B$33/100,1)</f>
        <v>71.5</v>
      </c>
      <c r="AD155" s="48">
        <f>TRUNC(SUM(I152:I154))+TRUNC(SUM(N152:N154))</f>
        <v>3936</v>
      </c>
    </row>
    <row r="156" spans="1:31" ht="23.25" customHeight="1">
      <c r="A156" s="64" t="s">
        <v>593</v>
      </c>
      <c r="B156" s="64" t="s">
        <v>774</v>
      </c>
      <c r="C156" s="76" t="s">
        <v>529</v>
      </c>
      <c r="D156" s="74" t="s">
        <v>530</v>
      </c>
      <c r="E156" s="74" t="s">
        <v>531</v>
      </c>
      <c r="F156" s="54" t="s">
        <v>532</v>
      </c>
      <c r="G156" s="80">
        <f>일위노임!G77</f>
        <v>1.0500000000000001E-2</v>
      </c>
      <c r="H156" s="80">
        <f>합산자재!H115</f>
        <v>0</v>
      </c>
      <c r="I156" s="80" t="str">
        <f>IF(G156*H156&lt;&gt;0, TRUNC(G156*H156,1),"")</f>
        <v/>
      </c>
      <c r="J156" s="80">
        <v>1.0500000000000001E-2</v>
      </c>
      <c r="K156" s="80">
        <f>합산자재!I115</f>
        <v>273676</v>
      </c>
      <c r="L156" s="80">
        <f>IF(G156*K156&lt;&gt;0, TRUNC(G156*K156,1),"")</f>
        <v>2873.5</v>
      </c>
      <c r="M156" s="80">
        <f>합산자재!J115</f>
        <v>0</v>
      </c>
      <c r="N156" s="80" t="str">
        <f>IF(G156*M156&lt;&gt;0, TRUNC(G156*M156,1),"")</f>
        <v/>
      </c>
      <c r="O156" s="80"/>
      <c r="P156" s="80">
        <f t="shared" si="29"/>
        <v>2873.5</v>
      </c>
      <c r="Q156" s="74"/>
      <c r="AE156" s="48">
        <f>L156</f>
        <v>2873.5</v>
      </c>
    </row>
    <row r="157" spans="1:31" ht="23.25" customHeight="1">
      <c r="A157" s="64" t="s">
        <v>926</v>
      </c>
      <c r="B157" s="64" t="s">
        <v>774</v>
      </c>
      <c r="C157" s="76" t="s">
        <v>927</v>
      </c>
      <c r="D157" s="74" t="s">
        <v>928</v>
      </c>
      <c r="E157" s="74" t="s">
        <v>929</v>
      </c>
      <c r="F157" s="54" t="s">
        <v>458</v>
      </c>
      <c r="G157" s="80">
        <v>1</v>
      </c>
      <c r="H157" s="80">
        <f>IF(TRUNC((AD158+AC158)/$AE$3,1)*$AE$3-AD158 &lt;0, AC158, TRUNC((AD158+AC158)/$AE$3,1)*$AE$3-AD158)</f>
        <v>86.099999999999909</v>
      </c>
      <c r="I157" s="80">
        <f>H157</f>
        <v>86.099999999999909</v>
      </c>
      <c r="J157" s="80">
        <v>1</v>
      </c>
      <c r="K157" s="80"/>
      <c r="L157" s="80" t="str">
        <f>IF(G157*K157&lt;&gt;0, TRUNC(G157*K157,1),"")</f>
        <v/>
      </c>
      <c r="M157" s="80"/>
      <c r="N157" s="80" t="str">
        <f>IF(G157*M157&lt;&gt;0, TRUNC(G157*M157,1),"")</f>
        <v/>
      </c>
      <c r="O157" s="80"/>
      <c r="P157" s="80">
        <f t="shared" si="29"/>
        <v>86</v>
      </c>
      <c r="Q157" s="74"/>
    </row>
    <row r="158" spans="1:31" ht="23.25" customHeight="1">
      <c r="B158" s="64" t="s">
        <v>921</v>
      </c>
      <c r="D158" s="74" t="s">
        <v>922</v>
      </c>
      <c r="E158" s="74"/>
      <c r="F158" s="54"/>
      <c r="G158" s="80"/>
      <c r="H158" s="80"/>
      <c r="I158" s="80">
        <f>TRUNC(SUM(I152:I157))</f>
        <v>4094</v>
      </c>
      <c r="J158" s="80"/>
      <c r="K158" s="80"/>
      <c r="L158" s="80">
        <f>TRUNC(SUM(L152:L157))</f>
        <v>2873</v>
      </c>
      <c r="M158" s="80"/>
      <c r="N158" s="80">
        <f>TRUNC(SUM(N152:N157))</f>
        <v>0</v>
      </c>
      <c r="O158" s="80"/>
      <c r="P158" s="80">
        <f t="shared" si="29"/>
        <v>6967</v>
      </c>
      <c r="Q158" s="74"/>
      <c r="AC158" s="48">
        <f>TRUNC(AE158*옵션!$B$36/100,1)</f>
        <v>86.1</v>
      </c>
      <c r="AD158" s="48">
        <f>TRUNC(SUM(L152:L156))</f>
        <v>2873</v>
      </c>
      <c r="AE158" s="48">
        <f>TRUNC(SUM(AE152:AE157))</f>
        <v>2873</v>
      </c>
    </row>
    <row r="159" spans="1:31" ht="23.25" customHeight="1">
      <c r="D159" s="74"/>
      <c r="E159" s="74"/>
      <c r="F159" s="54"/>
      <c r="G159" s="80"/>
      <c r="H159" s="80"/>
      <c r="I159" s="80" t="str">
        <f>IF(G159*H159&lt;&gt;0, TRUNC(G159*H159,1),"")</f>
        <v/>
      </c>
      <c r="J159" s="80"/>
      <c r="K159" s="80"/>
      <c r="L159" s="80" t="str">
        <f>IF(G159*K159&lt;&gt;0, TRUNC(G159*K159,1),"")</f>
        <v/>
      </c>
      <c r="M159" s="80"/>
      <c r="N159" s="80" t="str">
        <f>IF(G159*M159&lt;&gt;0, TRUNC(G159*M159,1),"")</f>
        <v/>
      </c>
      <c r="O159" s="80"/>
      <c r="P159" s="80" t="str">
        <f t="shared" si="29"/>
        <v/>
      </c>
      <c r="Q159" s="74"/>
    </row>
    <row r="160" spans="1:31" ht="23.25" customHeight="1">
      <c r="A160" s="64" t="s">
        <v>775</v>
      </c>
      <c r="B160" s="64" t="s">
        <v>915</v>
      </c>
      <c r="C160" s="76" t="s">
        <v>776</v>
      </c>
      <c r="D160" s="158" t="s">
        <v>971</v>
      </c>
      <c r="E160" s="159"/>
      <c r="F160" s="159"/>
      <c r="G160" s="159"/>
      <c r="H160" s="159"/>
      <c r="I160" s="159"/>
      <c r="J160" s="159"/>
      <c r="K160" s="159"/>
      <c r="L160" s="159"/>
      <c r="M160" s="159"/>
      <c r="N160" s="159"/>
      <c r="O160" s="159"/>
      <c r="P160" s="159"/>
      <c r="Q160" s="160"/>
      <c r="Z160" s="48" t="s">
        <v>920</v>
      </c>
    </row>
    <row r="161" spans="1:31" ht="23.25" customHeight="1">
      <c r="A161" s="64" t="s">
        <v>972</v>
      </c>
      <c r="B161" s="64" t="s">
        <v>777</v>
      </c>
      <c r="C161" s="76" t="s">
        <v>226</v>
      </c>
      <c r="D161" s="74" t="s">
        <v>227</v>
      </c>
      <c r="E161" s="74" t="s">
        <v>228</v>
      </c>
      <c r="F161" s="54" t="s">
        <v>196</v>
      </c>
      <c r="G161" s="80">
        <v>1</v>
      </c>
      <c r="H161" s="80">
        <f>합산자재!H15</f>
        <v>1859</v>
      </c>
      <c r="I161" s="80">
        <f>IF(G161*H161&lt;&gt;0, TRUNC(G161*H161,1),"")</f>
        <v>1859</v>
      </c>
      <c r="J161" s="80">
        <v>1</v>
      </c>
      <c r="K161" s="80">
        <f>합산자재!I15</f>
        <v>0</v>
      </c>
      <c r="L161" s="80" t="str">
        <f>IF(G161*K161&lt;&gt;0, TRUNC(G161*K161,1),"")</f>
        <v/>
      </c>
      <c r="M161" s="80">
        <f>합산자재!J15</f>
        <v>0</v>
      </c>
      <c r="N161" s="80" t="str">
        <f>IF(G161*M161&lt;&gt;0, TRUNC(G161*M161,1),"")</f>
        <v/>
      </c>
      <c r="O161" s="80"/>
      <c r="P161" s="80">
        <f t="shared" ref="P161:P167" si="30">IF(SUM(I161,L161,N161)&lt;&gt;0,TRUNC(SUM(I161,L161,N161),1),"")</f>
        <v>1859</v>
      </c>
      <c r="Q161" s="74"/>
      <c r="AC161" s="48">
        <f>G161*H161</f>
        <v>1859</v>
      </c>
    </row>
    <row r="162" spans="1:31" ht="23.25" customHeight="1">
      <c r="A162" s="64" t="s">
        <v>972</v>
      </c>
      <c r="B162" s="64" t="s">
        <v>777</v>
      </c>
      <c r="C162" s="76" t="s">
        <v>226</v>
      </c>
      <c r="D162" s="74" t="s">
        <v>227</v>
      </c>
      <c r="E162" s="74" t="s">
        <v>228</v>
      </c>
      <c r="F162" s="54" t="s">
        <v>196</v>
      </c>
      <c r="G162" s="80">
        <v>0.05</v>
      </c>
      <c r="H162" s="80">
        <f>합산자재!H15</f>
        <v>1859</v>
      </c>
      <c r="I162" s="80">
        <f>IF(G162*H162&lt;&gt;0, TRUNC(G162*H162,1),"")</f>
        <v>92.9</v>
      </c>
      <c r="J162" s="80">
        <v>0.05</v>
      </c>
      <c r="K162" s="80">
        <f>합산자재!I15</f>
        <v>0</v>
      </c>
      <c r="L162" s="80" t="str">
        <f>IF(G162*K162&lt;&gt;0, TRUNC(G162*K162,1),"")</f>
        <v/>
      </c>
      <c r="M162" s="80">
        <f>합산자재!J15</f>
        <v>0</v>
      </c>
      <c r="N162" s="80" t="str">
        <f>IF(G162*M162&lt;&gt;0, TRUNC(G162*M162,1),"")</f>
        <v/>
      </c>
      <c r="O162" s="80"/>
      <c r="P162" s="80">
        <f t="shared" si="30"/>
        <v>92.9</v>
      </c>
      <c r="Q162" s="74"/>
    </row>
    <row r="163" spans="1:31" ht="23.25" customHeight="1">
      <c r="A163" s="64" t="s">
        <v>947</v>
      </c>
      <c r="B163" s="64" t="s">
        <v>777</v>
      </c>
      <c r="C163" s="76" t="s">
        <v>948</v>
      </c>
      <c r="D163" s="74" t="s">
        <v>949</v>
      </c>
      <c r="E163" s="74" t="s">
        <v>950</v>
      </c>
      <c r="F163" s="54" t="s">
        <v>458</v>
      </c>
      <c r="G163" s="80">
        <v>1</v>
      </c>
      <c r="H163" s="80">
        <f>IF(TRUNC((AD163+AC163)/$AD$3,1)*$AD$3-AD163 &lt;0, AC163, TRUNC((AD163+AC163)/$AD$3,1)*$AD$3-AD163)</f>
        <v>37.099999999999909</v>
      </c>
      <c r="I163" s="80">
        <f>H163</f>
        <v>37.099999999999909</v>
      </c>
      <c r="J163" s="80">
        <v>1</v>
      </c>
      <c r="K163" s="80"/>
      <c r="L163" s="80" t="str">
        <f>IF(G163*K163&lt;&gt;0, TRUNC(G163*K163,1),"")</f>
        <v/>
      </c>
      <c r="M163" s="80"/>
      <c r="N163" s="80" t="str">
        <f>IF(G163*M163&lt;&gt;0, TRUNC(G163*M163,1),"")</f>
        <v/>
      </c>
      <c r="O163" s="80"/>
      <c r="P163" s="80">
        <f t="shared" si="30"/>
        <v>37</v>
      </c>
      <c r="Q163" s="74"/>
      <c r="AC163" s="48">
        <f>TRUNC(TRUNC(SUM(AC160:AC162))*옵션!$B$33/100,1)</f>
        <v>37.1</v>
      </c>
      <c r="AD163" s="48">
        <f>TRUNC(SUM(I160:I162))+TRUNC(SUM(N160:N162))</f>
        <v>1951</v>
      </c>
    </row>
    <row r="164" spans="1:31" ht="23.25" customHeight="1">
      <c r="A164" s="64" t="s">
        <v>621</v>
      </c>
      <c r="B164" s="64" t="s">
        <v>777</v>
      </c>
      <c r="C164" s="76" t="s">
        <v>533</v>
      </c>
      <c r="D164" s="74" t="s">
        <v>530</v>
      </c>
      <c r="E164" s="74" t="s">
        <v>534</v>
      </c>
      <c r="F164" s="54" t="s">
        <v>532</v>
      </c>
      <c r="G164" s="80">
        <f>일위노임!G80</f>
        <v>1.4E-2</v>
      </c>
      <c r="H164" s="80">
        <f>합산자재!H116</f>
        <v>0</v>
      </c>
      <c r="I164" s="80" t="str">
        <f>IF(G164*H164&lt;&gt;0, TRUNC(G164*H164,1),"")</f>
        <v/>
      </c>
      <c r="J164" s="80">
        <v>1.4E-2</v>
      </c>
      <c r="K164" s="80">
        <f>합산자재!I116</f>
        <v>304156</v>
      </c>
      <c r="L164" s="80">
        <f>IF(G164*K164&lt;&gt;0, TRUNC(G164*K164,1),"")</f>
        <v>4258.1000000000004</v>
      </c>
      <c r="M164" s="80">
        <f>합산자재!J116</f>
        <v>0</v>
      </c>
      <c r="N164" s="80" t="str">
        <f>IF(G164*M164&lt;&gt;0, TRUNC(G164*M164,1),"")</f>
        <v/>
      </c>
      <c r="O164" s="80"/>
      <c r="P164" s="80">
        <f t="shared" si="30"/>
        <v>4258.1000000000004</v>
      </c>
      <c r="Q164" s="74"/>
      <c r="AE164" s="48">
        <f>L164</f>
        <v>4258.1000000000004</v>
      </c>
    </row>
    <row r="165" spans="1:31" ht="23.25" customHeight="1">
      <c r="A165" s="64" t="s">
        <v>926</v>
      </c>
      <c r="B165" s="64" t="s">
        <v>777</v>
      </c>
      <c r="C165" s="76" t="s">
        <v>927</v>
      </c>
      <c r="D165" s="74" t="s">
        <v>928</v>
      </c>
      <c r="E165" s="74" t="s">
        <v>929</v>
      </c>
      <c r="F165" s="54" t="s">
        <v>458</v>
      </c>
      <c r="G165" s="80">
        <v>1</v>
      </c>
      <c r="H165" s="80">
        <f>IF(TRUNC((AD166+AC166)/$AE$3,1)*$AE$3-AD166 &lt;0, AC166, TRUNC((AD166+AC166)/$AE$3,1)*$AE$3-AD166)</f>
        <v>127.69999999999982</v>
      </c>
      <c r="I165" s="80">
        <f>H165</f>
        <v>127.69999999999982</v>
      </c>
      <c r="J165" s="80">
        <v>1</v>
      </c>
      <c r="K165" s="80"/>
      <c r="L165" s="80" t="str">
        <f>IF(G165*K165&lt;&gt;0, TRUNC(G165*K165,1),"")</f>
        <v/>
      </c>
      <c r="M165" s="80"/>
      <c r="N165" s="80" t="str">
        <f>IF(G165*M165&lt;&gt;0, TRUNC(G165*M165,1),"")</f>
        <v/>
      </c>
      <c r="O165" s="80"/>
      <c r="P165" s="80">
        <f t="shared" si="30"/>
        <v>127.7</v>
      </c>
      <c r="Q165" s="74"/>
      <c r="Z165" s="48" t="s">
        <v>920</v>
      </c>
    </row>
    <row r="166" spans="1:31" ht="23.25" customHeight="1">
      <c r="B166" s="64" t="s">
        <v>921</v>
      </c>
      <c r="D166" s="74" t="s">
        <v>922</v>
      </c>
      <c r="E166" s="74"/>
      <c r="F166" s="54"/>
      <c r="G166" s="80"/>
      <c r="H166" s="80"/>
      <c r="I166" s="80">
        <f>TRUNC(SUM(I160:I165))</f>
        <v>2116</v>
      </c>
      <c r="J166" s="80"/>
      <c r="K166" s="80"/>
      <c r="L166" s="80">
        <f>TRUNC(SUM(L160:L165))</f>
        <v>4258</v>
      </c>
      <c r="M166" s="80"/>
      <c r="N166" s="80">
        <f>TRUNC(SUM(N160:N165))</f>
        <v>0</v>
      </c>
      <c r="O166" s="80"/>
      <c r="P166" s="80">
        <f t="shared" si="30"/>
        <v>6374</v>
      </c>
      <c r="Q166" s="74"/>
      <c r="AC166" s="48">
        <f>TRUNC(AE166*옵션!$B$36/100,1)</f>
        <v>127.7</v>
      </c>
      <c r="AD166" s="48">
        <f>TRUNC(SUM(L160:L164))</f>
        <v>4258</v>
      </c>
      <c r="AE166" s="48">
        <f>TRUNC(SUM(AE160:AE165))</f>
        <v>4258</v>
      </c>
    </row>
    <row r="167" spans="1:31" ht="23.25" customHeight="1">
      <c r="D167" s="74"/>
      <c r="E167" s="74"/>
      <c r="F167" s="54"/>
      <c r="G167" s="80"/>
      <c r="H167" s="80"/>
      <c r="I167" s="80" t="str">
        <f>IF(G167*H167&lt;&gt;0, TRUNC(G167*H167,1),"")</f>
        <v/>
      </c>
      <c r="J167" s="80"/>
      <c r="K167" s="80"/>
      <c r="L167" s="80" t="str">
        <f>IF(G167*K167&lt;&gt;0, TRUNC(G167*K167,1),"")</f>
        <v/>
      </c>
      <c r="M167" s="80"/>
      <c r="N167" s="80" t="str">
        <f>IF(G167*M167&lt;&gt;0, TRUNC(G167*M167,1),"")</f>
        <v/>
      </c>
      <c r="O167" s="80"/>
      <c r="P167" s="80" t="str">
        <f t="shared" si="30"/>
        <v/>
      </c>
      <c r="Q167" s="74"/>
    </row>
    <row r="168" spans="1:31" ht="23.25" customHeight="1">
      <c r="A168" s="64" t="s">
        <v>778</v>
      </c>
      <c r="B168" s="64" t="s">
        <v>915</v>
      </c>
      <c r="C168" s="76" t="s">
        <v>779</v>
      </c>
      <c r="D168" s="158" t="s">
        <v>973</v>
      </c>
      <c r="E168" s="159"/>
      <c r="F168" s="159"/>
      <c r="G168" s="159"/>
      <c r="H168" s="159"/>
      <c r="I168" s="159"/>
      <c r="J168" s="159"/>
      <c r="K168" s="159"/>
      <c r="L168" s="159"/>
      <c r="M168" s="159"/>
      <c r="N168" s="159"/>
      <c r="O168" s="159"/>
      <c r="P168" s="159"/>
      <c r="Q168" s="160"/>
    </row>
    <row r="169" spans="1:31" ht="23.25" customHeight="1">
      <c r="A169" s="64" t="s">
        <v>974</v>
      </c>
      <c r="B169" s="64" t="s">
        <v>780</v>
      </c>
      <c r="C169" s="76" t="s">
        <v>243</v>
      </c>
      <c r="D169" s="74" t="s">
        <v>227</v>
      </c>
      <c r="E169" s="74" t="s">
        <v>244</v>
      </c>
      <c r="F169" s="54" t="s">
        <v>196</v>
      </c>
      <c r="G169" s="80">
        <v>1</v>
      </c>
      <c r="H169" s="80">
        <f>합산자재!H21</f>
        <v>4722</v>
      </c>
      <c r="I169" s="80">
        <f>IF(G169*H169&lt;&gt;0, TRUNC(G169*H169,1),"")</f>
        <v>4722</v>
      </c>
      <c r="J169" s="80">
        <v>1</v>
      </c>
      <c r="K169" s="80">
        <f>합산자재!I21</f>
        <v>0</v>
      </c>
      <c r="L169" s="80" t="str">
        <f>IF(G169*K169&lt;&gt;0, TRUNC(G169*K169,1),"")</f>
        <v/>
      </c>
      <c r="M169" s="80">
        <f>합산자재!J21</f>
        <v>0</v>
      </c>
      <c r="N169" s="80" t="str">
        <f>IF(G169*M169&lt;&gt;0, TRUNC(G169*M169,1),"")</f>
        <v/>
      </c>
      <c r="O169" s="80"/>
      <c r="P169" s="80">
        <f t="shared" ref="P169:P175" si="31">IF(SUM(I169,L169,N169)&lt;&gt;0,TRUNC(SUM(I169,L169,N169),1),"")</f>
        <v>4722</v>
      </c>
      <c r="Q169" s="74"/>
      <c r="AC169" s="48">
        <f>G169*H169</f>
        <v>4722</v>
      </c>
    </row>
    <row r="170" spans="1:31" ht="23.25" customHeight="1">
      <c r="A170" s="64" t="s">
        <v>974</v>
      </c>
      <c r="B170" s="64" t="s">
        <v>780</v>
      </c>
      <c r="C170" s="76" t="s">
        <v>243</v>
      </c>
      <c r="D170" s="74" t="s">
        <v>227</v>
      </c>
      <c r="E170" s="74" t="s">
        <v>244</v>
      </c>
      <c r="F170" s="54" t="s">
        <v>196</v>
      </c>
      <c r="G170" s="80">
        <v>0.05</v>
      </c>
      <c r="H170" s="80">
        <f>합산자재!H21</f>
        <v>4722</v>
      </c>
      <c r="I170" s="80">
        <f>IF(G170*H170&lt;&gt;0, TRUNC(G170*H170,1),"")</f>
        <v>236.1</v>
      </c>
      <c r="J170" s="80">
        <v>0.05</v>
      </c>
      <c r="K170" s="80">
        <f>합산자재!I21</f>
        <v>0</v>
      </c>
      <c r="L170" s="80" t="str">
        <f>IF(G170*K170&lt;&gt;0, TRUNC(G170*K170,1),"")</f>
        <v/>
      </c>
      <c r="M170" s="80">
        <f>합산자재!J21</f>
        <v>0</v>
      </c>
      <c r="N170" s="80" t="str">
        <f>IF(G170*M170&lt;&gt;0, TRUNC(G170*M170,1),"")</f>
        <v/>
      </c>
      <c r="O170" s="80"/>
      <c r="P170" s="80">
        <f t="shared" si="31"/>
        <v>236.1</v>
      </c>
      <c r="Q170" s="74"/>
      <c r="Z170" s="48" t="s">
        <v>920</v>
      </c>
    </row>
    <row r="171" spans="1:31" ht="23.25" customHeight="1">
      <c r="A171" s="64" t="s">
        <v>947</v>
      </c>
      <c r="B171" s="64" t="s">
        <v>780</v>
      </c>
      <c r="C171" s="76" t="s">
        <v>948</v>
      </c>
      <c r="D171" s="74" t="s">
        <v>949</v>
      </c>
      <c r="E171" s="74" t="s">
        <v>950</v>
      </c>
      <c r="F171" s="54" t="s">
        <v>458</v>
      </c>
      <c r="G171" s="80">
        <v>1</v>
      </c>
      <c r="H171" s="80">
        <f>IF(TRUNC((AD171+AC171)/$AD$3,1)*$AD$3-AD171 &lt;0, AC171, TRUNC((AD171+AC171)/$AD$3,1)*$AD$3-AD171)</f>
        <v>94.399999999999636</v>
      </c>
      <c r="I171" s="80">
        <f>H171</f>
        <v>94.399999999999636</v>
      </c>
      <c r="J171" s="80">
        <v>1</v>
      </c>
      <c r="K171" s="80"/>
      <c r="L171" s="80" t="str">
        <f>IF(G171*K171&lt;&gt;0, TRUNC(G171*K171,1),"")</f>
        <v/>
      </c>
      <c r="M171" s="80"/>
      <c r="N171" s="80" t="str">
        <f>IF(G171*M171&lt;&gt;0, TRUNC(G171*M171,1),"")</f>
        <v/>
      </c>
      <c r="O171" s="80"/>
      <c r="P171" s="80">
        <f t="shared" si="31"/>
        <v>94.3</v>
      </c>
      <c r="Q171" s="74"/>
      <c r="AC171" s="48">
        <f>TRUNC(TRUNC(SUM(AC168:AC170))*옵션!$B$33/100,1)</f>
        <v>94.4</v>
      </c>
      <c r="AD171" s="48">
        <f>TRUNC(SUM(I168:I170))+TRUNC(SUM(N168:N170))</f>
        <v>4958</v>
      </c>
    </row>
    <row r="172" spans="1:31" ht="23.25" customHeight="1">
      <c r="A172" s="64" t="s">
        <v>621</v>
      </c>
      <c r="B172" s="64" t="s">
        <v>780</v>
      </c>
      <c r="C172" s="76" t="s">
        <v>533</v>
      </c>
      <c r="D172" s="74" t="s">
        <v>530</v>
      </c>
      <c r="E172" s="74" t="s">
        <v>534</v>
      </c>
      <c r="F172" s="54" t="s">
        <v>532</v>
      </c>
      <c r="G172" s="80">
        <f>일위노임!G83</f>
        <v>2.5999999999999999E-2</v>
      </c>
      <c r="H172" s="80">
        <f>합산자재!H116</f>
        <v>0</v>
      </c>
      <c r="I172" s="80" t="str">
        <f>IF(G172*H172&lt;&gt;0, TRUNC(G172*H172,1),"")</f>
        <v/>
      </c>
      <c r="J172" s="80">
        <v>2.5999999999999999E-2</v>
      </c>
      <c r="K172" s="80">
        <f>합산자재!I116</f>
        <v>304156</v>
      </c>
      <c r="L172" s="80">
        <f>IF(G172*K172&lt;&gt;0, TRUNC(G172*K172,1),"")</f>
        <v>7908</v>
      </c>
      <c r="M172" s="80">
        <f>합산자재!J116</f>
        <v>0</v>
      </c>
      <c r="N172" s="80" t="str">
        <f>IF(G172*M172&lt;&gt;0, TRUNC(G172*M172,1),"")</f>
        <v/>
      </c>
      <c r="O172" s="80"/>
      <c r="P172" s="80">
        <f t="shared" si="31"/>
        <v>7908</v>
      </c>
      <c r="Q172" s="74"/>
      <c r="AE172" s="48">
        <f>L172</f>
        <v>7908</v>
      </c>
    </row>
    <row r="173" spans="1:31" ht="23.25" customHeight="1">
      <c r="A173" s="64" t="s">
        <v>926</v>
      </c>
      <c r="B173" s="64" t="s">
        <v>780</v>
      </c>
      <c r="C173" s="76" t="s">
        <v>927</v>
      </c>
      <c r="D173" s="74" t="s">
        <v>928</v>
      </c>
      <c r="E173" s="74" t="s">
        <v>929</v>
      </c>
      <c r="F173" s="54" t="s">
        <v>458</v>
      </c>
      <c r="G173" s="80">
        <v>1</v>
      </c>
      <c r="H173" s="80">
        <f>IF(TRUNC((AD174+AC174)/$AE$3,1)*$AE$3-AD174 &lt;0, AC174, TRUNC((AD174+AC174)/$AE$3,1)*$AE$3-AD174)</f>
        <v>237.19999999999982</v>
      </c>
      <c r="I173" s="80">
        <f>H173</f>
        <v>237.19999999999982</v>
      </c>
      <c r="J173" s="80">
        <v>1</v>
      </c>
      <c r="K173" s="80"/>
      <c r="L173" s="80" t="str">
        <f>IF(G173*K173&lt;&gt;0, TRUNC(G173*K173,1),"")</f>
        <v/>
      </c>
      <c r="M173" s="80"/>
      <c r="N173" s="80" t="str">
        <f>IF(G173*M173&lt;&gt;0, TRUNC(G173*M173,1),"")</f>
        <v/>
      </c>
      <c r="O173" s="80"/>
      <c r="P173" s="80">
        <f t="shared" si="31"/>
        <v>237.2</v>
      </c>
      <c r="Q173" s="74"/>
    </row>
    <row r="174" spans="1:31" ht="23.25" customHeight="1">
      <c r="B174" s="64" t="s">
        <v>921</v>
      </c>
      <c r="D174" s="74" t="s">
        <v>922</v>
      </c>
      <c r="E174" s="74"/>
      <c r="F174" s="54"/>
      <c r="G174" s="80"/>
      <c r="H174" s="80"/>
      <c r="I174" s="80">
        <f>TRUNC(SUM(I168:I173))</f>
        <v>5289</v>
      </c>
      <c r="J174" s="80"/>
      <c r="K174" s="80"/>
      <c r="L174" s="80">
        <f>TRUNC(SUM(L168:L173))</f>
        <v>7908</v>
      </c>
      <c r="M174" s="80"/>
      <c r="N174" s="80">
        <f>TRUNC(SUM(N168:N173))</f>
        <v>0</v>
      </c>
      <c r="O174" s="80"/>
      <c r="P174" s="80">
        <f t="shared" si="31"/>
        <v>13197</v>
      </c>
      <c r="Q174" s="74"/>
      <c r="AC174" s="48">
        <f>TRUNC(AE174*옵션!$B$36/100,1)</f>
        <v>237.2</v>
      </c>
      <c r="AD174" s="48">
        <f>TRUNC(SUM(L168:L172))</f>
        <v>7908</v>
      </c>
      <c r="AE174" s="48">
        <f>TRUNC(SUM(AE168:AE173))</f>
        <v>7908</v>
      </c>
    </row>
    <row r="175" spans="1:31" ht="23.25" customHeight="1">
      <c r="D175" s="74"/>
      <c r="E175" s="74"/>
      <c r="F175" s="54"/>
      <c r="G175" s="80"/>
      <c r="H175" s="80"/>
      <c r="I175" s="80" t="str">
        <f>IF(G175*H175&lt;&gt;0, TRUNC(G175*H175,1),"")</f>
        <v/>
      </c>
      <c r="J175" s="80"/>
      <c r="K175" s="80"/>
      <c r="L175" s="80" t="str">
        <f>IF(G175*K175&lt;&gt;0, TRUNC(G175*K175,1),"")</f>
        <v/>
      </c>
      <c r="M175" s="80"/>
      <c r="N175" s="80" t="str">
        <f>IF(G175*M175&lt;&gt;0, TRUNC(G175*M175,1),"")</f>
        <v/>
      </c>
      <c r="O175" s="80"/>
      <c r="P175" s="80" t="str">
        <f t="shared" si="31"/>
        <v/>
      </c>
      <c r="Q175" s="74"/>
      <c r="Z175" s="48" t="s">
        <v>920</v>
      </c>
    </row>
    <row r="176" spans="1:31" ht="23.25" customHeight="1">
      <c r="A176" s="64" t="s">
        <v>781</v>
      </c>
      <c r="B176" s="64" t="s">
        <v>915</v>
      </c>
      <c r="C176" s="76" t="s">
        <v>782</v>
      </c>
      <c r="D176" s="158" t="s">
        <v>975</v>
      </c>
      <c r="E176" s="159"/>
      <c r="F176" s="159"/>
      <c r="G176" s="159"/>
      <c r="H176" s="159"/>
      <c r="I176" s="159"/>
      <c r="J176" s="159"/>
      <c r="K176" s="159"/>
      <c r="L176" s="159"/>
      <c r="M176" s="159"/>
      <c r="N176" s="159"/>
      <c r="O176" s="159"/>
      <c r="P176" s="159"/>
      <c r="Q176" s="160"/>
    </row>
    <row r="177" spans="1:31" ht="23.25" customHeight="1">
      <c r="A177" s="64" t="s">
        <v>976</v>
      </c>
      <c r="B177" s="64" t="s">
        <v>783</v>
      </c>
      <c r="C177" s="76" t="s">
        <v>251</v>
      </c>
      <c r="D177" s="74" t="s">
        <v>252</v>
      </c>
      <c r="E177" s="74" t="s">
        <v>253</v>
      </c>
      <c r="F177" s="54" t="s">
        <v>196</v>
      </c>
      <c r="G177" s="80">
        <v>1</v>
      </c>
      <c r="H177" s="80">
        <f>합산자재!H25</f>
        <v>3309</v>
      </c>
      <c r="I177" s="80">
        <f>IF(G177*H177&lt;&gt;0, TRUNC(G177*H177,1),"")</f>
        <v>3309</v>
      </c>
      <c r="J177" s="80">
        <v>1</v>
      </c>
      <c r="K177" s="80">
        <f>합산자재!I25</f>
        <v>0</v>
      </c>
      <c r="L177" s="80" t="str">
        <f>IF(G177*K177&lt;&gt;0, TRUNC(G177*K177,1),"")</f>
        <v/>
      </c>
      <c r="M177" s="80">
        <f>합산자재!J25</f>
        <v>0</v>
      </c>
      <c r="N177" s="80" t="str">
        <f>IF(G177*M177&lt;&gt;0, TRUNC(G177*M177,1),"")</f>
        <v/>
      </c>
      <c r="O177" s="80"/>
      <c r="P177" s="80">
        <f t="shared" ref="P177:P183" si="32">IF(SUM(I177,L177,N177)&lt;&gt;0,TRUNC(SUM(I177,L177,N177),1),"")</f>
        <v>3309</v>
      </c>
      <c r="Q177" s="74"/>
      <c r="AC177" s="48">
        <f>G177*H177</f>
        <v>3309</v>
      </c>
    </row>
    <row r="178" spans="1:31" ht="23.25" customHeight="1">
      <c r="A178" s="64" t="s">
        <v>976</v>
      </c>
      <c r="B178" s="64" t="s">
        <v>783</v>
      </c>
      <c r="C178" s="76" t="s">
        <v>251</v>
      </c>
      <c r="D178" s="74" t="s">
        <v>252</v>
      </c>
      <c r="E178" s="74" t="s">
        <v>253</v>
      </c>
      <c r="F178" s="54" t="s">
        <v>196</v>
      </c>
      <c r="G178" s="80">
        <v>0.05</v>
      </c>
      <c r="H178" s="80">
        <f>합산자재!H25</f>
        <v>3309</v>
      </c>
      <c r="I178" s="80">
        <f>IF(G178*H178&lt;&gt;0, TRUNC(G178*H178,1),"")</f>
        <v>165.4</v>
      </c>
      <c r="J178" s="80">
        <v>0.05</v>
      </c>
      <c r="K178" s="80">
        <f>합산자재!I25</f>
        <v>0</v>
      </c>
      <c r="L178" s="80" t="str">
        <f>IF(G178*K178&lt;&gt;0, TRUNC(G178*K178,1),"")</f>
        <v/>
      </c>
      <c r="M178" s="80">
        <f>합산자재!J25</f>
        <v>0</v>
      </c>
      <c r="N178" s="80" t="str">
        <f>IF(G178*M178&lt;&gt;0, TRUNC(G178*M178,1),"")</f>
        <v/>
      </c>
      <c r="O178" s="80"/>
      <c r="P178" s="80">
        <f t="shared" si="32"/>
        <v>165.4</v>
      </c>
      <c r="Q178" s="74"/>
    </row>
    <row r="179" spans="1:31" ht="23.25" customHeight="1">
      <c r="A179" s="64" t="s">
        <v>947</v>
      </c>
      <c r="B179" s="64" t="s">
        <v>783</v>
      </c>
      <c r="C179" s="76" t="s">
        <v>948</v>
      </c>
      <c r="D179" s="74" t="s">
        <v>949</v>
      </c>
      <c r="E179" s="74" t="s">
        <v>950</v>
      </c>
      <c r="F179" s="54" t="s">
        <v>458</v>
      </c>
      <c r="G179" s="80">
        <v>1</v>
      </c>
      <c r="H179" s="80">
        <f>IF(TRUNC((AD179+AC179)/$AD$3,1)*$AD$3-AD179 &lt;0, AC179, TRUNC((AD179+AC179)/$AD$3,1)*$AD$3-AD179)</f>
        <v>66.099999999999909</v>
      </c>
      <c r="I179" s="80">
        <f>H179</f>
        <v>66.099999999999909</v>
      </c>
      <c r="J179" s="80">
        <v>1</v>
      </c>
      <c r="K179" s="80"/>
      <c r="L179" s="80" t="str">
        <f>IF(G179*K179&lt;&gt;0, TRUNC(G179*K179,1),"")</f>
        <v/>
      </c>
      <c r="M179" s="80"/>
      <c r="N179" s="80" t="str">
        <f>IF(G179*M179&lt;&gt;0, TRUNC(G179*M179,1),"")</f>
        <v/>
      </c>
      <c r="O179" s="80"/>
      <c r="P179" s="80">
        <f t="shared" si="32"/>
        <v>66</v>
      </c>
      <c r="Q179" s="74"/>
      <c r="AC179" s="48">
        <f>TRUNC(TRUNC(SUM(AC176:AC178))*옵션!$B$33/100,1)</f>
        <v>66.099999999999994</v>
      </c>
      <c r="AD179" s="48">
        <f>TRUNC(SUM(I176:I178))+TRUNC(SUM(N176:N178))</f>
        <v>3474</v>
      </c>
    </row>
    <row r="180" spans="1:31" ht="23.25" customHeight="1">
      <c r="A180" s="64" t="s">
        <v>621</v>
      </c>
      <c r="B180" s="64" t="s">
        <v>783</v>
      </c>
      <c r="C180" s="76" t="s">
        <v>533</v>
      </c>
      <c r="D180" s="74" t="s">
        <v>530</v>
      </c>
      <c r="E180" s="74" t="s">
        <v>534</v>
      </c>
      <c r="F180" s="54" t="s">
        <v>532</v>
      </c>
      <c r="G180" s="80">
        <f>일위노임!G86</f>
        <v>3.2000000000000001E-2</v>
      </c>
      <c r="H180" s="80">
        <f>합산자재!H116</f>
        <v>0</v>
      </c>
      <c r="I180" s="80" t="str">
        <f>IF(G180*H180&lt;&gt;0, TRUNC(G180*H180,1),"")</f>
        <v/>
      </c>
      <c r="J180" s="80">
        <v>3.2000000000000001E-2</v>
      </c>
      <c r="K180" s="80">
        <f>합산자재!I116</f>
        <v>304156</v>
      </c>
      <c r="L180" s="80">
        <f>IF(G180*K180&lt;&gt;0, TRUNC(G180*K180,1),"")</f>
        <v>9732.9</v>
      </c>
      <c r="M180" s="80">
        <f>합산자재!J116</f>
        <v>0</v>
      </c>
      <c r="N180" s="80" t="str">
        <f>IF(G180*M180&lt;&gt;0, TRUNC(G180*M180,1),"")</f>
        <v/>
      </c>
      <c r="O180" s="80"/>
      <c r="P180" s="80">
        <f t="shared" si="32"/>
        <v>9732.9</v>
      </c>
      <c r="Q180" s="74"/>
      <c r="Z180" s="48" t="s">
        <v>920</v>
      </c>
      <c r="AE180" s="48">
        <f>L180</f>
        <v>9732.9</v>
      </c>
    </row>
    <row r="181" spans="1:31" ht="23.25" customHeight="1">
      <c r="A181" s="64" t="s">
        <v>926</v>
      </c>
      <c r="B181" s="64" t="s">
        <v>783</v>
      </c>
      <c r="C181" s="76" t="s">
        <v>927</v>
      </c>
      <c r="D181" s="74" t="s">
        <v>928</v>
      </c>
      <c r="E181" s="74" t="s">
        <v>929</v>
      </c>
      <c r="F181" s="54" t="s">
        <v>458</v>
      </c>
      <c r="G181" s="80">
        <v>1</v>
      </c>
      <c r="H181" s="80">
        <f>IF(TRUNC((AD182+AC182)/$AE$3,1)*$AE$3-AD182 &lt;0, AC182, TRUNC((AD182+AC182)/$AE$3,1)*$AE$3-AD182)</f>
        <v>291.89999999999964</v>
      </c>
      <c r="I181" s="80">
        <f>H181</f>
        <v>291.89999999999964</v>
      </c>
      <c r="J181" s="80">
        <v>1</v>
      </c>
      <c r="K181" s="80"/>
      <c r="L181" s="80" t="str">
        <f>IF(G181*K181&lt;&gt;0, TRUNC(G181*K181,1),"")</f>
        <v/>
      </c>
      <c r="M181" s="80"/>
      <c r="N181" s="80" t="str">
        <f>IF(G181*M181&lt;&gt;0, TRUNC(G181*M181,1),"")</f>
        <v/>
      </c>
      <c r="O181" s="80"/>
      <c r="P181" s="80">
        <f t="shared" si="32"/>
        <v>291.89999999999998</v>
      </c>
      <c r="Q181" s="74"/>
    </row>
    <row r="182" spans="1:31" ht="23.25" customHeight="1">
      <c r="B182" s="64" t="s">
        <v>921</v>
      </c>
      <c r="D182" s="74" t="s">
        <v>922</v>
      </c>
      <c r="E182" s="74"/>
      <c r="F182" s="54"/>
      <c r="G182" s="80"/>
      <c r="H182" s="80"/>
      <c r="I182" s="80">
        <f>TRUNC(SUM(I176:I181))</f>
        <v>3832</v>
      </c>
      <c r="J182" s="80"/>
      <c r="K182" s="80"/>
      <c r="L182" s="80">
        <f>TRUNC(SUM(L176:L181))</f>
        <v>9732</v>
      </c>
      <c r="M182" s="80"/>
      <c r="N182" s="80">
        <f>TRUNC(SUM(N176:N181))</f>
        <v>0</v>
      </c>
      <c r="O182" s="80"/>
      <c r="P182" s="80">
        <f t="shared" si="32"/>
        <v>13564</v>
      </c>
      <c r="Q182" s="74"/>
      <c r="AC182" s="48">
        <f>TRUNC(AE182*옵션!$B$36/100,1)</f>
        <v>291.89999999999998</v>
      </c>
      <c r="AD182" s="48">
        <f>TRUNC(SUM(L176:L180))</f>
        <v>9732</v>
      </c>
      <c r="AE182" s="48">
        <f>TRUNC(SUM(AE176:AE181))</f>
        <v>9732</v>
      </c>
    </row>
    <row r="183" spans="1:31" ht="23.25" customHeight="1">
      <c r="D183" s="74"/>
      <c r="E183" s="74"/>
      <c r="F183" s="54"/>
      <c r="G183" s="80"/>
      <c r="H183" s="80"/>
      <c r="I183" s="80" t="str">
        <f>IF(G183*H183&lt;&gt;0, TRUNC(G183*H183,1),"")</f>
        <v/>
      </c>
      <c r="J183" s="80"/>
      <c r="K183" s="80"/>
      <c r="L183" s="80" t="str">
        <f>IF(G183*K183&lt;&gt;0, TRUNC(G183*K183,1),"")</f>
        <v/>
      </c>
      <c r="M183" s="80"/>
      <c r="N183" s="80" t="str">
        <f>IF(G183*M183&lt;&gt;0, TRUNC(G183*M183,1),"")</f>
        <v/>
      </c>
      <c r="O183" s="80"/>
      <c r="P183" s="80" t="str">
        <f t="shared" si="32"/>
        <v/>
      </c>
      <c r="Q183" s="74"/>
    </row>
    <row r="184" spans="1:31" ht="23.25" customHeight="1">
      <c r="A184" s="64" t="s">
        <v>784</v>
      </c>
      <c r="B184" s="64" t="s">
        <v>915</v>
      </c>
      <c r="C184" s="76" t="s">
        <v>785</v>
      </c>
      <c r="D184" s="158" t="s">
        <v>977</v>
      </c>
      <c r="E184" s="159"/>
      <c r="F184" s="159"/>
      <c r="G184" s="159"/>
      <c r="H184" s="159"/>
      <c r="I184" s="159"/>
      <c r="J184" s="159"/>
      <c r="K184" s="159"/>
      <c r="L184" s="159"/>
      <c r="M184" s="159"/>
      <c r="N184" s="159"/>
      <c r="O184" s="159"/>
      <c r="P184" s="159"/>
      <c r="Q184" s="160"/>
    </row>
    <row r="185" spans="1:31" ht="23.25" customHeight="1">
      <c r="A185" s="64" t="s">
        <v>978</v>
      </c>
      <c r="B185" s="64" t="s">
        <v>786</v>
      </c>
      <c r="C185" s="76" t="s">
        <v>256</v>
      </c>
      <c r="D185" s="74" t="s">
        <v>257</v>
      </c>
      <c r="E185" s="74" t="s">
        <v>258</v>
      </c>
      <c r="F185" s="54" t="s">
        <v>196</v>
      </c>
      <c r="G185" s="80">
        <v>1</v>
      </c>
      <c r="H185" s="80">
        <f>합산자재!H26</f>
        <v>1000</v>
      </c>
      <c r="I185" s="80">
        <f>IF(G185*H185&lt;&gt;0, TRUNC(G185*H185,1),"")</f>
        <v>1000</v>
      </c>
      <c r="J185" s="80">
        <v>1</v>
      </c>
      <c r="K185" s="80">
        <f>합산자재!I26</f>
        <v>0</v>
      </c>
      <c r="L185" s="80" t="str">
        <f t="shared" ref="L185:L190" si="33">IF(G185*K185&lt;&gt;0, TRUNC(G185*K185,1),"")</f>
        <v/>
      </c>
      <c r="M185" s="80">
        <f>합산자재!J26</f>
        <v>0</v>
      </c>
      <c r="N185" s="80" t="str">
        <f t="shared" ref="N185:N190" si="34">IF(G185*M185&lt;&gt;0, TRUNC(G185*M185,1),"")</f>
        <v/>
      </c>
      <c r="O185" s="80"/>
      <c r="P185" s="80">
        <f t="shared" ref="P185:P192" si="35">IF(SUM(I185,L185,N185)&lt;&gt;0,TRUNC(SUM(I185,L185,N185),1),"")</f>
        <v>1000</v>
      </c>
      <c r="Q185" s="74"/>
      <c r="Z185" s="48" t="s">
        <v>920</v>
      </c>
      <c r="AC185" s="48">
        <f>G185*H185</f>
        <v>1000</v>
      </c>
    </row>
    <row r="186" spans="1:31" ht="23.25" customHeight="1">
      <c r="A186" s="64" t="s">
        <v>978</v>
      </c>
      <c r="B186" s="64" t="s">
        <v>786</v>
      </c>
      <c r="C186" s="76" t="s">
        <v>256</v>
      </c>
      <c r="D186" s="74" t="s">
        <v>257</v>
      </c>
      <c r="E186" s="74" t="s">
        <v>258</v>
      </c>
      <c r="F186" s="54" t="s">
        <v>196</v>
      </c>
      <c r="G186" s="80">
        <v>0.03</v>
      </c>
      <c r="H186" s="80">
        <f>합산자재!H26</f>
        <v>1000</v>
      </c>
      <c r="I186" s="80">
        <f>IF(G186*H186&lt;&gt;0, TRUNC(G186*H186,1),"")</f>
        <v>30</v>
      </c>
      <c r="J186" s="80">
        <v>0.03</v>
      </c>
      <c r="K186" s="80">
        <f>합산자재!I26</f>
        <v>0</v>
      </c>
      <c r="L186" s="80" t="str">
        <f t="shared" si="33"/>
        <v/>
      </c>
      <c r="M186" s="80">
        <f>합산자재!J26</f>
        <v>0</v>
      </c>
      <c r="N186" s="80" t="str">
        <f t="shared" si="34"/>
        <v/>
      </c>
      <c r="O186" s="80"/>
      <c r="P186" s="80">
        <f t="shared" si="35"/>
        <v>30</v>
      </c>
      <c r="Q186" s="74"/>
    </row>
    <row r="187" spans="1:31" ht="23.25" customHeight="1">
      <c r="A187" s="64" t="s">
        <v>947</v>
      </c>
      <c r="B187" s="64" t="s">
        <v>786</v>
      </c>
      <c r="C187" s="76" t="s">
        <v>948</v>
      </c>
      <c r="D187" s="74" t="s">
        <v>949</v>
      </c>
      <c r="E187" s="74" t="s">
        <v>950</v>
      </c>
      <c r="F187" s="54" t="s">
        <v>458</v>
      </c>
      <c r="G187" s="80">
        <v>1</v>
      </c>
      <c r="H187" s="80">
        <f>IF(TRUNC((AD187+AC187)/$AD$3,1)*$AD$3-AD187 &lt;0, AC187, TRUNC((AD187+AC187)/$AD$3,1)*$AD$3-AD187)</f>
        <v>20</v>
      </c>
      <c r="I187" s="80">
        <f>H187</f>
        <v>20</v>
      </c>
      <c r="J187" s="80">
        <v>1</v>
      </c>
      <c r="K187" s="80"/>
      <c r="L187" s="80" t="str">
        <f t="shared" si="33"/>
        <v/>
      </c>
      <c r="M187" s="80"/>
      <c r="N187" s="80" t="str">
        <f t="shared" si="34"/>
        <v/>
      </c>
      <c r="O187" s="80"/>
      <c r="P187" s="80">
        <f t="shared" si="35"/>
        <v>20</v>
      </c>
      <c r="Q187" s="74"/>
      <c r="AC187" s="48">
        <f>TRUNC(TRUNC(SUM(AC184:AC186))*옵션!$B$33/100,1)</f>
        <v>20</v>
      </c>
      <c r="AD187" s="48">
        <f>TRUNC(SUM(I184:I186))+TRUNC(SUM(N184:N186))</f>
        <v>1030</v>
      </c>
    </row>
    <row r="188" spans="1:31" ht="23.25" customHeight="1">
      <c r="A188" s="64" t="s">
        <v>626</v>
      </c>
      <c r="B188" s="64" t="s">
        <v>786</v>
      </c>
      <c r="C188" s="76" t="s">
        <v>547</v>
      </c>
      <c r="D188" s="74" t="s">
        <v>530</v>
      </c>
      <c r="E188" s="74" t="s">
        <v>548</v>
      </c>
      <c r="F188" s="54" t="s">
        <v>532</v>
      </c>
      <c r="G188" s="80">
        <f>일위노임!G90</f>
        <v>9.1999999999999998E-3</v>
      </c>
      <c r="H188" s="80">
        <f>합산자재!H123</f>
        <v>0</v>
      </c>
      <c r="I188" s="80" t="str">
        <f>IF(G188*H188&lt;&gt;0, TRUNC(G188*H188,1),"")</f>
        <v/>
      </c>
      <c r="J188" s="80">
        <v>9.1999999999999998E-3</v>
      </c>
      <c r="K188" s="80">
        <f>합산자재!I123</f>
        <v>471349</v>
      </c>
      <c r="L188" s="80">
        <f t="shared" si="33"/>
        <v>4336.3999999999996</v>
      </c>
      <c r="M188" s="80">
        <f>합산자재!J123</f>
        <v>0</v>
      </c>
      <c r="N188" s="80" t="str">
        <f t="shared" si="34"/>
        <v/>
      </c>
      <c r="O188" s="80"/>
      <c r="P188" s="80">
        <f t="shared" si="35"/>
        <v>4336.3999999999996</v>
      </c>
      <c r="Q188" s="74"/>
      <c r="AE188" s="48">
        <f>L188</f>
        <v>4336.3999999999996</v>
      </c>
    </row>
    <row r="189" spans="1:31" ht="23.25" customHeight="1">
      <c r="A189" s="64" t="s">
        <v>628</v>
      </c>
      <c r="B189" s="64" t="s">
        <v>786</v>
      </c>
      <c r="C189" s="76" t="s">
        <v>551</v>
      </c>
      <c r="D189" s="74" t="s">
        <v>530</v>
      </c>
      <c r="E189" s="74" t="s">
        <v>552</v>
      </c>
      <c r="F189" s="54" t="s">
        <v>532</v>
      </c>
      <c r="G189" s="80">
        <f>일위노임!G91</f>
        <v>4.5999999999999999E-3</v>
      </c>
      <c r="H189" s="80">
        <f>합산자재!H125</f>
        <v>0</v>
      </c>
      <c r="I189" s="80" t="str">
        <f>IF(G189*H189&lt;&gt;0, TRUNC(G189*H189,1),"")</f>
        <v/>
      </c>
      <c r="J189" s="80">
        <v>4.5999999999999999E-3</v>
      </c>
      <c r="K189" s="80">
        <f>합산자재!I125</f>
        <v>226122</v>
      </c>
      <c r="L189" s="80">
        <f t="shared" si="33"/>
        <v>1040.0999999999999</v>
      </c>
      <c r="M189" s="80">
        <f>합산자재!J125</f>
        <v>0</v>
      </c>
      <c r="N189" s="80" t="str">
        <f t="shared" si="34"/>
        <v/>
      </c>
      <c r="O189" s="80"/>
      <c r="P189" s="80">
        <f t="shared" si="35"/>
        <v>1040.0999999999999</v>
      </c>
      <c r="Q189" s="74"/>
      <c r="AE189" s="48">
        <f>L189</f>
        <v>1040.0999999999999</v>
      </c>
    </row>
    <row r="190" spans="1:31" ht="23.25" customHeight="1">
      <c r="A190" s="64" t="s">
        <v>926</v>
      </c>
      <c r="B190" s="64" t="s">
        <v>786</v>
      </c>
      <c r="C190" s="76" t="s">
        <v>927</v>
      </c>
      <c r="D190" s="74" t="s">
        <v>928</v>
      </c>
      <c r="E190" s="74" t="s">
        <v>929</v>
      </c>
      <c r="F190" s="54" t="s">
        <v>458</v>
      </c>
      <c r="G190" s="80">
        <v>1</v>
      </c>
      <c r="H190" s="80">
        <f>IF(TRUNC((AD191+AC191)/$AE$3,1)*$AE$3-AD191 &lt;0, AC191, TRUNC((AD191+AC191)/$AE$3,1)*$AE$3-AD191)</f>
        <v>161.19999999999982</v>
      </c>
      <c r="I190" s="80">
        <f>H190</f>
        <v>161.19999999999982</v>
      </c>
      <c r="J190" s="80">
        <v>1</v>
      </c>
      <c r="K190" s="80"/>
      <c r="L190" s="80" t="str">
        <f t="shared" si="33"/>
        <v/>
      </c>
      <c r="M190" s="80"/>
      <c r="N190" s="80" t="str">
        <f t="shared" si="34"/>
        <v/>
      </c>
      <c r="O190" s="80"/>
      <c r="P190" s="80">
        <f t="shared" si="35"/>
        <v>161.19999999999999</v>
      </c>
      <c r="Q190" s="74"/>
      <c r="Z190" s="48" t="s">
        <v>920</v>
      </c>
    </row>
    <row r="191" spans="1:31" ht="23.25" customHeight="1">
      <c r="B191" s="64" t="s">
        <v>921</v>
      </c>
      <c r="D191" s="74" t="s">
        <v>922</v>
      </c>
      <c r="E191" s="74"/>
      <c r="F191" s="54"/>
      <c r="G191" s="80"/>
      <c r="H191" s="80"/>
      <c r="I191" s="80">
        <f>TRUNC(SUM(I184:I190))</f>
        <v>1211</v>
      </c>
      <c r="J191" s="80"/>
      <c r="K191" s="80"/>
      <c r="L191" s="80">
        <f>TRUNC(SUM(L184:L190))</f>
        <v>5376</v>
      </c>
      <c r="M191" s="80"/>
      <c r="N191" s="80">
        <f>TRUNC(SUM(N184:N190))</f>
        <v>0</v>
      </c>
      <c r="O191" s="80"/>
      <c r="P191" s="80">
        <f t="shared" si="35"/>
        <v>6587</v>
      </c>
      <c r="Q191" s="74"/>
      <c r="AC191" s="48">
        <f>TRUNC(AE191*옵션!$B$36/100,1)</f>
        <v>161.19999999999999</v>
      </c>
      <c r="AD191" s="48">
        <f>TRUNC(SUM(L184:L189))</f>
        <v>5376</v>
      </c>
      <c r="AE191" s="48">
        <f>TRUNC(SUM(AE184:AE190))</f>
        <v>5376</v>
      </c>
    </row>
    <row r="192" spans="1:31" ht="23.25" customHeight="1">
      <c r="D192" s="74"/>
      <c r="E192" s="74"/>
      <c r="F192" s="54"/>
      <c r="G192" s="80"/>
      <c r="H192" s="80"/>
      <c r="I192" s="80" t="str">
        <f>IF(G192*H192&lt;&gt;0, TRUNC(G192*H192,1),"")</f>
        <v/>
      </c>
      <c r="J192" s="80"/>
      <c r="K192" s="80"/>
      <c r="L192" s="80" t="str">
        <f>IF(G192*K192&lt;&gt;0, TRUNC(G192*K192,1),"")</f>
        <v/>
      </c>
      <c r="M192" s="80"/>
      <c r="N192" s="80" t="str">
        <f>IF(G192*M192&lt;&gt;0, TRUNC(G192*M192,1),"")</f>
        <v/>
      </c>
      <c r="O192" s="80"/>
      <c r="P192" s="80" t="str">
        <f t="shared" si="35"/>
        <v/>
      </c>
      <c r="Q192" s="74"/>
    </row>
    <row r="193" spans="1:31" ht="23.25" customHeight="1">
      <c r="A193" s="64" t="s">
        <v>787</v>
      </c>
      <c r="B193" s="64" t="s">
        <v>915</v>
      </c>
      <c r="C193" s="76" t="s">
        <v>788</v>
      </c>
      <c r="D193" s="158" t="s">
        <v>979</v>
      </c>
      <c r="E193" s="159"/>
      <c r="F193" s="159"/>
      <c r="G193" s="159"/>
      <c r="H193" s="159"/>
      <c r="I193" s="159"/>
      <c r="J193" s="159"/>
      <c r="K193" s="159"/>
      <c r="L193" s="159"/>
      <c r="M193" s="159"/>
      <c r="N193" s="159"/>
      <c r="O193" s="159"/>
      <c r="P193" s="159"/>
      <c r="Q193" s="160"/>
    </row>
    <row r="194" spans="1:31" ht="23.25" customHeight="1">
      <c r="A194" s="64" t="s">
        <v>980</v>
      </c>
      <c r="B194" s="64" t="s">
        <v>789</v>
      </c>
      <c r="C194" s="76" t="s">
        <v>259</v>
      </c>
      <c r="D194" s="74" t="s">
        <v>260</v>
      </c>
      <c r="E194" s="74" t="s">
        <v>261</v>
      </c>
      <c r="F194" s="54" t="s">
        <v>262</v>
      </c>
      <c r="G194" s="80">
        <v>1</v>
      </c>
      <c r="H194" s="80">
        <f>합산자재!H27</f>
        <v>200000</v>
      </c>
      <c r="I194" s="80">
        <f>IF(G194*H194&lt;&gt;0, TRUNC(G194*H194,1),"")</f>
        <v>200000</v>
      </c>
      <c r="J194" s="80">
        <v>1</v>
      </c>
      <c r="K194" s="80">
        <f>합산자재!I27</f>
        <v>0</v>
      </c>
      <c r="L194" s="80" t="str">
        <f>IF(G194*K194&lt;&gt;0, TRUNC(G194*K194,1),"")</f>
        <v/>
      </c>
      <c r="M194" s="80">
        <f>합산자재!J27</f>
        <v>0</v>
      </c>
      <c r="N194" s="80" t="str">
        <f>IF(G194*M194&lt;&gt;0, TRUNC(G194*M194,1),"")</f>
        <v/>
      </c>
      <c r="O194" s="80"/>
      <c r="P194" s="80">
        <f t="shared" ref="P194:P199" si="36">IF(SUM(I194,L194,N194)&lt;&gt;0,TRUNC(SUM(I194,L194,N194),1),"")</f>
        <v>200000</v>
      </c>
      <c r="Q194" s="74"/>
    </row>
    <row r="195" spans="1:31" ht="23.25" customHeight="1">
      <c r="A195" s="64" t="s">
        <v>593</v>
      </c>
      <c r="B195" s="64" t="s">
        <v>789</v>
      </c>
      <c r="C195" s="76" t="s">
        <v>529</v>
      </c>
      <c r="D195" s="74" t="s">
        <v>530</v>
      </c>
      <c r="E195" s="74" t="s">
        <v>531</v>
      </c>
      <c r="F195" s="54" t="s">
        <v>532</v>
      </c>
      <c r="G195" s="80">
        <f>일위노임!G95</f>
        <v>0.3</v>
      </c>
      <c r="H195" s="80">
        <f>합산자재!H115</f>
        <v>0</v>
      </c>
      <c r="I195" s="80" t="str">
        <f>IF(G195*H195&lt;&gt;0, TRUNC(G195*H195,1),"")</f>
        <v/>
      </c>
      <c r="J195" s="80">
        <v>0.3</v>
      </c>
      <c r="K195" s="80">
        <f>합산자재!I115</f>
        <v>273676</v>
      </c>
      <c r="L195" s="80">
        <f>IF(G195*K195&lt;&gt;0, TRUNC(G195*K195,1),"")</f>
        <v>82102.8</v>
      </c>
      <c r="M195" s="80">
        <f>합산자재!J115</f>
        <v>0</v>
      </c>
      <c r="N195" s="80" t="str">
        <f>IF(G195*M195&lt;&gt;0, TRUNC(G195*M195,1),"")</f>
        <v/>
      </c>
      <c r="O195" s="80"/>
      <c r="P195" s="80">
        <f t="shared" si="36"/>
        <v>82102.8</v>
      </c>
      <c r="Q195" s="74"/>
      <c r="Z195" s="48" t="s">
        <v>920</v>
      </c>
      <c r="AE195" s="48">
        <f>L195</f>
        <v>82102.8</v>
      </c>
    </row>
    <row r="196" spans="1:31" ht="23.25" customHeight="1">
      <c r="A196" s="64" t="s">
        <v>579</v>
      </c>
      <c r="B196" s="64" t="s">
        <v>789</v>
      </c>
      <c r="C196" s="76" t="s">
        <v>549</v>
      </c>
      <c r="D196" s="74" t="s">
        <v>530</v>
      </c>
      <c r="E196" s="74" t="s">
        <v>550</v>
      </c>
      <c r="F196" s="54" t="s">
        <v>532</v>
      </c>
      <c r="G196" s="80">
        <f>일위노임!G96</f>
        <v>0.08</v>
      </c>
      <c r="H196" s="80">
        <f>합산자재!H124</f>
        <v>0</v>
      </c>
      <c r="I196" s="80" t="str">
        <f>IF(G196*H196&lt;&gt;0, TRUNC(G196*H196,1),"")</f>
        <v/>
      </c>
      <c r="J196" s="80">
        <v>0.08</v>
      </c>
      <c r="K196" s="80">
        <f>합산자재!I124</f>
        <v>172068</v>
      </c>
      <c r="L196" s="80">
        <f>IF(G196*K196&lt;&gt;0, TRUNC(G196*K196,1),"")</f>
        <v>13765.4</v>
      </c>
      <c r="M196" s="80">
        <f>합산자재!J124</f>
        <v>0</v>
      </c>
      <c r="N196" s="80" t="str">
        <f>IF(G196*M196&lt;&gt;0, TRUNC(G196*M196,1),"")</f>
        <v/>
      </c>
      <c r="O196" s="80"/>
      <c r="P196" s="80">
        <f t="shared" si="36"/>
        <v>13765.4</v>
      </c>
      <c r="Q196" s="74"/>
      <c r="AE196" s="48">
        <f>L196</f>
        <v>13765.4</v>
      </c>
    </row>
    <row r="197" spans="1:31" ht="23.25" customHeight="1">
      <c r="A197" s="64" t="s">
        <v>926</v>
      </c>
      <c r="B197" s="64" t="s">
        <v>789</v>
      </c>
      <c r="C197" s="76" t="s">
        <v>927</v>
      </c>
      <c r="D197" s="74" t="s">
        <v>928</v>
      </c>
      <c r="E197" s="74" t="s">
        <v>929</v>
      </c>
      <c r="F197" s="54" t="s">
        <v>458</v>
      </c>
      <c r="G197" s="80">
        <v>1</v>
      </c>
      <c r="H197" s="80">
        <f>IF(TRUNC((AD198+AC198)/$AE$3,1)*$AE$3-AD198 &lt;0, AC198, TRUNC((AD198+AC198)/$AE$3,1)*$AE$3-AD198)</f>
        <v>2876</v>
      </c>
      <c r="I197" s="80">
        <f>H197</f>
        <v>2876</v>
      </c>
      <c r="J197" s="80">
        <v>1</v>
      </c>
      <c r="K197" s="80"/>
      <c r="L197" s="80" t="str">
        <f>IF(G197*K197&lt;&gt;0, TRUNC(G197*K197,1),"")</f>
        <v/>
      </c>
      <c r="M197" s="80"/>
      <c r="N197" s="80" t="str">
        <f>IF(G197*M197&lt;&gt;0, TRUNC(G197*M197,1),"")</f>
        <v/>
      </c>
      <c r="O197" s="80"/>
      <c r="P197" s="80">
        <f t="shared" si="36"/>
        <v>2876</v>
      </c>
      <c r="Q197" s="74"/>
    </row>
    <row r="198" spans="1:31" ht="23.25" customHeight="1">
      <c r="B198" s="64" t="s">
        <v>921</v>
      </c>
      <c r="D198" s="74" t="s">
        <v>922</v>
      </c>
      <c r="E198" s="74"/>
      <c r="F198" s="54"/>
      <c r="G198" s="80"/>
      <c r="H198" s="80"/>
      <c r="I198" s="80">
        <f>TRUNC(SUM(I193:I197))</f>
        <v>202876</v>
      </c>
      <c r="J198" s="80"/>
      <c r="K198" s="80"/>
      <c r="L198" s="80">
        <f>TRUNC(SUM(L193:L197))</f>
        <v>95868</v>
      </c>
      <c r="M198" s="80"/>
      <c r="N198" s="80">
        <f>TRUNC(SUM(N193:N197))</f>
        <v>0</v>
      </c>
      <c r="O198" s="80"/>
      <c r="P198" s="80">
        <f t="shared" si="36"/>
        <v>298744</v>
      </c>
      <c r="Q198" s="74"/>
      <c r="AC198" s="48">
        <f>TRUNC(AE198*옵션!$B$36/100,1)</f>
        <v>2876</v>
      </c>
      <c r="AD198" s="48">
        <f>TRUNC(SUM(L193:L196))</f>
        <v>95868</v>
      </c>
      <c r="AE198" s="48">
        <f>TRUNC(SUM(AE193:AE197))</f>
        <v>95868</v>
      </c>
    </row>
    <row r="199" spans="1:31" ht="23.25" customHeight="1">
      <c r="D199" s="74"/>
      <c r="E199" s="74"/>
      <c r="F199" s="54"/>
      <c r="G199" s="80"/>
      <c r="H199" s="80"/>
      <c r="I199" s="80" t="str">
        <f>IF(G199*H199&lt;&gt;0, TRUNC(G199*H199,1),"")</f>
        <v/>
      </c>
      <c r="J199" s="80"/>
      <c r="K199" s="80"/>
      <c r="L199" s="80" t="str">
        <f>IF(G199*K199&lt;&gt;0, TRUNC(G199*K199,1),"")</f>
        <v/>
      </c>
      <c r="M199" s="80"/>
      <c r="N199" s="80" t="str">
        <f>IF(G199*M199&lt;&gt;0, TRUNC(G199*M199,1),"")</f>
        <v/>
      </c>
      <c r="O199" s="80"/>
      <c r="P199" s="80" t="str">
        <f t="shared" si="36"/>
        <v/>
      </c>
      <c r="Q199" s="74"/>
    </row>
    <row r="200" spans="1:31" ht="23.25" customHeight="1">
      <c r="A200" s="64" t="s">
        <v>790</v>
      </c>
      <c r="B200" s="64" t="s">
        <v>915</v>
      </c>
      <c r="C200" s="76" t="s">
        <v>791</v>
      </c>
      <c r="D200" s="158" t="s">
        <v>981</v>
      </c>
      <c r="E200" s="159"/>
      <c r="F200" s="159"/>
      <c r="G200" s="159"/>
      <c r="H200" s="159"/>
      <c r="I200" s="159"/>
      <c r="J200" s="159"/>
      <c r="K200" s="159"/>
      <c r="L200" s="159"/>
      <c r="M200" s="159"/>
      <c r="N200" s="159"/>
      <c r="O200" s="159"/>
      <c r="P200" s="159"/>
      <c r="Q200" s="160"/>
      <c r="Z200" s="48" t="s">
        <v>920</v>
      </c>
    </row>
    <row r="201" spans="1:31" ht="23.25" customHeight="1">
      <c r="A201" s="64" t="s">
        <v>982</v>
      </c>
      <c r="B201" s="64" t="s">
        <v>792</v>
      </c>
      <c r="C201" s="76" t="s">
        <v>263</v>
      </c>
      <c r="D201" s="74" t="s">
        <v>264</v>
      </c>
      <c r="E201" s="74" t="s">
        <v>265</v>
      </c>
      <c r="F201" s="54" t="s">
        <v>266</v>
      </c>
      <c r="G201" s="80">
        <v>1</v>
      </c>
      <c r="H201" s="80">
        <f>합산자재!H28</f>
        <v>5780</v>
      </c>
      <c r="I201" s="80">
        <f>IF(G201*H201&lt;&gt;0, TRUNC(G201*H201,1),"")</f>
        <v>5780</v>
      </c>
      <c r="J201" s="80">
        <v>1</v>
      </c>
      <c r="K201" s="80">
        <f>합산자재!I28</f>
        <v>0</v>
      </c>
      <c r="L201" s="80" t="str">
        <f>IF(G201*K201&lt;&gt;0, TRUNC(G201*K201,1),"")</f>
        <v/>
      </c>
      <c r="M201" s="80">
        <f>합산자재!J28</f>
        <v>0</v>
      </c>
      <c r="N201" s="80" t="str">
        <f>IF(G201*M201&lt;&gt;0, TRUNC(G201*M201,1),"")</f>
        <v/>
      </c>
      <c r="O201" s="80"/>
      <c r="P201" s="80">
        <f t="shared" ref="P201:P206" si="37">IF(SUM(I201,L201,N201)&lt;&gt;0,TRUNC(SUM(I201,L201,N201),1),"")</f>
        <v>5780</v>
      </c>
      <c r="Q201" s="74"/>
    </row>
    <row r="202" spans="1:31" ht="23.25" customHeight="1">
      <c r="A202" s="64" t="s">
        <v>593</v>
      </c>
      <c r="B202" s="64" t="s">
        <v>792</v>
      </c>
      <c r="C202" s="76" t="s">
        <v>529</v>
      </c>
      <c r="D202" s="74" t="s">
        <v>530</v>
      </c>
      <c r="E202" s="74" t="s">
        <v>531</v>
      </c>
      <c r="F202" s="54" t="s">
        <v>532</v>
      </c>
      <c r="G202" s="80">
        <f>일위노임!G100</f>
        <v>0.11</v>
      </c>
      <c r="H202" s="80">
        <f>합산자재!H115</f>
        <v>0</v>
      </c>
      <c r="I202" s="80" t="str">
        <f>IF(G202*H202&lt;&gt;0, TRUNC(G202*H202,1),"")</f>
        <v/>
      </c>
      <c r="J202" s="80">
        <v>0.11</v>
      </c>
      <c r="K202" s="80">
        <f>합산자재!I115</f>
        <v>273676</v>
      </c>
      <c r="L202" s="80">
        <f>IF(G202*K202&lt;&gt;0, TRUNC(G202*K202,1),"")</f>
        <v>30104.3</v>
      </c>
      <c r="M202" s="80">
        <f>합산자재!J115</f>
        <v>0</v>
      </c>
      <c r="N202" s="80" t="str">
        <f>IF(G202*M202&lt;&gt;0, TRUNC(G202*M202,1),"")</f>
        <v/>
      </c>
      <c r="O202" s="80"/>
      <c r="P202" s="80">
        <f t="shared" si="37"/>
        <v>30104.3</v>
      </c>
      <c r="Q202" s="74"/>
      <c r="AE202" s="48">
        <f>L202</f>
        <v>30104.3</v>
      </c>
    </row>
    <row r="203" spans="1:31" ht="23.25" customHeight="1">
      <c r="A203" s="64" t="s">
        <v>579</v>
      </c>
      <c r="B203" s="64" t="s">
        <v>792</v>
      </c>
      <c r="C203" s="76" t="s">
        <v>549</v>
      </c>
      <c r="D203" s="74" t="s">
        <v>530</v>
      </c>
      <c r="E203" s="74" t="s">
        <v>550</v>
      </c>
      <c r="F203" s="54" t="s">
        <v>532</v>
      </c>
      <c r="G203" s="80">
        <f>일위노임!G101</f>
        <v>0.08</v>
      </c>
      <c r="H203" s="80">
        <f>합산자재!H124</f>
        <v>0</v>
      </c>
      <c r="I203" s="80" t="str">
        <f>IF(G203*H203&lt;&gt;0, TRUNC(G203*H203,1),"")</f>
        <v/>
      </c>
      <c r="J203" s="80">
        <v>0.08</v>
      </c>
      <c r="K203" s="80">
        <f>합산자재!I124</f>
        <v>172068</v>
      </c>
      <c r="L203" s="80">
        <f>IF(G203*K203&lt;&gt;0, TRUNC(G203*K203,1),"")</f>
        <v>13765.4</v>
      </c>
      <c r="M203" s="80">
        <f>합산자재!J124</f>
        <v>0</v>
      </c>
      <c r="N203" s="80" t="str">
        <f>IF(G203*M203&lt;&gt;0, TRUNC(G203*M203,1),"")</f>
        <v/>
      </c>
      <c r="O203" s="80"/>
      <c r="P203" s="80">
        <f t="shared" si="37"/>
        <v>13765.4</v>
      </c>
      <c r="Q203" s="74"/>
      <c r="AE203" s="48">
        <f>L203</f>
        <v>13765.4</v>
      </c>
    </row>
    <row r="204" spans="1:31" ht="23.25" customHeight="1">
      <c r="A204" s="64" t="s">
        <v>926</v>
      </c>
      <c r="B204" s="64" t="s">
        <v>792</v>
      </c>
      <c r="C204" s="76" t="s">
        <v>927</v>
      </c>
      <c r="D204" s="74" t="s">
        <v>928</v>
      </c>
      <c r="E204" s="74" t="s">
        <v>929</v>
      </c>
      <c r="F204" s="54" t="s">
        <v>458</v>
      </c>
      <c r="G204" s="80">
        <v>1</v>
      </c>
      <c r="H204" s="80">
        <f>IF(TRUNC((AD205+AC205)/$AE$3,1)*$AE$3-AD205 &lt;0, AC205, TRUNC((AD205+AC205)/$AE$3,1)*$AE$3-AD205)</f>
        <v>1316</v>
      </c>
      <c r="I204" s="80">
        <f>H204</f>
        <v>1316</v>
      </c>
      <c r="J204" s="80">
        <v>1</v>
      </c>
      <c r="K204" s="80"/>
      <c r="L204" s="80" t="str">
        <f>IF(G204*K204&lt;&gt;0, TRUNC(G204*K204,1),"")</f>
        <v/>
      </c>
      <c r="M204" s="80"/>
      <c r="N204" s="80" t="str">
        <f>IF(G204*M204&lt;&gt;0, TRUNC(G204*M204,1),"")</f>
        <v/>
      </c>
      <c r="O204" s="80"/>
      <c r="P204" s="80">
        <f t="shared" si="37"/>
        <v>1316</v>
      </c>
      <c r="Q204" s="74"/>
      <c r="Z204" s="48" t="s">
        <v>920</v>
      </c>
    </row>
    <row r="205" spans="1:31" ht="23.25" customHeight="1">
      <c r="B205" s="64" t="s">
        <v>921</v>
      </c>
      <c r="D205" s="74" t="s">
        <v>922</v>
      </c>
      <c r="E205" s="74"/>
      <c r="F205" s="54"/>
      <c r="G205" s="80"/>
      <c r="H205" s="80"/>
      <c r="I205" s="80">
        <f>TRUNC(SUM(I200:I204))</f>
        <v>7096</v>
      </c>
      <c r="J205" s="80"/>
      <c r="K205" s="80"/>
      <c r="L205" s="80">
        <f>TRUNC(SUM(L200:L204))</f>
        <v>43869</v>
      </c>
      <c r="M205" s="80"/>
      <c r="N205" s="80">
        <f>TRUNC(SUM(N200:N204))</f>
        <v>0</v>
      </c>
      <c r="O205" s="80"/>
      <c r="P205" s="80">
        <f t="shared" si="37"/>
        <v>50965</v>
      </c>
      <c r="Q205" s="74"/>
      <c r="AC205" s="48">
        <f>TRUNC(AE205*옵션!$B$36/100,1)</f>
        <v>1316</v>
      </c>
      <c r="AD205" s="48">
        <f>TRUNC(SUM(L200:L203))</f>
        <v>43869</v>
      </c>
      <c r="AE205" s="48">
        <f>TRUNC(SUM(AE200:AE204))</f>
        <v>43869</v>
      </c>
    </row>
    <row r="206" spans="1:31" ht="23.25" customHeight="1">
      <c r="D206" s="74"/>
      <c r="E206" s="74"/>
      <c r="F206" s="54"/>
      <c r="G206" s="80"/>
      <c r="H206" s="80"/>
      <c r="I206" s="80" t="str">
        <f>IF(G206*H206&lt;&gt;0, TRUNC(G206*H206,1),"")</f>
        <v/>
      </c>
      <c r="J206" s="80"/>
      <c r="K206" s="80"/>
      <c r="L206" s="80" t="str">
        <f>IF(G206*K206&lt;&gt;0, TRUNC(G206*K206,1),"")</f>
        <v/>
      </c>
      <c r="M206" s="80"/>
      <c r="N206" s="80" t="str">
        <f>IF(G206*M206&lt;&gt;0, TRUNC(G206*M206,1),"")</f>
        <v/>
      </c>
      <c r="O206" s="80"/>
      <c r="P206" s="80" t="str">
        <f t="shared" si="37"/>
        <v/>
      </c>
      <c r="Q206" s="74"/>
    </row>
    <row r="207" spans="1:31" ht="23.25" customHeight="1">
      <c r="A207" s="64" t="s">
        <v>793</v>
      </c>
      <c r="B207" s="64" t="s">
        <v>915</v>
      </c>
      <c r="C207" s="76" t="s">
        <v>794</v>
      </c>
      <c r="D207" s="158" t="s">
        <v>983</v>
      </c>
      <c r="E207" s="159"/>
      <c r="F207" s="159"/>
      <c r="G207" s="159"/>
      <c r="H207" s="159"/>
      <c r="I207" s="159"/>
      <c r="J207" s="159"/>
      <c r="K207" s="159"/>
      <c r="L207" s="159"/>
      <c r="M207" s="159"/>
      <c r="N207" s="159"/>
      <c r="O207" s="159"/>
      <c r="P207" s="159"/>
      <c r="Q207" s="160"/>
      <c r="Z207" s="48" t="s">
        <v>920</v>
      </c>
    </row>
    <row r="208" spans="1:31" ht="23.25" customHeight="1">
      <c r="A208" s="64" t="s">
        <v>984</v>
      </c>
      <c r="B208" s="64" t="s">
        <v>795</v>
      </c>
      <c r="C208" s="76" t="s">
        <v>267</v>
      </c>
      <c r="D208" s="74" t="s">
        <v>268</v>
      </c>
      <c r="E208" s="74" t="s">
        <v>269</v>
      </c>
      <c r="F208" s="54" t="s">
        <v>266</v>
      </c>
      <c r="G208" s="80">
        <v>1</v>
      </c>
      <c r="H208" s="80">
        <f>합산자재!H29</f>
        <v>500</v>
      </c>
      <c r="I208" s="80">
        <f>IF(G208*H208&lt;&gt;0, TRUNC(G208*H208,1),"")</f>
        <v>500</v>
      </c>
      <c r="J208" s="80">
        <v>1</v>
      </c>
      <c r="K208" s="80">
        <f>합산자재!I29</f>
        <v>0</v>
      </c>
      <c r="L208" s="80" t="str">
        <f>IF(G208*K208&lt;&gt;0, TRUNC(G208*K208,1),"")</f>
        <v/>
      </c>
      <c r="M208" s="80">
        <f>합산자재!J29</f>
        <v>0</v>
      </c>
      <c r="N208" s="80" t="str">
        <f>IF(G208*M208&lt;&gt;0, TRUNC(G208*M208,1),"")</f>
        <v/>
      </c>
      <c r="O208" s="80"/>
      <c r="P208" s="80">
        <f>IF(SUM(I208,L208,N208)&lt;&gt;0,TRUNC(SUM(I208,L208,N208),1),"")</f>
        <v>500</v>
      </c>
      <c r="Q208" s="74"/>
    </row>
    <row r="209" spans="1:31" ht="23.25" customHeight="1">
      <c r="A209" s="64" t="s">
        <v>593</v>
      </c>
      <c r="B209" s="64" t="s">
        <v>795</v>
      </c>
      <c r="C209" s="76" t="s">
        <v>529</v>
      </c>
      <c r="D209" s="74" t="s">
        <v>530</v>
      </c>
      <c r="E209" s="74" t="s">
        <v>531</v>
      </c>
      <c r="F209" s="54" t="s">
        <v>532</v>
      </c>
      <c r="G209" s="80">
        <f>일위노임!G104</f>
        <v>2.7E-2</v>
      </c>
      <c r="H209" s="80">
        <f>합산자재!H115</f>
        <v>0</v>
      </c>
      <c r="I209" s="80" t="str">
        <f>IF(G209*H209&lt;&gt;0, TRUNC(G209*H209,1),"")</f>
        <v/>
      </c>
      <c r="J209" s="80">
        <v>2.7E-2</v>
      </c>
      <c r="K209" s="80">
        <f>합산자재!I115</f>
        <v>273676</v>
      </c>
      <c r="L209" s="80">
        <f>IF(G209*K209&lt;&gt;0, TRUNC(G209*K209,1),"")</f>
        <v>7389.2</v>
      </c>
      <c r="M209" s="80">
        <f>합산자재!J115</f>
        <v>0</v>
      </c>
      <c r="N209" s="80" t="str">
        <f>IF(G209*M209&lt;&gt;0, TRUNC(G209*M209,1),"")</f>
        <v/>
      </c>
      <c r="O209" s="80"/>
      <c r="P209" s="80">
        <f>IF(SUM(I209,L209,N209)&lt;&gt;0,TRUNC(SUM(I209,L209,N209),1),"")</f>
        <v>7389.2</v>
      </c>
      <c r="Q209" s="74"/>
      <c r="AE209" s="48">
        <f>L209</f>
        <v>7389.2</v>
      </c>
    </row>
    <row r="210" spans="1:31" ht="23.25" customHeight="1">
      <c r="A210" s="64" t="s">
        <v>926</v>
      </c>
      <c r="B210" s="64" t="s">
        <v>795</v>
      </c>
      <c r="C210" s="76" t="s">
        <v>927</v>
      </c>
      <c r="D210" s="74" t="s">
        <v>928</v>
      </c>
      <c r="E210" s="74" t="s">
        <v>929</v>
      </c>
      <c r="F210" s="54" t="s">
        <v>458</v>
      </c>
      <c r="G210" s="80">
        <v>1</v>
      </c>
      <c r="H210" s="80">
        <f>IF(TRUNC((AD211+AC211)/$AE$3,1)*$AE$3-AD211 &lt;0, AC211, TRUNC((AD211+AC211)/$AE$3,1)*$AE$3-AD211)</f>
        <v>221.60000000000036</v>
      </c>
      <c r="I210" s="80">
        <f>H210</f>
        <v>221.60000000000036</v>
      </c>
      <c r="J210" s="80">
        <v>1</v>
      </c>
      <c r="K210" s="80"/>
      <c r="L210" s="80" t="str">
        <f>IF(G210*K210&lt;&gt;0, TRUNC(G210*K210,1),"")</f>
        <v/>
      </c>
      <c r="M210" s="80"/>
      <c r="N210" s="80" t="str">
        <f>IF(G210*M210&lt;&gt;0, TRUNC(G210*M210,1),"")</f>
        <v/>
      </c>
      <c r="O210" s="80"/>
      <c r="P210" s="80">
        <f>IF(SUM(I210,L210,N210)&lt;&gt;0,TRUNC(SUM(I210,L210,N210),1),"")</f>
        <v>221.6</v>
      </c>
      <c r="Q210" s="74"/>
    </row>
    <row r="211" spans="1:31" ht="23.25" customHeight="1">
      <c r="B211" s="64" t="s">
        <v>921</v>
      </c>
      <c r="D211" s="74" t="s">
        <v>922</v>
      </c>
      <c r="E211" s="74"/>
      <c r="F211" s="54"/>
      <c r="G211" s="80"/>
      <c r="H211" s="80"/>
      <c r="I211" s="80">
        <f>TRUNC(SUM(I207:I210))</f>
        <v>721</v>
      </c>
      <c r="J211" s="80"/>
      <c r="K211" s="80"/>
      <c r="L211" s="80">
        <f>TRUNC(SUM(L207:L210))</f>
        <v>7389</v>
      </c>
      <c r="M211" s="80"/>
      <c r="N211" s="80">
        <f>TRUNC(SUM(N207:N210))</f>
        <v>0</v>
      </c>
      <c r="O211" s="80"/>
      <c r="P211" s="80">
        <f>IF(SUM(I211,L211,N211)&lt;&gt;0,TRUNC(SUM(I211,L211,N211),1),"")</f>
        <v>8110</v>
      </c>
      <c r="Q211" s="74"/>
      <c r="Z211" s="48" t="s">
        <v>920</v>
      </c>
      <c r="AC211" s="48">
        <f>TRUNC(AE211*옵션!$B$36/100,1)</f>
        <v>221.6</v>
      </c>
      <c r="AD211" s="48">
        <f>TRUNC(SUM(L207:L209))</f>
        <v>7389</v>
      </c>
      <c r="AE211" s="48">
        <f>TRUNC(SUM(AE207:AE210))</f>
        <v>7389</v>
      </c>
    </row>
    <row r="212" spans="1:31" ht="23.25" customHeight="1">
      <c r="D212" s="74"/>
      <c r="E212" s="74"/>
      <c r="F212" s="54"/>
      <c r="G212" s="80"/>
      <c r="H212" s="80"/>
      <c r="I212" s="80" t="str">
        <f>IF(G212*H212&lt;&gt;0, TRUNC(G212*H212,1),"")</f>
        <v/>
      </c>
      <c r="J212" s="80"/>
      <c r="K212" s="80"/>
      <c r="L212" s="80" t="str">
        <f>IF(G212*K212&lt;&gt;0, TRUNC(G212*K212,1),"")</f>
        <v/>
      </c>
      <c r="M212" s="80"/>
      <c r="N212" s="80" t="str">
        <f>IF(G212*M212&lt;&gt;0, TRUNC(G212*M212,1),"")</f>
        <v/>
      </c>
      <c r="O212" s="80"/>
      <c r="P212" s="80" t="str">
        <f>IF(SUM(I212,L212,N212)&lt;&gt;0,TRUNC(SUM(I212,L212,N212),1),"")</f>
        <v/>
      </c>
      <c r="Q212" s="74"/>
    </row>
    <row r="213" spans="1:31" ht="23.25" customHeight="1">
      <c r="A213" s="64" t="s">
        <v>796</v>
      </c>
      <c r="B213" s="64" t="s">
        <v>915</v>
      </c>
      <c r="C213" s="76" t="s">
        <v>797</v>
      </c>
      <c r="D213" s="158" t="s">
        <v>985</v>
      </c>
      <c r="E213" s="159"/>
      <c r="F213" s="159"/>
      <c r="G213" s="159"/>
      <c r="H213" s="159"/>
      <c r="I213" s="159"/>
      <c r="J213" s="159"/>
      <c r="K213" s="159"/>
      <c r="L213" s="159"/>
      <c r="M213" s="159"/>
      <c r="N213" s="159"/>
      <c r="O213" s="159"/>
      <c r="P213" s="159"/>
      <c r="Q213" s="160"/>
    </row>
    <row r="214" spans="1:31" ht="23.25" customHeight="1">
      <c r="A214" s="64" t="s">
        <v>986</v>
      </c>
      <c r="B214" s="64" t="s">
        <v>798</v>
      </c>
      <c r="C214" s="76" t="s">
        <v>270</v>
      </c>
      <c r="D214" s="74" t="s">
        <v>271</v>
      </c>
      <c r="E214" s="74" t="s">
        <v>272</v>
      </c>
      <c r="F214" s="54" t="s">
        <v>196</v>
      </c>
      <c r="G214" s="80">
        <v>1</v>
      </c>
      <c r="H214" s="80">
        <f>합산자재!H30</f>
        <v>180</v>
      </c>
      <c r="I214" s="80">
        <f>IF(G214*H214&lt;&gt;0, TRUNC(G214*H214,1),"")</f>
        <v>180</v>
      </c>
      <c r="J214" s="80">
        <v>1</v>
      </c>
      <c r="K214" s="80">
        <f>합산자재!I30</f>
        <v>0</v>
      </c>
      <c r="L214" s="80" t="str">
        <f>IF(G214*K214&lt;&gt;0, TRUNC(G214*K214,1),"")</f>
        <v/>
      </c>
      <c r="M214" s="80">
        <f>합산자재!J30</f>
        <v>0</v>
      </c>
      <c r="N214" s="80" t="str">
        <f>IF(G214*M214&lt;&gt;0, TRUNC(G214*M214,1),"")</f>
        <v/>
      </c>
      <c r="O214" s="80"/>
      <c r="P214" s="80">
        <f t="shared" ref="P214:P219" si="38">IF(SUM(I214,L214,N214)&lt;&gt;0,TRUNC(SUM(I214,L214,N214),1),"")</f>
        <v>180</v>
      </c>
      <c r="Q214" s="74"/>
    </row>
    <row r="215" spans="1:31" ht="23.25" customHeight="1">
      <c r="A215" s="64" t="s">
        <v>634</v>
      </c>
      <c r="B215" s="64" t="s">
        <v>798</v>
      </c>
      <c r="C215" s="76" t="s">
        <v>535</v>
      </c>
      <c r="D215" s="74" t="s">
        <v>530</v>
      </c>
      <c r="E215" s="74" t="s">
        <v>536</v>
      </c>
      <c r="F215" s="54" t="s">
        <v>532</v>
      </c>
      <c r="G215" s="80">
        <f>일위노임!G108</f>
        <v>5.0000000000000001E-4</v>
      </c>
      <c r="H215" s="80">
        <f>합산자재!H117</f>
        <v>0</v>
      </c>
      <c r="I215" s="80" t="str">
        <f>IF(G215*H215&lt;&gt;0, TRUNC(G215*H215,1),"")</f>
        <v/>
      </c>
      <c r="J215" s="80">
        <v>5.0000000000000001E-4</v>
      </c>
      <c r="K215" s="80">
        <f>합산자재!I117</f>
        <v>440616</v>
      </c>
      <c r="L215" s="80">
        <f>IF(G215*K215&lt;&gt;0, TRUNC(G215*K215,1),"")</f>
        <v>220.3</v>
      </c>
      <c r="M215" s="80">
        <f>합산자재!J117</f>
        <v>0</v>
      </c>
      <c r="N215" s="80" t="str">
        <f>IF(G215*M215&lt;&gt;0, TRUNC(G215*M215,1),"")</f>
        <v/>
      </c>
      <c r="O215" s="80"/>
      <c r="P215" s="80">
        <f t="shared" si="38"/>
        <v>220.3</v>
      </c>
      <c r="Q215" s="74"/>
      <c r="AE215" s="48">
        <f>L215</f>
        <v>220.3</v>
      </c>
    </row>
    <row r="216" spans="1:31" ht="23.25" customHeight="1">
      <c r="A216" s="64" t="s">
        <v>579</v>
      </c>
      <c r="B216" s="64" t="s">
        <v>798</v>
      </c>
      <c r="C216" s="76" t="s">
        <v>549</v>
      </c>
      <c r="D216" s="74" t="s">
        <v>530</v>
      </c>
      <c r="E216" s="74" t="s">
        <v>550</v>
      </c>
      <c r="F216" s="54" t="s">
        <v>532</v>
      </c>
      <c r="G216" s="80">
        <f>일위노임!G109</f>
        <v>1E-4</v>
      </c>
      <c r="H216" s="80">
        <f>합산자재!H124</f>
        <v>0</v>
      </c>
      <c r="I216" s="80" t="str">
        <f>IF(G216*H216&lt;&gt;0, TRUNC(G216*H216,1),"")</f>
        <v/>
      </c>
      <c r="J216" s="80">
        <v>1E-4</v>
      </c>
      <c r="K216" s="80">
        <f>합산자재!I124</f>
        <v>172068</v>
      </c>
      <c r="L216" s="80">
        <f>IF(G216*K216&lt;&gt;0, TRUNC(G216*K216,1),"")</f>
        <v>17.2</v>
      </c>
      <c r="M216" s="80">
        <f>합산자재!J124</f>
        <v>0</v>
      </c>
      <c r="N216" s="80" t="str">
        <f>IF(G216*M216&lt;&gt;0, TRUNC(G216*M216,1),"")</f>
        <v/>
      </c>
      <c r="O216" s="80"/>
      <c r="P216" s="80">
        <f t="shared" si="38"/>
        <v>17.2</v>
      </c>
      <c r="Q216" s="74"/>
      <c r="Z216" s="48" t="s">
        <v>920</v>
      </c>
      <c r="AE216" s="48">
        <f>L216</f>
        <v>17.2</v>
      </c>
    </row>
    <row r="217" spans="1:31" ht="23.25" customHeight="1">
      <c r="A217" s="64" t="s">
        <v>926</v>
      </c>
      <c r="B217" s="64" t="s">
        <v>798</v>
      </c>
      <c r="C217" s="76" t="s">
        <v>927</v>
      </c>
      <c r="D217" s="74" t="s">
        <v>928</v>
      </c>
      <c r="E217" s="74" t="s">
        <v>929</v>
      </c>
      <c r="F217" s="54" t="s">
        <v>458</v>
      </c>
      <c r="G217" s="80">
        <v>1</v>
      </c>
      <c r="H217" s="80">
        <f>IF(TRUNC((AD218+AC218)/$AE$3,1)*$AE$3-AD218 &lt;0, AC218, TRUNC((AD218+AC218)/$AE$3,1)*$AE$3-AD218)</f>
        <v>7.0999999999999943</v>
      </c>
      <c r="I217" s="80">
        <f>H217</f>
        <v>7.0999999999999943</v>
      </c>
      <c r="J217" s="80">
        <v>1</v>
      </c>
      <c r="K217" s="80"/>
      <c r="L217" s="80" t="str">
        <f>IF(G217*K217&lt;&gt;0, TRUNC(G217*K217,1),"")</f>
        <v/>
      </c>
      <c r="M217" s="80"/>
      <c r="N217" s="80" t="str">
        <f>IF(G217*M217&lt;&gt;0, TRUNC(G217*M217,1),"")</f>
        <v/>
      </c>
      <c r="O217" s="80"/>
      <c r="P217" s="80">
        <f t="shared" si="38"/>
        <v>7</v>
      </c>
      <c r="Q217" s="74"/>
    </row>
    <row r="218" spans="1:31" ht="23.25" customHeight="1">
      <c r="B218" s="64" t="s">
        <v>921</v>
      </c>
      <c r="D218" s="74" t="s">
        <v>922</v>
      </c>
      <c r="E218" s="74"/>
      <c r="F218" s="54"/>
      <c r="G218" s="80"/>
      <c r="H218" s="80"/>
      <c r="I218" s="80">
        <f>TRUNC(SUM(I213:I217))</f>
        <v>187</v>
      </c>
      <c r="J218" s="80"/>
      <c r="K218" s="80"/>
      <c r="L218" s="80">
        <f>TRUNC(SUM(L213:L217))</f>
        <v>237</v>
      </c>
      <c r="M218" s="80"/>
      <c r="N218" s="80">
        <f>TRUNC(SUM(N213:N217))</f>
        <v>0</v>
      </c>
      <c r="O218" s="80"/>
      <c r="P218" s="80">
        <f t="shared" si="38"/>
        <v>424</v>
      </c>
      <c r="Q218" s="74"/>
      <c r="AC218" s="48">
        <f>TRUNC(AE218*옵션!$B$36/100,1)</f>
        <v>7.1</v>
      </c>
      <c r="AD218" s="48">
        <f>TRUNC(SUM(L213:L216))</f>
        <v>237</v>
      </c>
      <c r="AE218" s="48">
        <f>TRUNC(SUM(AE213:AE217))</f>
        <v>237</v>
      </c>
    </row>
    <row r="219" spans="1:31" ht="23.25" customHeight="1">
      <c r="D219" s="74"/>
      <c r="E219" s="74"/>
      <c r="F219" s="54"/>
      <c r="G219" s="80"/>
      <c r="H219" s="80"/>
      <c r="I219" s="80" t="str">
        <f>IF(G219*H219&lt;&gt;0, TRUNC(G219*H219,1),"")</f>
        <v/>
      </c>
      <c r="J219" s="80"/>
      <c r="K219" s="80"/>
      <c r="L219" s="80" t="str">
        <f>IF(G219*K219&lt;&gt;0, TRUNC(G219*K219,1),"")</f>
        <v/>
      </c>
      <c r="M219" s="80"/>
      <c r="N219" s="80" t="str">
        <f>IF(G219*M219&lt;&gt;0, TRUNC(G219*M219,1),"")</f>
        <v/>
      </c>
      <c r="O219" s="80"/>
      <c r="P219" s="80" t="str">
        <f t="shared" si="38"/>
        <v/>
      </c>
      <c r="Q219" s="74"/>
    </row>
    <row r="220" spans="1:31" ht="23.25" customHeight="1">
      <c r="A220" s="64" t="s">
        <v>799</v>
      </c>
      <c r="B220" s="64" t="s">
        <v>915</v>
      </c>
      <c r="C220" s="76" t="s">
        <v>800</v>
      </c>
      <c r="D220" s="158" t="s">
        <v>987</v>
      </c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60"/>
      <c r="Z220" s="48" t="s">
        <v>920</v>
      </c>
    </row>
    <row r="221" spans="1:31" ht="23.25" customHeight="1">
      <c r="A221" s="64" t="s">
        <v>988</v>
      </c>
      <c r="B221" s="64" t="s">
        <v>801</v>
      </c>
      <c r="C221" s="76" t="s">
        <v>273</v>
      </c>
      <c r="D221" s="74" t="s">
        <v>274</v>
      </c>
      <c r="E221" s="74" t="s">
        <v>275</v>
      </c>
      <c r="F221" s="54" t="s">
        <v>266</v>
      </c>
      <c r="G221" s="80">
        <v>1</v>
      </c>
      <c r="H221" s="80">
        <f>합산자재!H31</f>
        <v>200</v>
      </c>
      <c r="I221" s="80">
        <f>IF(G221*H221&lt;&gt;0, TRUNC(G221*H221,1),"")</f>
        <v>200</v>
      </c>
      <c r="J221" s="80">
        <v>1</v>
      </c>
      <c r="K221" s="80">
        <f>합산자재!I31</f>
        <v>0</v>
      </c>
      <c r="L221" s="80" t="str">
        <f>IF(G221*K221&lt;&gt;0, TRUNC(G221*K221,1),"")</f>
        <v/>
      </c>
      <c r="M221" s="80">
        <f>합산자재!J31</f>
        <v>0</v>
      </c>
      <c r="N221" s="80" t="str">
        <f>IF(G221*M221&lt;&gt;0, TRUNC(G221*M221,1),"")</f>
        <v/>
      </c>
      <c r="O221" s="80"/>
      <c r="P221" s="80">
        <f>IF(SUM(I221,L221,N221)&lt;&gt;0,TRUNC(SUM(I221,L221,N221),1),"")</f>
        <v>200</v>
      </c>
      <c r="Q221" s="74"/>
    </row>
    <row r="222" spans="1:31" ht="23.25" customHeight="1">
      <c r="A222" s="64" t="s">
        <v>621</v>
      </c>
      <c r="B222" s="64" t="s">
        <v>801</v>
      </c>
      <c r="C222" s="76" t="s">
        <v>533</v>
      </c>
      <c r="D222" s="74" t="s">
        <v>530</v>
      </c>
      <c r="E222" s="74" t="s">
        <v>534</v>
      </c>
      <c r="F222" s="54" t="s">
        <v>532</v>
      </c>
      <c r="G222" s="80">
        <f>일위노임!G112</f>
        <v>9.7199999999999995E-2</v>
      </c>
      <c r="H222" s="80">
        <f>합산자재!H116</f>
        <v>0</v>
      </c>
      <c r="I222" s="80" t="str">
        <f>IF(G222*H222&lt;&gt;0, TRUNC(G222*H222,1),"")</f>
        <v/>
      </c>
      <c r="J222" s="80">
        <v>9.7199999999999995E-2</v>
      </c>
      <c r="K222" s="80">
        <f>합산자재!I116</f>
        <v>304156</v>
      </c>
      <c r="L222" s="80">
        <f>IF(G222*K222&lt;&gt;0, TRUNC(G222*K222,1),"")</f>
        <v>29563.9</v>
      </c>
      <c r="M222" s="80">
        <f>합산자재!J116</f>
        <v>0</v>
      </c>
      <c r="N222" s="80" t="str">
        <f>IF(G222*M222&lt;&gt;0, TRUNC(G222*M222,1),"")</f>
        <v/>
      </c>
      <c r="O222" s="80"/>
      <c r="P222" s="80">
        <f>IF(SUM(I222,L222,N222)&lt;&gt;0,TRUNC(SUM(I222,L222,N222),1),"")</f>
        <v>29563.9</v>
      </c>
      <c r="Q222" s="74"/>
      <c r="AE222" s="48">
        <f>L222</f>
        <v>29563.9</v>
      </c>
    </row>
    <row r="223" spans="1:31" ht="23.25" customHeight="1">
      <c r="A223" s="64" t="s">
        <v>926</v>
      </c>
      <c r="B223" s="64" t="s">
        <v>801</v>
      </c>
      <c r="C223" s="76" t="s">
        <v>927</v>
      </c>
      <c r="D223" s="74" t="s">
        <v>928</v>
      </c>
      <c r="E223" s="74" t="s">
        <v>929</v>
      </c>
      <c r="F223" s="54" t="s">
        <v>458</v>
      </c>
      <c r="G223" s="80">
        <v>1</v>
      </c>
      <c r="H223" s="80">
        <f>IF(TRUNC((AD224+AC224)/$AE$3,1)*$AE$3-AD224 &lt;0, AC224, TRUNC((AD224+AC224)/$AE$3,1)*$AE$3-AD224)</f>
        <v>886.79999999999927</v>
      </c>
      <c r="I223" s="80">
        <f>H223</f>
        <v>886.79999999999927</v>
      </c>
      <c r="J223" s="80">
        <v>1</v>
      </c>
      <c r="K223" s="80"/>
      <c r="L223" s="80" t="str">
        <f>IF(G223*K223&lt;&gt;0, TRUNC(G223*K223,1),"")</f>
        <v/>
      </c>
      <c r="M223" s="80"/>
      <c r="N223" s="80" t="str">
        <f>IF(G223*M223&lt;&gt;0, TRUNC(G223*M223,1),"")</f>
        <v/>
      </c>
      <c r="O223" s="80"/>
      <c r="P223" s="80">
        <f>IF(SUM(I223,L223,N223)&lt;&gt;0,TRUNC(SUM(I223,L223,N223),1),"")</f>
        <v>886.7</v>
      </c>
      <c r="Q223" s="74"/>
      <c r="Z223" s="48" t="s">
        <v>920</v>
      </c>
    </row>
    <row r="224" spans="1:31" ht="23.25" customHeight="1">
      <c r="B224" s="64" t="s">
        <v>921</v>
      </c>
      <c r="D224" s="74" t="s">
        <v>922</v>
      </c>
      <c r="E224" s="74"/>
      <c r="F224" s="54"/>
      <c r="G224" s="80"/>
      <c r="H224" s="80"/>
      <c r="I224" s="80">
        <f>TRUNC(SUM(I220:I223))</f>
        <v>1086</v>
      </c>
      <c r="J224" s="80"/>
      <c r="K224" s="80"/>
      <c r="L224" s="80">
        <f>TRUNC(SUM(L220:L223))</f>
        <v>29563</v>
      </c>
      <c r="M224" s="80"/>
      <c r="N224" s="80">
        <f>TRUNC(SUM(N220:N223))</f>
        <v>0</v>
      </c>
      <c r="O224" s="80"/>
      <c r="P224" s="80">
        <f>IF(SUM(I224,L224,N224)&lt;&gt;0,TRUNC(SUM(I224,L224,N224),1),"")</f>
        <v>30649</v>
      </c>
      <c r="Q224" s="74"/>
      <c r="AC224" s="48">
        <f>TRUNC(AE224*옵션!$B$36/100,1)</f>
        <v>886.8</v>
      </c>
      <c r="AD224" s="48">
        <f>TRUNC(SUM(L220:L222))</f>
        <v>29563</v>
      </c>
      <c r="AE224" s="48">
        <f>TRUNC(SUM(AE220:AE223))</f>
        <v>29563</v>
      </c>
    </row>
    <row r="225" spans="1:31" ht="23.25" customHeight="1">
      <c r="D225" s="74"/>
      <c r="E225" s="74"/>
      <c r="F225" s="54"/>
      <c r="G225" s="80"/>
      <c r="H225" s="80"/>
      <c r="I225" s="80" t="str">
        <f>IF(G225*H225&lt;&gt;0, TRUNC(G225*H225,1),"")</f>
        <v/>
      </c>
      <c r="J225" s="80"/>
      <c r="K225" s="80"/>
      <c r="L225" s="80" t="str">
        <f>IF(G225*K225&lt;&gt;0, TRUNC(G225*K225,1),"")</f>
        <v/>
      </c>
      <c r="M225" s="80"/>
      <c r="N225" s="80" t="str">
        <f>IF(G225*M225&lt;&gt;0, TRUNC(G225*M225,1),"")</f>
        <v/>
      </c>
      <c r="O225" s="80"/>
      <c r="P225" s="80" t="str">
        <f>IF(SUM(I225,L225,N225)&lt;&gt;0,TRUNC(SUM(I225,L225,N225),1),"")</f>
        <v/>
      </c>
      <c r="Q225" s="74"/>
    </row>
    <row r="226" spans="1:31" ht="23.25" customHeight="1">
      <c r="A226" s="64" t="s">
        <v>802</v>
      </c>
      <c r="B226" s="64" t="s">
        <v>915</v>
      </c>
      <c r="C226" s="76" t="s">
        <v>803</v>
      </c>
      <c r="D226" s="158" t="s">
        <v>989</v>
      </c>
      <c r="E226" s="159"/>
      <c r="F226" s="159"/>
      <c r="G226" s="159"/>
      <c r="H226" s="159"/>
      <c r="I226" s="159"/>
      <c r="J226" s="159"/>
      <c r="K226" s="159"/>
      <c r="L226" s="159"/>
      <c r="M226" s="159"/>
      <c r="N226" s="159"/>
      <c r="O226" s="159"/>
      <c r="P226" s="159"/>
      <c r="Q226" s="160"/>
      <c r="Z226" s="48" t="s">
        <v>920</v>
      </c>
    </row>
    <row r="227" spans="1:31" ht="23.25" customHeight="1">
      <c r="A227" s="64" t="s">
        <v>990</v>
      </c>
      <c r="B227" s="64" t="s">
        <v>804</v>
      </c>
      <c r="C227" s="76" t="s">
        <v>278</v>
      </c>
      <c r="D227" s="74" t="s">
        <v>274</v>
      </c>
      <c r="E227" s="74" t="s">
        <v>279</v>
      </c>
      <c r="F227" s="54" t="s">
        <v>266</v>
      </c>
      <c r="G227" s="80">
        <v>1</v>
      </c>
      <c r="H227" s="80">
        <f>합산자재!H32</f>
        <v>260</v>
      </c>
      <c r="I227" s="80">
        <f>IF(G227*H227&lt;&gt;0, TRUNC(G227*H227,1),"")</f>
        <v>260</v>
      </c>
      <c r="J227" s="80">
        <v>1</v>
      </c>
      <c r="K227" s="80">
        <f>합산자재!I32</f>
        <v>0</v>
      </c>
      <c r="L227" s="80" t="str">
        <f>IF(G227*K227&lt;&gt;0, TRUNC(G227*K227,1),"")</f>
        <v/>
      </c>
      <c r="M227" s="80">
        <f>합산자재!J32</f>
        <v>0</v>
      </c>
      <c r="N227" s="80" t="str">
        <f>IF(G227*M227&lt;&gt;0, TRUNC(G227*M227,1),"")</f>
        <v/>
      </c>
      <c r="O227" s="80"/>
      <c r="P227" s="80">
        <f>IF(SUM(I227,L227,N227)&lt;&gt;0,TRUNC(SUM(I227,L227,N227),1),"")</f>
        <v>260</v>
      </c>
      <c r="Q227" s="74"/>
    </row>
    <row r="228" spans="1:31" ht="23.25" customHeight="1">
      <c r="A228" s="64" t="s">
        <v>621</v>
      </c>
      <c r="B228" s="64" t="s">
        <v>804</v>
      </c>
      <c r="C228" s="76" t="s">
        <v>533</v>
      </c>
      <c r="D228" s="74" t="s">
        <v>530</v>
      </c>
      <c r="E228" s="74" t="s">
        <v>534</v>
      </c>
      <c r="F228" s="54" t="s">
        <v>532</v>
      </c>
      <c r="G228" s="80">
        <f>일위노임!G115</f>
        <v>0.1188</v>
      </c>
      <c r="H228" s="80">
        <f>합산자재!H116</f>
        <v>0</v>
      </c>
      <c r="I228" s="80" t="str">
        <f>IF(G228*H228&lt;&gt;0, TRUNC(G228*H228,1),"")</f>
        <v/>
      </c>
      <c r="J228" s="80">
        <v>0.1188</v>
      </c>
      <c r="K228" s="80">
        <f>합산자재!I116</f>
        <v>304156</v>
      </c>
      <c r="L228" s="80">
        <f>IF(G228*K228&lt;&gt;0, TRUNC(G228*K228,1),"")</f>
        <v>36133.699999999997</v>
      </c>
      <c r="M228" s="80">
        <f>합산자재!J116</f>
        <v>0</v>
      </c>
      <c r="N228" s="80" t="str">
        <f>IF(G228*M228&lt;&gt;0, TRUNC(G228*M228,1),"")</f>
        <v/>
      </c>
      <c r="O228" s="80"/>
      <c r="P228" s="80">
        <f>IF(SUM(I228,L228,N228)&lt;&gt;0,TRUNC(SUM(I228,L228,N228),1),"")</f>
        <v>36133.699999999997</v>
      </c>
      <c r="Q228" s="74"/>
      <c r="AE228" s="48">
        <f>L228</f>
        <v>36133.699999999997</v>
      </c>
    </row>
    <row r="229" spans="1:31" ht="23.25" customHeight="1">
      <c r="A229" s="64" t="s">
        <v>926</v>
      </c>
      <c r="B229" s="64" t="s">
        <v>804</v>
      </c>
      <c r="C229" s="76" t="s">
        <v>927</v>
      </c>
      <c r="D229" s="74" t="s">
        <v>928</v>
      </c>
      <c r="E229" s="74" t="s">
        <v>929</v>
      </c>
      <c r="F229" s="54" t="s">
        <v>458</v>
      </c>
      <c r="G229" s="80">
        <v>1</v>
      </c>
      <c r="H229" s="80">
        <f>IF(TRUNC((AD230+AC230)/$AE$3,1)*$AE$3-AD230 &lt;0, AC230, TRUNC((AD230+AC230)/$AE$3,1)*$AE$3-AD230)</f>
        <v>1083.9000000000015</v>
      </c>
      <c r="I229" s="80">
        <f>H229</f>
        <v>1083.9000000000015</v>
      </c>
      <c r="J229" s="80">
        <v>1</v>
      </c>
      <c r="K229" s="80"/>
      <c r="L229" s="80" t="str">
        <f>IF(G229*K229&lt;&gt;0, TRUNC(G229*K229,1),"")</f>
        <v/>
      </c>
      <c r="M229" s="80"/>
      <c r="N229" s="80" t="str">
        <f>IF(G229*M229&lt;&gt;0, TRUNC(G229*M229,1),"")</f>
        <v/>
      </c>
      <c r="O229" s="80"/>
      <c r="P229" s="80">
        <f>IF(SUM(I229,L229,N229)&lt;&gt;0,TRUNC(SUM(I229,L229,N229),1),"")</f>
        <v>1083.9000000000001</v>
      </c>
      <c r="Q229" s="74"/>
      <c r="Z229" s="48" t="s">
        <v>920</v>
      </c>
    </row>
    <row r="230" spans="1:31" ht="23.25" customHeight="1">
      <c r="B230" s="64" t="s">
        <v>921</v>
      </c>
      <c r="D230" s="74" t="s">
        <v>922</v>
      </c>
      <c r="E230" s="74"/>
      <c r="F230" s="54"/>
      <c r="G230" s="80"/>
      <c r="H230" s="80"/>
      <c r="I230" s="80">
        <f>TRUNC(SUM(I226:I229))</f>
        <v>1343</v>
      </c>
      <c r="J230" s="80"/>
      <c r="K230" s="80"/>
      <c r="L230" s="80">
        <f>TRUNC(SUM(L226:L229))</f>
        <v>36133</v>
      </c>
      <c r="M230" s="80"/>
      <c r="N230" s="80">
        <f>TRUNC(SUM(N226:N229))</f>
        <v>0</v>
      </c>
      <c r="O230" s="80"/>
      <c r="P230" s="80">
        <f>IF(SUM(I230,L230,N230)&lt;&gt;0,TRUNC(SUM(I230,L230,N230),1),"")</f>
        <v>37476</v>
      </c>
      <c r="Q230" s="74"/>
      <c r="AC230" s="48">
        <f>TRUNC(AE230*옵션!$B$36/100,1)</f>
        <v>1083.9000000000001</v>
      </c>
      <c r="AD230" s="48">
        <f>TRUNC(SUM(L226:L228))</f>
        <v>36133</v>
      </c>
      <c r="AE230" s="48">
        <f>TRUNC(SUM(AE226:AE229))</f>
        <v>36133</v>
      </c>
    </row>
    <row r="231" spans="1:31" ht="23.25" customHeight="1">
      <c r="D231" s="74"/>
      <c r="E231" s="74"/>
      <c r="F231" s="54"/>
      <c r="G231" s="80"/>
      <c r="H231" s="80"/>
      <c r="I231" s="80" t="str">
        <f>IF(G231*H231&lt;&gt;0, TRUNC(G231*H231,1),"")</f>
        <v/>
      </c>
      <c r="J231" s="80"/>
      <c r="K231" s="80"/>
      <c r="L231" s="80" t="str">
        <f>IF(G231*K231&lt;&gt;0, TRUNC(G231*K231,1),"")</f>
        <v/>
      </c>
      <c r="M231" s="80"/>
      <c r="N231" s="80" t="str">
        <f>IF(G231*M231&lt;&gt;0, TRUNC(G231*M231,1),"")</f>
        <v/>
      </c>
      <c r="O231" s="80"/>
      <c r="P231" s="80" t="str">
        <f>IF(SUM(I231,L231,N231)&lt;&gt;0,TRUNC(SUM(I231,L231,N231),1),"")</f>
        <v/>
      </c>
      <c r="Q231" s="74"/>
    </row>
    <row r="232" spans="1:31" ht="23.25" customHeight="1">
      <c r="A232" s="64" t="s">
        <v>805</v>
      </c>
      <c r="B232" s="64" t="s">
        <v>915</v>
      </c>
      <c r="C232" s="76" t="s">
        <v>806</v>
      </c>
      <c r="D232" s="158" t="s">
        <v>991</v>
      </c>
      <c r="E232" s="159"/>
      <c r="F232" s="159"/>
      <c r="G232" s="159"/>
      <c r="H232" s="159"/>
      <c r="I232" s="159"/>
      <c r="J232" s="159"/>
      <c r="K232" s="159"/>
      <c r="L232" s="159"/>
      <c r="M232" s="159"/>
      <c r="N232" s="159"/>
      <c r="O232" s="159"/>
      <c r="P232" s="159"/>
      <c r="Q232" s="160"/>
    </row>
    <row r="233" spans="1:31" ht="23.25" customHeight="1">
      <c r="A233" s="64" t="s">
        <v>992</v>
      </c>
      <c r="B233" s="64" t="s">
        <v>807</v>
      </c>
      <c r="C233" s="76" t="s">
        <v>280</v>
      </c>
      <c r="D233" s="74" t="s">
        <v>274</v>
      </c>
      <c r="E233" s="74" t="s">
        <v>281</v>
      </c>
      <c r="F233" s="54" t="s">
        <v>266</v>
      </c>
      <c r="G233" s="80">
        <v>1</v>
      </c>
      <c r="H233" s="80">
        <f>합산자재!H33</f>
        <v>316</v>
      </c>
      <c r="I233" s="80">
        <f>IF(G233*H233&lt;&gt;0, TRUNC(G233*H233,1),"")</f>
        <v>316</v>
      </c>
      <c r="J233" s="80">
        <v>1</v>
      </c>
      <c r="K233" s="80">
        <f>합산자재!I33</f>
        <v>0</v>
      </c>
      <c r="L233" s="80" t="str">
        <f>IF(G233*K233&lt;&gt;0, TRUNC(G233*K233,1),"")</f>
        <v/>
      </c>
      <c r="M233" s="80">
        <f>합산자재!J33</f>
        <v>0</v>
      </c>
      <c r="N233" s="80" t="str">
        <f>IF(G233*M233&lt;&gt;0, TRUNC(G233*M233,1),"")</f>
        <v/>
      </c>
      <c r="O233" s="80"/>
      <c r="P233" s="80">
        <f>IF(SUM(I233,L233,N233)&lt;&gt;0,TRUNC(SUM(I233,L233,N233),1),"")</f>
        <v>316</v>
      </c>
      <c r="Q233" s="74"/>
      <c r="Z233" s="48" t="s">
        <v>920</v>
      </c>
    </row>
    <row r="234" spans="1:31" ht="23.25" customHeight="1">
      <c r="A234" s="64" t="s">
        <v>621</v>
      </c>
      <c r="B234" s="64" t="s">
        <v>807</v>
      </c>
      <c r="C234" s="76" t="s">
        <v>533</v>
      </c>
      <c r="D234" s="74" t="s">
        <v>530</v>
      </c>
      <c r="E234" s="74" t="s">
        <v>534</v>
      </c>
      <c r="F234" s="54" t="s">
        <v>532</v>
      </c>
      <c r="G234" s="80">
        <f>일위노임!G118</f>
        <v>0.12959999999999999</v>
      </c>
      <c r="H234" s="80">
        <f>합산자재!H116</f>
        <v>0</v>
      </c>
      <c r="I234" s="80" t="str">
        <f>IF(G234*H234&lt;&gt;0, TRUNC(G234*H234,1),"")</f>
        <v/>
      </c>
      <c r="J234" s="80">
        <v>0.12959999999999999</v>
      </c>
      <c r="K234" s="80">
        <f>합산자재!I116</f>
        <v>304156</v>
      </c>
      <c r="L234" s="80">
        <f>IF(G234*K234&lt;&gt;0, TRUNC(G234*K234,1),"")</f>
        <v>39418.6</v>
      </c>
      <c r="M234" s="80">
        <f>합산자재!J116</f>
        <v>0</v>
      </c>
      <c r="N234" s="80" t="str">
        <f>IF(G234*M234&lt;&gt;0, TRUNC(G234*M234,1),"")</f>
        <v/>
      </c>
      <c r="O234" s="80"/>
      <c r="P234" s="80">
        <f>IF(SUM(I234,L234,N234)&lt;&gt;0,TRUNC(SUM(I234,L234,N234),1),"")</f>
        <v>39418.6</v>
      </c>
      <c r="Q234" s="74"/>
      <c r="AE234" s="48">
        <f>L234</f>
        <v>39418.6</v>
      </c>
    </row>
    <row r="235" spans="1:31" ht="23.25" customHeight="1">
      <c r="A235" s="64" t="s">
        <v>926</v>
      </c>
      <c r="B235" s="64" t="s">
        <v>807</v>
      </c>
      <c r="C235" s="76" t="s">
        <v>927</v>
      </c>
      <c r="D235" s="74" t="s">
        <v>928</v>
      </c>
      <c r="E235" s="74" t="s">
        <v>929</v>
      </c>
      <c r="F235" s="54" t="s">
        <v>458</v>
      </c>
      <c r="G235" s="80">
        <v>1</v>
      </c>
      <c r="H235" s="80">
        <f>IF(TRUNC((AD236+AC236)/$AE$3,1)*$AE$3-AD236 &lt;0, AC236, TRUNC((AD236+AC236)/$AE$3,1)*$AE$3-AD236)</f>
        <v>1182.5</v>
      </c>
      <c r="I235" s="80">
        <f>H235</f>
        <v>1182.5</v>
      </c>
      <c r="J235" s="80">
        <v>1</v>
      </c>
      <c r="K235" s="80"/>
      <c r="L235" s="80" t="str">
        <f>IF(G235*K235&lt;&gt;0, TRUNC(G235*K235,1),"")</f>
        <v/>
      </c>
      <c r="M235" s="80"/>
      <c r="N235" s="80" t="str">
        <f>IF(G235*M235&lt;&gt;0, TRUNC(G235*M235,1),"")</f>
        <v/>
      </c>
      <c r="O235" s="80"/>
      <c r="P235" s="80">
        <f>IF(SUM(I235,L235,N235)&lt;&gt;0,TRUNC(SUM(I235,L235,N235),1),"")</f>
        <v>1182.5</v>
      </c>
      <c r="Q235" s="74"/>
    </row>
    <row r="236" spans="1:31" ht="23.25" customHeight="1">
      <c r="B236" s="64" t="s">
        <v>921</v>
      </c>
      <c r="D236" s="74" t="s">
        <v>922</v>
      </c>
      <c r="E236" s="74"/>
      <c r="F236" s="54"/>
      <c r="G236" s="80"/>
      <c r="H236" s="80"/>
      <c r="I236" s="80">
        <f>TRUNC(SUM(I232:I235))</f>
        <v>1498</v>
      </c>
      <c r="J236" s="80"/>
      <c r="K236" s="80"/>
      <c r="L236" s="80">
        <f>TRUNC(SUM(L232:L235))</f>
        <v>39418</v>
      </c>
      <c r="M236" s="80"/>
      <c r="N236" s="80">
        <f>TRUNC(SUM(N232:N235))</f>
        <v>0</v>
      </c>
      <c r="O236" s="80"/>
      <c r="P236" s="80">
        <f>IF(SUM(I236,L236,N236)&lt;&gt;0,TRUNC(SUM(I236,L236,N236),1),"")</f>
        <v>40916</v>
      </c>
      <c r="Q236" s="74"/>
      <c r="AC236" s="48">
        <f>TRUNC(AE236*옵션!$B$36/100,1)</f>
        <v>1182.5</v>
      </c>
      <c r="AD236" s="48">
        <f>TRUNC(SUM(L232:L234))</f>
        <v>39418</v>
      </c>
      <c r="AE236" s="48">
        <f>TRUNC(SUM(AE232:AE235))</f>
        <v>39418</v>
      </c>
    </row>
    <row r="237" spans="1:31" ht="23.25" customHeight="1">
      <c r="D237" s="74"/>
      <c r="E237" s="74"/>
      <c r="F237" s="54"/>
      <c r="G237" s="80"/>
      <c r="H237" s="80"/>
      <c r="I237" s="80" t="str">
        <f>IF(G237*H237&lt;&gt;0, TRUNC(G237*H237,1),"")</f>
        <v/>
      </c>
      <c r="J237" s="80"/>
      <c r="K237" s="80"/>
      <c r="L237" s="80" t="str">
        <f>IF(G237*K237&lt;&gt;0, TRUNC(G237*K237,1),"")</f>
        <v/>
      </c>
      <c r="M237" s="80"/>
      <c r="N237" s="80" t="str">
        <f>IF(G237*M237&lt;&gt;0, TRUNC(G237*M237,1),"")</f>
        <v/>
      </c>
      <c r="O237" s="80"/>
      <c r="P237" s="80" t="str">
        <f>IF(SUM(I237,L237,N237)&lt;&gt;0,TRUNC(SUM(I237,L237,N237),1),"")</f>
        <v/>
      </c>
      <c r="Q237" s="74"/>
    </row>
    <row r="238" spans="1:31" ht="23.25" customHeight="1">
      <c r="A238" s="64" t="s">
        <v>808</v>
      </c>
      <c r="B238" s="64" t="s">
        <v>915</v>
      </c>
      <c r="C238" s="76" t="s">
        <v>809</v>
      </c>
      <c r="D238" s="158" t="s">
        <v>993</v>
      </c>
      <c r="E238" s="159"/>
      <c r="F238" s="159"/>
      <c r="G238" s="159"/>
      <c r="H238" s="159"/>
      <c r="I238" s="159"/>
      <c r="J238" s="159"/>
      <c r="K238" s="159"/>
      <c r="L238" s="159"/>
      <c r="M238" s="159"/>
      <c r="N238" s="159"/>
      <c r="O238" s="159"/>
      <c r="P238" s="159"/>
      <c r="Q238" s="160"/>
      <c r="Z238" s="48" t="s">
        <v>920</v>
      </c>
    </row>
    <row r="239" spans="1:31" ht="23.25" customHeight="1">
      <c r="A239" s="64" t="s">
        <v>994</v>
      </c>
      <c r="B239" s="64" t="s">
        <v>810</v>
      </c>
      <c r="C239" s="76" t="s">
        <v>282</v>
      </c>
      <c r="D239" s="74" t="s">
        <v>283</v>
      </c>
      <c r="E239" s="74" t="s">
        <v>284</v>
      </c>
      <c r="F239" s="54" t="s">
        <v>285</v>
      </c>
      <c r="G239" s="80">
        <v>1</v>
      </c>
      <c r="H239" s="80">
        <f>합산자재!H34</f>
        <v>110000</v>
      </c>
      <c r="I239" s="80">
        <f>IF(G239*H239&lt;&gt;0, TRUNC(G239*H239,1),"")</f>
        <v>110000</v>
      </c>
      <c r="J239" s="80">
        <v>1</v>
      </c>
      <c r="K239" s="80">
        <f>합산자재!I34</f>
        <v>0</v>
      </c>
      <c r="L239" s="80" t="str">
        <f t="shared" ref="L239:L244" si="39">IF(G239*K239&lt;&gt;0, TRUNC(G239*K239,1),"")</f>
        <v/>
      </c>
      <c r="M239" s="80">
        <f>합산자재!J34</f>
        <v>0</v>
      </c>
      <c r="N239" s="80" t="str">
        <f t="shared" ref="N239:N244" si="40">IF(G239*M239&lt;&gt;0, TRUNC(G239*M239,1),"")</f>
        <v/>
      </c>
      <c r="O239" s="80"/>
      <c r="P239" s="80">
        <f t="shared" ref="P239:P246" si="41">IF(SUM(I239,L239,N239)&lt;&gt;0,TRUNC(SUM(I239,L239,N239),1),"")</f>
        <v>110000</v>
      </c>
      <c r="Q239" s="74"/>
    </row>
    <row r="240" spans="1:31" ht="23.25" customHeight="1">
      <c r="A240" s="64" t="s">
        <v>628</v>
      </c>
      <c r="B240" s="64" t="s">
        <v>810</v>
      </c>
      <c r="C240" s="76" t="s">
        <v>551</v>
      </c>
      <c r="D240" s="74" t="s">
        <v>530</v>
      </c>
      <c r="E240" s="74" t="s">
        <v>552</v>
      </c>
      <c r="F240" s="54" t="s">
        <v>532</v>
      </c>
      <c r="G240" s="80">
        <f>일위노임!G124</f>
        <v>0.8</v>
      </c>
      <c r="H240" s="80">
        <f>합산자재!H125</f>
        <v>0</v>
      </c>
      <c r="I240" s="80" t="str">
        <f>IF(G240*H240&lt;&gt;0, TRUNC(G240*H240,1),"")</f>
        <v/>
      </c>
      <c r="J240" s="80">
        <v>0.8</v>
      </c>
      <c r="K240" s="80">
        <f>합산자재!I125</f>
        <v>226122</v>
      </c>
      <c r="L240" s="80">
        <f t="shared" si="39"/>
        <v>180897.6</v>
      </c>
      <c r="M240" s="80">
        <f>합산자재!J125</f>
        <v>0</v>
      </c>
      <c r="N240" s="80" t="str">
        <f t="shared" si="40"/>
        <v/>
      </c>
      <c r="O240" s="80"/>
      <c r="P240" s="80">
        <f t="shared" si="41"/>
        <v>180897.6</v>
      </c>
      <c r="Q240" s="74"/>
      <c r="AE240" s="48">
        <f>L240</f>
        <v>180897.6</v>
      </c>
    </row>
    <row r="241" spans="1:31" ht="23.25" customHeight="1">
      <c r="A241" s="64" t="s">
        <v>641</v>
      </c>
      <c r="B241" s="64" t="s">
        <v>810</v>
      </c>
      <c r="C241" s="76" t="s">
        <v>553</v>
      </c>
      <c r="D241" s="74" t="s">
        <v>530</v>
      </c>
      <c r="E241" s="74" t="s">
        <v>554</v>
      </c>
      <c r="F241" s="54" t="s">
        <v>532</v>
      </c>
      <c r="G241" s="80">
        <f>일위노임!G125</f>
        <v>0.53</v>
      </c>
      <c r="H241" s="80">
        <f>합산자재!H126</f>
        <v>0</v>
      </c>
      <c r="I241" s="80" t="str">
        <f>IF(G241*H241&lt;&gt;0, TRUNC(G241*H241,1),"")</f>
        <v/>
      </c>
      <c r="J241" s="80">
        <v>0.53</v>
      </c>
      <c r="K241" s="80">
        <f>합산자재!I126</f>
        <v>281939</v>
      </c>
      <c r="L241" s="80">
        <f t="shared" si="39"/>
        <v>149427.6</v>
      </c>
      <c r="M241" s="80">
        <f>합산자재!J126</f>
        <v>0</v>
      </c>
      <c r="N241" s="80" t="str">
        <f t="shared" si="40"/>
        <v/>
      </c>
      <c r="O241" s="80"/>
      <c r="P241" s="80">
        <f t="shared" si="41"/>
        <v>149427.6</v>
      </c>
      <c r="Q241" s="74"/>
      <c r="AE241" s="48">
        <f>L241</f>
        <v>149427.6</v>
      </c>
    </row>
    <row r="242" spans="1:31" ht="23.25" customHeight="1">
      <c r="A242" s="64" t="s">
        <v>644</v>
      </c>
      <c r="B242" s="64" t="s">
        <v>810</v>
      </c>
      <c r="C242" s="76" t="s">
        <v>557</v>
      </c>
      <c r="D242" s="74" t="s">
        <v>530</v>
      </c>
      <c r="E242" s="74" t="s">
        <v>558</v>
      </c>
      <c r="F242" s="54" t="s">
        <v>532</v>
      </c>
      <c r="G242" s="80">
        <f>일위노임!G126</f>
        <v>0.03</v>
      </c>
      <c r="H242" s="80">
        <f>합산자재!H128</f>
        <v>0</v>
      </c>
      <c r="I242" s="80" t="str">
        <f>IF(G242*H242&lt;&gt;0, TRUNC(G242*H242,1),"")</f>
        <v/>
      </c>
      <c r="J242" s="80">
        <v>0.03</v>
      </c>
      <c r="K242" s="80">
        <f>합산자재!I128</f>
        <v>211653</v>
      </c>
      <c r="L242" s="80">
        <f t="shared" si="39"/>
        <v>6349.5</v>
      </c>
      <c r="M242" s="80">
        <f>합산자재!J128</f>
        <v>0</v>
      </c>
      <c r="N242" s="80" t="str">
        <f t="shared" si="40"/>
        <v/>
      </c>
      <c r="O242" s="80"/>
      <c r="P242" s="80">
        <f t="shared" si="41"/>
        <v>6349.5</v>
      </c>
      <c r="Q242" s="74"/>
      <c r="Z242" s="48" t="s">
        <v>920</v>
      </c>
      <c r="AE242" s="48">
        <f>L242</f>
        <v>6349.5</v>
      </c>
    </row>
    <row r="243" spans="1:31" ht="23.25" customHeight="1">
      <c r="A243" s="64" t="s">
        <v>643</v>
      </c>
      <c r="B243" s="64" t="s">
        <v>810</v>
      </c>
      <c r="C243" s="76" t="s">
        <v>563</v>
      </c>
      <c r="D243" s="74" t="s">
        <v>530</v>
      </c>
      <c r="E243" s="74" t="s">
        <v>564</v>
      </c>
      <c r="F243" s="54" t="s">
        <v>532</v>
      </c>
      <c r="G243" s="80">
        <f>일위노임!G127</f>
        <v>0.28000000000000003</v>
      </c>
      <c r="H243" s="80">
        <f>합산자재!H131</f>
        <v>0</v>
      </c>
      <c r="I243" s="80" t="str">
        <f>IF(G243*H243&lt;&gt;0, TRUNC(G243*H243,1),"")</f>
        <v/>
      </c>
      <c r="J243" s="80">
        <v>0.28000000000000003</v>
      </c>
      <c r="K243" s="80">
        <f>합산자재!I131</f>
        <v>215907</v>
      </c>
      <c r="L243" s="80">
        <f t="shared" si="39"/>
        <v>60453.9</v>
      </c>
      <c r="M243" s="80">
        <f>합산자재!J131</f>
        <v>0</v>
      </c>
      <c r="N243" s="80" t="str">
        <f t="shared" si="40"/>
        <v/>
      </c>
      <c r="O243" s="80"/>
      <c r="P243" s="80">
        <f t="shared" si="41"/>
        <v>60453.9</v>
      </c>
      <c r="Q243" s="74"/>
      <c r="AE243" s="48">
        <f>L243</f>
        <v>60453.9</v>
      </c>
    </row>
    <row r="244" spans="1:31" ht="23.25" customHeight="1">
      <c r="A244" s="64" t="s">
        <v>926</v>
      </c>
      <c r="B244" s="64" t="s">
        <v>810</v>
      </c>
      <c r="C244" s="76" t="s">
        <v>927</v>
      </c>
      <c r="D244" s="74" t="s">
        <v>928</v>
      </c>
      <c r="E244" s="74" t="s">
        <v>929</v>
      </c>
      <c r="F244" s="54" t="s">
        <v>458</v>
      </c>
      <c r="G244" s="80">
        <v>1</v>
      </c>
      <c r="H244" s="80">
        <f>IF(TRUNC((AD245+AC245)/$AE$3,1)*$AE$3-AD245 &lt;0, AC245, TRUNC((AD245+AC245)/$AE$3,1)*$AE$3-AD245)</f>
        <v>11913.799999999988</v>
      </c>
      <c r="I244" s="80">
        <f>H244</f>
        <v>11913.799999999988</v>
      </c>
      <c r="J244" s="80">
        <v>1</v>
      </c>
      <c r="K244" s="80"/>
      <c r="L244" s="80" t="str">
        <f t="shared" si="39"/>
        <v/>
      </c>
      <c r="M244" s="80"/>
      <c r="N244" s="80" t="str">
        <f t="shared" si="40"/>
        <v/>
      </c>
      <c r="O244" s="80"/>
      <c r="P244" s="80">
        <f t="shared" si="41"/>
        <v>11913.8</v>
      </c>
      <c r="Q244" s="74"/>
    </row>
    <row r="245" spans="1:31" ht="23.25" customHeight="1">
      <c r="B245" s="64" t="s">
        <v>921</v>
      </c>
      <c r="D245" s="74" t="s">
        <v>922</v>
      </c>
      <c r="E245" s="74"/>
      <c r="F245" s="54"/>
      <c r="G245" s="80"/>
      <c r="H245" s="80"/>
      <c r="I245" s="80">
        <f>TRUNC(SUM(I238:I244))</f>
        <v>121913</v>
      </c>
      <c r="J245" s="80"/>
      <c r="K245" s="80"/>
      <c r="L245" s="80">
        <f>TRUNC(SUM(L238:L244))</f>
        <v>397128</v>
      </c>
      <c r="M245" s="80"/>
      <c r="N245" s="80">
        <f>TRUNC(SUM(N238:N244))</f>
        <v>0</v>
      </c>
      <c r="O245" s="80"/>
      <c r="P245" s="80">
        <f t="shared" si="41"/>
        <v>519041</v>
      </c>
      <c r="Q245" s="74"/>
      <c r="AC245" s="48">
        <f>TRUNC(AE245*옵션!$B$36/100,1)</f>
        <v>11913.8</v>
      </c>
      <c r="AD245" s="48">
        <f>TRUNC(SUM(L238:L243))</f>
        <v>397128</v>
      </c>
      <c r="AE245" s="48">
        <f>TRUNC(SUM(AE238:AE244))</f>
        <v>397128</v>
      </c>
    </row>
    <row r="246" spans="1:31" ht="23.25" customHeight="1">
      <c r="D246" s="74"/>
      <c r="E246" s="74"/>
      <c r="F246" s="54"/>
      <c r="G246" s="80"/>
      <c r="H246" s="80"/>
      <c r="I246" s="80" t="str">
        <f>IF(G246*H246&lt;&gt;0, TRUNC(G246*H246,1),"")</f>
        <v/>
      </c>
      <c r="J246" s="80"/>
      <c r="K246" s="80"/>
      <c r="L246" s="80" t="str">
        <f>IF(G246*K246&lt;&gt;0, TRUNC(G246*K246,1),"")</f>
        <v/>
      </c>
      <c r="M246" s="80"/>
      <c r="N246" s="80" t="str">
        <f>IF(G246*M246&lt;&gt;0, TRUNC(G246*M246,1),"")</f>
        <v/>
      </c>
      <c r="O246" s="80"/>
      <c r="P246" s="80" t="str">
        <f t="shared" si="41"/>
        <v/>
      </c>
      <c r="Q246" s="74"/>
      <c r="Z246" s="48" t="s">
        <v>920</v>
      </c>
    </row>
    <row r="247" spans="1:31" ht="23.25" customHeight="1">
      <c r="A247" s="64" t="s">
        <v>811</v>
      </c>
      <c r="B247" s="64" t="s">
        <v>915</v>
      </c>
      <c r="C247" s="76" t="s">
        <v>812</v>
      </c>
      <c r="D247" s="158" t="s">
        <v>995</v>
      </c>
      <c r="E247" s="159"/>
      <c r="F247" s="159"/>
      <c r="G247" s="159"/>
      <c r="H247" s="159"/>
      <c r="I247" s="159"/>
      <c r="J247" s="159"/>
      <c r="K247" s="159"/>
      <c r="L247" s="159"/>
      <c r="M247" s="159"/>
      <c r="N247" s="159"/>
      <c r="O247" s="159"/>
      <c r="P247" s="159"/>
      <c r="Q247" s="160"/>
    </row>
    <row r="248" spans="1:31" ht="23.25" customHeight="1">
      <c r="A248" s="64" t="s">
        <v>996</v>
      </c>
      <c r="B248" s="64" t="s">
        <v>813</v>
      </c>
      <c r="C248" s="76" t="s">
        <v>287</v>
      </c>
      <c r="D248" s="74" t="s">
        <v>288</v>
      </c>
      <c r="E248" s="74" t="s">
        <v>289</v>
      </c>
      <c r="F248" s="54" t="s">
        <v>290</v>
      </c>
      <c r="G248" s="80">
        <v>1</v>
      </c>
      <c r="H248" s="80">
        <f>합산자재!H35</f>
        <v>370000</v>
      </c>
      <c r="I248" s="80">
        <f>IF(G248*H248&lt;&gt;0, TRUNC(G248*H248,1),"")</f>
        <v>370000</v>
      </c>
      <c r="J248" s="80">
        <v>1</v>
      </c>
      <c r="K248" s="80">
        <f>합산자재!I35</f>
        <v>0</v>
      </c>
      <c r="L248" s="80" t="str">
        <f>IF(G248*K248&lt;&gt;0, TRUNC(G248*K248,1),"")</f>
        <v/>
      </c>
      <c r="M248" s="80">
        <f>합산자재!J35</f>
        <v>0</v>
      </c>
      <c r="N248" s="80" t="str">
        <f>IF(G248*M248&lt;&gt;0, TRUNC(G248*M248,1),"")</f>
        <v/>
      </c>
      <c r="O248" s="80"/>
      <c r="P248" s="80">
        <f t="shared" ref="P248:P253" si="42">IF(SUM(I248,L248,N248)&lt;&gt;0,TRUNC(SUM(I248,L248,N248),1),"")</f>
        <v>370000</v>
      </c>
      <c r="Q248" s="74"/>
    </row>
    <row r="249" spans="1:31" ht="23.25" customHeight="1">
      <c r="A249" s="64" t="s">
        <v>614</v>
      </c>
      <c r="B249" s="64" t="s">
        <v>813</v>
      </c>
      <c r="C249" s="76" t="s">
        <v>543</v>
      </c>
      <c r="D249" s="74" t="s">
        <v>530</v>
      </c>
      <c r="E249" s="74" t="s">
        <v>544</v>
      </c>
      <c r="F249" s="54" t="s">
        <v>532</v>
      </c>
      <c r="G249" s="80">
        <f>일위노임!G131</f>
        <v>0.72</v>
      </c>
      <c r="H249" s="80">
        <f>합산자재!H121</f>
        <v>0</v>
      </c>
      <c r="I249" s="80" t="str">
        <f>IF(G249*H249&lt;&gt;0, TRUNC(G249*H249,1),"")</f>
        <v/>
      </c>
      <c r="J249" s="80">
        <v>0.72</v>
      </c>
      <c r="K249" s="80">
        <f>합산자재!I121</f>
        <v>408942</v>
      </c>
      <c r="L249" s="80">
        <f>IF(G249*K249&lt;&gt;0, TRUNC(G249*K249,1),"")</f>
        <v>294438.2</v>
      </c>
      <c r="M249" s="80">
        <f>합산자재!J121</f>
        <v>0</v>
      </c>
      <c r="N249" s="80" t="str">
        <f>IF(G249*M249&lt;&gt;0, TRUNC(G249*M249,1),"")</f>
        <v/>
      </c>
      <c r="O249" s="80"/>
      <c r="P249" s="80">
        <f t="shared" si="42"/>
        <v>294438.2</v>
      </c>
      <c r="Q249" s="74"/>
      <c r="AE249" s="48">
        <f>L249</f>
        <v>294438.2</v>
      </c>
    </row>
    <row r="250" spans="1:31" ht="23.25" customHeight="1">
      <c r="A250" s="64" t="s">
        <v>579</v>
      </c>
      <c r="B250" s="64" t="s">
        <v>813</v>
      </c>
      <c r="C250" s="76" t="s">
        <v>549</v>
      </c>
      <c r="D250" s="74" t="s">
        <v>530</v>
      </c>
      <c r="E250" s="74" t="s">
        <v>550</v>
      </c>
      <c r="F250" s="54" t="s">
        <v>532</v>
      </c>
      <c r="G250" s="80">
        <f>일위노임!G132</f>
        <v>0.36</v>
      </c>
      <c r="H250" s="80">
        <f>합산자재!H124</f>
        <v>0</v>
      </c>
      <c r="I250" s="80" t="str">
        <f>IF(G250*H250&lt;&gt;0, TRUNC(G250*H250,1),"")</f>
        <v/>
      </c>
      <c r="J250" s="80">
        <v>0.36</v>
      </c>
      <c r="K250" s="80">
        <f>합산자재!I124</f>
        <v>172068</v>
      </c>
      <c r="L250" s="80">
        <f>IF(G250*K250&lt;&gt;0, TRUNC(G250*K250,1),"")</f>
        <v>61944.4</v>
      </c>
      <c r="M250" s="80">
        <f>합산자재!J124</f>
        <v>0</v>
      </c>
      <c r="N250" s="80" t="str">
        <f>IF(G250*M250&lt;&gt;0, TRUNC(G250*M250,1),"")</f>
        <v/>
      </c>
      <c r="O250" s="80"/>
      <c r="P250" s="80">
        <f t="shared" si="42"/>
        <v>61944.4</v>
      </c>
      <c r="Q250" s="74"/>
      <c r="AE250" s="48">
        <f>L250</f>
        <v>61944.4</v>
      </c>
    </row>
    <row r="251" spans="1:31" ht="23.25" customHeight="1">
      <c r="A251" s="64" t="s">
        <v>926</v>
      </c>
      <c r="B251" s="64" t="s">
        <v>813</v>
      </c>
      <c r="C251" s="76" t="s">
        <v>927</v>
      </c>
      <c r="D251" s="74" t="s">
        <v>928</v>
      </c>
      <c r="E251" s="74" t="s">
        <v>929</v>
      </c>
      <c r="F251" s="54" t="s">
        <v>458</v>
      </c>
      <c r="G251" s="80">
        <v>1</v>
      </c>
      <c r="H251" s="80">
        <f>IF(TRUNC((AD252+AC252)/$AE$3,1)*$AE$3-AD252 &lt;0, AC252, TRUNC((AD252+AC252)/$AE$3,1)*$AE$3-AD252)</f>
        <v>10691.400000000023</v>
      </c>
      <c r="I251" s="80">
        <f>H251</f>
        <v>10691.400000000023</v>
      </c>
      <c r="J251" s="80">
        <v>1</v>
      </c>
      <c r="K251" s="80"/>
      <c r="L251" s="80" t="str">
        <f>IF(G251*K251&lt;&gt;0, TRUNC(G251*K251,1),"")</f>
        <v/>
      </c>
      <c r="M251" s="80"/>
      <c r="N251" s="80" t="str">
        <f>IF(G251*M251&lt;&gt;0, TRUNC(G251*M251,1),"")</f>
        <v/>
      </c>
      <c r="O251" s="80"/>
      <c r="P251" s="80">
        <f t="shared" si="42"/>
        <v>10691.4</v>
      </c>
      <c r="Q251" s="74"/>
      <c r="Z251" s="48" t="s">
        <v>920</v>
      </c>
    </row>
    <row r="252" spans="1:31" ht="23.25" customHeight="1">
      <c r="B252" s="64" t="s">
        <v>921</v>
      </c>
      <c r="D252" s="74" t="s">
        <v>922</v>
      </c>
      <c r="E252" s="74"/>
      <c r="F252" s="54"/>
      <c r="G252" s="80"/>
      <c r="H252" s="80"/>
      <c r="I252" s="80">
        <f>TRUNC(SUM(I247:I251))</f>
        <v>380691</v>
      </c>
      <c r="J252" s="80"/>
      <c r="K252" s="80"/>
      <c r="L252" s="80">
        <f>TRUNC(SUM(L247:L251))</f>
        <v>356382</v>
      </c>
      <c r="M252" s="80"/>
      <c r="N252" s="80">
        <f>TRUNC(SUM(N247:N251))</f>
        <v>0</v>
      </c>
      <c r="O252" s="80"/>
      <c r="P252" s="80">
        <f t="shared" si="42"/>
        <v>737073</v>
      </c>
      <c r="Q252" s="74"/>
      <c r="AC252" s="48">
        <f>TRUNC(AE252*옵션!$B$36/100,1)</f>
        <v>10691.4</v>
      </c>
      <c r="AD252" s="48">
        <f>TRUNC(SUM(L247:L250))</f>
        <v>356382</v>
      </c>
      <c r="AE252" s="48">
        <f>TRUNC(SUM(AE247:AE251))</f>
        <v>356382</v>
      </c>
    </row>
    <row r="253" spans="1:31" ht="23.25" customHeight="1">
      <c r="D253" s="74"/>
      <c r="E253" s="74"/>
      <c r="F253" s="54"/>
      <c r="G253" s="80"/>
      <c r="H253" s="80"/>
      <c r="I253" s="80" t="str">
        <f>IF(G253*H253&lt;&gt;0, TRUNC(G253*H253,1),"")</f>
        <v/>
      </c>
      <c r="J253" s="80"/>
      <c r="K253" s="80"/>
      <c r="L253" s="80" t="str">
        <f>IF(G253*K253&lt;&gt;0, TRUNC(G253*K253,1),"")</f>
        <v/>
      </c>
      <c r="M253" s="80"/>
      <c r="N253" s="80" t="str">
        <f>IF(G253*M253&lt;&gt;0, TRUNC(G253*M253,1),"")</f>
        <v/>
      </c>
      <c r="O253" s="80"/>
      <c r="P253" s="80" t="str">
        <f t="shared" si="42"/>
        <v/>
      </c>
      <c r="Q253" s="74"/>
    </row>
    <row r="254" spans="1:31" ht="23.25" customHeight="1">
      <c r="A254" s="64" t="s">
        <v>814</v>
      </c>
      <c r="B254" s="64" t="s">
        <v>915</v>
      </c>
      <c r="C254" s="76" t="s">
        <v>815</v>
      </c>
      <c r="D254" s="158" t="s">
        <v>997</v>
      </c>
      <c r="E254" s="159"/>
      <c r="F254" s="159"/>
      <c r="G254" s="159"/>
      <c r="H254" s="159"/>
      <c r="I254" s="159"/>
      <c r="J254" s="159"/>
      <c r="K254" s="159"/>
      <c r="L254" s="159"/>
      <c r="M254" s="159"/>
      <c r="N254" s="159"/>
      <c r="O254" s="159"/>
      <c r="P254" s="159"/>
      <c r="Q254" s="160"/>
    </row>
    <row r="255" spans="1:31" ht="23.25" customHeight="1">
      <c r="A255" s="64" t="s">
        <v>998</v>
      </c>
      <c r="B255" s="64" t="s">
        <v>816</v>
      </c>
      <c r="C255" s="76" t="s">
        <v>303</v>
      </c>
      <c r="D255" s="74" t="s">
        <v>304</v>
      </c>
      <c r="E255" s="74" t="s">
        <v>305</v>
      </c>
      <c r="F255" s="54" t="s">
        <v>306</v>
      </c>
      <c r="G255" s="80">
        <v>1</v>
      </c>
      <c r="H255" s="80">
        <f>합산자재!H39</f>
        <v>35090</v>
      </c>
      <c r="I255" s="80">
        <f>IF(G255*H255&lt;&gt;0, TRUNC(G255*H255,1),"")</f>
        <v>35090</v>
      </c>
      <c r="J255" s="80">
        <v>1</v>
      </c>
      <c r="K255" s="80">
        <f>합산자재!I39</f>
        <v>0</v>
      </c>
      <c r="L255" s="80" t="str">
        <f>IF(G255*K255&lt;&gt;0, TRUNC(G255*K255,1),"")</f>
        <v/>
      </c>
      <c r="M255" s="80">
        <f>합산자재!J39</f>
        <v>0</v>
      </c>
      <c r="N255" s="80" t="str">
        <f>IF(G255*M255&lt;&gt;0, TRUNC(G255*M255,1),"")</f>
        <v/>
      </c>
      <c r="O255" s="80"/>
      <c r="P255" s="80">
        <f t="shared" ref="P255:P260" si="43">IF(SUM(I255,L255,N255)&lt;&gt;0,TRUNC(SUM(I255,L255,N255),1),"")</f>
        <v>35090</v>
      </c>
      <c r="Q255" s="74"/>
    </row>
    <row r="256" spans="1:31" ht="23.25" customHeight="1">
      <c r="A256" s="64" t="s">
        <v>605</v>
      </c>
      <c r="B256" s="64" t="s">
        <v>816</v>
      </c>
      <c r="C256" s="76" t="s">
        <v>537</v>
      </c>
      <c r="D256" s="74" t="s">
        <v>530</v>
      </c>
      <c r="E256" s="74" t="s">
        <v>538</v>
      </c>
      <c r="F256" s="54" t="s">
        <v>532</v>
      </c>
      <c r="G256" s="80">
        <f>일위노임!G136</f>
        <v>0.22</v>
      </c>
      <c r="H256" s="80">
        <f>합산자재!H118</f>
        <v>0</v>
      </c>
      <c r="I256" s="80" t="str">
        <f>IF(G256*H256&lt;&gt;0, TRUNC(G256*H256,1),"")</f>
        <v/>
      </c>
      <c r="J256" s="80">
        <v>0.22</v>
      </c>
      <c r="K256" s="80">
        <f>합산자재!I118</f>
        <v>414968</v>
      </c>
      <c r="L256" s="80">
        <f>IF(G256*K256&lt;&gt;0, TRUNC(G256*K256,1),"")</f>
        <v>91292.9</v>
      </c>
      <c r="M256" s="80">
        <f>합산자재!J118</f>
        <v>0</v>
      </c>
      <c r="N256" s="80" t="str">
        <f>IF(G256*M256&lt;&gt;0, TRUNC(G256*M256,1),"")</f>
        <v/>
      </c>
      <c r="O256" s="80"/>
      <c r="P256" s="80">
        <f t="shared" si="43"/>
        <v>91292.9</v>
      </c>
      <c r="Q256" s="74"/>
      <c r="Z256" s="48" t="s">
        <v>920</v>
      </c>
      <c r="AE256" s="48">
        <f>L256</f>
        <v>91292.9</v>
      </c>
    </row>
    <row r="257" spans="1:31" ht="23.25" customHeight="1">
      <c r="A257" s="64" t="s">
        <v>579</v>
      </c>
      <c r="B257" s="64" t="s">
        <v>816</v>
      </c>
      <c r="C257" s="76" t="s">
        <v>549</v>
      </c>
      <c r="D257" s="74" t="s">
        <v>530</v>
      </c>
      <c r="E257" s="74" t="s">
        <v>550</v>
      </c>
      <c r="F257" s="54" t="s">
        <v>532</v>
      </c>
      <c r="G257" s="80">
        <f>일위노임!G137</f>
        <v>0.11</v>
      </c>
      <c r="H257" s="80">
        <f>합산자재!H124</f>
        <v>0</v>
      </c>
      <c r="I257" s="80" t="str">
        <f>IF(G257*H257&lt;&gt;0, TRUNC(G257*H257,1),"")</f>
        <v/>
      </c>
      <c r="J257" s="80">
        <v>0.11</v>
      </c>
      <c r="K257" s="80">
        <f>합산자재!I124</f>
        <v>172068</v>
      </c>
      <c r="L257" s="80">
        <f>IF(G257*K257&lt;&gt;0, TRUNC(G257*K257,1),"")</f>
        <v>18927.400000000001</v>
      </c>
      <c r="M257" s="80">
        <f>합산자재!J124</f>
        <v>0</v>
      </c>
      <c r="N257" s="80" t="str">
        <f>IF(G257*M257&lt;&gt;0, TRUNC(G257*M257,1),"")</f>
        <v/>
      </c>
      <c r="O257" s="80"/>
      <c r="P257" s="80">
        <f t="shared" si="43"/>
        <v>18927.400000000001</v>
      </c>
      <c r="Q257" s="74"/>
      <c r="AE257" s="48">
        <f>L257</f>
        <v>18927.400000000001</v>
      </c>
    </row>
    <row r="258" spans="1:31" ht="23.25" customHeight="1">
      <c r="A258" s="64" t="s">
        <v>926</v>
      </c>
      <c r="B258" s="64" t="s">
        <v>816</v>
      </c>
      <c r="C258" s="76" t="s">
        <v>927</v>
      </c>
      <c r="D258" s="74" t="s">
        <v>928</v>
      </c>
      <c r="E258" s="74" t="s">
        <v>929</v>
      </c>
      <c r="F258" s="54" t="s">
        <v>458</v>
      </c>
      <c r="G258" s="80">
        <v>1</v>
      </c>
      <c r="H258" s="80">
        <f>IF(TRUNC((AD259+AC259)/$AE$3,1)*$AE$3-AD259 &lt;0, AC259, TRUNC((AD259+AC259)/$AE$3,1)*$AE$3-AD259)</f>
        <v>3306.6000000000058</v>
      </c>
      <c r="I258" s="80">
        <f>H258</f>
        <v>3306.6000000000058</v>
      </c>
      <c r="J258" s="80">
        <v>1</v>
      </c>
      <c r="K258" s="80"/>
      <c r="L258" s="80" t="str">
        <f>IF(G258*K258&lt;&gt;0, TRUNC(G258*K258,1),"")</f>
        <v/>
      </c>
      <c r="M258" s="80"/>
      <c r="N258" s="80" t="str">
        <f>IF(G258*M258&lt;&gt;0, TRUNC(G258*M258,1),"")</f>
        <v/>
      </c>
      <c r="O258" s="80"/>
      <c r="P258" s="80">
        <f t="shared" si="43"/>
        <v>3306.6</v>
      </c>
      <c r="Q258" s="74"/>
    </row>
    <row r="259" spans="1:31" ht="23.25" customHeight="1">
      <c r="B259" s="64" t="s">
        <v>921</v>
      </c>
      <c r="D259" s="74" t="s">
        <v>922</v>
      </c>
      <c r="E259" s="74"/>
      <c r="F259" s="54"/>
      <c r="G259" s="80"/>
      <c r="H259" s="80"/>
      <c r="I259" s="80">
        <f>TRUNC(SUM(I254:I258))</f>
        <v>38396</v>
      </c>
      <c r="J259" s="80"/>
      <c r="K259" s="80"/>
      <c r="L259" s="80">
        <f>TRUNC(SUM(L254:L258))</f>
        <v>110220</v>
      </c>
      <c r="M259" s="80"/>
      <c r="N259" s="80">
        <f>TRUNC(SUM(N254:N258))</f>
        <v>0</v>
      </c>
      <c r="O259" s="80"/>
      <c r="P259" s="80">
        <f t="shared" si="43"/>
        <v>148616</v>
      </c>
      <c r="Q259" s="74"/>
      <c r="AC259" s="48">
        <f>TRUNC(AE259*옵션!$B$36/100,1)</f>
        <v>3306.6</v>
      </c>
      <c r="AD259" s="48">
        <f>TRUNC(SUM(L254:L257))</f>
        <v>110220</v>
      </c>
      <c r="AE259" s="48">
        <f>TRUNC(SUM(AE254:AE258))</f>
        <v>110220</v>
      </c>
    </row>
    <row r="260" spans="1:31" ht="23.25" customHeight="1">
      <c r="D260" s="74"/>
      <c r="E260" s="74"/>
      <c r="F260" s="54"/>
      <c r="G260" s="80"/>
      <c r="H260" s="80"/>
      <c r="I260" s="80" t="str">
        <f>IF(G260*H260&lt;&gt;0, TRUNC(G260*H260,1),"")</f>
        <v/>
      </c>
      <c r="J260" s="80"/>
      <c r="K260" s="80"/>
      <c r="L260" s="80" t="str">
        <f>IF(G260*K260&lt;&gt;0, TRUNC(G260*K260,1),"")</f>
        <v/>
      </c>
      <c r="M260" s="80"/>
      <c r="N260" s="80" t="str">
        <f>IF(G260*M260&lt;&gt;0, TRUNC(G260*M260,1),"")</f>
        <v/>
      </c>
      <c r="O260" s="80"/>
      <c r="P260" s="80" t="str">
        <f t="shared" si="43"/>
        <v/>
      </c>
      <c r="Q260" s="74"/>
    </row>
    <row r="261" spans="1:31" ht="23.25" customHeight="1">
      <c r="A261" s="64" t="s">
        <v>817</v>
      </c>
      <c r="B261" s="64" t="s">
        <v>915</v>
      </c>
      <c r="C261" s="76" t="s">
        <v>818</v>
      </c>
      <c r="D261" s="158" t="s">
        <v>999</v>
      </c>
      <c r="E261" s="159"/>
      <c r="F261" s="159"/>
      <c r="G261" s="159"/>
      <c r="H261" s="159"/>
      <c r="I261" s="159"/>
      <c r="J261" s="159"/>
      <c r="K261" s="159"/>
      <c r="L261" s="159"/>
      <c r="M261" s="159"/>
      <c r="N261" s="159"/>
      <c r="O261" s="159"/>
      <c r="P261" s="159"/>
      <c r="Q261" s="160"/>
      <c r="Z261" s="48" t="s">
        <v>920</v>
      </c>
    </row>
    <row r="262" spans="1:31" ht="23.25" customHeight="1">
      <c r="A262" s="64" t="s">
        <v>1000</v>
      </c>
      <c r="B262" s="64" t="s">
        <v>819</v>
      </c>
      <c r="C262" s="76" t="s">
        <v>313</v>
      </c>
      <c r="D262" s="74" t="s">
        <v>314</v>
      </c>
      <c r="E262" s="74" t="s">
        <v>315</v>
      </c>
      <c r="F262" s="54" t="s">
        <v>316</v>
      </c>
      <c r="G262" s="80">
        <v>1</v>
      </c>
      <c r="H262" s="80">
        <f>합산자재!H42</f>
        <v>35000</v>
      </c>
      <c r="I262" s="80">
        <f>IF(G262*H262&lt;&gt;0, TRUNC(G262*H262,1),"")</f>
        <v>35000</v>
      </c>
      <c r="J262" s="80">
        <v>1</v>
      </c>
      <c r="K262" s="80">
        <f>합산자재!I42</f>
        <v>0</v>
      </c>
      <c r="L262" s="80" t="str">
        <f>IF(G262*K262&lt;&gt;0, TRUNC(G262*K262,1),"")</f>
        <v/>
      </c>
      <c r="M262" s="80">
        <f>합산자재!J42</f>
        <v>0</v>
      </c>
      <c r="N262" s="80" t="str">
        <f>IF(G262*M262&lt;&gt;0, TRUNC(G262*M262,1),"")</f>
        <v/>
      </c>
      <c r="O262" s="80"/>
      <c r="P262" s="80">
        <f>IF(SUM(I262,L262,N262)&lt;&gt;0,TRUNC(SUM(I262,L262,N262),1),"")</f>
        <v>35000</v>
      </c>
      <c r="Q262" s="74"/>
    </row>
    <row r="263" spans="1:31" ht="23.25" customHeight="1">
      <c r="A263" s="64" t="s">
        <v>593</v>
      </c>
      <c r="B263" s="64" t="s">
        <v>819</v>
      </c>
      <c r="C263" s="76" t="s">
        <v>529</v>
      </c>
      <c r="D263" s="74" t="s">
        <v>530</v>
      </c>
      <c r="E263" s="74" t="s">
        <v>531</v>
      </c>
      <c r="F263" s="54" t="s">
        <v>532</v>
      </c>
      <c r="G263" s="80">
        <f>일위노임!G140</f>
        <v>0.48</v>
      </c>
      <c r="H263" s="80">
        <f>합산자재!H115</f>
        <v>0</v>
      </c>
      <c r="I263" s="80" t="str">
        <f>IF(G263*H263&lt;&gt;0, TRUNC(G263*H263,1),"")</f>
        <v/>
      </c>
      <c r="J263" s="80">
        <v>0.48</v>
      </c>
      <c r="K263" s="80">
        <f>합산자재!I115</f>
        <v>273676</v>
      </c>
      <c r="L263" s="80">
        <f>IF(G263*K263&lt;&gt;0, TRUNC(G263*K263,1),"")</f>
        <v>131364.4</v>
      </c>
      <c r="M263" s="80">
        <f>합산자재!J115</f>
        <v>0</v>
      </c>
      <c r="N263" s="80" t="str">
        <f>IF(G263*M263&lt;&gt;0, TRUNC(G263*M263,1),"")</f>
        <v/>
      </c>
      <c r="O263" s="80"/>
      <c r="P263" s="80">
        <f>IF(SUM(I263,L263,N263)&lt;&gt;0,TRUNC(SUM(I263,L263,N263),1),"")</f>
        <v>131364.4</v>
      </c>
      <c r="Q263" s="74"/>
      <c r="AE263" s="48">
        <f>L263</f>
        <v>131364.4</v>
      </c>
    </row>
    <row r="264" spans="1:31" ht="23.25" customHeight="1">
      <c r="A264" s="64" t="s">
        <v>926</v>
      </c>
      <c r="B264" s="64" t="s">
        <v>819</v>
      </c>
      <c r="C264" s="76" t="s">
        <v>927</v>
      </c>
      <c r="D264" s="74" t="s">
        <v>928</v>
      </c>
      <c r="E264" s="74" t="s">
        <v>929</v>
      </c>
      <c r="F264" s="54" t="s">
        <v>458</v>
      </c>
      <c r="G264" s="80">
        <v>1</v>
      </c>
      <c r="H264" s="80">
        <f>IF(TRUNC((AD265+AC265)/$AE$3,1)*$AE$3-AD265 &lt;0, AC265, TRUNC((AD265+AC265)/$AE$3,1)*$AE$3-AD265)</f>
        <v>3940.8999999999942</v>
      </c>
      <c r="I264" s="80">
        <f>H264</f>
        <v>3940.8999999999942</v>
      </c>
      <c r="J264" s="80">
        <v>1</v>
      </c>
      <c r="K264" s="80"/>
      <c r="L264" s="80" t="str">
        <f>IF(G264*K264&lt;&gt;0, TRUNC(G264*K264,1),"")</f>
        <v/>
      </c>
      <c r="M264" s="80"/>
      <c r="N264" s="80" t="str">
        <f>IF(G264*M264&lt;&gt;0, TRUNC(G264*M264,1),"")</f>
        <v/>
      </c>
      <c r="O264" s="80"/>
      <c r="P264" s="80">
        <f>IF(SUM(I264,L264,N264)&lt;&gt;0,TRUNC(SUM(I264,L264,N264),1),"")</f>
        <v>3940.8</v>
      </c>
      <c r="Q264" s="74"/>
    </row>
    <row r="265" spans="1:31" ht="23.25" customHeight="1">
      <c r="B265" s="64" t="s">
        <v>921</v>
      </c>
      <c r="D265" s="74" t="s">
        <v>922</v>
      </c>
      <c r="E265" s="74"/>
      <c r="F265" s="54"/>
      <c r="G265" s="80"/>
      <c r="H265" s="80"/>
      <c r="I265" s="80">
        <f>TRUNC(SUM(I261:I264))</f>
        <v>38940</v>
      </c>
      <c r="J265" s="80"/>
      <c r="K265" s="80"/>
      <c r="L265" s="80">
        <f>TRUNC(SUM(L261:L264))</f>
        <v>131364</v>
      </c>
      <c r="M265" s="80"/>
      <c r="N265" s="80">
        <f>TRUNC(SUM(N261:N264))</f>
        <v>0</v>
      </c>
      <c r="O265" s="80"/>
      <c r="P265" s="80">
        <f>IF(SUM(I265,L265,N265)&lt;&gt;0,TRUNC(SUM(I265,L265,N265),1),"")</f>
        <v>170304</v>
      </c>
      <c r="Q265" s="74"/>
      <c r="AC265" s="48">
        <f>TRUNC(AE265*옵션!$B$36/100,1)</f>
        <v>3940.9</v>
      </c>
      <c r="AD265" s="48">
        <f>TRUNC(SUM(L261:L263))</f>
        <v>131364</v>
      </c>
      <c r="AE265" s="48">
        <f>TRUNC(SUM(AE261:AE264))</f>
        <v>131364</v>
      </c>
    </row>
    <row r="266" spans="1:31" ht="23.25" customHeight="1">
      <c r="D266" s="74"/>
      <c r="E266" s="74"/>
      <c r="F266" s="54"/>
      <c r="G266" s="80"/>
      <c r="H266" s="80"/>
      <c r="I266" s="80" t="str">
        <f>IF(G266*H266&lt;&gt;0, TRUNC(G266*H266,1),"")</f>
        <v/>
      </c>
      <c r="J266" s="80"/>
      <c r="K266" s="80"/>
      <c r="L266" s="80" t="str">
        <f>IF(G266*K266&lt;&gt;0, TRUNC(G266*K266,1),"")</f>
        <v/>
      </c>
      <c r="M266" s="80"/>
      <c r="N266" s="80" t="str">
        <f>IF(G266*M266&lt;&gt;0, TRUNC(G266*M266,1),"")</f>
        <v/>
      </c>
      <c r="O266" s="80"/>
      <c r="P266" s="80" t="str">
        <f>IF(SUM(I266,L266,N266)&lt;&gt;0,TRUNC(SUM(I266,L266,N266),1),"")</f>
        <v/>
      </c>
      <c r="Q266" s="74"/>
      <c r="Z266" s="48" t="s">
        <v>920</v>
      </c>
    </row>
    <row r="267" spans="1:31" ht="23.25" customHeight="1">
      <c r="A267" s="64" t="s">
        <v>820</v>
      </c>
      <c r="B267" s="64" t="s">
        <v>915</v>
      </c>
      <c r="C267" s="76" t="s">
        <v>821</v>
      </c>
      <c r="D267" s="158" t="s">
        <v>1001</v>
      </c>
      <c r="E267" s="159"/>
      <c r="F267" s="159"/>
      <c r="G267" s="159"/>
      <c r="H267" s="159"/>
      <c r="I267" s="159"/>
      <c r="J267" s="159"/>
      <c r="K267" s="159"/>
      <c r="L267" s="159"/>
      <c r="M267" s="159"/>
      <c r="N267" s="159"/>
      <c r="O267" s="159"/>
      <c r="P267" s="159"/>
      <c r="Q267" s="160"/>
    </row>
    <row r="268" spans="1:31" ht="23.25" customHeight="1">
      <c r="A268" s="64" t="s">
        <v>1002</v>
      </c>
      <c r="B268" s="64" t="s">
        <v>822</v>
      </c>
      <c r="C268" s="76" t="s">
        <v>317</v>
      </c>
      <c r="D268" s="74" t="s">
        <v>318</v>
      </c>
      <c r="E268" s="74" t="s">
        <v>319</v>
      </c>
      <c r="F268" s="54" t="s">
        <v>266</v>
      </c>
      <c r="G268" s="80">
        <v>1</v>
      </c>
      <c r="H268" s="80">
        <f>합산자재!H43</f>
        <v>350000</v>
      </c>
      <c r="I268" s="80">
        <f>IF(G268*H268&lt;&gt;0, TRUNC(G268*H268,1),"")</f>
        <v>350000</v>
      </c>
      <c r="J268" s="80">
        <v>1</v>
      </c>
      <c r="K268" s="80">
        <f>합산자재!I43</f>
        <v>0</v>
      </c>
      <c r="L268" s="80" t="str">
        <f>IF(G268*K268&lt;&gt;0, TRUNC(G268*K268,1),"")</f>
        <v/>
      </c>
      <c r="M268" s="80">
        <f>합산자재!J43</f>
        <v>0</v>
      </c>
      <c r="N268" s="80" t="str">
        <f>IF(G268*M268&lt;&gt;0, TRUNC(G268*M268,1),"")</f>
        <v/>
      </c>
      <c r="O268" s="80"/>
      <c r="P268" s="80">
        <f t="shared" ref="P268:P273" si="44">IF(SUM(I268,L268,N268)&lt;&gt;0,TRUNC(SUM(I268,L268,N268),1),"")</f>
        <v>350000</v>
      </c>
      <c r="Q268" s="74"/>
    </row>
    <row r="269" spans="1:31" ht="23.25" customHeight="1">
      <c r="A269" s="64" t="s">
        <v>593</v>
      </c>
      <c r="B269" s="64" t="s">
        <v>822</v>
      </c>
      <c r="C269" s="76" t="s">
        <v>529</v>
      </c>
      <c r="D269" s="74" t="s">
        <v>530</v>
      </c>
      <c r="E269" s="74" t="s">
        <v>531</v>
      </c>
      <c r="F269" s="54" t="s">
        <v>532</v>
      </c>
      <c r="G269" s="80">
        <f>일위노임!G144</f>
        <v>0.17699999999999999</v>
      </c>
      <c r="H269" s="80">
        <f>합산자재!H115</f>
        <v>0</v>
      </c>
      <c r="I269" s="80" t="str">
        <f>IF(G269*H269&lt;&gt;0, TRUNC(G269*H269,1),"")</f>
        <v/>
      </c>
      <c r="J269" s="80">
        <v>0.17699999999999999</v>
      </c>
      <c r="K269" s="80">
        <f>합산자재!I115</f>
        <v>273676</v>
      </c>
      <c r="L269" s="80">
        <f>IF(G269*K269&lt;&gt;0, TRUNC(G269*K269,1),"")</f>
        <v>48440.6</v>
      </c>
      <c r="M269" s="80">
        <f>합산자재!J115</f>
        <v>0</v>
      </c>
      <c r="N269" s="80" t="str">
        <f>IF(G269*M269&lt;&gt;0, TRUNC(G269*M269,1),"")</f>
        <v/>
      </c>
      <c r="O269" s="80"/>
      <c r="P269" s="80">
        <f t="shared" si="44"/>
        <v>48440.6</v>
      </c>
      <c r="Q269" s="74"/>
      <c r="AE269" s="48">
        <f>L269</f>
        <v>48440.6</v>
      </c>
    </row>
    <row r="270" spans="1:31" ht="23.25" customHeight="1">
      <c r="A270" s="64" t="s">
        <v>579</v>
      </c>
      <c r="B270" s="64" t="s">
        <v>822</v>
      </c>
      <c r="C270" s="76" t="s">
        <v>549</v>
      </c>
      <c r="D270" s="74" t="s">
        <v>530</v>
      </c>
      <c r="E270" s="74" t="s">
        <v>550</v>
      </c>
      <c r="F270" s="54" t="s">
        <v>532</v>
      </c>
      <c r="G270" s="80">
        <f>일위노임!G145</f>
        <v>0.59199999999999997</v>
      </c>
      <c r="H270" s="80">
        <f>합산자재!H124</f>
        <v>0</v>
      </c>
      <c r="I270" s="80" t="str">
        <f>IF(G270*H270&lt;&gt;0, TRUNC(G270*H270,1),"")</f>
        <v/>
      </c>
      <c r="J270" s="80">
        <v>0.59199999999999997</v>
      </c>
      <c r="K270" s="80">
        <f>합산자재!I124</f>
        <v>172068</v>
      </c>
      <c r="L270" s="80">
        <f>IF(G270*K270&lt;&gt;0, TRUNC(G270*K270,1),"")</f>
        <v>101864.2</v>
      </c>
      <c r="M270" s="80">
        <f>합산자재!J124</f>
        <v>0</v>
      </c>
      <c r="N270" s="80" t="str">
        <f>IF(G270*M270&lt;&gt;0, TRUNC(G270*M270,1),"")</f>
        <v/>
      </c>
      <c r="O270" s="80"/>
      <c r="P270" s="80">
        <f t="shared" si="44"/>
        <v>101864.2</v>
      </c>
      <c r="Q270" s="74"/>
      <c r="AE270" s="48">
        <f>L270</f>
        <v>101864.2</v>
      </c>
    </row>
    <row r="271" spans="1:31" ht="23.25" customHeight="1">
      <c r="A271" s="64" t="s">
        <v>926</v>
      </c>
      <c r="B271" s="64" t="s">
        <v>822</v>
      </c>
      <c r="C271" s="76" t="s">
        <v>927</v>
      </c>
      <c r="D271" s="74" t="s">
        <v>928</v>
      </c>
      <c r="E271" s="74" t="s">
        <v>929</v>
      </c>
      <c r="F271" s="54" t="s">
        <v>458</v>
      </c>
      <c r="G271" s="80">
        <v>1</v>
      </c>
      <c r="H271" s="80">
        <f>IF(TRUNC((AD272+AC272)/$AE$3,1)*$AE$3-AD272 &lt;0, AC272, TRUNC((AD272+AC272)/$AE$3,1)*$AE$3-AD272)</f>
        <v>4509.1000000000058</v>
      </c>
      <c r="I271" s="80">
        <f>H271</f>
        <v>4509.1000000000058</v>
      </c>
      <c r="J271" s="80">
        <v>1</v>
      </c>
      <c r="K271" s="80"/>
      <c r="L271" s="80" t="str">
        <f>IF(G271*K271&lt;&gt;0, TRUNC(G271*K271,1),"")</f>
        <v/>
      </c>
      <c r="M271" s="80"/>
      <c r="N271" s="80" t="str">
        <f>IF(G271*M271&lt;&gt;0, TRUNC(G271*M271,1),"")</f>
        <v/>
      </c>
      <c r="O271" s="80"/>
      <c r="P271" s="80">
        <f t="shared" si="44"/>
        <v>4509.1000000000004</v>
      </c>
      <c r="Q271" s="74"/>
      <c r="Z271" s="48" t="s">
        <v>920</v>
      </c>
    </row>
    <row r="272" spans="1:31" ht="23.25" customHeight="1">
      <c r="B272" s="64" t="s">
        <v>921</v>
      </c>
      <c r="D272" s="74" t="s">
        <v>922</v>
      </c>
      <c r="E272" s="74"/>
      <c r="F272" s="54"/>
      <c r="G272" s="80"/>
      <c r="H272" s="80"/>
      <c r="I272" s="80">
        <f>TRUNC(SUM(I267:I271))</f>
        <v>354509</v>
      </c>
      <c r="J272" s="80"/>
      <c r="K272" s="80"/>
      <c r="L272" s="80">
        <f>TRUNC(SUM(L267:L271))</f>
        <v>150304</v>
      </c>
      <c r="M272" s="80"/>
      <c r="N272" s="80">
        <f>TRUNC(SUM(N267:N271))</f>
        <v>0</v>
      </c>
      <c r="O272" s="80"/>
      <c r="P272" s="80">
        <f t="shared" si="44"/>
        <v>504813</v>
      </c>
      <c r="Q272" s="74"/>
      <c r="AC272" s="48">
        <f>TRUNC(AE272*옵션!$B$36/100,1)</f>
        <v>4509.1000000000004</v>
      </c>
      <c r="AD272" s="48">
        <f>TRUNC(SUM(L267:L270))</f>
        <v>150304</v>
      </c>
      <c r="AE272" s="48">
        <f>TRUNC(SUM(AE267:AE271))</f>
        <v>150304</v>
      </c>
    </row>
    <row r="273" spans="1:31" ht="23.25" customHeight="1">
      <c r="D273" s="74"/>
      <c r="E273" s="74"/>
      <c r="F273" s="54"/>
      <c r="G273" s="80"/>
      <c r="H273" s="80"/>
      <c r="I273" s="80" t="str">
        <f>IF(G273*H273&lt;&gt;0, TRUNC(G273*H273,1),"")</f>
        <v/>
      </c>
      <c r="J273" s="80"/>
      <c r="K273" s="80"/>
      <c r="L273" s="80" t="str">
        <f>IF(G273*K273&lt;&gt;0, TRUNC(G273*K273,1),"")</f>
        <v/>
      </c>
      <c r="M273" s="80"/>
      <c r="N273" s="80" t="str">
        <f>IF(G273*M273&lt;&gt;0, TRUNC(G273*M273,1),"")</f>
        <v/>
      </c>
      <c r="O273" s="80"/>
      <c r="P273" s="80" t="str">
        <f t="shared" si="44"/>
        <v/>
      </c>
      <c r="Q273" s="74"/>
    </row>
    <row r="274" spans="1:31" ht="23.25" customHeight="1">
      <c r="A274" s="64" t="s">
        <v>823</v>
      </c>
      <c r="B274" s="64" t="s">
        <v>915</v>
      </c>
      <c r="C274" s="76" t="s">
        <v>824</v>
      </c>
      <c r="D274" s="158" t="s">
        <v>1003</v>
      </c>
      <c r="E274" s="159"/>
      <c r="F274" s="159"/>
      <c r="G274" s="159"/>
      <c r="H274" s="159"/>
      <c r="I274" s="159"/>
      <c r="J274" s="159"/>
      <c r="K274" s="159"/>
      <c r="L274" s="159"/>
      <c r="M274" s="159"/>
      <c r="N274" s="159"/>
      <c r="O274" s="159"/>
      <c r="P274" s="159"/>
      <c r="Q274" s="160"/>
    </row>
    <row r="275" spans="1:31" ht="23.25" customHeight="1">
      <c r="A275" s="64" t="s">
        <v>1004</v>
      </c>
      <c r="B275" s="64" t="s">
        <v>825</v>
      </c>
      <c r="C275" s="76" t="s">
        <v>320</v>
      </c>
      <c r="D275" s="74" t="s">
        <v>321</v>
      </c>
      <c r="E275" s="74" t="s">
        <v>322</v>
      </c>
      <c r="F275" s="54" t="s">
        <v>262</v>
      </c>
      <c r="G275" s="80">
        <v>1</v>
      </c>
      <c r="H275" s="80">
        <f>합산자재!H44</f>
        <v>0</v>
      </c>
      <c r="I275" s="80" t="str">
        <f t="shared" ref="I275:I280" si="45">IF(G275*H275&lt;&gt;0, TRUNC(G275*H275,1),"")</f>
        <v/>
      </c>
      <c r="J275" s="80">
        <v>1</v>
      </c>
      <c r="K275" s="80">
        <f>합산자재!I44</f>
        <v>0</v>
      </c>
      <c r="L275" s="80" t="str">
        <f t="shared" ref="L275:L281" si="46">IF(G275*K275&lt;&gt;0, TRUNC(G275*K275,1),"")</f>
        <v/>
      </c>
      <c r="M275" s="80">
        <f>합산자재!J44</f>
        <v>0</v>
      </c>
      <c r="N275" s="80" t="str">
        <f t="shared" ref="N275:N281" si="47">IF(G275*M275&lt;&gt;0, TRUNC(G275*M275,1),"")</f>
        <v/>
      </c>
      <c r="O275" s="80"/>
      <c r="P275" s="80" t="str">
        <f t="shared" ref="P275:P283" si="48">IF(SUM(I275,L275,N275)&lt;&gt;0,TRUNC(SUM(I275,L275,N275),1),"")</f>
        <v/>
      </c>
      <c r="Q275" s="74"/>
    </row>
    <row r="276" spans="1:31" ht="23.25" customHeight="1">
      <c r="A276" s="64" t="s">
        <v>656</v>
      </c>
      <c r="B276" s="64" t="s">
        <v>825</v>
      </c>
      <c r="C276" s="76" t="s">
        <v>539</v>
      </c>
      <c r="D276" s="74" t="s">
        <v>530</v>
      </c>
      <c r="E276" s="74" t="s">
        <v>540</v>
      </c>
      <c r="F276" s="54" t="s">
        <v>532</v>
      </c>
      <c r="G276" s="80">
        <f>일위노임!G152</f>
        <v>0.53600000000000003</v>
      </c>
      <c r="H276" s="80">
        <f>합산자재!H119</f>
        <v>0</v>
      </c>
      <c r="I276" s="80" t="str">
        <f t="shared" si="45"/>
        <v/>
      </c>
      <c r="J276" s="80">
        <v>0.53600000000000003</v>
      </c>
      <c r="K276" s="80">
        <f>합산자재!I119</f>
        <v>436224</v>
      </c>
      <c r="L276" s="80">
        <f t="shared" si="46"/>
        <v>233816</v>
      </c>
      <c r="M276" s="80">
        <f>합산자재!J119</f>
        <v>0</v>
      </c>
      <c r="N276" s="80" t="str">
        <f t="shared" si="47"/>
        <v/>
      </c>
      <c r="O276" s="80"/>
      <c r="P276" s="80">
        <f t="shared" si="48"/>
        <v>233816</v>
      </c>
      <c r="Q276" s="74"/>
      <c r="Z276" s="48" t="s">
        <v>920</v>
      </c>
      <c r="AE276" s="48">
        <f>L276</f>
        <v>233816</v>
      </c>
    </row>
    <row r="277" spans="1:31" ht="23.25" customHeight="1">
      <c r="A277" s="64" t="s">
        <v>657</v>
      </c>
      <c r="B277" s="64" t="s">
        <v>825</v>
      </c>
      <c r="C277" s="76" t="s">
        <v>541</v>
      </c>
      <c r="D277" s="74" t="s">
        <v>530</v>
      </c>
      <c r="E277" s="74" t="s">
        <v>542</v>
      </c>
      <c r="F277" s="54" t="s">
        <v>532</v>
      </c>
      <c r="G277" s="80">
        <f>일위노임!G153</f>
        <v>0.16</v>
      </c>
      <c r="H277" s="80">
        <f>합산자재!H120</f>
        <v>0</v>
      </c>
      <c r="I277" s="80" t="str">
        <f t="shared" si="45"/>
        <v/>
      </c>
      <c r="J277" s="80">
        <v>0.16</v>
      </c>
      <c r="K277" s="80">
        <f>합산자재!I120</f>
        <v>315528</v>
      </c>
      <c r="L277" s="80">
        <f t="shared" si="46"/>
        <v>50484.4</v>
      </c>
      <c r="M277" s="80">
        <f>합산자재!J120</f>
        <v>0</v>
      </c>
      <c r="N277" s="80" t="str">
        <f t="shared" si="47"/>
        <v/>
      </c>
      <c r="O277" s="80"/>
      <c r="P277" s="80">
        <f t="shared" si="48"/>
        <v>50484.4</v>
      </c>
      <c r="Q277" s="74"/>
      <c r="AE277" s="48">
        <f>L277</f>
        <v>50484.4</v>
      </c>
    </row>
    <row r="278" spans="1:31" ht="23.25" customHeight="1">
      <c r="A278" s="64" t="s">
        <v>654</v>
      </c>
      <c r="B278" s="64" t="s">
        <v>825</v>
      </c>
      <c r="C278" s="76" t="s">
        <v>545</v>
      </c>
      <c r="D278" s="74" t="s">
        <v>530</v>
      </c>
      <c r="E278" s="74" t="s">
        <v>546</v>
      </c>
      <c r="F278" s="54" t="s">
        <v>532</v>
      </c>
      <c r="G278" s="80">
        <f>일위노임!G154</f>
        <v>0.65600000000000003</v>
      </c>
      <c r="H278" s="80">
        <f>합산자재!H122</f>
        <v>0</v>
      </c>
      <c r="I278" s="80" t="str">
        <f t="shared" si="45"/>
        <v/>
      </c>
      <c r="J278" s="80">
        <v>0.65600000000000003</v>
      </c>
      <c r="K278" s="80">
        <f>합산자재!I122</f>
        <v>304509</v>
      </c>
      <c r="L278" s="80">
        <f t="shared" si="46"/>
        <v>199757.9</v>
      </c>
      <c r="M278" s="80">
        <f>합산자재!J122</f>
        <v>0</v>
      </c>
      <c r="N278" s="80" t="str">
        <f t="shared" si="47"/>
        <v/>
      </c>
      <c r="O278" s="80"/>
      <c r="P278" s="80">
        <f t="shared" si="48"/>
        <v>199757.9</v>
      </c>
      <c r="Q278" s="74"/>
      <c r="AE278" s="48">
        <f>L278</f>
        <v>199757.9</v>
      </c>
    </row>
    <row r="279" spans="1:31" ht="23.25" customHeight="1">
      <c r="A279" s="64" t="s">
        <v>579</v>
      </c>
      <c r="B279" s="64" t="s">
        <v>825</v>
      </c>
      <c r="C279" s="76" t="s">
        <v>549</v>
      </c>
      <c r="D279" s="74" t="s">
        <v>530</v>
      </c>
      <c r="E279" s="74" t="s">
        <v>550</v>
      </c>
      <c r="F279" s="54" t="s">
        <v>532</v>
      </c>
      <c r="G279" s="80">
        <f>일위노임!G155</f>
        <v>1.1759999999999999</v>
      </c>
      <c r="H279" s="80">
        <f>합산자재!H124</f>
        <v>0</v>
      </c>
      <c r="I279" s="80" t="str">
        <f t="shared" si="45"/>
        <v/>
      </c>
      <c r="J279" s="80">
        <v>1.1759999999999999</v>
      </c>
      <c r="K279" s="80">
        <f>합산자재!I124</f>
        <v>172068</v>
      </c>
      <c r="L279" s="80">
        <f t="shared" si="46"/>
        <v>202351.9</v>
      </c>
      <c r="M279" s="80">
        <f>합산자재!J124</f>
        <v>0</v>
      </c>
      <c r="N279" s="80" t="str">
        <f t="shared" si="47"/>
        <v/>
      </c>
      <c r="O279" s="80"/>
      <c r="P279" s="80">
        <f t="shared" si="48"/>
        <v>202351.9</v>
      </c>
      <c r="Q279" s="74"/>
      <c r="AE279" s="48">
        <f>L279</f>
        <v>202351.9</v>
      </c>
    </row>
    <row r="280" spans="1:31" ht="23.25" customHeight="1">
      <c r="A280" s="64" t="s">
        <v>658</v>
      </c>
      <c r="B280" s="64" t="s">
        <v>825</v>
      </c>
      <c r="C280" s="76" t="s">
        <v>561</v>
      </c>
      <c r="D280" s="74" t="s">
        <v>530</v>
      </c>
      <c r="E280" s="74" t="s">
        <v>562</v>
      </c>
      <c r="F280" s="54" t="s">
        <v>532</v>
      </c>
      <c r="G280" s="80">
        <f>일위노임!G156</f>
        <v>0.04</v>
      </c>
      <c r="H280" s="80">
        <f>합산자재!H130</f>
        <v>0</v>
      </c>
      <c r="I280" s="80" t="str">
        <f t="shared" si="45"/>
        <v/>
      </c>
      <c r="J280" s="80">
        <v>0.04</v>
      </c>
      <c r="K280" s="80">
        <f>합산자재!I130</f>
        <v>393090</v>
      </c>
      <c r="L280" s="80">
        <f t="shared" si="46"/>
        <v>15723.6</v>
      </c>
      <c r="M280" s="80">
        <f>합산자재!J130</f>
        <v>0</v>
      </c>
      <c r="N280" s="80" t="str">
        <f t="shared" si="47"/>
        <v/>
      </c>
      <c r="O280" s="80"/>
      <c r="P280" s="80">
        <f t="shared" si="48"/>
        <v>15723.6</v>
      </c>
      <c r="Q280" s="74"/>
      <c r="AE280" s="48">
        <f>L280</f>
        <v>15723.6</v>
      </c>
    </row>
    <row r="281" spans="1:31" ht="23.25" customHeight="1">
      <c r="A281" s="64" t="s">
        <v>926</v>
      </c>
      <c r="B281" s="64" t="s">
        <v>825</v>
      </c>
      <c r="C281" s="76" t="s">
        <v>927</v>
      </c>
      <c r="D281" s="74" t="s">
        <v>928</v>
      </c>
      <c r="E281" s="74" t="s">
        <v>929</v>
      </c>
      <c r="F281" s="54" t="s">
        <v>458</v>
      </c>
      <c r="G281" s="80">
        <v>1</v>
      </c>
      <c r="H281" s="80">
        <f>IF(TRUNC((AD282+AC282)/$AE$3,1)*$AE$3-AD282 &lt;0, AC282, TRUNC((AD282+AC282)/$AE$3,1)*$AE$3-AD282)</f>
        <v>21063.900000000023</v>
      </c>
      <c r="I281" s="80">
        <f>H281</f>
        <v>21063.900000000023</v>
      </c>
      <c r="J281" s="80">
        <v>1</v>
      </c>
      <c r="K281" s="80"/>
      <c r="L281" s="80" t="str">
        <f t="shared" si="46"/>
        <v/>
      </c>
      <c r="M281" s="80"/>
      <c r="N281" s="80" t="str">
        <f t="shared" si="47"/>
        <v/>
      </c>
      <c r="O281" s="80"/>
      <c r="P281" s="80">
        <f t="shared" si="48"/>
        <v>21063.9</v>
      </c>
      <c r="Q281" s="74"/>
      <c r="Z281" s="48" t="s">
        <v>920</v>
      </c>
    </row>
    <row r="282" spans="1:31" ht="23.25" customHeight="1">
      <c r="B282" s="64" t="s">
        <v>921</v>
      </c>
      <c r="D282" s="74" t="s">
        <v>922</v>
      </c>
      <c r="E282" s="74"/>
      <c r="F282" s="54"/>
      <c r="G282" s="80"/>
      <c r="H282" s="80"/>
      <c r="I282" s="80">
        <f>TRUNC(SUM(I274:I281))</f>
        <v>21063</v>
      </c>
      <c r="J282" s="80"/>
      <c r="K282" s="80"/>
      <c r="L282" s="80">
        <f>TRUNC(SUM(L274:L281))</f>
        <v>702133</v>
      </c>
      <c r="M282" s="80"/>
      <c r="N282" s="80">
        <f>TRUNC(SUM(N274:N281))</f>
        <v>0</v>
      </c>
      <c r="O282" s="80"/>
      <c r="P282" s="80">
        <f t="shared" si="48"/>
        <v>723196</v>
      </c>
      <c r="Q282" s="74"/>
      <c r="AC282" s="48">
        <f>TRUNC(AE282*옵션!$B$36/100,1)</f>
        <v>21063.9</v>
      </c>
      <c r="AD282" s="48">
        <f>TRUNC(SUM(L274:L280))</f>
        <v>702133</v>
      </c>
      <c r="AE282" s="48">
        <f>TRUNC(SUM(AE274:AE281))</f>
        <v>702133</v>
      </c>
    </row>
    <row r="283" spans="1:31" ht="23.25" customHeight="1">
      <c r="D283" s="74"/>
      <c r="E283" s="74"/>
      <c r="F283" s="54"/>
      <c r="G283" s="80"/>
      <c r="H283" s="80"/>
      <c r="I283" s="80" t="str">
        <f>IF(G283*H283&lt;&gt;0, TRUNC(G283*H283,1),"")</f>
        <v/>
      </c>
      <c r="J283" s="80"/>
      <c r="K283" s="80"/>
      <c r="L283" s="80" t="str">
        <f>IF(G283*K283&lt;&gt;0, TRUNC(G283*K283,1),"")</f>
        <v/>
      </c>
      <c r="M283" s="80"/>
      <c r="N283" s="80" t="str">
        <f>IF(G283*M283&lt;&gt;0, TRUNC(G283*M283,1),"")</f>
        <v/>
      </c>
      <c r="O283" s="80"/>
      <c r="P283" s="80" t="str">
        <f t="shared" si="48"/>
        <v/>
      </c>
      <c r="Q283" s="74"/>
    </row>
    <row r="284" spans="1:31" ht="23.25" customHeight="1">
      <c r="A284" s="64" t="s">
        <v>826</v>
      </c>
      <c r="B284" s="64" t="s">
        <v>915</v>
      </c>
      <c r="C284" s="76" t="s">
        <v>827</v>
      </c>
      <c r="D284" s="158" t="s">
        <v>1005</v>
      </c>
      <c r="E284" s="159"/>
      <c r="F284" s="159"/>
      <c r="G284" s="159"/>
      <c r="H284" s="159"/>
      <c r="I284" s="159"/>
      <c r="J284" s="159"/>
      <c r="K284" s="159"/>
      <c r="L284" s="159"/>
      <c r="M284" s="159"/>
      <c r="N284" s="159"/>
      <c r="O284" s="159"/>
      <c r="P284" s="159"/>
      <c r="Q284" s="160"/>
    </row>
    <row r="285" spans="1:31" ht="23.25" customHeight="1">
      <c r="A285" s="64" t="s">
        <v>1006</v>
      </c>
      <c r="B285" s="64" t="s">
        <v>828</v>
      </c>
      <c r="C285" s="76" t="s">
        <v>332</v>
      </c>
      <c r="D285" s="74" t="s">
        <v>333</v>
      </c>
      <c r="E285" s="74" t="s">
        <v>334</v>
      </c>
      <c r="F285" s="54" t="s">
        <v>196</v>
      </c>
      <c r="G285" s="80">
        <v>1</v>
      </c>
      <c r="H285" s="80">
        <f>합산자재!H48</f>
        <v>0</v>
      </c>
      <c r="I285" s="80" t="str">
        <f>IF(G285*H285&lt;&gt;0, TRUNC(G285*H285,1),"")</f>
        <v/>
      </c>
      <c r="J285" s="80">
        <v>1</v>
      </c>
      <c r="K285" s="80">
        <f>합산자재!I48</f>
        <v>0</v>
      </c>
      <c r="L285" s="80" t="str">
        <f>IF(G285*K285&lt;&gt;0, TRUNC(G285*K285,1),"")</f>
        <v/>
      </c>
      <c r="M285" s="80">
        <f>합산자재!J48</f>
        <v>0</v>
      </c>
      <c r="N285" s="80" t="str">
        <f>IF(G285*M285&lt;&gt;0, TRUNC(G285*M285,1),"")</f>
        <v/>
      </c>
      <c r="O285" s="80"/>
      <c r="P285" s="80" t="str">
        <f t="shared" ref="P285:P290" si="49">IF(SUM(I285,L285,N285)&lt;&gt;0,TRUNC(SUM(I285,L285,N285),1),"")</f>
        <v/>
      </c>
      <c r="Q285" s="74"/>
      <c r="AC285" s="48">
        <f>G285*H285</f>
        <v>0</v>
      </c>
    </row>
    <row r="286" spans="1:31" ht="23.25" customHeight="1">
      <c r="A286" s="64" t="s">
        <v>621</v>
      </c>
      <c r="B286" s="64" t="s">
        <v>828</v>
      </c>
      <c r="C286" s="76" t="s">
        <v>533</v>
      </c>
      <c r="D286" s="74" t="s">
        <v>530</v>
      </c>
      <c r="E286" s="74" t="s">
        <v>534</v>
      </c>
      <c r="F286" s="54" t="s">
        <v>532</v>
      </c>
      <c r="G286" s="80">
        <f>일위노임!G160</f>
        <v>8.7799999999999996E-3</v>
      </c>
      <c r="H286" s="80">
        <f>합산자재!H116</f>
        <v>0</v>
      </c>
      <c r="I286" s="80" t="str">
        <f>IF(G286*H286&lt;&gt;0, TRUNC(G286*H286,1),"")</f>
        <v/>
      </c>
      <c r="J286" s="80">
        <v>8.7799999999999996E-3</v>
      </c>
      <c r="K286" s="80">
        <f>합산자재!I116</f>
        <v>304156</v>
      </c>
      <c r="L286" s="80">
        <f>IF(G286*K286&lt;&gt;0, TRUNC(G286*K286,1),"")</f>
        <v>2670.4</v>
      </c>
      <c r="M286" s="80">
        <f>합산자재!J116</f>
        <v>0</v>
      </c>
      <c r="N286" s="80" t="str">
        <f>IF(G286*M286&lt;&gt;0, TRUNC(G286*M286,1),"")</f>
        <v/>
      </c>
      <c r="O286" s="80"/>
      <c r="P286" s="80">
        <f t="shared" si="49"/>
        <v>2670.4</v>
      </c>
      <c r="Q286" s="74"/>
      <c r="Z286" s="48" t="s">
        <v>920</v>
      </c>
      <c r="AE286" s="48">
        <f>L286</f>
        <v>2670.4</v>
      </c>
    </row>
    <row r="287" spans="1:31" ht="23.25" customHeight="1">
      <c r="A287" s="64" t="s">
        <v>579</v>
      </c>
      <c r="B287" s="64" t="s">
        <v>828</v>
      </c>
      <c r="C287" s="76" t="s">
        <v>549</v>
      </c>
      <c r="D287" s="74" t="s">
        <v>530</v>
      </c>
      <c r="E287" s="74" t="s">
        <v>550</v>
      </c>
      <c r="F287" s="54" t="s">
        <v>532</v>
      </c>
      <c r="G287" s="80">
        <f>일위노임!G161</f>
        <v>8.7799999999999996E-3</v>
      </c>
      <c r="H287" s="80">
        <f>합산자재!H124</f>
        <v>0</v>
      </c>
      <c r="I287" s="80" t="str">
        <f>IF(G287*H287&lt;&gt;0, TRUNC(G287*H287,1),"")</f>
        <v/>
      </c>
      <c r="J287" s="80">
        <v>8.7799999999999996E-3</v>
      </c>
      <c r="K287" s="80">
        <f>합산자재!I124</f>
        <v>172068</v>
      </c>
      <c r="L287" s="80">
        <f>IF(G287*K287&lt;&gt;0, TRUNC(G287*K287,1),"")</f>
        <v>1510.7</v>
      </c>
      <c r="M287" s="80">
        <f>합산자재!J124</f>
        <v>0</v>
      </c>
      <c r="N287" s="80" t="str">
        <f>IF(G287*M287&lt;&gt;0, TRUNC(G287*M287,1),"")</f>
        <v/>
      </c>
      <c r="O287" s="80"/>
      <c r="P287" s="80">
        <f t="shared" si="49"/>
        <v>1510.7</v>
      </c>
      <c r="Q287" s="74"/>
      <c r="AE287" s="48">
        <f>L287</f>
        <v>1510.7</v>
      </c>
    </row>
    <row r="288" spans="1:31" ht="23.25" customHeight="1">
      <c r="A288" s="64" t="s">
        <v>926</v>
      </c>
      <c r="B288" s="64" t="s">
        <v>828</v>
      </c>
      <c r="C288" s="76" t="s">
        <v>927</v>
      </c>
      <c r="D288" s="74" t="s">
        <v>928</v>
      </c>
      <c r="E288" s="74" t="s">
        <v>929</v>
      </c>
      <c r="F288" s="54" t="s">
        <v>458</v>
      </c>
      <c r="G288" s="80">
        <v>1</v>
      </c>
      <c r="H288" s="80">
        <f>IF(TRUNC((AD289+AC289)/$AE$3,1)*$AE$3-AD289 &lt;0, AC289, TRUNC((AD289+AC289)/$AE$3,1)*$AE$3-AD289)</f>
        <v>125.39999999999964</v>
      </c>
      <c r="I288" s="80">
        <f>H288</f>
        <v>125.39999999999964</v>
      </c>
      <c r="J288" s="80">
        <v>1</v>
      </c>
      <c r="K288" s="80"/>
      <c r="L288" s="80" t="str">
        <f>IF(G288*K288&lt;&gt;0, TRUNC(G288*K288,1),"")</f>
        <v/>
      </c>
      <c r="M288" s="80"/>
      <c r="N288" s="80" t="str">
        <f>IF(G288*M288&lt;&gt;0, TRUNC(G288*M288,1),"")</f>
        <v/>
      </c>
      <c r="O288" s="80"/>
      <c r="P288" s="80">
        <f t="shared" si="49"/>
        <v>125.4</v>
      </c>
      <c r="Q288" s="74"/>
    </row>
    <row r="289" spans="1:31" ht="23.25" customHeight="1">
      <c r="B289" s="64" t="s">
        <v>921</v>
      </c>
      <c r="D289" s="74" t="s">
        <v>922</v>
      </c>
      <c r="E289" s="74"/>
      <c r="F289" s="54"/>
      <c r="G289" s="80"/>
      <c r="H289" s="80"/>
      <c r="I289" s="80">
        <f>TRUNC(SUM(I284:I288))</f>
        <v>125</v>
      </c>
      <c r="J289" s="80"/>
      <c r="K289" s="80"/>
      <c r="L289" s="80">
        <f>TRUNC(SUM(L284:L288))</f>
        <v>4181</v>
      </c>
      <c r="M289" s="80"/>
      <c r="N289" s="80">
        <f>TRUNC(SUM(N284:N288))</f>
        <v>0</v>
      </c>
      <c r="O289" s="80"/>
      <c r="P289" s="80">
        <f t="shared" si="49"/>
        <v>4306</v>
      </c>
      <c r="Q289" s="74"/>
      <c r="AC289" s="48">
        <f>TRUNC(AE289*옵션!$B$36/100,1)</f>
        <v>125.4</v>
      </c>
      <c r="AD289" s="48">
        <f>TRUNC(SUM(L284:L287))</f>
        <v>4181</v>
      </c>
      <c r="AE289" s="48">
        <f>TRUNC(SUM(AE284:AE288))</f>
        <v>4181</v>
      </c>
    </row>
    <row r="290" spans="1:31" ht="23.25" customHeight="1">
      <c r="D290" s="74"/>
      <c r="E290" s="74"/>
      <c r="F290" s="54"/>
      <c r="G290" s="80"/>
      <c r="H290" s="80"/>
      <c r="I290" s="80" t="str">
        <f>IF(G290*H290&lt;&gt;0, TRUNC(G290*H290,1),"")</f>
        <v/>
      </c>
      <c r="J290" s="80"/>
      <c r="K290" s="80"/>
      <c r="L290" s="80" t="str">
        <f>IF(G290*K290&lt;&gt;0, TRUNC(G290*K290,1),"")</f>
        <v/>
      </c>
      <c r="M290" s="80"/>
      <c r="N290" s="80" t="str">
        <f>IF(G290*M290&lt;&gt;0, TRUNC(G290*M290,1),"")</f>
        <v/>
      </c>
      <c r="O290" s="80"/>
      <c r="P290" s="80" t="str">
        <f t="shared" si="49"/>
        <v/>
      </c>
      <c r="Q290" s="74"/>
    </row>
    <row r="291" spans="1:31" ht="23.25" customHeight="1">
      <c r="A291" s="64" t="s">
        <v>829</v>
      </c>
      <c r="B291" s="64" t="s">
        <v>915</v>
      </c>
      <c r="C291" s="76" t="s">
        <v>830</v>
      </c>
      <c r="D291" s="158" t="s">
        <v>1007</v>
      </c>
      <c r="E291" s="159"/>
      <c r="F291" s="159"/>
      <c r="G291" s="159"/>
      <c r="H291" s="159"/>
      <c r="I291" s="159"/>
      <c r="J291" s="159"/>
      <c r="K291" s="159"/>
      <c r="L291" s="159"/>
      <c r="M291" s="159"/>
      <c r="N291" s="159"/>
      <c r="O291" s="159"/>
      <c r="P291" s="159"/>
      <c r="Q291" s="160"/>
    </row>
    <row r="292" spans="1:31" ht="23.25" customHeight="1">
      <c r="A292" s="64" t="s">
        <v>1008</v>
      </c>
      <c r="B292" s="64" t="s">
        <v>831</v>
      </c>
      <c r="C292" s="76" t="s">
        <v>332</v>
      </c>
      <c r="D292" s="74" t="s">
        <v>333</v>
      </c>
      <c r="E292" s="74" t="s">
        <v>335</v>
      </c>
      <c r="F292" s="54" t="s">
        <v>196</v>
      </c>
      <c r="G292" s="80">
        <v>1</v>
      </c>
      <c r="H292" s="80">
        <f>합산자재!H49</f>
        <v>0</v>
      </c>
      <c r="I292" s="80" t="str">
        <f>IF(G292*H292&lt;&gt;0, TRUNC(G292*H292,1),"")</f>
        <v/>
      </c>
      <c r="J292" s="80">
        <v>1</v>
      </c>
      <c r="K292" s="80">
        <f>합산자재!I49</f>
        <v>0</v>
      </c>
      <c r="L292" s="80" t="str">
        <f>IF(G292*K292&lt;&gt;0, TRUNC(G292*K292,1),"")</f>
        <v/>
      </c>
      <c r="M292" s="80">
        <f>합산자재!J49</f>
        <v>0</v>
      </c>
      <c r="N292" s="80" t="str">
        <f>IF(G292*M292&lt;&gt;0, TRUNC(G292*M292,1),"")</f>
        <v/>
      </c>
      <c r="O292" s="80"/>
      <c r="P292" s="80" t="str">
        <f t="shared" ref="P292:P297" si="50">IF(SUM(I292,L292,N292)&lt;&gt;0,TRUNC(SUM(I292,L292,N292),1),"")</f>
        <v/>
      </c>
      <c r="Q292" s="74"/>
      <c r="AC292" s="48">
        <f>G292*H292</f>
        <v>0</v>
      </c>
    </row>
    <row r="293" spans="1:31" ht="23.25" customHeight="1">
      <c r="A293" s="64" t="s">
        <v>621</v>
      </c>
      <c r="B293" s="64" t="s">
        <v>831</v>
      </c>
      <c r="C293" s="76" t="s">
        <v>533</v>
      </c>
      <c r="D293" s="74" t="s">
        <v>530</v>
      </c>
      <c r="E293" s="74" t="s">
        <v>534</v>
      </c>
      <c r="F293" s="54" t="s">
        <v>532</v>
      </c>
      <c r="G293" s="80">
        <f>일위노임!G165</f>
        <v>9.1999999999999998E-3</v>
      </c>
      <c r="H293" s="80">
        <f>합산자재!H116</f>
        <v>0</v>
      </c>
      <c r="I293" s="80" t="str">
        <f>IF(G293*H293&lt;&gt;0, TRUNC(G293*H293,1),"")</f>
        <v/>
      </c>
      <c r="J293" s="80">
        <v>9.1999999999999998E-3</v>
      </c>
      <c r="K293" s="80">
        <f>합산자재!I116</f>
        <v>304156</v>
      </c>
      <c r="L293" s="80">
        <f>IF(G293*K293&lt;&gt;0, TRUNC(G293*K293,1),"")</f>
        <v>2798.2</v>
      </c>
      <c r="M293" s="80">
        <f>합산자재!J116</f>
        <v>0</v>
      </c>
      <c r="N293" s="80" t="str">
        <f>IF(G293*M293&lt;&gt;0, TRUNC(G293*M293,1),"")</f>
        <v/>
      </c>
      <c r="O293" s="80"/>
      <c r="P293" s="80">
        <f t="shared" si="50"/>
        <v>2798.2</v>
      </c>
      <c r="Q293" s="74"/>
      <c r="AE293" s="48">
        <f>L293</f>
        <v>2798.2</v>
      </c>
    </row>
    <row r="294" spans="1:31" ht="23.25" customHeight="1">
      <c r="A294" s="64" t="s">
        <v>579</v>
      </c>
      <c r="B294" s="64" t="s">
        <v>831</v>
      </c>
      <c r="C294" s="76" t="s">
        <v>549</v>
      </c>
      <c r="D294" s="74" t="s">
        <v>530</v>
      </c>
      <c r="E294" s="74" t="s">
        <v>550</v>
      </c>
      <c r="F294" s="54" t="s">
        <v>532</v>
      </c>
      <c r="G294" s="80">
        <f>일위노임!G166</f>
        <v>9.1999999999999998E-3</v>
      </c>
      <c r="H294" s="80">
        <f>합산자재!H124</f>
        <v>0</v>
      </c>
      <c r="I294" s="80" t="str">
        <f>IF(G294*H294&lt;&gt;0, TRUNC(G294*H294,1),"")</f>
        <v/>
      </c>
      <c r="J294" s="80">
        <v>9.1999999999999998E-3</v>
      </c>
      <c r="K294" s="80">
        <f>합산자재!I124</f>
        <v>172068</v>
      </c>
      <c r="L294" s="80">
        <f>IF(G294*K294&lt;&gt;0, TRUNC(G294*K294,1),"")</f>
        <v>1583</v>
      </c>
      <c r="M294" s="80">
        <f>합산자재!J124</f>
        <v>0</v>
      </c>
      <c r="N294" s="80" t="str">
        <f>IF(G294*M294&lt;&gt;0, TRUNC(G294*M294,1),"")</f>
        <v/>
      </c>
      <c r="O294" s="80"/>
      <c r="P294" s="80">
        <f t="shared" si="50"/>
        <v>1583</v>
      </c>
      <c r="Q294" s="74"/>
      <c r="AE294" s="48">
        <f>L294</f>
        <v>1583</v>
      </c>
    </row>
    <row r="295" spans="1:31" ht="23.25" customHeight="1">
      <c r="A295" s="64" t="s">
        <v>926</v>
      </c>
      <c r="B295" s="64" t="s">
        <v>831</v>
      </c>
      <c r="C295" s="76" t="s">
        <v>927</v>
      </c>
      <c r="D295" s="74" t="s">
        <v>928</v>
      </c>
      <c r="E295" s="74" t="s">
        <v>929</v>
      </c>
      <c r="F295" s="54" t="s">
        <v>458</v>
      </c>
      <c r="G295" s="80">
        <v>1</v>
      </c>
      <c r="H295" s="80">
        <f>IF(TRUNC((AD296+AC296)/$AE$3,1)*$AE$3-AD296 &lt;0, AC296, TRUNC((AD296+AC296)/$AE$3,1)*$AE$3-AD296)</f>
        <v>131.39999999999964</v>
      </c>
      <c r="I295" s="80">
        <f>H295</f>
        <v>131.39999999999964</v>
      </c>
      <c r="J295" s="80">
        <v>1</v>
      </c>
      <c r="K295" s="80"/>
      <c r="L295" s="80" t="str">
        <f>IF(G295*K295&lt;&gt;0, TRUNC(G295*K295,1),"")</f>
        <v/>
      </c>
      <c r="M295" s="80"/>
      <c r="N295" s="80" t="str">
        <f>IF(G295*M295&lt;&gt;0, TRUNC(G295*M295,1),"")</f>
        <v/>
      </c>
      <c r="O295" s="80"/>
      <c r="P295" s="80">
        <f t="shared" si="50"/>
        <v>131.4</v>
      </c>
      <c r="Q295" s="74"/>
    </row>
    <row r="296" spans="1:31" ht="23.25" customHeight="1">
      <c r="B296" s="64" t="s">
        <v>921</v>
      </c>
      <c r="D296" s="74" t="s">
        <v>922</v>
      </c>
      <c r="E296" s="74"/>
      <c r="F296" s="54"/>
      <c r="G296" s="80"/>
      <c r="H296" s="80"/>
      <c r="I296" s="80">
        <f>TRUNC(SUM(I291:I295))</f>
        <v>131</v>
      </c>
      <c r="J296" s="80"/>
      <c r="K296" s="80"/>
      <c r="L296" s="80">
        <f>TRUNC(SUM(L291:L295))</f>
        <v>4381</v>
      </c>
      <c r="M296" s="80"/>
      <c r="N296" s="80">
        <f>TRUNC(SUM(N291:N295))</f>
        <v>0</v>
      </c>
      <c r="O296" s="80"/>
      <c r="P296" s="80">
        <f t="shared" si="50"/>
        <v>4512</v>
      </c>
      <c r="Q296" s="74"/>
      <c r="AC296" s="48">
        <f>TRUNC(AE296*옵션!$B$36/100,1)</f>
        <v>131.4</v>
      </c>
      <c r="AD296" s="48">
        <f>TRUNC(SUM(L291:L294))</f>
        <v>4381</v>
      </c>
      <c r="AE296" s="48">
        <f>TRUNC(SUM(AE291:AE295))</f>
        <v>4381</v>
      </c>
    </row>
    <row r="297" spans="1:31" ht="23.25" customHeight="1">
      <c r="D297" s="74"/>
      <c r="E297" s="74"/>
      <c r="F297" s="54"/>
      <c r="G297" s="80"/>
      <c r="H297" s="80"/>
      <c r="I297" s="80" t="str">
        <f>IF(G297*H297&lt;&gt;0, TRUNC(G297*H297,1),"")</f>
        <v/>
      </c>
      <c r="J297" s="80"/>
      <c r="K297" s="80"/>
      <c r="L297" s="80" t="str">
        <f>IF(G297*K297&lt;&gt;0, TRUNC(G297*K297,1),"")</f>
        <v/>
      </c>
      <c r="M297" s="80"/>
      <c r="N297" s="80" t="str">
        <f>IF(G297*M297&lt;&gt;0, TRUNC(G297*M297,1),"")</f>
        <v/>
      </c>
      <c r="O297" s="80"/>
      <c r="P297" s="80" t="str">
        <f t="shared" si="50"/>
        <v/>
      </c>
      <c r="Q297" s="74"/>
    </row>
    <row r="298" spans="1:31" ht="23.25" customHeight="1">
      <c r="A298" s="64" t="s">
        <v>832</v>
      </c>
      <c r="B298" s="64" t="s">
        <v>915</v>
      </c>
      <c r="C298" s="76" t="s">
        <v>833</v>
      </c>
      <c r="D298" s="158" t="s">
        <v>1009</v>
      </c>
      <c r="E298" s="159"/>
      <c r="F298" s="159"/>
      <c r="G298" s="159"/>
      <c r="H298" s="159"/>
      <c r="I298" s="159"/>
      <c r="J298" s="159"/>
      <c r="K298" s="159"/>
      <c r="L298" s="159"/>
      <c r="M298" s="159"/>
      <c r="N298" s="159"/>
      <c r="O298" s="159"/>
      <c r="P298" s="159"/>
      <c r="Q298" s="160"/>
    </row>
    <row r="299" spans="1:31" ht="23.25" customHeight="1">
      <c r="A299" s="64" t="s">
        <v>1010</v>
      </c>
      <c r="B299" s="64" t="s">
        <v>834</v>
      </c>
      <c r="C299" s="76" t="s">
        <v>332</v>
      </c>
      <c r="D299" s="74" t="s">
        <v>333</v>
      </c>
      <c r="E299" s="74" t="s">
        <v>336</v>
      </c>
      <c r="F299" s="54" t="s">
        <v>196</v>
      </c>
      <c r="G299" s="80">
        <v>1</v>
      </c>
      <c r="H299" s="80">
        <f>합산자재!H50</f>
        <v>0</v>
      </c>
      <c r="I299" s="80" t="str">
        <f>IF(G299*H299&lt;&gt;0, TRUNC(G299*H299,1),"")</f>
        <v/>
      </c>
      <c r="J299" s="80">
        <v>1</v>
      </c>
      <c r="K299" s="80">
        <f>합산자재!I50</f>
        <v>0</v>
      </c>
      <c r="L299" s="80" t="str">
        <f>IF(G299*K299&lt;&gt;0, TRUNC(G299*K299,1),"")</f>
        <v/>
      </c>
      <c r="M299" s="80">
        <f>합산자재!J50</f>
        <v>0</v>
      </c>
      <c r="N299" s="80" t="str">
        <f>IF(G299*M299&lt;&gt;0, TRUNC(G299*M299,1),"")</f>
        <v/>
      </c>
      <c r="O299" s="80"/>
      <c r="P299" s="80" t="str">
        <f t="shared" ref="P299:P304" si="51">IF(SUM(I299,L299,N299)&lt;&gt;0,TRUNC(SUM(I299,L299,N299),1),"")</f>
        <v/>
      </c>
      <c r="Q299" s="74"/>
      <c r="AC299" s="48">
        <f>G299*H299</f>
        <v>0</v>
      </c>
    </row>
    <row r="300" spans="1:31" ht="23.25" customHeight="1">
      <c r="A300" s="64" t="s">
        <v>621</v>
      </c>
      <c r="B300" s="64" t="s">
        <v>834</v>
      </c>
      <c r="C300" s="76" t="s">
        <v>533</v>
      </c>
      <c r="D300" s="74" t="s">
        <v>530</v>
      </c>
      <c r="E300" s="74" t="s">
        <v>534</v>
      </c>
      <c r="F300" s="54" t="s">
        <v>532</v>
      </c>
      <c r="G300" s="80">
        <f>일위노임!G170</f>
        <v>1.0030000000000001E-2</v>
      </c>
      <c r="H300" s="80">
        <f>합산자재!H116</f>
        <v>0</v>
      </c>
      <c r="I300" s="80" t="str">
        <f>IF(G300*H300&lt;&gt;0, TRUNC(G300*H300,1),"")</f>
        <v/>
      </c>
      <c r="J300" s="80">
        <v>1.0030000000000001E-2</v>
      </c>
      <c r="K300" s="80">
        <f>합산자재!I116</f>
        <v>304156</v>
      </c>
      <c r="L300" s="80">
        <f>IF(G300*K300&lt;&gt;0, TRUNC(G300*K300,1),"")</f>
        <v>3050.6</v>
      </c>
      <c r="M300" s="80">
        <f>합산자재!J116</f>
        <v>0</v>
      </c>
      <c r="N300" s="80" t="str">
        <f>IF(G300*M300&lt;&gt;0, TRUNC(G300*M300,1),"")</f>
        <v/>
      </c>
      <c r="O300" s="80"/>
      <c r="P300" s="80">
        <f t="shared" si="51"/>
        <v>3050.6</v>
      </c>
      <c r="Q300" s="74"/>
      <c r="AE300" s="48">
        <f>L300</f>
        <v>3050.6</v>
      </c>
    </row>
    <row r="301" spans="1:31" ht="23.25" customHeight="1">
      <c r="A301" s="64" t="s">
        <v>579</v>
      </c>
      <c r="B301" s="64" t="s">
        <v>834</v>
      </c>
      <c r="C301" s="76" t="s">
        <v>549</v>
      </c>
      <c r="D301" s="74" t="s">
        <v>530</v>
      </c>
      <c r="E301" s="74" t="s">
        <v>550</v>
      </c>
      <c r="F301" s="54" t="s">
        <v>532</v>
      </c>
      <c r="G301" s="80">
        <f>일위노임!G171</f>
        <v>1.0030000000000001E-2</v>
      </c>
      <c r="H301" s="80">
        <f>합산자재!H124</f>
        <v>0</v>
      </c>
      <c r="I301" s="80" t="str">
        <f>IF(G301*H301&lt;&gt;0, TRUNC(G301*H301,1),"")</f>
        <v/>
      </c>
      <c r="J301" s="80">
        <v>1.0030000000000001E-2</v>
      </c>
      <c r="K301" s="80">
        <f>합산자재!I124</f>
        <v>172068</v>
      </c>
      <c r="L301" s="80">
        <f>IF(G301*K301&lt;&gt;0, TRUNC(G301*K301,1),"")</f>
        <v>1725.8</v>
      </c>
      <c r="M301" s="80">
        <f>합산자재!J124</f>
        <v>0</v>
      </c>
      <c r="N301" s="80" t="str">
        <f>IF(G301*M301&lt;&gt;0, TRUNC(G301*M301,1),"")</f>
        <v/>
      </c>
      <c r="O301" s="80"/>
      <c r="P301" s="80">
        <f t="shared" si="51"/>
        <v>1725.8</v>
      </c>
      <c r="Q301" s="74"/>
      <c r="AE301" s="48">
        <f>L301</f>
        <v>1725.8</v>
      </c>
    </row>
    <row r="302" spans="1:31" ht="23.25" customHeight="1">
      <c r="A302" s="64" t="s">
        <v>926</v>
      </c>
      <c r="B302" s="64" t="s">
        <v>834</v>
      </c>
      <c r="C302" s="76" t="s">
        <v>927</v>
      </c>
      <c r="D302" s="74" t="s">
        <v>928</v>
      </c>
      <c r="E302" s="74" t="s">
        <v>929</v>
      </c>
      <c r="F302" s="54" t="s">
        <v>458</v>
      </c>
      <c r="G302" s="80">
        <v>1</v>
      </c>
      <c r="H302" s="80">
        <f>IF(TRUNC((AD303+AC303)/$AE$3,1)*$AE$3-AD303 &lt;0, AC303, TRUNC((AD303+AC303)/$AE$3,1)*$AE$3-AD303)</f>
        <v>143.19999999999982</v>
      </c>
      <c r="I302" s="80">
        <f>H302</f>
        <v>143.19999999999982</v>
      </c>
      <c r="J302" s="80">
        <v>1</v>
      </c>
      <c r="K302" s="80"/>
      <c r="L302" s="80" t="str">
        <f>IF(G302*K302&lt;&gt;0, TRUNC(G302*K302,1),"")</f>
        <v/>
      </c>
      <c r="M302" s="80"/>
      <c r="N302" s="80" t="str">
        <f>IF(G302*M302&lt;&gt;0, TRUNC(G302*M302,1),"")</f>
        <v/>
      </c>
      <c r="O302" s="80"/>
      <c r="P302" s="80">
        <f t="shared" si="51"/>
        <v>143.19999999999999</v>
      </c>
      <c r="Q302" s="74"/>
    </row>
    <row r="303" spans="1:31" ht="23.25" customHeight="1">
      <c r="B303" s="64" t="s">
        <v>921</v>
      </c>
      <c r="D303" s="74" t="s">
        <v>922</v>
      </c>
      <c r="E303" s="74"/>
      <c r="F303" s="54"/>
      <c r="G303" s="80"/>
      <c r="H303" s="80"/>
      <c r="I303" s="80">
        <f>TRUNC(SUM(I298:I302))</f>
        <v>143</v>
      </c>
      <c r="J303" s="80"/>
      <c r="K303" s="80"/>
      <c r="L303" s="80">
        <f>TRUNC(SUM(L298:L302))</f>
        <v>4776</v>
      </c>
      <c r="M303" s="80"/>
      <c r="N303" s="80">
        <f>TRUNC(SUM(N298:N302))</f>
        <v>0</v>
      </c>
      <c r="O303" s="80"/>
      <c r="P303" s="80">
        <f t="shared" si="51"/>
        <v>4919</v>
      </c>
      <c r="Q303" s="74"/>
      <c r="AC303" s="48">
        <f>TRUNC(AE303*옵션!$B$36/100,1)</f>
        <v>143.19999999999999</v>
      </c>
      <c r="AD303" s="48">
        <f>TRUNC(SUM(L298:L301))</f>
        <v>4776</v>
      </c>
      <c r="AE303" s="48">
        <f>TRUNC(SUM(AE298:AE302))</f>
        <v>4776</v>
      </c>
    </row>
    <row r="304" spans="1:31" ht="23.25" customHeight="1">
      <c r="D304" s="74"/>
      <c r="E304" s="74"/>
      <c r="F304" s="54"/>
      <c r="G304" s="80"/>
      <c r="H304" s="80"/>
      <c r="I304" s="80" t="str">
        <f>IF(G304*H304&lt;&gt;0, TRUNC(G304*H304,1),"")</f>
        <v/>
      </c>
      <c r="J304" s="80"/>
      <c r="K304" s="80"/>
      <c r="L304" s="80" t="str">
        <f>IF(G304*K304&lt;&gt;0, TRUNC(G304*K304,1),"")</f>
        <v/>
      </c>
      <c r="M304" s="80"/>
      <c r="N304" s="80" t="str">
        <f>IF(G304*M304&lt;&gt;0, TRUNC(G304*M304,1),"")</f>
        <v/>
      </c>
      <c r="O304" s="80"/>
      <c r="P304" s="80" t="str">
        <f t="shared" si="51"/>
        <v/>
      </c>
      <c r="Q304" s="74"/>
    </row>
    <row r="305" spans="1:31" ht="23.25" customHeight="1">
      <c r="A305" s="64" t="s">
        <v>835</v>
      </c>
      <c r="B305" s="64" t="s">
        <v>915</v>
      </c>
      <c r="C305" s="76" t="s">
        <v>836</v>
      </c>
      <c r="D305" s="158" t="s">
        <v>1011</v>
      </c>
      <c r="E305" s="159"/>
      <c r="F305" s="159"/>
      <c r="G305" s="159"/>
      <c r="H305" s="159"/>
      <c r="I305" s="159"/>
      <c r="J305" s="159"/>
      <c r="K305" s="159"/>
      <c r="L305" s="159"/>
      <c r="M305" s="159"/>
      <c r="N305" s="159"/>
      <c r="O305" s="159"/>
      <c r="P305" s="159"/>
      <c r="Q305" s="160"/>
    </row>
    <row r="306" spans="1:31" ht="23.25" customHeight="1">
      <c r="A306" s="64" t="s">
        <v>1012</v>
      </c>
      <c r="B306" s="64" t="s">
        <v>837</v>
      </c>
      <c r="C306" s="76" t="s">
        <v>337</v>
      </c>
      <c r="D306" s="74" t="s">
        <v>333</v>
      </c>
      <c r="E306" s="74" t="s">
        <v>338</v>
      </c>
      <c r="F306" s="54" t="s">
        <v>196</v>
      </c>
      <c r="G306" s="80">
        <v>1</v>
      </c>
      <c r="H306" s="80">
        <f>합산자재!H51</f>
        <v>0</v>
      </c>
      <c r="I306" s="80" t="str">
        <f>IF(G306*H306&lt;&gt;0, TRUNC(G306*H306,1),"")</f>
        <v/>
      </c>
      <c r="J306" s="80">
        <v>1</v>
      </c>
      <c r="K306" s="80">
        <f>합산자재!I51</f>
        <v>0</v>
      </c>
      <c r="L306" s="80" t="str">
        <f>IF(G306*K306&lt;&gt;0, TRUNC(G306*K306,1),"")</f>
        <v/>
      </c>
      <c r="M306" s="80">
        <f>합산자재!J51</f>
        <v>0</v>
      </c>
      <c r="N306" s="80" t="str">
        <f>IF(G306*M306&lt;&gt;0, TRUNC(G306*M306,1),"")</f>
        <v/>
      </c>
      <c r="O306" s="80"/>
      <c r="P306" s="80" t="str">
        <f t="shared" ref="P306:P311" si="52">IF(SUM(I306,L306,N306)&lt;&gt;0,TRUNC(SUM(I306,L306,N306),1),"")</f>
        <v/>
      </c>
      <c r="Q306" s="74"/>
      <c r="AC306" s="48">
        <f>G306*H306</f>
        <v>0</v>
      </c>
    </row>
    <row r="307" spans="1:31" ht="23.25" customHeight="1">
      <c r="A307" s="64" t="s">
        <v>621</v>
      </c>
      <c r="B307" s="64" t="s">
        <v>837</v>
      </c>
      <c r="C307" s="76" t="s">
        <v>533</v>
      </c>
      <c r="D307" s="74" t="s">
        <v>530</v>
      </c>
      <c r="E307" s="74" t="s">
        <v>534</v>
      </c>
      <c r="F307" s="54" t="s">
        <v>532</v>
      </c>
      <c r="G307" s="80">
        <f>일위노임!G175</f>
        <v>1.157E-2</v>
      </c>
      <c r="H307" s="80">
        <f>합산자재!H116</f>
        <v>0</v>
      </c>
      <c r="I307" s="80" t="str">
        <f>IF(G307*H307&lt;&gt;0, TRUNC(G307*H307,1),"")</f>
        <v/>
      </c>
      <c r="J307" s="80">
        <v>1.157E-2</v>
      </c>
      <c r="K307" s="80">
        <f>합산자재!I116</f>
        <v>304156</v>
      </c>
      <c r="L307" s="80">
        <f>IF(G307*K307&lt;&gt;0, TRUNC(G307*K307,1),"")</f>
        <v>3519</v>
      </c>
      <c r="M307" s="80">
        <f>합산자재!J116</f>
        <v>0</v>
      </c>
      <c r="N307" s="80" t="str">
        <f>IF(G307*M307&lt;&gt;0, TRUNC(G307*M307,1),"")</f>
        <v/>
      </c>
      <c r="O307" s="80"/>
      <c r="P307" s="80">
        <f t="shared" si="52"/>
        <v>3519</v>
      </c>
      <c r="Q307" s="74"/>
      <c r="AE307" s="48">
        <f>L307</f>
        <v>3519</v>
      </c>
    </row>
    <row r="308" spans="1:31" ht="23.25" customHeight="1">
      <c r="A308" s="64" t="s">
        <v>579</v>
      </c>
      <c r="B308" s="64" t="s">
        <v>837</v>
      </c>
      <c r="C308" s="76" t="s">
        <v>549</v>
      </c>
      <c r="D308" s="74" t="s">
        <v>530</v>
      </c>
      <c r="E308" s="74" t="s">
        <v>550</v>
      </c>
      <c r="F308" s="54" t="s">
        <v>532</v>
      </c>
      <c r="G308" s="80">
        <f>일위노임!G176</f>
        <v>1.157E-2</v>
      </c>
      <c r="H308" s="80">
        <f>합산자재!H124</f>
        <v>0</v>
      </c>
      <c r="I308" s="80" t="str">
        <f>IF(G308*H308&lt;&gt;0, TRUNC(G308*H308,1),"")</f>
        <v/>
      </c>
      <c r="J308" s="80">
        <v>1.157E-2</v>
      </c>
      <c r="K308" s="80">
        <f>합산자재!I124</f>
        <v>172068</v>
      </c>
      <c r="L308" s="80">
        <f>IF(G308*K308&lt;&gt;0, TRUNC(G308*K308,1),"")</f>
        <v>1990.8</v>
      </c>
      <c r="M308" s="80">
        <f>합산자재!J124</f>
        <v>0</v>
      </c>
      <c r="N308" s="80" t="str">
        <f>IF(G308*M308&lt;&gt;0, TRUNC(G308*M308,1),"")</f>
        <v/>
      </c>
      <c r="O308" s="80"/>
      <c r="P308" s="80">
        <f t="shared" si="52"/>
        <v>1990.8</v>
      </c>
      <c r="Q308" s="74"/>
      <c r="AE308" s="48">
        <f>L308</f>
        <v>1990.8</v>
      </c>
    </row>
    <row r="309" spans="1:31" ht="23.25" customHeight="1">
      <c r="A309" s="64" t="s">
        <v>926</v>
      </c>
      <c r="B309" s="64" t="s">
        <v>837</v>
      </c>
      <c r="C309" s="76" t="s">
        <v>927</v>
      </c>
      <c r="D309" s="74" t="s">
        <v>928</v>
      </c>
      <c r="E309" s="74" t="s">
        <v>929</v>
      </c>
      <c r="F309" s="54" t="s">
        <v>458</v>
      </c>
      <c r="G309" s="80">
        <v>1</v>
      </c>
      <c r="H309" s="80">
        <f>IF(TRUNC((AD310+AC310)/$AE$3,1)*$AE$3-AD310 &lt;0, AC310, TRUNC((AD310+AC310)/$AE$3,1)*$AE$3-AD310)</f>
        <v>165.19999999999982</v>
      </c>
      <c r="I309" s="80">
        <f>H309</f>
        <v>165.19999999999982</v>
      </c>
      <c r="J309" s="80">
        <v>1</v>
      </c>
      <c r="K309" s="80"/>
      <c r="L309" s="80" t="str">
        <f>IF(G309*K309&lt;&gt;0, TRUNC(G309*K309,1),"")</f>
        <v/>
      </c>
      <c r="M309" s="80"/>
      <c r="N309" s="80" t="str">
        <f>IF(G309*M309&lt;&gt;0, TRUNC(G309*M309,1),"")</f>
        <v/>
      </c>
      <c r="O309" s="80"/>
      <c r="P309" s="80">
        <f t="shared" si="52"/>
        <v>165.2</v>
      </c>
      <c r="Q309" s="74"/>
    </row>
    <row r="310" spans="1:31" ht="23.25" customHeight="1">
      <c r="B310" s="64" t="s">
        <v>921</v>
      </c>
      <c r="D310" s="74" t="s">
        <v>922</v>
      </c>
      <c r="E310" s="74"/>
      <c r="F310" s="54"/>
      <c r="G310" s="80"/>
      <c r="H310" s="80"/>
      <c r="I310" s="80">
        <f>TRUNC(SUM(I305:I309))</f>
        <v>165</v>
      </c>
      <c r="J310" s="80"/>
      <c r="K310" s="80"/>
      <c r="L310" s="80">
        <f>TRUNC(SUM(L305:L309))</f>
        <v>5509</v>
      </c>
      <c r="M310" s="80"/>
      <c r="N310" s="80">
        <f>TRUNC(SUM(N305:N309))</f>
        <v>0</v>
      </c>
      <c r="O310" s="80"/>
      <c r="P310" s="80">
        <f t="shared" si="52"/>
        <v>5674</v>
      </c>
      <c r="Q310" s="74"/>
      <c r="AC310" s="48">
        <f>TRUNC(AE310*옵션!$B$36/100,1)</f>
        <v>165.2</v>
      </c>
      <c r="AD310" s="48">
        <f>TRUNC(SUM(L305:L308))</f>
        <v>5509</v>
      </c>
      <c r="AE310" s="48">
        <f>TRUNC(SUM(AE305:AE309))</f>
        <v>5509</v>
      </c>
    </row>
    <row r="311" spans="1:31" ht="23.25" customHeight="1">
      <c r="D311" s="74"/>
      <c r="E311" s="74"/>
      <c r="F311" s="54"/>
      <c r="G311" s="80"/>
      <c r="H311" s="80"/>
      <c r="I311" s="80" t="str">
        <f>IF(G311*H311&lt;&gt;0, TRUNC(G311*H311,1),"")</f>
        <v/>
      </c>
      <c r="J311" s="80"/>
      <c r="K311" s="80"/>
      <c r="L311" s="80" t="str">
        <f>IF(G311*K311&lt;&gt;0, TRUNC(G311*K311,1),"")</f>
        <v/>
      </c>
      <c r="M311" s="80"/>
      <c r="N311" s="80" t="str">
        <f>IF(G311*M311&lt;&gt;0, TRUNC(G311*M311,1),"")</f>
        <v/>
      </c>
      <c r="O311" s="80"/>
      <c r="P311" s="80" t="str">
        <f t="shared" si="52"/>
        <v/>
      </c>
      <c r="Q311" s="74"/>
    </row>
    <row r="312" spans="1:31" ht="23.25" customHeight="1">
      <c r="A312" s="64" t="s">
        <v>838</v>
      </c>
      <c r="B312" s="64" t="s">
        <v>915</v>
      </c>
      <c r="C312" s="76" t="s">
        <v>839</v>
      </c>
      <c r="D312" s="158" t="s">
        <v>1013</v>
      </c>
      <c r="E312" s="159"/>
      <c r="F312" s="159"/>
      <c r="G312" s="159"/>
      <c r="H312" s="159"/>
      <c r="I312" s="159"/>
      <c r="J312" s="159"/>
      <c r="K312" s="159"/>
      <c r="L312" s="159"/>
      <c r="M312" s="159"/>
      <c r="N312" s="159"/>
      <c r="O312" s="159"/>
      <c r="P312" s="159"/>
      <c r="Q312" s="160"/>
    </row>
    <row r="313" spans="1:31" ht="23.25" customHeight="1">
      <c r="A313" s="64" t="s">
        <v>1014</v>
      </c>
      <c r="B313" s="64" t="s">
        <v>840</v>
      </c>
      <c r="C313" s="76" t="s">
        <v>339</v>
      </c>
      <c r="D313" s="74" t="s">
        <v>333</v>
      </c>
      <c r="E313" s="74" t="s">
        <v>340</v>
      </c>
      <c r="F313" s="54" t="s">
        <v>196</v>
      </c>
      <c r="G313" s="80">
        <v>1</v>
      </c>
      <c r="H313" s="80">
        <f>합산자재!H52</f>
        <v>0</v>
      </c>
      <c r="I313" s="80" t="str">
        <f>IF(G313*H313&lt;&gt;0, TRUNC(G313*H313,1),"")</f>
        <v/>
      </c>
      <c r="J313" s="80">
        <v>1</v>
      </c>
      <c r="K313" s="80">
        <f>합산자재!I52</f>
        <v>0</v>
      </c>
      <c r="L313" s="80" t="str">
        <f>IF(G313*K313&lt;&gt;0, TRUNC(G313*K313,1),"")</f>
        <v/>
      </c>
      <c r="M313" s="80">
        <f>합산자재!J52</f>
        <v>0</v>
      </c>
      <c r="N313" s="80" t="str">
        <f>IF(G313*M313&lt;&gt;0, TRUNC(G313*M313,1),"")</f>
        <v/>
      </c>
      <c r="O313" s="80"/>
      <c r="P313" s="80" t="str">
        <f t="shared" ref="P313:P318" si="53">IF(SUM(I313,L313,N313)&lt;&gt;0,TRUNC(SUM(I313,L313,N313),1),"")</f>
        <v/>
      </c>
      <c r="Q313" s="74"/>
      <c r="AC313" s="48">
        <f>G313*H313</f>
        <v>0</v>
      </c>
    </row>
    <row r="314" spans="1:31" ht="23.25" customHeight="1">
      <c r="A314" s="64" t="s">
        <v>621</v>
      </c>
      <c r="B314" s="64" t="s">
        <v>840</v>
      </c>
      <c r="C314" s="76" t="s">
        <v>533</v>
      </c>
      <c r="D314" s="74" t="s">
        <v>530</v>
      </c>
      <c r="E314" s="74" t="s">
        <v>534</v>
      </c>
      <c r="F314" s="54" t="s">
        <v>532</v>
      </c>
      <c r="G314" s="80">
        <f>일위노임!G180</f>
        <v>1.2500000000000001E-2</v>
      </c>
      <c r="H314" s="80">
        <f>합산자재!H116</f>
        <v>0</v>
      </c>
      <c r="I314" s="80" t="str">
        <f>IF(G314*H314&lt;&gt;0, TRUNC(G314*H314,1),"")</f>
        <v/>
      </c>
      <c r="J314" s="80">
        <v>1.2500000000000001E-2</v>
      </c>
      <c r="K314" s="80">
        <f>합산자재!I116</f>
        <v>304156</v>
      </c>
      <c r="L314" s="80">
        <f>IF(G314*K314&lt;&gt;0, TRUNC(G314*K314,1),"")</f>
        <v>3801.9</v>
      </c>
      <c r="M314" s="80">
        <f>합산자재!J116</f>
        <v>0</v>
      </c>
      <c r="N314" s="80" t="str">
        <f>IF(G314*M314&lt;&gt;0, TRUNC(G314*M314,1),"")</f>
        <v/>
      </c>
      <c r="O314" s="80"/>
      <c r="P314" s="80">
        <f t="shared" si="53"/>
        <v>3801.9</v>
      </c>
      <c r="Q314" s="74"/>
      <c r="AE314" s="48">
        <f>L314</f>
        <v>3801.9</v>
      </c>
    </row>
    <row r="315" spans="1:31" ht="23.25" customHeight="1">
      <c r="A315" s="64" t="s">
        <v>579</v>
      </c>
      <c r="B315" s="64" t="s">
        <v>840</v>
      </c>
      <c r="C315" s="76" t="s">
        <v>549</v>
      </c>
      <c r="D315" s="74" t="s">
        <v>530</v>
      </c>
      <c r="E315" s="74" t="s">
        <v>550</v>
      </c>
      <c r="F315" s="54" t="s">
        <v>532</v>
      </c>
      <c r="G315" s="80">
        <f>일위노임!G181</f>
        <v>1.2500000000000001E-2</v>
      </c>
      <c r="H315" s="80">
        <f>합산자재!H124</f>
        <v>0</v>
      </c>
      <c r="I315" s="80" t="str">
        <f>IF(G315*H315&lt;&gt;0, TRUNC(G315*H315,1),"")</f>
        <v/>
      </c>
      <c r="J315" s="80">
        <v>1.2500000000000001E-2</v>
      </c>
      <c r="K315" s="80">
        <f>합산자재!I124</f>
        <v>172068</v>
      </c>
      <c r="L315" s="80">
        <f>IF(G315*K315&lt;&gt;0, TRUNC(G315*K315,1),"")</f>
        <v>2150.8000000000002</v>
      </c>
      <c r="M315" s="80">
        <f>합산자재!J124</f>
        <v>0</v>
      </c>
      <c r="N315" s="80" t="str">
        <f>IF(G315*M315&lt;&gt;0, TRUNC(G315*M315,1),"")</f>
        <v/>
      </c>
      <c r="O315" s="80"/>
      <c r="P315" s="80">
        <f t="shared" si="53"/>
        <v>2150.8000000000002</v>
      </c>
      <c r="Q315" s="74"/>
      <c r="AE315" s="48">
        <f>L315</f>
        <v>2150.8000000000002</v>
      </c>
    </row>
    <row r="316" spans="1:31" ht="23.25" customHeight="1">
      <c r="A316" s="64" t="s">
        <v>926</v>
      </c>
      <c r="B316" s="64" t="s">
        <v>840</v>
      </c>
      <c r="C316" s="76" t="s">
        <v>927</v>
      </c>
      <c r="D316" s="74" t="s">
        <v>928</v>
      </c>
      <c r="E316" s="74" t="s">
        <v>929</v>
      </c>
      <c r="F316" s="54" t="s">
        <v>458</v>
      </c>
      <c r="G316" s="80">
        <v>1</v>
      </c>
      <c r="H316" s="80">
        <f>IF(TRUNC((AD317+AC317)/$AE$3,1)*$AE$3-AD317 &lt;0, AC317, TRUNC((AD317+AC317)/$AE$3,1)*$AE$3-AD317)</f>
        <v>178.5</v>
      </c>
      <c r="I316" s="80">
        <f>H316</f>
        <v>178.5</v>
      </c>
      <c r="J316" s="80">
        <v>1</v>
      </c>
      <c r="K316" s="80"/>
      <c r="L316" s="80" t="str">
        <f>IF(G316*K316&lt;&gt;0, TRUNC(G316*K316,1),"")</f>
        <v/>
      </c>
      <c r="M316" s="80"/>
      <c r="N316" s="80" t="str">
        <f>IF(G316*M316&lt;&gt;0, TRUNC(G316*M316,1),"")</f>
        <v/>
      </c>
      <c r="O316" s="80"/>
      <c r="P316" s="80">
        <f t="shared" si="53"/>
        <v>178.5</v>
      </c>
      <c r="Q316" s="74"/>
    </row>
    <row r="317" spans="1:31" ht="23.25" customHeight="1">
      <c r="B317" s="64" t="s">
        <v>921</v>
      </c>
      <c r="D317" s="74" t="s">
        <v>922</v>
      </c>
      <c r="E317" s="74"/>
      <c r="F317" s="54"/>
      <c r="G317" s="80"/>
      <c r="H317" s="80"/>
      <c r="I317" s="80">
        <f>TRUNC(SUM(I312:I316))</f>
        <v>178</v>
      </c>
      <c r="J317" s="80"/>
      <c r="K317" s="80"/>
      <c r="L317" s="80">
        <f>TRUNC(SUM(L312:L316))</f>
        <v>5952</v>
      </c>
      <c r="M317" s="80"/>
      <c r="N317" s="80">
        <f>TRUNC(SUM(N312:N316))</f>
        <v>0</v>
      </c>
      <c r="O317" s="80"/>
      <c r="P317" s="80">
        <f t="shared" si="53"/>
        <v>6130</v>
      </c>
      <c r="Q317" s="74"/>
      <c r="AC317" s="48">
        <f>TRUNC(AE317*옵션!$B$36/100,1)</f>
        <v>178.5</v>
      </c>
      <c r="AD317" s="48">
        <f>TRUNC(SUM(L312:L315))</f>
        <v>5952</v>
      </c>
      <c r="AE317" s="48">
        <f>TRUNC(SUM(AE312:AE316))</f>
        <v>5952</v>
      </c>
    </row>
    <row r="318" spans="1:31" ht="23.25" customHeight="1">
      <c r="D318" s="74"/>
      <c r="E318" s="74"/>
      <c r="F318" s="54"/>
      <c r="G318" s="80"/>
      <c r="H318" s="80"/>
      <c r="I318" s="80" t="str">
        <f>IF(G318*H318&lt;&gt;0, TRUNC(G318*H318,1),"")</f>
        <v/>
      </c>
      <c r="J318" s="80"/>
      <c r="K318" s="80"/>
      <c r="L318" s="80" t="str">
        <f>IF(G318*K318&lt;&gt;0, TRUNC(G318*K318,1),"")</f>
        <v/>
      </c>
      <c r="M318" s="80"/>
      <c r="N318" s="80" t="str">
        <f>IF(G318*M318&lt;&gt;0, TRUNC(G318*M318,1),"")</f>
        <v/>
      </c>
      <c r="O318" s="80"/>
      <c r="P318" s="80" t="str">
        <f t="shared" si="53"/>
        <v/>
      </c>
      <c r="Q318" s="74"/>
    </row>
    <row r="319" spans="1:31" ht="23.25" customHeight="1">
      <c r="A319" s="64" t="s">
        <v>841</v>
      </c>
      <c r="B319" s="64" t="s">
        <v>915</v>
      </c>
      <c r="C319" s="76" t="s">
        <v>842</v>
      </c>
      <c r="D319" s="158" t="s">
        <v>1015</v>
      </c>
      <c r="E319" s="159"/>
      <c r="F319" s="159"/>
      <c r="G319" s="159"/>
      <c r="H319" s="159"/>
      <c r="I319" s="159"/>
      <c r="J319" s="159"/>
      <c r="K319" s="159"/>
      <c r="L319" s="159"/>
      <c r="M319" s="159"/>
      <c r="N319" s="159"/>
      <c r="O319" s="159"/>
      <c r="P319" s="159"/>
      <c r="Q319" s="160"/>
    </row>
    <row r="320" spans="1:31" ht="23.25" customHeight="1">
      <c r="A320" s="64" t="s">
        <v>1016</v>
      </c>
      <c r="B320" s="64" t="s">
        <v>843</v>
      </c>
      <c r="C320" s="76" t="s">
        <v>341</v>
      </c>
      <c r="D320" s="74" t="s">
        <v>333</v>
      </c>
      <c r="E320" s="74" t="s">
        <v>342</v>
      </c>
      <c r="F320" s="54" t="s">
        <v>196</v>
      </c>
      <c r="G320" s="80">
        <v>1</v>
      </c>
      <c r="H320" s="80">
        <f>합산자재!H53</f>
        <v>0</v>
      </c>
      <c r="I320" s="80" t="str">
        <f>IF(G320*H320&lt;&gt;0, TRUNC(G320*H320,1),"")</f>
        <v/>
      </c>
      <c r="J320" s="80">
        <v>1</v>
      </c>
      <c r="K320" s="80">
        <f>합산자재!I53</f>
        <v>0</v>
      </c>
      <c r="L320" s="80" t="str">
        <f>IF(G320*K320&lt;&gt;0, TRUNC(G320*K320,1),"")</f>
        <v/>
      </c>
      <c r="M320" s="80">
        <f>합산자재!J53</f>
        <v>0</v>
      </c>
      <c r="N320" s="80" t="str">
        <f>IF(G320*M320&lt;&gt;0, TRUNC(G320*M320,1),"")</f>
        <v/>
      </c>
      <c r="O320" s="80"/>
      <c r="P320" s="80" t="str">
        <f t="shared" ref="P320:P325" si="54">IF(SUM(I320,L320,N320)&lt;&gt;0,TRUNC(SUM(I320,L320,N320),1),"")</f>
        <v/>
      </c>
      <c r="Q320" s="74"/>
      <c r="AC320" s="48">
        <f>G320*H320</f>
        <v>0</v>
      </c>
    </row>
    <row r="321" spans="1:31" ht="23.25" customHeight="1">
      <c r="A321" s="64" t="s">
        <v>621</v>
      </c>
      <c r="B321" s="64" t="s">
        <v>843</v>
      </c>
      <c r="C321" s="76" t="s">
        <v>533</v>
      </c>
      <c r="D321" s="74" t="s">
        <v>530</v>
      </c>
      <c r="E321" s="74" t="s">
        <v>534</v>
      </c>
      <c r="F321" s="54" t="s">
        <v>532</v>
      </c>
      <c r="G321" s="80">
        <f>일위노임!G185</f>
        <v>1.4319999999999999E-2</v>
      </c>
      <c r="H321" s="80">
        <f>합산자재!H116</f>
        <v>0</v>
      </c>
      <c r="I321" s="80" t="str">
        <f>IF(G321*H321&lt;&gt;0, TRUNC(G321*H321,1),"")</f>
        <v/>
      </c>
      <c r="J321" s="80">
        <v>1.4319999999999999E-2</v>
      </c>
      <c r="K321" s="80">
        <f>합산자재!I116</f>
        <v>304156</v>
      </c>
      <c r="L321" s="80">
        <f>IF(G321*K321&lt;&gt;0, TRUNC(G321*K321,1),"")</f>
        <v>4355.5</v>
      </c>
      <c r="M321" s="80">
        <f>합산자재!J116</f>
        <v>0</v>
      </c>
      <c r="N321" s="80" t="str">
        <f>IF(G321*M321&lt;&gt;0, TRUNC(G321*M321,1),"")</f>
        <v/>
      </c>
      <c r="O321" s="80"/>
      <c r="P321" s="80">
        <f t="shared" si="54"/>
        <v>4355.5</v>
      </c>
      <c r="Q321" s="74"/>
      <c r="AE321" s="48">
        <f>L321</f>
        <v>4355.5</v>
      </c>
    </row>
    <row r="322" spans="1:31" ht="23.25" customHeight="1">
      <c r="A322" s="64" t="s">
        <v>579</v>
      </c>
      <c r="B322" s="64" t="s">
        <v>843</v>
      </c>
      <c r="C322" s="76" t="s">
        <v>549</v>
      </c>
      <c r="D322" s="74" t="s">
        <v>530</v>
      </c>
      <c r="E322" s="74" t="s">
        <v>550</v>
      </c>
      <c r="F322" s="54" t="s">
        <v>532</v>
      </c>
      <c r="G322" s="80">
        <f>일위노임!G186</f>
        <v>1.4319999999999999E-2</v>
      </c>
      <c r="H322" s="80">
        <f>합산자재!H124</f>
        <v>0</v>
      </c>
      <c r="I322" s="80" t="str">
        <f>IF(G322*H322&lt;&gt;0, TRUNC(G322*H322,1),"")</f>
        <v/>
      </c>
      <c r="J322" s="80">
        <v>1.4319999999999999E-2</v>
      </c>
      <c r="K322" s="80">
        <f>합산자재!I124</f>
        <v>172068</v>
      </c>
      <c r="L322" s="80">
        <f>IF(G322*K322&lt;&gt;0, TRUNC(G322*K322,1),"")</f>
        <v>2464</v>
      </c>
      <c r="M322" s="80">
        <f>합산자재!J124</f>
        <v>0</v>
      </c>
      <c r="N322" s="80" t="str">
        <f>IF(G322*M322&lt;&gt;0, TRUNC(G322*M322,1),"")</f>
        <v/>
      </c>
      <c r="O322" s="80"/>
      <c r="P322" s="80">
        <f t="shared" si="54"/>
        <v>2464</v>
      </c>
      <c r="Q322" s="74"/>
      <c r="AE322" s="48">
        <f>L322</f>
        <v>2464</v>
      </c>
    </row>
    <row r="323" spans="1:31" ht="23.25" customHeight="1">
      <c r="A323" s="64" t="s">
        <v>926</v>
      </c>
      <c r="B323" s="64" t="s">
        <v>843</v>
      </c>
      <c r="C323" s="76" t="s">
        <v>927</v>
      </c>
      <c r="D323" s="74" t="s">
        <v>928</v>
      </c>
      <c r="E323" s="74" t="s">
        <v>929</v>
      </c>
      <c r="F323" s="54" t="s">
        <v>458</v>
      </c>
      <c r="G323" s="80">
        <v>1</v>
      </c>
      <c r="H323" s="80">
        <f>IF(TRUNC((AD324+AC324)/$AE$3,1)*$AE$3-AD324 &lt;0, AC324, TRUNC((AD324+AC324)/$AE$3,1)*$AE$3-AD324)</f>
        <v>204.5</v>
      </c>
      <c r="I323" s="80">
        <f>H323</f>
        <v>204.5</v>
      </c>
      <c r="J323" s="80">
        <v>1</v>
      </c>
      <c r="K323" s="80"/>
      <c r="L323" s="80" t="str">
        <f>IF(G323*K323&lt;&gt;0, TRUNC(G323*K323,1),"")</f>
        <v/>
      </c>
      <c r="M323" s="80"/>
      <c r="N323" s="80" t="str">
        <f>IF(G323*M323&lt;&gt;0, TRUNC(G323*M323,1),"")</f>
        <v/>
      </c>
      <c r="O323" s="80"/>
      <c r="P323" s="80">
        <f t="shared" si="54"/>
        <v>204.5</v>
      </c>
      <c r="Q323" s="74"/>
    </row>
    <row r="324" spans="1:31" ht="23.25" customHeight="1">
      <c r="B324" s="64" t="s">
        <v>921</v>
      </c>
      <c r="D324" s="74" t="s">
        <v>922</v>
      </c>
      <c r="E324" s="74"/>
      <c r="F324" s="54"/>
      <c r="G324" s="80"/>
      <c r="H324" s="80"/>
      <c r="I324" s="80">
        <f>TRUNC(SUM(I319:I323))</f>
        <v>204</v>
      </c>
      <c r="J324" s="80"/>
      <c r="K324" s="80"/>
      <c r="L324" s="80">
        <f>TRUNC(SUM(L319:L323))</f>
        <v>6819</v>
      </c>
      <c r="M324" s="80"/>
      <c r="N324" s="80">
        <f>TRUNC(SUM(N319:N323))</f>
        <v>0</v>
      </c>
      <c r="O324" s="80"/>
      <c r="P324" s="80">
        <f t="shared" si="54"/>
        <v>7023</v>
      </c>
      <c r="Q324" s="74"/>
      <c r="AC324" s="48">
        <f>TRUNC(AE324*옵션!$B$36/100,1)</f>
        <v>204.5</v>
      </c>
      <c r="AD324" s="48">
        <f>TRUNC(SUM(L319:L322))</f>
        <v>6819</v>
      </c>
      <c r="AE324" s="48">
        <f>TRUNC(SUM(AE319:AE323))</f>
        <v>6819</v>
      </c>
    </row>
    <row r="325" spans="1:31" ht="23.25" customHeight="1">
      <c r="D325" s="74"/>
      <c r="E325" s="74"/>
      <c r="F325" s="54"/>
      <c r="G325" s="80"/>
      <c r="H325" s="80"/>
      <c r="I325" s="80" t="str">
        <f>IF(G325*H325&lt;&gt;0, TRUNC(G325*H325,1),"")</f>
        <v/>
      </c>
      <c r="J325" s="80"/>
      <c r="K325" s="80"/>
      <c r="L325" s="80" t="str">
        <f>IF(G325*K325&lt;&gt;0, TRUNC(G325*K325,1),"")</f>
        <v/>
      </c>
      <c r="M325" s="80"/>
      <c r="N325" s="80" t="str">
        <f>IF(G325*M325&lt;&gt;0, TRUNC(G325*M325,1),"")</f>
        <v/>
      </c>
      <c r="O325" s="80"/>
      <c r="P325" s="80" t="str">
        <f t="shared" si="54"/>
        <v/>
      </c>
      <c r="Q325" s="74"/>
    </row>
    <row r="326" spans="1:31" ht="23.25" customHeight="1">
      <c r="A326" s="64" t="s">
        <v>844</v>
      </c>
      <c r="B326" s="64" t="s">
        <v>915</v>
      </c>
      <c r="C326" s="76" t="s">
        <v>845</v>
      </c>
      <c r="D326" s="158" t="s">
        <v>1017</v>
      </c>
      <c r="E326" s="159"/>
      <c r="F326" s="159"/>
      <c r="G326" s="159"/>
      <c r="H326" s="159"/>
      <c r="I326" s="159"/>
      <c r="J326" s="159"/>
      <c r="K326" s="159"/>
      <c r="L326" s="159"/>
      <c r="M326" s="159"/>
      <c r="N326" s="159"/>
      <c r="O326" s="159"/>
      <c r="P326" s="159"/>
      <c r="Q326" s="160"/>
    </row>
    <row r="327" spans="1:31" ht="23.25" customHeight="1">
      <c r="A327" s="64" t="s">
        <v>1018</v>
      </c>
      <c r="B327" s="64" t="s">
        <v>846</v>
      </c>
      <c r="C327" s="76" t="s">
        <v>343</v>
      </c>
      <c r="D327" s="74" t="s">
        <v>333</v>
      </c>
      <c r="E327" s="74" t="s">
        <v>344</v>
      </c>
      <c r="F327" s="54" t="s">
        <v>196</v>
      </c>
      <c r="G327" s="80">
        <v>1</v>
      </c>
      <c r="H327" s="80">
        <f>합산자재!H54</f>
        <v>0</v>
      </c>
      <c r="I327" s="80" t="str">
        <f>IF(G327*H327&lt;&gt;0, TRUNC(G327*H327,1),"")</f>
        <v/>
      </c>
      <c r="J327" s="80">
        <v>1</v>
      </c>
      <c r="K327" s="80">
        <f>합산자재!I54</f>
        <v>0</v>
      </c>
      <c r="L327" s="80" t="str">
        <f>IF(G327*K327&lt;&gt;0, TRUNC(G327*K327,1),"")</f>
        <v/>
      </c>
      <c r="M327" s="80">
        <f>합산자재!J54</f>
        <v>0</v>
      </c>
      <c r="N327" s="80" t="str">
        <f>IF(G327*M327&lt;&gt;0, TRUNC(G327*M327,1),"")</f>
        <v/>
      </c>
      <c r="O327" s="80"/>
      <c r="P327" s="80" t="str">
        <f t="shared" ref="P327:P332" si="55">IF(SUM(I327,L327,N327)&lt;&gt;0,TRUNC(SUM(I327,L327,N327),1),"")</f>
        <v/>
      </c>
      <c r="Q327" s="74"/>
      <c r="AC327" s="48">
        <f>G327*H327</f>
        <v>0</v>
      </c>
    </row>
    <row r="328" spans="1:31" ht="23.25" customHeight="1">
      <c r="A328" s="64" t="s">
        <v>621</v>
      </c>
      <c r="B328" s="64" t="s">
        <v>846</v>
      </c>
      <c r="C328" s="76" t="s">
        <v>533</v>
      </c>
      <c r="D328" s="74" t="s">
        <v>530</v>
      </c>
      <c r="E328" s="74" t="s">
        <v>534</v>
      </c>
      <c r="F328" s="54" t="s">
        <v>532</v>
      </c>
      <c r="G328" s="80">
        <f>일위노임!G190</f>
        <v>1.4999999999999999E-2</v>
      </c>
      <c r="H328" s="80">
        <f>합산자재!H116</f>
        <v>0</v>
      </c>
      <c r="I328" s="80" t="str">
        <f>IF(G328*H328&lt;&gt;0, TRUNC(G328*H328,1),"")</f>
        <v/>
      </c>
      <c r="J328" s="80">
        <v>1.4999999999999999E-2</v>
      </c>
      <c r="K328" s="80">
        <f>합산자재!I116</f>
        <v>304156</v>
      </c>
      <c r="L328" s="80">
        <f>IF(G328*K328&lt;&gt;0, TRUNC(G328*K328,1),"")</f>
        <v>4562.3</v>
      </c>
      <c r="M328" s="80">
        <f>합산자재!J116</f>
        <v>0</v>
      </c>
      <c r="N328" s="80" t="str">
        <f>IF(G328*M328&lt;&gt;0, TRUNC(G328*M328,1),"")</f>
        <v/>
      </c>
      <c r="O328" s="80"/>
      <c r="P328" s="80">
        <f t="shared" si="55"/>
        <v>4562.3</v>
      </c>
      <c r="Q328" s="74"/>
      <c r="AE328" s="48">
        <f>L328</f>
        <v>4562.3</v>
      </c>
    </row>
    <row r="329" spans="1:31" ht="23.25" customHeight="1">
      <c r="A329" s="64" t="s">
        <v>579</v>
      </c>
      <c r="B329" s="64" t="s">
        <v>846</v>
      </c>
      <c r="C329" s="76" t="s">
        <v>549</v>
      </c>
      <c r="D329" s="74" t="s">
        <v>530</v>
      </c>
      <c r="E329" s="74" t="s">
        <v>550</v>
      </c>
      <c r="F329" s="54" t="s">
        <v>532</v>
      </c>
      <c r="G329" s="80">
        <f>일위노임!G191</f>
        <v>1.4999999999999999E-2</v>
      </c>
      <c r="H329" s="80">
        <f>합산자재!H124</f>
        <v>0</v>
      </c>
      <c r="I329" s="80" t="str">
        <f>IF(G329*H329&lt;&gt;0, TRUNC(G329*H329,1),"")</f>
        <v/>
      </c>
      <c r="J329" s="80">
        <v>1.4999999999999999E-2</v>
      </c>
      <c r="K329" s="80">
        <f>합산자재!I124</f>
        <v>172068</v>
      </c>
      <c r="L329" s="80">
        <f>IF(G329*K329&lt;&gt;0, TRUNC(G329*K329,1),"")</f>
        <v>2581</v>
      </c>
      <c r="M329" s="80">
        <f>합산자재!J124</f>
        <v>0</v>
      </c>
      <c r="N329" s="80" t="str">
        <f>IF(G329*M329&lt;&gt;0, TRUNC(G329*M329,1),"")</f>
        <v/>
      </c>
      <c r="O329" s="80"/>
      <c r="P329" s="80">
        <f t="shared" si="55"/>
        <v>2581</v>
      </c>
      <c r="Q329" s="74"/>
      <c r="AE329" s="48">
        <f>L329</f>
        <v>2581</v>
      </c>
    </row>
    <row r="330" spans="1:31" ht="23.25" customHeight="1">
      <c r="A330" s="64" t="s">
        <v>926</v>
      </c>
      <c r="B330" s="64" t="s">
        <v>846</v>
      </c>
      <c r="C330" s="76" t="s">
        <v>927</v>
      </c>
      <c r="D330" s="74" t="s">
        <v>928</v>
      </c>
      <c r="E330" s="74" t="s">
        <v>929</v>
      </c>
      <c r="F330" s="54" t="s">
        <v>458</v>
      </c>
      <c r="G330" s="80">
        <v>1</v>
      </c>
      <c r="H330" s="80">
        <f>IF(TRUNC((AD331+AC331)/$AE$3,1)*$AE$3-AD331 &lt;0, AC331, TRUNC((AD331+AC331)/$AE$3,1)*$AE$3-AD331)</f>
        <v>214.19999999999982</v>
      </c>
      <c r="I330" s="80">
        <f>H330</f>
        <v>214.19999999999982</v>
      </c>
      <c r="J330" s="80">
        <v>1</v>
      </c>
      <c r="K330" s="80"/>
      <c r="L330" s="80" t="str">
        <f>IF(G330*K330&lt;&gt;0, TRUNC(G330*K330,1),"")</f>
        <v/>
      </c>
      <c r="M330" s="80"/>
      <c r="N330" s="80" t="str">
        <f>IF(G330*M330&lt;&gt;0, TRUNC(G330*M330,1),"")</f>
        <v/>
      </c>
      <c r="O330" s="80"/>
      <c r="P330" s="80">
        <f t="shared" si="55"/>
        <v>214.2</v>
      </c>
      <c r="Q330" s="74"/>
    </row>
    <row r="331" spans="1:31" ht="23.25" customHeight="1">
      <c r="B331" s="64" t="s">
        <v>921</v>
      </c>
      <c r="D331" s="74" t="s">
        <v>922</v>
      </c>
      <c r="E331" s="74"/>
      <c r="F331" s="54"/>
      <c r="G331" s="80"/>
      <c r="H331" s="80"/>
      <c r="I331" s="80">
        <f>TRUNC(SUM(I326:I330))</f>
        <v>214</v>
      </c>
      <c r="J331" s="80"/>
      <c r="K331" s="80"/>
      <c r="L331" s="80">
        <f>TRUNC(SUM(L326:L330))</f>
        <v>7143</v>
      </c>
      <c r="M331" s="80"/>
      <c r="N331" s="80">
        <f>TRUNC(SUM(N326:N330))</f>
        <v>0</v>
      </c>
      <c r="O331" s="80"/>
      <c r="P331" s="80">
        <f t="shared" si="55"/>
        <v>7357</v>
      </c>
      <c r="Q331" s="74"/>
      <c r="AC331" s="48">
        <f>TRUNC(AE331*옵션!$B$36/100,1)</f>
        <v>214.2</v>
      </c>
      <c r="AD331" s="48">
        <f>TRUNC(SUM(L326:L329))</f>
        <v>7143</v>
      </c>
      <c r="AE331" s="48">
        <f>TRUNC(SUM(AE326:AE330))</f>
        <v>7143</v>
      </c>
    </row>
    <row r="332" spans="1:31" ht="23.25" customHeight="1">
      <c r="D332" s="74"/>
      <c r="E332" s="74"/>
      <c r="F332" s="54"/>
      <c r="G332" s="80"/>
      <c r="H332" s="80"/>
      <c r="I332" s="80" t="str">
        <f>IF(G332*H332&lt;&gt;0, TRUNC(G332*H332,1),"")</f>
        <v/>
      </c>
      <c r="J332" s="80"/>
      <c r="K332" s="80"/>
      <c r="L332" s="80" t="str">
        <f>IF(G332*K332&lt;&gt;0, TRUNC(G332*K332,1),"")</f>
        <v/>
      </c>
      <c r="M332" s="80"/>
      <c r="N332" s="80" t="str">
        <f>IF(G332*M332&lt;&gt;0, TRUNC(G332*M332,1),"")</f>
        <v/>
      </c>
      <c r="O332" s="80"/>
      <c r="P332" s="80" t="str">
        <f t="shared" si="55"/>
        <v/>
      </c>
      <c r="Q332" s="74"/>
    </row>
    <row r="333" spans="1:31" ht="23.25" customHeight="1">
      <c r="A333" s="64" t="s">
        <v>847</v>
      </c>
      <c r="B333" s="64" t="s">
        <v>915</v>
      </c>
      <c r="C333" s="76" t="s">
        <v>848</v>
      </c>
      <c r="D333" s="158" t="s">
        <v>1019</v>
      </c>
      <c r="E333" s="159"/>
      <c r="F333" s="159"/>
      <c r="G333" s="159"/>
      <c r="H333" s="159"/>
      <c r="I333" s="159"/>
      <c r="J333" s="159"/>
      <c r="K333" s="159"/>
      <c r="L333" s="159"/>
      <c r="M333" s="159"/>
      <c r="N333" s="159"/>
      <c r="O333" s="159"/>
      <c r="P333" s="159"/>
      <c r="Q333" s="160"/>
    </row>
    <row r="334" spans="1:31" ht="23.25" customHeight="1">
      <c r="A334" s="64" t="s">
        <v>1020</v>
      </c>
      <c r="B334" s="64" t="s">
        <v>849</v>
      </c>
      <c r="C334" s="76" t="s">
        <v>337</v>
      </c>
      <c r="D334" s="74" t="s">
        <v>333</v>
      </c>
      <c r="E334" s="74" t="s">
        <v>345</v>
      </c>
      <c r="F334" s="54" t="s">
        <v>196</v>
      </c>
      <c r="G334" s="80">
        <v>1</v>
      </c>
      <c r="H334" s="80">
        <f>합산자재!H55</f>
        <v>0</v>
      </c>
      <c r="I334" s="80" t="str">
        <f>IF(G334*H334&lt;&gt;0, TRUNC(G334*H334,1),"")</f>
        <v/>
      </c>
      <c r="J334" s="80">
        <v>1</v>
      </c>
      <c r="K334" s="80">
        <f>합산자재!I55</f>
        <v>0</v>
      </c>
      <c r="L334" s="80" t="str">
        <f>IF(G334*K334&lt;&gt;0, TRUNC(G334*K334,1),"")</f>
        <v/>
      </c>
      <c r="M334" s="80">
        <f>합산자재!J55</f>
        <v>0</v>
      </c>
      <c r="N334" s="80" t="str">
        <f>IF(G334*M334&lt;&gt;0, TRUNC(G334*M334,1),"")</f>
        <v/>
      </c>
      <c r="O334" s="80"/>
      <c r="P334" s="80" t="str">
        <f t="shared" ref="P334:P339" si="56">IF(SUM(I334,L334,N334)&lt;&gt;0,TRUNC(SUM(I334,L334,N334),1),"")</f>
        <v/>
      </c>
      <c r="Q334" s="74"/>
      <c r="AC334" s="48">
        <f>G334*H334</f>
        <v>0</v>
      </c>
    </row>
    <row r="335" spans="1:31" ht="23.25" customHeight="1">
      <c r="A335" s="64" t="s">
        <v>621</v>
      </c>
      <c r="B335" s="64" t="s">
        <v>849</v>
      </c>
      <c r="C335" s="76" t="s">
        <v>533</v>
      </c>
      <c r="D335" s="74" t="s">
        <v>530</v>
      </c>
      <c r="E335" s="74" t="s">
        <v>534</v>
      </c>
      <c r="F335" s="54" t="s">
        <v>532</v>
      </c>
      <c r="G335" s="80">
        <f>일위노임!G195</f>
        <v>1.8880000000000001E-2</v>
      </c>
      <c r="H335" s="80">
        <f>합산자재!H116</f>
        <v>0</v>
      </c>
      <c r="I335" s="80" t="str">
        <f>IF(G335*H335&lt;&gt;0, TRUNC(G335*H335,1),"")</f>
        <v/>
      </c>
      <c r="J335" s="80">
        <v>1.8880000000000001E-2</v>
      </c>
      <c r="K335" s="80">
        <f>합산자재!I116</f>
        <v>304156</v>
      </c>
      <c r="L335" s="80">
        <f>IF(G335*K335&lt;&gt;0, TRUNC(G335*K335,1),"")</f>
        <v>5742.4</v>
      </c>
      <c r="M335" s="80">
        <f>합산자재!J116</f>
        <v>0</v>
      </c>
      <c r="N335" s="80" t="str">
        <f>IF(G335*M335&lt;&gt;0, TRUNC(G335*M335,1),"")</f>
        <v/>
      </c>
      <c r="O335" s="80"/>
      <c r="P335" s="80">
        <f t="shared" si="56"/>
        <v>5742.4</v>
      </c>
      <c r="Q335" s="74"/>
      <c r="AE335" s="48">
        <f>L335</f>
        <v>5742.4</v>
      </c>
    </row>
    <row r="336" spans="1:31" ht="23.25" customHeight="1">
      <c r="A336" s="64" t="s">
        <v>579</v>
      </c>
      <c r="B336" s="64" t="s">
        <v>849</v>
      </c>
      <c r="C336" s="76" t="s">
        <v>549</v>
      </c>
      <c r="D336" s="74" t="s">
        <v>530</v>
      </c>
      <c r="E336" s="74" t="s">
        <v>550</v>
      </c>
      <c r="F336" s="54" t="s">
        <v>532</v>
      </c>
      <c r="G336" s="80">
        <f>일위노임!G196</f>
        <v>1.8880000000000001E-2</v>
      </c>
      <c r="H336" s="80">
        <f>합산자재!H124</f>
        <v>0</v>
      </c>
      <c r="I336" s="80" t="str">
        <f>IF(G336*H336&lt;&gt;0, TRUNC(G336*H336,1),"")</f>
        <v/>
      </c>
      <c r="J336" s="80">
        <v>1.8880000000000001E-2</v>
      </c>
      <c r="K336" s="80">
        <f>합산자재!I124</f>
        <v>172068</v>
      </c>
      <c r="L336" s="80">
        <f>IF(G336*K336&lt;&gt;0, TRUNC(G336*K336,1),"")</f>
        <v>3248.6</v>
      </c>
      <c r="M336" s="80">
        <f>합산자재!J124</f>
        <v>0</v>
      </c>
      <c r="N336" s="80" t="str">
        <f>IF(G336*M336&lt;&gt;0, TRUNC(G336*M336,1),"")</f>
        <v/>
      </c>
      <c r="O336" s="80"/>
      <c r="P336" s="80">
        <f t="shared" si="56"/>
        <v>3248.6</v>
      </c>
      <c r="Q336" s="74"/>
      <c r="AE336" s="48">
        <f>L336</f>
        <v>3248.6</v>
      </c>
    </row>
    <row r="337" spans="1:31" ht="23.25" customHeight="1">
      <c r="A337" s="64" t="s">
        <v>926</v>
      </c>
      <c r="B337" s="64" t="s">
        <v>849</v>
      </c>
      <c r="C337" s="76" t="s">
        <v>927</v>
      </c>
      <c r="D337" s="74" t="s">
        <v>928</v>
      </c>
      <c r="E337" s="74" t="s">
        <v>929</v>
      </c>
      <c r="F337" s="54" t="s">
        <v>458</v>
      </c>
      <c r="G337" s="80">
        <v>1</v>
      </c>
      <c r="H337" s="80">
        <f>IF(TRUNC((AD338+AC338)/$AE$3,1)*$AE$3-AD338 &lt;0, AC338, TRUNC((AD338+AC338)/$AE$3,1)*$AE$3-AD338)</f>
        <v>269.70000000000073</v>
      </c>
      <c r="I337" s="80">
        <f>H337</f>
        <v>269.70000000000073</v>
      </c>
      <c r="J337" s="80">
        <v>1</v>
      </c>
      <c r="K337" s="80"/>
      <c r="L337" s="80" t="str">
        <f>IF(G337*K337&lt;&gt;0, TRUNC(G337*K337,1),"")</f>
        <v/>
      </c>
      <c r="M337" s="80"/>
      <c r="N337" s="80" t="str">
        <f>IF(G337*M337&lt;&gt;0, TRUNC(G337*M337,1),"")</f>
        <v/>
      </c>
      <c r="O337" s="80"/>
      <c r="P337" s="80">
        <f t="shared" si="56"/>
        <v>269.7</v>
      </c>
      <c r="Q337" s="74"/>
    </row>
    <row r="338" spans="1:31" ht="23.25" customHeight="1">
      <c r="B338" s="64" t="s">
        <v>921</v>
      </c>
      <c r="D338" s="74" t="s">
        <v>922</v>
      </c>
      <c r="E338" s="74"/>
      <c r="F338" s="54"/>
      <c r="G338" s="80"/>
      <c r="H338" s="80"/>
      <c r="I338" s="80">
        <f>TRUNC(SUM(I333:I337))</f>
        <v>269</v>
      </c>
      <c r="J338" s="80"/>
      <c r="K338" s="80"/>
      <c r="L338" s="80">
        <f>TRUNC(SUM(L333:L337))</f>
        <v>8991</v>
      </c>
      <c r="M338" s="80"/>
      <c r="N338" s="80">
        <f>TRUNC(SUM(N333:N337))</f>
        <v>0</v>
      </c>
      <c r="O338" s="80"/>
      <c r="P338" s="80">
        <f t="shared" si="56"/>
        <v>9260</v>
      </c>
      <c r="Q338" s="74"/>
      <c r="AC338" s="48">
        <f>TRUNC(AE338*옵션!$B$36/100,1)</f>
        <v>269.7</v>
      </c>
      <c r="AD338" s="48">
        <f>TRUNC(SUM(L333:L336))</f>
        <v>8991</v>
      </c>
      <c r="AE338" s="48">
        <f>TRUNC(SUM(AE333:AE337))</f>
        <v>8991</v>
      </c>
    </row>
    <row r="339" spans="1:31" ht="23.25" customHeight="1">
      <c r="D339" s="74"/>
      <c r="E339" s="74"/>
      <c r="F339" s="54"/>
      <c r="G339" s="80"/>
      <c r="H339" s="80"/>
      <c r="I339" s="80" t="str">
        <f>IF(G339*H339&lt;&gt;0, TRUNC(G339*H339,1),"")</f>
        <v/>
      </c>
      <c r="J339" s="80"/>
      <c r="K339" s="80"/>
      <c r="L339" s="80" t="str">
        <f>IF(G339*K339&lt;&gt;0, TRUNC(G339*K339,1),"")</f>
        <v/>
      </c>
      <c r="M339" s="80"/>
      <c r="N339" s="80" t="str">
        <f>IF(G339*M339&lt;&gt;0, TRUNC(G339*M339,1),"")</f>
        <v/>
      </c>
      <c r="O339" s="80"/>
      <c r="P339" s="80" t="str">
        <f t="shared" si="56"/>
        <v/>
      </c>
      <c r="Q339" s="74"/>
    </row>
    <row r="340" spans="1:31" ht="23.25" customHeight="1">
      <c r="A340" s="64" t="s">
        <v>850</v>
      </c>
      <c r="B340" s="64" t="s">
        <v>915</v>
      </c>
      <c r="C340" s="76" t="s">
        <v>851</v>
      </c>
      <c r="D340" s="158" t="s">
        <v>1021</v>
      </c>
      <c r="E340" s="159"/>
      <c r="F340" s="159"/>
      <c r="G340" s="159"/>
      <c r="H340" s="159"/>
      <c r="I340" s="159"/>
      <c r="J340" s="159"/>
      <c r="K340" s="159"/>
      <c r="L340" s="159"/>
      <c r="M340" s="159"/>
      <c r="N340" s="159"/>
      <c r="O340" s="159"/>
      <c r="P340" s="159"/>
      <c r="Q340" s="160"/>
    </row>
    <row r="341" spans="1:31" ht="23.25" customHeight="1">
      <c r="A341" s="64" t="s">
        <v>1022</v>
      </c>
      <c r="B341" s="64" t="s">
        <v>852</v>
      </c>
      <c r="C341" s="76" t="s">
        <v>346</v>
      </c>
      <c r="D341" s="74" t="s">
        <v>347</v>
      </c>
      <c r="E341" s="74" t="s">
        <v>348</v>
      </c>
      <c r="F341" s="54" t="s">
        <v>266</v>
      </c>
      <c r="G341" s="80">
        <v>1</v>
      </c>
      <c r="H341" s="80">
        <f>합산자재!H56</f>
        <v>620000</v>
      </c>
      <c r="I341" s="80">
        <f>IF(G341*H341&lt;&gt;0, TRUNC(G341*H341,1),"")</f>
        <v>620000</v>
      </c>
      <c r="J341" s="80">
        <v>1</v>
      </c>
      <c r="K341" s="80">
        <f>합산자재!I56</f>
        <v>0</v>
      </c>
      <c r="L341" s="80" t="str">
        <f>IF(G341*K341&lt;&gt;0, TRUNC(G341*K341,1),"")</f>
        <v/>
      </c>
      <c r="M341" s="80">
        <f>합산자재!J56</f>
        <v>0</v>
      </c>
      <c r="N341" s="80" t="str">
        <f>IF(G341*M341&lt;&gt;0, TRUNC(G341*M341,1),"")</f>
        <v/>
      </c>
      <c r="O341" s="80"/>
      <c r="P341" s="80">
        <f t="shared" ref="P341:P346" si="57">IF(SUM(I341,L341,N341)&lt;&gt;0,TRUNC(SUM(I341,L341,N341),1),"")</f>
        <v>620000</v>
      </c>
      <c r="Q341" s="74"/>
    </row>
    <row r="342" spans="1:31" ht="23.25" customHeight="1">
      <c r="A342" s="64" t="s">
        <v>593</v>
      </c>
      <c r="B342" s="64" t="s">
        <v>852</v>
      </c>
      <c r="C342" s="76" t="s">
        <v>529</v>
      </c>
      <c r="D342" s="74" t="s">
        <v>530</v>
      </c>
      <c r="E342" s="74" t="s">
        <v>531</v>
      </c>
      <c r="F342" s="54" t="s">
        <v>532</v>
      </c>
      <c r="G342" s="80">
        <f>일위노임!G200</f>
        <v>0.20399999999999999</v>
      </c>
      <c r="H342" s="80">
        <f>합산자재!H115</f>
        <v>0</v>
      </c>
      <c r="I342" s="80" t="str">
        <f>IF(G342*H342&lt;&gt;0, TRUNC(G342*H342,1),"")</f>
        <v/>
      </c>
      <c r="J342" s="80">
        <v>0.20399999999999999</v>
      </c>
      <c r="K342" s="80">
        <f>합산자재!I115</f>
        <v>273676</v>
      </c>
      <c r="L342" s="80">
        <f>IF(G342*K342&lt;&gt;0, TRUNC(G342*K342,1),"")</f>
        <v>55829.9</v>
      </c>
      <c r="M342" s="80">
        <f>합산자재!J115</f>
        <v>0</v>
      </c>
      <c r="N342" s="80" t="str">
        <f>IF(G342*M342&lt;&gt;0, TRUNC(G342*M342,1),"")</f>
        <v/>
      </c>
      <c r="O342" s="80"/>
      <c r="P342" s="80">
        <f t="shared" si="57"/>
        <v>55829.9</v>
      </c>
      <c r="Q342" s="74"/>
      <c r="AE342" s="48">
        <f>L342</f>
        <v>55829.9</v>
      </c>
    </row>
    <row r="343" spans="1:31" ht="23.25" customHeight="1">
      <c r="A343" s="64" t="s">
        <v>579</v>
      </c>
      <c r="B343" s="64" t="s">
        <v>852</v>
      </c>
      <c r="C343" s="76" t="s">
        <v>549</v>
      </c>
      <c r="D343" s="74" t="s">
        <v>530</v>
      </c>
      <c r="E343" s="74" t="s">
        <v>550</v>
      </c>
      <c r="F343" s="54" t="s">
        <v>532</v>
      </c>
      <c r="G343" s="80">
        <f>일위노임!G201</f>
        <v>0.19</v>
      </c>
      <c r="H343" s="80">
        <f>합산자재!H124</f>
        <v>0</v>
      </c>
      <c r="I343" s="80" t="str">
        <f>IF(G343*H343&lt;&gt;0, TRUNC(G343*H343,1),"")</f>
        <v/>
      </c>
      <c r="J343" s="80">
        <v>0.19</v>
      </c>
      <c r="K343" s="80">
        <f>합산자재!I124</f>
        <v>172068</v>
      </c>
      <c r="L343" s="80">
        <f>IF(G343*K343&lt;&gt;0, TRUNC(G343*K343,1),"")</f>
        <v>32692.9</v>
      </c>
      <c r="M343" s="80">
        <f>합산자재!J124</f>
        <v>0</v>
      </c>
      <c r="N343" s="80" t="str">
        <f>IF(G343*M343&lt;&gt;0, TRUNC(G343*M343,1),"")</f>
        <v/>
      </c>
      <c r="O343" s="80"/>
      <c r="P343" s="80">
        <f t="shared" si="57"/>
        <v>32692.9</v>
      </c>
      <c r="Q343" s="74"/>
      <c r="AE343" s="48">
        <f>L343</f>
        <v>32692.9</v>
      </c>
    </row>
    <row r="344" spans="1:31" ht="23.25" customHeight="1">
      <c r="A344" s="64" t="s">
        <v>926</v>
      </c>
      <c r="B344" s="64" t="s">
        <v>852</v>
      </c>
      <c r="C344" s="76" t="s">
        <v>927</v>
      </c>
      <c r="D344" s="74" t="s">
        <v>928</v>
      </c>
      <c r="E344" s="74" t="s">
        <v>929</v>
      </c>
      <c r="F344" s="54" t="s">
        <v>458</v>
      </c>
      <c r="G344" s="80">
        <v>1</v>
      </c>
      <c r="H344" s="80">
        <f>IF(TRUNC((AD345+AC345)/$AE$3,1)*$AE$3-AD345 &lt;0, AC345, TRUNC((AD345+AC345)/$AE$3,1)*$AE$3-AD345)</f>
        <v>2655.6000000000058</v>
      </c>
      <c r="I344" s="80">
        <f>H344</f>
        <v>2655.6000000000058</v>
      </c>
      <c r="J344" s="80">
        <v>1</v>
      </c>
      <c r="K344" s="80"/>
      <c r="L344" s="80" t="str">
        <f>IF(G344*K344&lt;&gt;0, TRUNC(G344*K344,1),"")</f>
        <v/>
      </c>
      <c r="M344" s="80"/>
      <c r="N344" s="80" t="str">
        <f>IF(G344*M344&lt;&gt;0, TRUNC(G344*M344,1),"")</f>
        <v/>
      </c>
      <c r="O344" s="80"/>
      <c r="P344" s="80">
        <f t="shared" si="57"/>
        <v>2655.6</v>
      </c>
      <c r="Q344" s="74"/>
    </row>
    <row r="345" spans="1:31" ht="23.25" customHeight="1">
      <c r="B345" s="64" t="s">
        <v>921</v>
      </c>
      <c r="D345" s="74" t="s">
        <v>922</v>
      </c>
      <c r="E345" s="74"/>
      <c r="F345" s="54"/>
      <c r="G345" s="80"/>
      <c r="H345" s="80"/>
      <c r="I345" s="80">
        <f>TRUNC(SUM(I340:I344))</f>
        <v>622655</v>
      </c>
      <c r="J345" s="80"/>
      <c r="K345" s="80"/>
      <c r="L345" s="80">
        <f>TRUNC(SUM(L340:L344))</f>
        <v>88522</v>
      </c>
      <c r="M345" s="80"/>
      <c r="N345" s="80">
        <f>TRUNC(SUM(N340:N344))</f>
        <v>0</v>
      </c>
      <c r="O345" s="80"/>
      <c r="P345" s="80">
        <f t="shared" si="57"/>
        <v>711177</v>
      </c>
      <c r="Q345" s="74"/>
      <c r="AC345" s="48">
        <f>TRUNC(AE345*옵션!$B$36/100,1)</f>
        <v>2655.6</v>
      </c>
      <c r="AD345" s="48">
        <f>TRUNC(SUM(L340:L343))</f>
        <v>88522</v>
      </c>
      <c r="AE345" s="48">
        <f>TRUNC(SUM(AE340:AE344))</f>
        <v>88522</v>
      </c>
    </row>
    <row r="346" spans="1:31" ht="23.25" customHeight="1">
      <c r="D346" s="74"/>
      <c r="E346" s="74"/>
      <c r="F346" s="54"/>
      <c r="G346" s="80"/>
      <c r="H346" s="80"/>
      <c r="I346" s="80" t="str">
        <f>IF(G346*H346&lt;&gt;0, TRUNC(G346*H346,1),"")</f>
        <v/>
      </c>
      <c r="J346" s="80"/>
      <c r="K346" s="80"/>
      <c r="L346" s="80" t="str">
        <f>IF(G346*K346&lt;&gt;0, TRUNC(G346*K346,1),"")</f>
        <v/>
      </c>
      <c r="M346" s="80"/>
      <c r="N346" s="80" t="str">
        <f>IF(G346*M346&lt;&gt;0, TRUNC(G346*M346,1),"")</f>
        <v/>
      </c>
      <c r="O346" s="80"/>
      <c r="P346" s="80" t="str">
        <f t="shared" si="57"/>
        <v/>
      </c>
      <c r="Q346" s="74"/>
    </row>
    <row r="347" spans="1:31" ht="23.25" customHeight="1">
      <c r="A347" s="64" t="s">
        <v>853</v>
      </c>
      <c r="B347" s="64" t="s">
        <v>915</v>
      </c>
      <c r="C347" s="76" t="s">
        <v>854</v>
      </c>
      <c r="D347" s="158" t="s">
        <v>1023</v>
      </c>
      <c r="E347" s="159"/>
      <c r="F347" s="159"/>
      <c r="G347" s="159"/>
      <c r="H347" s="159"/>
      <c r="I347" s="159"/>
      <c r="J347" s="159"/>
      <c r="K347" s="159"/>
      <c r="L347" s="159"/>
      <c r="M347" s="159"/>
      <c r="N347" s="159"/>
      <c r="O347" s="159"/>
      <c r="P347" s="159"/>
      <c r="Q347" s="160"/>
    </row>
    <row r="348" spans="1:31" ht="23.25" customHeight="1">
      <c r="A348" s="64" t="s">
        <v>1024</v>
      </c>
      <c r="B348" s="64" t="s">
        <v>855</v>
      </c>
      <c r="C348" s="76" t="s">
        <v>351</v>
      </c>
      <c r="D348" s="74" t="s">
        <v>352</v>
      </c>
      <c r="E348" s="74" t="s">
        <v>353</v>
      </c>
      <c r="F348" s="54" t="s">
        <v>266</v>
      </c>
      <c r="G348" s="80">
        <v>1</v>
      </c>
      <c r="H348" s="80">
        <f>합산자재!H57</f>
        <v>500000</v>
      </c>
      <c r="I348" s="80">
        <f>IF(G348*H348&lt;&gt;0, TRUNC(G348*H348,1),"")</f>
        <v>500000</v>
      </c>
      <c r="J348" s="80">
        <v>1</v>
      </c>
      <c r="K348" s="80">
        <f>합산자재!I57</f>
        <v>0</v>
      </c>
      <c r="L348" s="80" t="str">
        <f>IF(G348*K348&lt;&gt;0, TRUNC(G348*K348,1),"")</f>
        <v/>
      </c>
      <c r="M348" s="80">
        <f>합산자재!J57</f>
        <v>0</v>
      </c>
      <c r="N348" s="80" t="str">
        <f>IF(G348*M348&lt;&gt;0, TRUNC(G348*M348,1),"")</f>
        <v/>
      </c>
      <c r="O348" s="80"/>
      <c r="P348" s="80">
        <f>IF(SUM(I348,L348,N348)&lt;&gt;0,TRUNC(SUM(I348,L348,N348),1),"")</f>
        <v>500000</v>
      </c>
      <c r="Q348" s="74"/>
    </row>
    <row r="349" spans="1:31" ht="23.25" customHeight="1">
      <c r="A349" s="64" t="s">
        <v>593</v>
      </c>
      <c r="B349" s="64" t="s">
        <v>855</v>
      </c>
      <c r="C349" s="76" t="s">
        <v>529</v>
      </c>
      <c r="D349" s="74" t="s">
        <v>530</v>
      </c>
      <c r="E349" s="74" t="s">
        <v>531</v>
      </c>
      <c r="F349" s="54" t="s">
        <v>532</v>
      </c>
      <c r="G349" s="80">
        <f>일위노임!G204</f>
        <v>0.183</v>
      </c>
      <c r="H349" s="80">
        <f>합산자재!H115</f>
        <v>0</v>
      </c>
      <c r="I349" s="80" t="str">
        <f>IF(G349*H349&lt;&gt;0, TRUNC(G349*H349,1),"")</f>
        <v/>
      </c>
      <c r="J349" s="80">
        <v>0.183</v>
      </c>
      <c r="K349" s="80">
        <f>합산자재!I115</f>
        <v>273676</v>
      </c>
      <c r="L349" s="80">
        <f>IF(G349*K349&lt;&gt;0, TRUNC(G349*K349,1),"")</f>
        <v>50082.7</v>
      </c>
      <c r="M349" s="80">
        <f>합산자재!J115</f>
        <v>0</v>
      </c>
      <c r="N349" s="80" t="str">
        <f>IF(G349*M349&lt;&gt;0, TRUNC(G349*M349,1),"")</f>
        <v/>
      </c>
      <c r="O349" s="80"/>
      <c r="P349" s="80">
        <f>IF(SUM(I349,L349,N349)&lt;&gt;0,TRUNC(SUM(I349,L349,N349),1),"")</f>
        <v>50082.7</v>
      </c>
      <c r="Q349" s="74"/>
      <c r="AE349" s="48">
        <f>L349</f>
        <v>50082.7</v>
      </c>
    </row>
    <row r="350" spans="1:31" ht="23.25" customHeight="1">
      <c r="A350" s="64" t="s">
        <v>926</v>
      </c>
      <c r="B350" s="64" t="s">
        <v>855</v>
      </c>
      <c r="C350" s="76" t="s">
        <v>927</v>
      </c>
      <c r="D350" s="74" t="s">
        <v>928</v>
      </c>
      <c r="E350" s="74" t="s">
        <v>929</v>
      </c>
      <c r="F350" s="54" t="s">
        <v>458</v>
      </c>
      <c r="G350" s="80">
        <v>1</v>
      </c>
      <c r="H350" s="80">
        <f>IF(TRUNC((AD351+AC351)/$AE$3,1)*$AE$3-AD351 &lt;0, AC351, TRUNC((AD351+AC351)/$AE$3,1)*$AE$3-AD351)</f>
        <v>1502.4000000000015</v>
      </c>
      <c r="I350" s="80">
        <f>H350</f>
        <v>1502.4000000000015</v>
      </c>
      <c r="J350" s="80">
        <v>1</v>
      </c>
      <c r="K350" s="80"/>
      <c r="L350" s="80" t="str">
        <f>IF(G350*K350&lt;&gt;0, TRUNC(G350*K350,1),"")</f>
        <v/>
      </c>
      <c r="M350" s="80"/>
      <c r="N350" s="80" t="str">
        <f>IF(G350*M350&lt;&gt;0, TRUNC(G350*M350,1),"")</f>
        <v/>
      </c>
      <c r="O350" s="80"/>
      <c r="P350" s="80">
        <f>IF(SUM(I350,L350,N350)&lt;&gt;0,TRUNC(SUM(I350,L350,N350),1),"")</f>
        <v>1502.4</v>
      </c>
      <c r="Q350" s="74"/>
    </row>
    <row r="351" spans="1:31" ht="23.25" customHeight="1">
      <c r="B351" s="64" t="s">
        <v>921</v>
      </c>
      <c r="D351" s="74" t="s">
        <v>922</v>
      </c>
      <c r="E351" s="74"/>
      <c r="F351" s="54"/>
      <c r="G351" s="80"/>
      <c r="H351" s="80"/>
      <c r="I351" s="80">
        <f>TRUNC(SUM(I347:I350))</f>
        <v>501502</v>
      </c>
      <c r="J351" s="80"/>
      <c r="K351" s="80"/>
      <c r="L351" s="80">
        <f>TRUNC(SUM(L347:L350))</f>
        <v>50082</v>
      </c>
      <c r="M351" s="80"/>
      <c r="N351" s="80">
        <f>TRUNC(SUM(N347:N350))</f>
        <v>0</v>
      </c>
      <c r="O351" s="80"/>
      <c r="P351" s="80">
        <f>IF(SUM(I351,L351,N351)&lt;&gt;0,TRUNC(SUM(I351,L351,N351),1),"")</f>
        <v>551584</v>
      </c>
      <c r="Q351" s="74"/>
      <c r="AC351" s="48">
        <f>TRUNC(AE351*옵션!$B$36/100,1)</f>
        <v>1502.4</v>
      </c>
      <c r="AD351" s="48">
        <f>TRUNC(SUM(L347:L349))</f>
        <v>50082</v>
      </c>
      <c r="AE351" s="48">
        <f>TRUNC(SUM(AE347:AE350))</f>
        <v>50082</v>
      </c>
    </row>
    <row r="352" spans="1:31" ht="23.25" customHeight="1">
      <c r="D352" s="74"/>
      <c r="E352" s="74"/>
      <c r="F352" s="54"/>
      <c r="G352" s="80"/>
      <c r="H352" s="80"/>
      <c r="I352" s="80" t="str">
        <f>IF(G352*H352&lt;&gt;0, TRUNC(G352*H352,1),"")</f>
        <v/>
      </c>
      <c r="J352" s="80"/>
      <c r="K352" s="80"/>
      <c r="L352" s="80" t="str">
        <f>IF(G352*K352&lt;&gt;0, TRUNC(G352*K352,1),"")</f>
        <v/>
      </c>
      <c r="M352" s="80"/>
      <c r="N352" s="80" t="str">
        <f>IF(G352*M352&lt;&gt;0, TRUNC(G352*M352,1),"")</f>
        <v/>
      </c>
      <c r="O352" s="80"/>
      <c r="P352" s="80" t="str">
        <f>IF(SUM(I352,L352,N352)&lt;&gt;0,TRUNC(SUM(I352,L352,N352),1),"")</f>
        <v/>
      </c>
      <c r="Q352" s="74"/>
    </row>
    <row r="353" spans="1:31" ht="23.25" customHeight="1">
      <c r="A353" s="64" t="s">
        <v>856</v>
      </c>
      <c r="B353" s="64" t="s">
        <v>915</v>
      </c>
      <c r="C353" s="76" t="s">
        <v>857</v>
      </c>
      <c r="D353" s="158" t="s">
        <v>1025</v>
      </c>
      <c r="E353" s="159"/>
      <c r="F353" s="159"/>
      <c r="G353" s="159"/>
      <c r="H353" s="159"/>
      <c r="I353" s="159"/>
      <c r="J353" s="159"/>
      <c r="K353" s="159"/>
      <c r="L353" s="159"/>
      <c r="M353" s="159"/>
      <c r="N353" s="159"/>
      <c r="O353" s="159"/>
      <c r="P353" s="159"/>
      <c r="Q353" s="160"/>
    </row>
    <row r="354" spans="1:31" ht="23.25" customHeight="1">
      <c r="A354" s="64" t="s">
        <v>1026</v>
      </c>
      <c r="B354" s="64" t="s">
        <v>858</v>
      </c>
      <c r="C354" s="76" t="s">
        <v>355</v>
      </c>
      <c r="D354" s="74" t="s">
        <v>356</v>
      </c>
      <c r="E354" s="74"/>
      <c r="F354" s="54" t="s">
        <v>266</v>
      </c>
      <c r="G354" s="80">
        <v>1</v>
      </c>
      <c r="H354" s="80">
        <f>합산자재!H58</f>
        <v>550000</v>
      </c>
      <c r="I354" s="80">
        <f>IF(G354*H354&lt;&gt;0, TRUNC(G354*H354,1),"")</f>
        <v>550000</v>
      </c>
      <c r="J354" s="80">
        <v>1</v>
      </c>
      <c r="K354" s="80">
        <f>합산자재!I58</f>
        <v>0</v>
      </c>
      <c r="L354" s="80" t="str">
        <f>IF(G354*K354&lt;&gt;0, TRUNC(G354*K354,1),"")</f>
        <v/>
      </c>
      <c r="M354" s="80">
        <f>합산자재!J58</f>
        <v>0</v>
      </c>
      <c r="N354" s="80" t="str">
        <f>IF(G354*M354&lt;&gt;0, TRUNC(G354*M354,1),"")</f>
        <v/>
      </c>
      <c r="O354" s="80"/>
      <c r="P354" s="80">
        <f>IF(SUM(I354,L354,N354)&lt;&gt;0,TRUNC(SUM(I354,L354,N354),1),"")</f>
        <v>550000</v>
      </c>
      <c r="Q354" s="74"/>
    </row>
    <row r="355" spans="1:31" ht="23.25" customHeight="1">
      <c r="A355" s="64" t="s">
        <v>593</v>
      </c>
      <c r="B355" s="64" t="s">
        <v>858</v>
      </c>
      <c r="C355" s="76" t="s">
        <v>529</v>
      </c>
      <c r="D355" s="74" t="s">
        <v>530</v>
      </c>
      <c r="E355" s="74" t="s">
        <v>531</v>
      </c>
      <c r="F355" s="54" t="s">
        <v>532</v>
      </c>
      <c r="G355" s="80">
        <f>일위노임!G207</f>
        <v>0.20799999999999999</v>
      </c>
      <c r="H355" s="80">
        <f>합산자재!H115</f>
        <v>0</v>
      </c>
      <c r="I355" s="80" t="str">
        <f>IF(G355*H355&lt;&gt;0, TRUNC(G355*H355,1),"")</f>
        <v/>
      </c>
      <c r="J355" s="80">
        <v>0.20799999999999999</v>
      </c>
      <c r="K355" s="80">
        <f>합산자재!I115</f>
        <v>273676</v>
      </c>
      <c r="L355" s="80">
        <f>IF(G355*K355&lt;&gt;0, TRUNC(G355*K355,1),"")</f>
        <v>56924.6</v>
      </c>
      <c r="M355" s="80">
        <f>합산자재!J115</f>
        <v>0</v>
      </c>
      <c r="N355" s="80" t="str">
        <f>IF(G355*M355&lt;&gt;0, TRUNC(G355*M355,1),"")</f>
        <v/>
      </c>
      <c r="O355" s="80"/>
      <c r="P355" s="80">
        <f>IF(SUM(I355,L355,N355)&lt;&gt;0,TRUNC(SUM(I355,L355,N355),1),"")</f>
        <v>56924.6</v>
      </c>
      <c r="Q355" s="74"/>
      <c r="AE355" s="48">
        <f>L355</f>
        <v>56924.6</v>
      </c>
    </row>
    <row r="356" spans="1:31" ht="23.25" customHeight="1">
      <c r="A356" s="64" t="s">
        <v>926</v>
      </c>
      <c r="B356" s="64" t="s">
        <v>858</v>
      </c>
      <c r="C356" s="76" t="s">
        <v>927</v>
      </c>
      <c r="D356" s="74" t="s">
        <v>928</v>
      </c>
      <c r="E356" s="74" t="s">
        <v>929</v>
      </c>
      <c r="F356" s="54" t="s">
        <v>458</v>
      </c>
      <c r="G356" s="80">
        <v>1</v>
      </c>
      <c r="H356" s="80">
        <f>IF(TRUNC((AD357+AC357)/$AE$3,1)*$AE$3-AD357 &lt;0, AC357, TRUNC((AD357+AC357)/$AE$3,1)*$AE$3-AD357)</f>
        <v>1707.6999999999971</v>
      </c>
      <c r="I356" s="80">
        <f>H356</f>
        <v>1707.6999999999971</v>
      </c>
      <c r="J356" s="80">
        <v>1</v>
      </c>
      <c r="K356" s="80"/>
      <c r="L356" s="80" t="str">
        <f>IF(G356*K356&lt;&gt;0, TRUNC(G356*K356,1),"")</f>
        <v/>
      </c>
      <c r="M356" s="80"/>
      <c r="N356" s="80" t="str">
        <f>IF(G356*M356&lt;&gt;0, TRUNC(G356*M356,1),"")</f>
        <v/>
      </c>
      <c r="O356" s="80"/>
      <c r="P356" s="80">
        <f>IF(SUM(I356,L356,N356)&lt;&gt;0,TRUNC(SUM(I356,L356,N356),1),"")</f>
        <v>1707.7</v>
      </c>
      <c r="Q356" s="74"/>
    </row>
    <row r="357" spans="1:31" ht="23.25" customHeight="1">
      <c r="B357" s="64" t="s">
        <v>921</v>
      </c>
      <c r="D357" s="74" t="s">
        <v>922</v>
      </c>
      <c r="E357" s="74"/>
      <c r="F357" s="54"/>
      <c r="G357" s="80"/>
      <c r="H357" s="80"/>
      <c r="I357" s="80">
        <f>TRUNC(SUM(I353:I356))</f>
        <v>551707</v>
      </c>
      <c r="J357" s="80"/>
      <c r="K357" s="80"/>
      <c r="L357" s="80">
        <f>TRUNC(SUM(L353:L356))</f>
        <v>56924</v>
      </c>
      <c r="M357" s="80"/>
      <c r="N357" s="80">
        <f>TRUNC(SUM(N353:N356))</f>
        <v>0</v>
      </c>
      <c r="O357" s="80"/>
      <c r="P357" s="80">
        <f>IF(SUM(I357,L357,N357)&lt;&gt;0,TRUNC(SUM(I357,L357,N357),1),"")</f>
        <v>608631</v>
      </c>
      <c r="Q357" s="74"/>
      <c r="AC357" s="48">
        <f>TRUNC(AE357*옵션!$B$36/100,1)</f>
        <v>1707.7</v>
      </c>
      <c r="AD357" s="48">
        <f>TRUNC(SUM(L353:L355))</f>
        <v>56924</v>
      </c>
      <c r="AE357" s="48">
        <f>TRUNC(SUM(AE353:AE356))</f>
        <v>56924</v>
      </c>
    </row>
    <row r="358" spans="1:31" ht="23.25" customHeight="1">
      <c r="D358" s="74"/>
      <c r="E358" s="74"/>
      <c r="F358" s="54"/>
      <c r="G358" s="80"/>
      <c r="H358" s="80"/>
      <c r="I358" s="80" t="str">
        <f>IF(G358*H358&lt;&gt;0, TRUNC(G358*H358,1),"")</f>
        <v/>
      </c>
      <c r="J358" s="80"/>
      <c r="K358" s="80"/>
      <c r="L358" s="80" t="str">
        <f>IF(G358*K358&lt;&gt;0, TRUNC(G358*K358,1),"")</f>
        <v/>
      </c>
      <c r="M358" s="80"/>
      <c r="N358" s="80" t="str">
        <f>IF(G358*M358&lt;&gt;0, TRUNC(G358*M358,1),"")</f>
        <v/>
      </c>
      <c r="O358" s="80"/>
      <c r="P358" s="80" t="str">
        <f>IF(SUM(I358,L358,N358)&lt;&gt;0,TRUNC(SUM(I358,L358,N358),1),"")</f>
        <v/>
      </c>
      <c r="Q358" s="74"/>
    </row>
    <row r="359" spans="1:31" ht="23.25" customHeight="1">
      <c r="A359" s="64" t="s">
        <v>859</v>
      </c>
      <c r="B359" s="64" t="s">
        <v>915</v>
      </c>
      <c r="C359" s="76" t="s">
        <v>860</v>
      </c>
      <c r="D359" s="158" t="s">
        <v>1027</v>
      </c>
      <c r="E359" s="159"/>
      <c r="F359" s="159"/>
      <c r="G359" s="159"/>
      <c r="H359" s="159"/>
      <c r="I359" s="159"/>
      <c r="J359" s="159"/>
      <c r="K359" s="159"/>
      <c r="L359" s="159"/>
      <c r="M359" s="159"/>
      <c r="N359" s="159"/>
      <c r="O359" s="159"/>
      <c r="P359" s="159"/>
      <c r="Q359" s="160"/>
    </row>
    <row r="360" spans="1:31" ht="23.25" customHeight="1">
      <c r="A360" s="64" t="s">
        <v>1028</v>
      </c>
      <c r="B360" s="64" t="s">
        <v>861</v>
      </c>
      <c r="C360" s="76" t="s">
        <v>358</v>
      </c>
      <c r="D360" s="74" t="s">
        <v>359</v>
      </c>
      <c r="E360" s="74" t="s">
        <v>360</v>
      </c>
      <c r="F360" s="54" t="s">
        <v>266</v>
      </c>
      <c r="G360" s="80">
        <v>1</v>
      </c>
      <c r="H360" s="80">
        <f>합산자재!H59</f>
        <v>104000</v>
      </c>
      <c r="I360" s="80">
        <f>IF(G360*H360&lt;&gt;0, TRUNC(G360*H360,1),"")</f>
        <v>104000</v>
      </c>
      <c r="J360" s="80">
        <v>1</v>
      </c>
      <c r="K360" s="80">
        <f>합산자재!I59</f>
        <v>0</v>
      </c>
      <c r="L360" s="80" t="str">
        <f>IF(G360*K360&lt;&gt;0, TRUNC(G360*K360,1),"")</f>
        <v/>
      </c>
      <c r="M360" s="80">
        <f>합산자재!J59</f>
        <v>0</v>
      </c>
      <c r="N360" s="80" t="str">
        <f>IF(G360*M360&lt;&gt;0, TRUNC(G360*M360,1),"")</f>
        <v/>
      </c>
      <c r="O360" s="80"/>
      <c r="P360" s="80">
        <f t="shared" ref="P360:P365" si="58">IF(SUM(I360,L360,N360)&lt;&gt;0,TRUNC(SUM(I360,L360,N360),1),"")</f>
        <v>104000</v>
      </c>
      <c r="Q360" s="74"/>
    </row>
    <row r="361" spans="1:31" ht="23.25" customHeight="1">
      <c r="A361" s="64" t="s">
        <v>593</v>
      </c>
      <c r="B361" s="64" t="s">
        <v>861</v>
      </c>
      <c r="C361" s="76" t="s">
        <v>529</v>
      </c>
      <c r="D361" s="74" t="s">
        <v>530</v>
      </c>
      <c r="E361" s="74" t="s">
        <v>531</v>
      </c>
      <c r="F361" s="54" t="s">
        <v>532</v>
      </c>
      <c r="G361" s="80">
        <f>일위노임!G211</f>
        <v>0.08</v>
      </c>
      <c r="H361" s="80">
        <f>합산자재!H115</f>
        <v>0</v>
      </c>
      <c r="I361" s="80" t="str">
        <f>IF(G361*H361&lt;&gt;0, TRUNC(G361*H361,1),"")</f>
        <v/>
      </c>
      <c r="J361" s="80">
        <v>0.08</v>
      </c>
      <c r="K361" s="80">
        <f>합산자재!I115</f>
        <v>273676</v>
      </c>
      <c r="L361" s="80">
        <f>IF(G361*K361&lt;&gt;0, TRUNC(G361*K361,1),"")</f>
        <v>21894</v>
      </c>
      <c r="M361" s="80">
        <f>합산자재!J115</f>
        <v>0</v>
      </c>
      <c r="N361" s="80" t="str">
        <f>IF(G361*M361&lt;&gt;0, TRUNC(G361*M361,1),"")</f>
        <v/>
      </c>
      <c r="O361" s="80"/>
      <c r="P361" s="80">
        <f t="shared" si="58"/>
        <v>21894</v>
      </c>
      <c r="Q361" s="74"/>
      <c r="AE361" s="48">
        <f>L361</f>
        <v>21894</v>
      </c>
    </row>
    <row r="362" spans="1:31" ht="23.25" customHeight="1">
      <c r="A362" s="64" t="s">
        <v>579</v>
      </c>
      <c r="B362" s="64" t="s">
        <v>861</v>
      </c>
      <c r="C362" s="76" t="s">
        <v>549</v>
      </c>
      <c r="D362" s="74" t="s">
        <v>530</v>
      </c>
      <c r="E362" s="74" t="s">
        <v>550</v>
      </c>
      <c r="F362" s="54" t="s">
        <v>532</v>
      </c>
      <c r="G362" s="80">
        <f>일위노임!G212</f>
        <v>0.19</v>
      </c>
      <c r="H362" s="80">
        <f>합산자재!H124</f>
        <v>0</v>
      </c>
      <c r="I362" s="80" t="str">
        <f>IF(G362*H362&lt;&gt;0, TRUNC(G362*H362,1),"")</f>
        <v/>
      </c>
      <c r="J362" s="80">
        <v>0.19</v>
      </c>
      <c r="K362" s="80">
        <f>합산자재!I124</f>
        <v>172068</v>
      </c>
      <c r="L362" s="80">
        <f>IF(G362*K362&lt;&gt;0, TRUNC(G362*K362,1),"")</f>
        <v>32692.9</v>
      </c>
      <c r="M362" s="80">
        <f>합산자재!J124</f>
        <v>0</v>
      </c>
      <c r="N362" s="80" t="str">
        <f>IF(G362*M362&lt;&gt;0, TRUNC(G362*M362,1),"")</f>
        <v/>
      </c>
      <c r="O362" s="80"/>
      <c r="P362" s="80">
        <f t="shared" si="58"/>
        <v>32692.9</v>
      </c>
      <c r="Q362" s="74"/>
      <c r="AE362" s="48">
        <f>L362</f>
        <v>32692.9</v>
      </c>
    </row>
    <row r="363" spans="1:31" ht="23.25" customHeight="1">
      <c r="A363" s="64" t="s">
        <v>926</v>
      </c>
      <c r="B363" s="64" t="s">
        <v>861</v>
      </c>
      <c r="C363" s="76" t="s">
        <v>927</v>
      </c>
      <c r="D363" s="74" t="s">
        <v>928</v>
      </c>
      <c r="E363" s="74" t="s">
        <v>929</v>
      </c>
      <c r="F363" s="54" t="s">
        <v>458</v>
      </c>
      <c r="G363" s="80">
        <v>1</v>
      </c>
      <c r="H363" s="80">
        <f>IF(TRUNC((AD364+AC364)/$AE$3,1)*$AE$3-AD364 &lt;0, AC364, TRUNC((AD364+AC364)/$AE$3,1)*$AE$3-AD364)</f>
        <v>1637.5</v>
      </c>
      <c r="I363" s="80">
        <f>H363</f>
        <v>1637.5</v>
      </c>
      <c r="J363" s="80">
        <v>1</v>
      </c>
      <c r="K363" s="80"/>
      <c r="L363" s="80" t="str">
        <f>IF(G363*K363&lt;&gt;0, TRUNC(G363*K363,1),"")</f>
        <v/>
      </c>
      <c r="M363" s="80"/>
      <c r="N363" s="80" t="str">
        <f>IF(G363*M363&lt;&gt;0, TRUNC(G363*M363,1),"")</f>
        <v/>
      </c>
      <c r="O363" s="80"/>
      <c r="P363" s="80">
        <f t="shared" si="58"/>
        <v>1637.5</v>
      </c>
      <c r="Q363" s="74"/>
    </row>
    <row r="364" spans="1:31" ht="23.25" customHeight="1">
      <c r="B364" s="64" t="s">
        <v>921</v>
      </c>
      <c r="D364" s="74" t="s">
        <v>922</v>
      </c>
      <c r="E364" s="74"/>
      <c r="F364" s="54"/>
      <c r="G364" s="80"/>
      <c r="H364" s="80"/>
      <c r="I364" s="80">
        <f>TRUNC(SUM(I359:I363))</f>
        <v>105637</v>
      </c>
      <c r="J364" s="80"/>
      <c r="K364" s="80"/>
      <c r="L364" s="80">
        <f>TRUNC(SUM(L359:L363))</f>
        <v>54586</v>
      </c>
      <c r="M364" s="80"/>
      <c r="N364" s="80">
        <f>TRUNC(SUM(N359:N363))</f>
        <v>0</v>
      </c>
      <c r="O364" s="80"/>
      <c r="P364" s="80">
        <f t="shared" si="58"/>
        <v>160223</v>
      </c>
      <c r="Q364" s="74"/>
      <c r="AC364" s="48">
        <f>TRUNC(AE364*옵션!$B$36/100,1)</f>
        <v>1637.5</v>
      </c>
      <c r="AD364" s="48">
        <f>TRUNC(SUM(L359:L362))</f>
        <v>54586</v>
      </c>
      <c r="AE364" s="48">
        <f>TRUNC(SUM(AE359:AE363))</f>
        <v>54586</v>
      </c>
    </row>
    <row r="365" spans="1:31" ht="23.25" customHeight="1">
      <c r="D365" s="74"/>
      <c r="E365" s="74"/>
      <c r="F365" s="54"/>
      <c r="G365" s="80"/>
      <c r="H365" s="80"/>
      <c r="I365" s="80" t="str">
        <f>IF(G365*H365&lt;&gt;0, TRUNC(G365*H365,1),"")</f>
        <v/>
      </c>
      <c r="J365" s="80"/>
      <c r="K365" s="80"/>
      <c r="L365" s="80" t="str">
        <f>IF(G365*K365&lt;&gt;0, TRUNC(G365*K365,1),"")</f>
        <v/>
      </c>
      <c r="M365" s="80"/>
      <c r="N365" s="80" t="str">
        <f>IF(G365*M365&lt;&gt;0, TRUNC(G365*M365,1),"")</f>
        <v/>
      </c>
      <c r="O365" s="80"/>
      <c r="P365" s="80" t="str">
        <f t="shared" si="58"/>
        <v/>
      </c>
      <c r="Q365" s="74"/>
    </row>
    <row r="366" spans="1:31" ht="23.25" customHeight="1">
      <c r="A366" s="64" t="s">
        <v>862</v>
      </c>
      <c r="B366" s="64" t="s">
        <v>915</v>
      </c>
      <c r="C366" s="76" t="s">
        <v>863</v>
      </c>
      <c r="D366" s="158" t="s">
        <v>1029</v>
      </c>
      <c r="E366" s="159"/>
      <c r="F366" s="159"/>
      <c r="G366" s="159"/>
      <c r="H366" s="159"/>
      <c r="I366" s="159"/>
      <c r="J366" s="159"/>
      <c r="K366" s="159"/>
      <c r="L366" s="159"/>
      <c r="M366" s="159"/>
      <c r="N366" s="159"/>
      <c r="O366" s="159"/>
      <c r="P366" s="159"/>
      <c r="Q366" s="160"/>
    </row>
    <row r="367" spans="1:31" ht="23.25" customHeight="1">
      <c r="A367" s="64" t="s">
        <v>1030</v>
      </c>
      <c r="B367" s="64" t="s">
        <v>864</v>
      </c>
      <c r="C367" s="76" t="s">
        <v>363</v>
      </c>
      <c r="D367" s="74" t="s">
        <v>364</v>
      </c>
      <c r="E367" s="74" t="s">
        <v>365</v>
      </c>
      <c r="F367" s="54" t="s">
        <v>266</v>
      </c>
      <c r="G367" s="80">
        <v>1</v>
      </c>
      <c r="H367" s="80">
        <f>합산자재!H60</f>
        <v>307800</v>
      </c>
      <c r="I367" s="80">
        <f>IF(G367*H367&lt;&gt;0, TRUNC(G367*H367,1),"")</f>
        <v>307800</v>
      </c>
      <c r="J367" s="80">
        <v>1</v>
      </c>
      <c r="K367" s="80">
        <f>합산자재!I60</f>
        <v>0</v>
      </c>
      <c r="L367" s="80" t="str">
        <f>IF(G367*K367&lt;&gt;0, TRUNC(G367*K367,1),"")</f>
        <v/>
      </c>
      <c r="M367" s="80">
        <f>합산자재!J60</f>
        <v>0</v>
      </c>
      <c r="N367" s="80" t="str">
        <f>IF(G367*M367&lt;&gt;0, TRUNC(G367*M367,1),"")</f>
        <v/>
      </c>
      <c r="O367" s="80"/>
      <c r="P367" s="80">
        <f t="shared" ref="P367:P372" si="59">IF(SUM(I367,L367,N367)&lt;&gt;0,TRUNC(SUM(I367,L367,N367),1),"")</f>
        <v>307800</v>
      </c>
      <c r="Q367" s="74"/>
    </row>
    <row r="368" spans="1:31" ht="23.25" customHeight="1">
      <c r="A368" s="64" t="s">
        <v>593</v>
      </c>
      <c r="B368" s="64" t="s">
        <v>864</v>
      </c>
      <c r="C368" s="76" t="s">
        <v>529</v>
      </c>
      <c r="D368" s="74" t="s">
        <v>530</v>
      </c>
      <c r="E368" s="74" t="s">
        <v>531</v>
      </c>
      <c r="F368" s="54" t="s">
        <v>532</v>
      </c>
      <c r="G368" s="80">
        <f>일위노임!G216</f>
        <v>0.08</v>
      </c>
      <c r="H368" s="80">
        <f>합산자재!H115</f>
        <v>0</v>
      </c>
      <c r="I368" s="80" t="str">
        <f>IF(G368*H368&lt;&gt;0, TRUNC(G368*H368,1),"")</f>
        <v/>
      </c>
      <c r="J368" s="80">
        <v>0.08</v>
      </c>
      <c r="K368" s="80">
        <f>합산자재!I115</f>
        <v>273676</v>
      </c>
      <c r="L368" s="80">
        <f>IF(G368*K368&lt;&gt;0, TRUNC(G368*K368,1),"")</f>
        <v>21894</v>
      </c>
      <c r="M368" s="80">
        <f>합산자재!J115</f>
        <v>0</v>
      </c>
      <c r="N368" s="80" t="str">
        <f>IF(G368*M368&lt;&gt;0, TRUNC(G368*M368,1),"")</f>
        <v/>
      </c>
      <c r="O368" s="80"/>
      <c r="P368" s="80">
        <f t="shared" si="59"/>
        <v>21894</v>
      </c>
      <c r="Q368" s="74"/>
      <c r="AE368" s="48">
        <f>L368</f>
        <v>21894</v>
      </c>
    </row>
    <row r="369" spans="1:31" ht="23.25" customHeight="1">
      <c r="A369" s="64" t="s">
        <v>579</v>
      </c>
      <c r="B369" s="64" t="s">
        <v>864</v>
      </c>
      <c r="C369" s="76" t="s">
        <v>549</v>
      </c>
      <c r="D369" s="74" t="s">
        <v>530</v>
      </c>
      <c r="E369" s="74" t="s">
        <v>550</v>
      </c>
      <c r="F369" s="54" t="s">
        <v>532</v>
      </c>
      <c r="G369" s="80">
        <f>일위노임!G217</f>
        <v>0.19</v>
      </c>
      <c r="H369" s="80">
        <f>합산자재!H124</f>
        <v>0</v>
      </c>
      <c r="I369" s="80" t="str">
        <f>IF(G369*H369&lt;&gt;0, TRUNC(G369*H369,1),"")</f>
        <v/>
      </c>
      <c r="J369" s="80">
        <v>0.19</v>
      </c>
      <c r="K369" s="80">
        <f>합산자재!I124</f>
        <v>172068</v>
      </c>
      <c r="L369" s="80">
        <f>IF(G369*K369&lt;&gt;0, TRUNC(G369*K369,1),"")</f>
        <v>32692.9</v>
      </c>
      <c r="M369" s="80">
        <f>합산자재!J124</f>
        <v>0</v>
      </c>
      <c r="N369" s="80" t="str">
        <f>IF(G369*M369&lt;&gt;0, TRUNC(G369*M369,1),"")</f>
        <v/>
      </c>
      <c r="O369" s="80"/>
      <c r="P369" s="80">
        <f t="shared" si="59"/>
        <v>32692.9</v>
      </c>
      <c r="Q369" s="74"/>
      <c r="AE369" s="48">
        <f>L369</f>
        <v>32692.9</v>
      </c>
    </row>
    <row r="370" spans="1:31" ht="23.25" customHeight="1">
      <c r="A370" s="64" t="s">
        <v>926</v>
      </c>
      <c r="B370" s="64" t="s">
        <v>864</v>
      </c>
      <c r="C370" s="76" t="s">
        <v>927</v>
      </c>
      <c r="D370" s="74" t="s">
        <v>928</v>
      </c>
      <c r="E370" s="74" t="s">
        <v>929</v>
      </c>
      <c r="F370" s="54" t="s">
        <v>458</v>
      </c>
      <c r="G370" s="80">
        <v>1</v>
      </c>
      <c r="H370" s="80">
        <f>IF(TRUNC((AD371+AC371)/$AE$3,1)*$AE$3-AD371 &lt;0, AC371, TRUNC((AD371+AC371)/$AE$3,1)*$AE$3-AD371)</f>
        <v>1637.5</v>
      </c>
      <c r="I370" s="80">
        <f>H370</f>
        <v>1637.5</v>
      </c>
      <c r="J370" s="80">
        <v>1</v>
      </c>
      <c r="K370" s="80"/>
      <c r="L370" s="80" t="str">
        <f>IF(G370*K370&lt;&gt;0, TRUNC(G370*K370,1),"")</f>
        <v/>
      </c>
      <c r="M370" s="80"/>
      <c r="N370" s="80" t="str">
        <f>IF(G370*M370&lt;&gt;0, TRUNC(G370*M370,1),"")</f>
        <v/>
      </c>
      <c r="O370" s="80"/>
      <c r="P370" s="80">
        <f t="shared" si="59"/>
        <v>1637.5</v>
      </c>
      <c r="Q370" s="74"/>
    </row>
    <row r="371" spans="1:31" ht="23.25" customHeight="1">
      <c r="B371" s="64" t="s">
        <v>921</v>
      </c>
      <c r="D371" s="74" t="s">
        <v>922</v>
      </c>
      <c r="E371" s="74"/>
      <c r="F371" s="54"/>
      <c r="G371" s="80"/>
      <c r="H371" s="80"/>
      <c r="I371" s="80">
        <f>TRUNC(SUM(I366:I370))</f>
        <v>309437</v>
      </c>
      <c r="J371" s="80"/>
      <c r="K371" s="80"/>
      <c r="L371" s="80">
        <f>TRUNC(SUM(L366:L370))</f>
        <v>54586</v>
      </c>
      <c r="M371" s="80"/>
      <c r="N371" s="80">
        <f>TRUNC(SUM(N366:N370))</f>
        <v>0</v>
      </c>
      <c r="O371" s="80"/>
      <c r="P371" s="80">
        <f t="shared" si="59"/>
        <v>364023</v>
      </c>
      <c r="Q371" s="74"/>
      <c r="AC371" s="48">
        <f>TRUNC(AE371*옵션!$B$36/100,1)</f>
        <v>1637.5</v>
      </c>
      <c r="AD371" s="48">
        <f>TRUNC(SUM(L366:L369))</f>
        <v>54586</v>
      </c>
      <c r="AE371" s="48">
        <f>TRUNC(SUM(AE366:AE370))</f>
        <v>54586</v>
      </c>
    </row>
    <row r="372" spans="1:31" ht="23.25" customHeight="1">
      <c r="D372" s="74"/>
      <c r="E372" s="74"/>
      <c r="F372" s="54"/>
      <c r="G372" s="80"/>
      <c r="H372" s="80"/>
      <c r="I372" s="80" t="str">
        <f>IF(G372*H372&lt;&gt;0, TRUNC(G372*H372,1),"")</f>
        <v/>
      </c>
      <c r="J372" s="80"/>
      <c r="K372" s="80"/>
      <c r="L372" s="80" t="str">
        <f>IF(G372*K372&lt;&gt;0, TRUNC(G372*K372,1),"")</f>
        <v/>
      </c>
      <c r="M372" s="80"/>
      <c r="N372" s="80" t="str">
        <f>IF(G372*M372&lt;&gt;0, TRUNC(G372*M372,1),"")</f>
        <v/>
      </c>
      <c r="O372" s="80"/>
      <c r="P372" s="80" t="str">
        <f t="shared" si="59"/>
        <v/>
      </c>
      <c r="Q372" s="74"/>
    </row>
    <row r="373" spans="1:31" ht="23.25" customHeight="1">
      <c r="A373" s="64" t="s">
        <v>865</v>
      </c>
      <c r="B373" s="64" t="s">
        <v>915</v>
      </c>
      <c r="C373" s="76" t="s">
        <v>866</v>
      </c>
      <c r="D373" s="158" t="s">
        <v>1031</v>
      </c>
      <c r="E373" s="159"/>
      <c r="F373" s="159"/>
      <c r="G373" s="159"/>
      <c r="H373" s="159"/>
      <c r="I373" s="159"/>
      <c r="J373" s="159"/>
      <c r="K373" s="159"/>
      <c r="L373" s="159"/>
      <c r="M373" s="159"/>
      <c r="N373" s="159"/>
      <c r="O373" s="159"/>
      <c r="P373" s="159"/>
      <c r="Q373" s="160"/>
    </row>
    <row r="374" spans="1:31" ht="23.25" customHeight="1">
      <c r="A374" s="64" t="s">
        <v>1032</v>
      </c>
      <c r="B374" s="64" t="s">
        <v>867</v>
      </c>
      <c r="C374" s="76" t="s">
        <v>368</v>
      </c>
      <c r="D374" s="74" t="s">
        <v>369</v>
      </c>
      <c r="E374" s="74" t="s">
        <v>370</v>
      </c>
      <c r="F374" s="54" t="s">
        <v>266</v>
      </c>
      <c r="G374" s="80">
        <v>1</v>
      </c>
      <c r="H374" s="80">
        <f>합산자재!H61</f>
        <v>6286000</v>
      </c>
      <c r="I374" s="80">
        <f>IF(G374*H374&lt;&gt;0, TRUNC(G374*H374,1),"")</f>
        <v>6286000</v>
      </c>
      <c r="J374" s="80">
        <v>1</v>
      </c>
      <c r="K374" s="80">
        <f>합산자재!I61</f>
        <v>0</v>
      </c>
      <c r="L374" s="80" t="str">
        <f>IF(G374*K374&lt;&gt;0, TRUNC(G374*K374,1),"")</f>
        <v/>
      </c>
      <c r="M374" s="80">
        <f>합산자재!J61</f>
        <v>0</v>
      </c>
      <c r="N374" s="80" t="str">
        <f>IF(G374*M374&lt;&gt;0, TRUNC(G374*M374,1),"")</f>
        <v/>
      </c>
      <c r="O374" s="80"/>
      <c r="P374" s="80">
        <f>IF(SUM(I374,L374,N374)&lt;&gt;0,TRUNC(SUM(I374,L374,N374),1),"")</f>
        <v>6286000</v>
      </c>
      <c r="Q374" s="74"/>
    </row>
    <row r="375" spans="1:31" ht="23.25" customHeight="1">
      <c r="A375" s="64" t="s">
        <v>593</v>
      </c>
      <c r="B375" s="64" t="s">
        <v>867</v>
      </c>
      <c r="C375" s="76" t="s">
        <v>529</v>
      </c>
      <c r="D375" s="74" t="s">
        <v>530</v>
      </c>
      <c r="E375" s="74" t="s">
        <v>531</v>
      </c>
      <c r="F375" s="54" t="s">
        <v>532</v>
      </c>
      <c r="G375" s="80">
        <f>일위노임!G220</f>
        <v>1.02</v>
      </c>
      <c r="H375" s="80">
        <f>합산자재!H115</f>
        <v>0</v>
      </c>
      <c r="I375" s="80" t="str">
        <f>IF(G375*H375&lt;&gt;0, TRUNC(G375*H375,1),"")</f>
        <v/>
      </c>
      <c r="J375" s="80">
        <v>1.02</v>
      </c>
      <c r="K375" s="80">
        <f>합산자재!I115</f>
        <v>273676</v>
      </c>
      <c r="L375" s="80">
        <f>IF(G375*K375&lt;&gt;0, TRUNC(G375*K375,1),"")</f>
        <v>279149.5</v>
      </c>
      <c r="M375" s="80">
        <f>합산자재!J115</f>
        <v>0</v>
      </c>
      <c r="N375" s="80" t="str">
        <f>IF(G375*M375&lt;&gt;0, TRUNC(G375*M375,1),"")</f>
        <v/>
      </c>
      <c r="O375" s="80"/>
      <c r="P375" s="80">
        <f>IF(SUM(I375,L375,N375)&lt;&gt;0,TRUNC(SUM(I375,L375,N375),1),"")</f>
        <v>279149.5</v>
      </c>
      <c r="Q375" s="74"/>
      <c r="AE375" s="48">
        <f>L375</f>
        <v>279149.5</v>
      </c>
    </row>
    <row r="376" spans="1:31" ht="23.25" customHeight="1">
      <c r="A376" s="64" t="s">
        <v>926</v>
      </c>
      <c r="B376" s="64" t="s">
        <v>867</v>
      </c>
      <c r="C376" s="76" t="s">
        <v>927</v>
      </c>
      <c r="D376" s="74" t="s">
        <v>928</v>
      </c>
      <c r="E376" s="74" t="s">
        <v>929</v>
      </c>
      <c r="F376" s="54" t="s">
        <v>458</v>
      </c>
      <c r="G376" s="80">
        <v>1</v>
      </c>
      <c r="H376" s="80">
        <f>IF(TRUNC((AD377+AC377)/$AE$3,1)*$AE$3-AD377 &lt;0, AC377, TRUNC((AD377+AC377)/$AE$3,1)*$AE$3-AD377)</f>
        <v>8374.4000000000233</v>
      </c>
      <c r="I376" s="80">
        <f>H376</f>
        <v>8374.4000000000233</v>
      </c>
      <c r="J376" s="80">
        <v>1</v>
      </c>
      <c r="K376" s="80"/>
      <c r="L376" s="80" t="str">
        <f>IF(G376*K376&lt;&gt;0, TRUNC(G376*K376,1),"")</f>
        <v/>
      </c>
      <c r="M376" s="80"/>
      <c r="N376" s="80" t="str">
        <f>IF(G376*M376&lt;&gt;0, TRUNC(G376*M376,1),"")</f>
        <v/>
      </c>
      <c r="O376" s="80"/>
      <c r="P376" s="80">
        <f>IF(SUM(I376,L376,N376)&lt;&gt;0,TRUNC(SUM(I376,L376,N376),1),"")</f>
        <v>8374.4</v>
      </c>
      <c r="Q376" s="74"/>
    </row>
    <row r="377" spans="1:31" ht="23.25" customHeight="1">
      <c r="B377" s="64" t="s">
        <v>921</v>
      </c>
      <c r="D377" s="74" t="s">
        <v>922</v>
      </c>
      <c r="E377" s="74"/>
      <c r="F377" s="54"/>
      <c r="G377" s="80"/>
      <c r="H377" s="80"/>
      <c r="I377" s="80">
        <f>TRUNC(SUM(I373:I376))</f>
        <v>6294374</v>
      </c>
      <c r="J377" s="80"/>
      <c r="K377" s="80"/>
      <c r="L377" s="80">
        <f>TRUNC(SUM(L373:L376))</f>
        <v>279149</v>
      </c>
      <c r="M377" s="80"/>
      <c r="N377" s="80">
        <f>TRUNC(SUM(N373:N376))</f>
        <v>0</v>
      </c>
      <c r="O377" s="80"/>
      <c r="P377" s="80">
        <f>IF(SUM(I377,L377,N377)&lt;&gt;0,TRUNC(SUM(I377,L377,N377),1),"")</f>
        <v>6573523</v>
      </c>
      <c r="Q377" s="74"/>
      <c r="AC377" s="48">
        <f>TRUNC(AE377*옵션!$B$36/100,1)</f>
        <v>8374.4</v>
      </c>
      <c r="AD377" s="48">
        <f>TRUNC(SUM(L373:L375))</f>
        <v>279149</v>
      </c>
      <c r="AE377" s="48">
        <f>TRUNC(SUM(AE373:AE376))</f>
        <v>279149</v>
      </c>
    </row>
    <row r="378" spans="1:31" ht="23.25" customHeight="1">
      <c r="D378" s="74"/>
      <c r="E378" s="74"/>
      <c r="F378" s="54"/>
      <c r="G378" s="80"/>
      <c r="H378" s="80"/>
      <c r="I378" s="80" t="str">
        <f>IF(G378*H378&lt;&gt;0, TRUNC(G378*H378,1),"")</f>
        <v/>
      </c>
      <c r="J378" s="80"/>
      <c r="K378" s="80"/>
      <c r="L378" s="80" t="str">
        <f>IF(G378*K378&lt;&gt;0, TRUNC(G378*K378,1),"")</f>
        <v/>
      </c>
      <c r="M378" s="80"/>
      <c r="N378" s="80" t="str">
        <f>IF(G378*M378&lt;&gt;0, TRUNC(G378*M378,1),"")</f>
        <v/>
      </c>
      <c r="O378" s="80"/>
      <c r="P378" s="80" t="str">
        <f>IF(SUM(I378,L378,N378)&lt;&gt;0,TRUNC(SUM(I378,L378,N378),1),"")</f>
        <v/>
      </c>
      <c r="Q378" s="74"/>
    </row>
    <row r="379" spans="1:31" ht="23.25" customHeight="1">
      <c r="A379" s="64" t="s">
        <v>868</v>
      </c>
      <c r="B379" s="64" t="s">
        <v>915</v>
      </c>
      <c r="C379" s="76" t="s">
        <v>869</v>
      </c>
      <c r="D379" s="158" t="s">
        <v>1033</v>
      </c>
      <c r="E379" s="159"/>
      <c r="F379" s="159"/>
      <c r="G379" s="159"/>
      <c r="H379" s="159"/>
      <c r="I379" s="159"/>
      <c r="J379" s="159"/>
      <c r="K379" s="159"/>
      <c r="L379" s="159"/>
      <c r="M379" s="159"/>
      <c r="N379" s="159"/>
      <c r="O379" s="159"/>
      <c r="P379" s="159"/>
      <c r="Q379" s="160"/>
    </row>
    <row r="380" spans="1:31" ht="23.25" customHeight="1">
      <c r="A380" s="64" t="s">
        <v>1034</v>
      </c>
      <c r="B380" s="64" t="s">
        <v>870</v>
      </c>
      <c r="C380" s="76" t="s">
        <v>371</v>
      </c>
      <c r="D380" s="74" t="s">
        <v>369</v>
      </c>
      <c r="E380" s="74" t="s">
        <v>372</v>
      </c>
      <c r="F380" s="54" t="s">
        <v>266</v>
      </c>
      <c r="G380" s="80">
        <v>1</v>
      </c>
      <c r="H380" s="80">
        <f>합산자재!H62</f>
        <v>6440000</v>
      </c>
      <c r="I380" s="80">
        <f>IF(G380*H380&lt;&gt;0, TRUNC(G380*H380,1),"")</f>
        <v>6440000</v>
      </c>
      <c r="J380" s="80">
        <v>1</v>
      </c>
      <c r="K380" s="80">
        <f>합산자재!I62</f>
        <v>0</v>
      </c>
      <c r="L380" s="80" t="str">
        <f>IF(G380*K380&lt;&gt;0, TRUNC(G380*K380,1),"")</f>
        <v/>
      </c>
      <c r="M380" s="80">
        <f>합산자재!J62</f>
        <v>0</v>
      </c>
      <c r="N380" s="80" t="str">
        <f>IF(G380*M380&lt;&gt;0, TRUNC(G380*M380,1),"")</f>
        <v/>
      </c>
      <c r="O380" s="80"/>
      <c r="P380" s="80">
        <f>IF(SUM(I380,L380,N380)&lt;&gt;0,TRUNC(SUM(I380,L380,N380),1),"")</f>
        <v>6440000</v>
      </c>
      <c r="Q380" s="74"/>
    </row>
    <row r="381" spans="1:31" ht="23.25" customHeight="1">
      <c r="A381" s="64" t="s">
        <v>579</v>
      </c>
      <c r="B381" s="64" t="s">
        <v>870</v>
      </c>
      <c r="C381" s="76" t="s">
        <v>549</v>
      </c>
      <c r="D381" s="74" t="s">
        <v>530</v>
      </c>
      <c r="E381" s="74" t="s">
        <v>550</v>
      </c>
      <c r="F381" s="54" t="s">
        <v>532</v>
      </c>
      <c r="G381" s="80">
        <f>일위노임!G223</f>
        <v>6.8000000000000005E-2</v>
      </c>
      <c r="H381" s="80">
        <f>합산자재!H124</f>
        <v>0</v>
      </c>
      <c r="I381" s="80" t="str">
        <f>IF(G381*H381&lt;&gt;0, TRUNC(G381*H381,1),"")</f>
        <v/>
      </c>
      <c r="J381" s="80">
        <v>6.8000000000000005E-2</v>
      </c>
      <c r="K381" s="80">
        <f>합산자재!I124</f>
        <v>172068</v>
      </c>
      <c r="L381" s="80">
        <f>IF(G381*K381&lt;&gt;0, TRUNC(G381*K381,1),"")</f>
        <v>11700.6</v>
      </c>
      <c r="M381" s="80">
        <f>합산자재!J124</f>
        <v>0</v>
      </c>
      <c r="N381" s="80" t="str">
        <f>IF(G381*M381&lt;&gt;0, TRUNC(G381*M381,1),"")</f>
        <v/>
      </c>
      <c r="O381" s="80"/>
      <c r="P381" s="80">
        <f>IF(SUM(I381,L381,N381)&lt;&gt;0,TRUNC(SUM(I381,L381,N381),1),"")</f>
        <v>11700.6</v>
      </c>
      <c r="Q381" s="74"/>
      <c r="AE381" s="48">
        <f>L381</f>
        <v>11700.6</v>
      </c>
    </row>
    <row r="382" spans="1:31" ht="23.25" customHeight="1">
      <c r="A382" s="64" t="s">
        <v>926</v>
      </c>
      <c r="B382" s="64" t="s">
        <v>870</v>
      </c>
      <c r="C382" s="76" t="s">
        <v>927</v>
      </c>
      <c r="D382" s="74" t="s">
        <v>928</v>
      </c>
      <c r="E382" s="74" t="s">
        <v>929</v>
      </c>
      <c r="F382" s="54" t="s">
        <v>458</v>
      </c>
      <c r="G382" s="80">
        <v>1</v>
      </c>
      <c r="H382" s="80">
        <f>IF(TRUNC((AD383+AC383)/$AE$3,1)*$AE$3-AD383 &lt;0, AC383, TRUNC((AD383+AC383)/$AE$3,1)*$AE$3-AD383)</f>
        <v>351</v>
      </c>
      <c r="I382" s="80">
        <f>H382</f>
        <v>351</v>
      </c>
      <c r="J382" s="80">
        <v>1</v>
      </c>
      <c r="K382" s="80"/>
      <c r="L382" s="80" t="str">
        <f>IF(G382*K382&lt;&gt;0, TRUNC(G382*K382,1),"")</f>
        <v/>
      </c>
      <c r="M382" s="80"/>
      <c r="N382" s="80" t="str">
        <f>IF(G382*M382&lt;&gt;0, TRUNC(G382*M382,1),"")</f>
        <v/>
      </c>
      <c r="O382" s="80"/>
      <c r="P382" s="80">
        <f>IF(SUM(I382,L382,N382)&lt;&gt;0,TRUNC(SUM(I382,L382,N382),1),"")</f>
        <v>351</v>
      </c>
      <c r="Q382" s="74"/>
    </row>
    <row r="383" spans="1:31" ht="23.25" customHeight="1">
      <c r="B383" s="64" t="s">
        <v>921</v>
      </c>
      <c r="D383" s="74" t="s">
        <v>922</v>
      </c>
      <c r="E383" s="74"/>
      <c r="F383" s="54"/>
      <c r="G383" s="80"/>
      <c r="H383" s="80"/>
      <c r="I383" s="80">
        <f>TRUNC(SUM(I379:I382))</f>
        <v>6440351</v>
      </c>
      <c r="J383" s="80"/>
      <c r="K383" s="80"/>
      <c r="L383" s="80">
        <f>TRUNC(SUM(L379:L382))</f>
        <v>11700</v>
      </c>
      <c r="M383" s="80"/>
      <c r="N383" s="80">
        <f>TRUNC(SUM(N379:N382))</f>
        <v>0</v>
      </c>
      <c r="O383" s="80"/>
      <c r="P383" s="80">
        <f>IF(SUM(I383,L383,N383)&lt;&gt;0,TRUNC(SUM(I383,L383,N383),1),"")</f>
        <v>6452051</v>
      </c>
      <c r="Q383" s="74"/>
      <c r="AC383" s="48">
        <f>TRUNC(AE383*옵션!$B$36/100,1)</f>
        <v>351</v>
      </c>
      <c r="AD383" s="48">
        <f>TRUNC(SUM(L379:L381))</f>
        <v>11700</v>
      </c>
      <c r="AE383" s="48">
        <f>TRUNC(SUM(AE379:AE382))</f>
        <v>11700</v>
      </c>
    </row>
    <row r="384" spans="1:31" ht="23.25" customHeight="1">
      <c r="D384" s="74"/>
      <c r="E384" s="74"/>
      <c r="F384" s="54"/>
      <c r="G384" s="80"/>
      <c r="H384" s="80"/>
      <c r="I384" s="80" t="str">
        <f>IF(G384*H384&lt;&gt;0, TRUNC(G384*H384,1),"")</f>
        <v/>
      </c>
      <c r="J384" s="80"/>
      <c r="K384" s="80"/>
      <c r="L384" s="80" t="str">
        <f>IF(G384*K384&lt;&gt;0, TRUNC(G384*K384,1),"")</f>
        <v/>
      </c>
      <c r="M384" s="80"/>
      <c r="N384" s="80" t="str">
        <f>IF(G384*M384&lt;&gt;0, TRUNC(G384*M384,1),"")</f>
        <v/>
      </c>
      <c r="O384" s="80"/>
      <c r="P384" s="80" t="str">
        <f>IF(SUM(I384,L384,N384)&lt;&gt;0,TRUNC(SUM(I384,L384,N384),1),"")</f>
        <v/>
      </c>
      <c r="Q384" s="74"/>
    </row>
    <row r="385" spans="1:31" ht="23.25" customHeight="1">
      <c r="A385" s="64" t="s">
        <v>871</v>
      </c>
      <c r="B385" s="64" t="s">
        <v>915</v>
      </c>
      <c r="C385" s="76" t="s">
        <v>872</v>
      </c>
      <c r="D385" s="158" t="s">
        <v>1035</v>
      </c>
      <c r="E385" s="159"/>
      <c r="F385" s="159"/>
      <c r="G385" s="159"/>
      <c r="H385" s="159"/>
      <c r="I385" s="159"/>
      <c r="J385" s="159"/>
      <c r="K385" s="159"/>
      <c r="L385" s="159"/>
      <c r="M385" s="159"/>
      <c r="N385" s="159"/>
      <c r="O385" s="159"/>
      <c r="P385" s="159"/>
      <c r="Q385" s="160"/>
    </row>
    <row r="386" spans="1:31" ht="23.25" customHeight="1">
      <c r="A386" s="64" t="s">
        <v>1036</v>
      </c>
      <c r="B386" s="64" t="s">
        <v>873</v>
      </c>
      <c r="C386" s="76" t="s">
        <v>378</v>
      </c>
      <c r="D386" s="74" t="s">
        <v>379</v>
      </c>
      <c r="E386" s="74" t="s">
        <v>380</v>
      </c>
      <c r="F386" s="54" t="s">
        <v>266</v>
      </c>
      <c r="G386" s="80">
        <v>1</v>
      </c>
      <c r="H386" s="80">
        <f>합산자재!H64</f>
        <v>10000</v>
      </c>
      <c r="I386" s="80">
        <f>IF(G386*H386&lt;&gt;0, TRUNC(G386*H386,1),"")</f>
        <v>10000</v>
      </c>
      <c r="J386" s="80">
        <v>1</v>
      </c>
      <c r="K386" s="80">
        <f>합산자재!I64</f>
        <v>0</v>
      </c>
      <c r="L386" s="80" t="str">
        <f>IF(G386*K386&lt;&gt;0, TRUNC(G386*K386,1),"")</f>
        <v/>
      </c>
      <c r="M386" s="80">
        <f>합산자재!J64</f>
        <v>0</v>
      </c>
      <c r="N386" s="80" t="str">
        <f>IF(G386*M386&lt;&gt;0, TRUNC(G386*M386,1),"")</f>
        <v/>
      </c>
      <c r="O386" s="80"/>
      <c r="P386" s="80">
        <f>IF(SUM(I386,L386,N386)&lt;&gt;0,TRUNC(SUM(I386,L386,N386),1),"")</f>
        <v>10000</v>
      </c>
      <c r="Q386" s="74"/>
    </row>
    <row r="387" spans="1:31" ht="23.25" customHeight="1">
      <c r="A387" s="64" t="s">
        <v>579</v>
      </c>
      <c r="B387" s="64" t="s">
        <v>873</v>
      </c>
      <c r="C387" s="76" t="s">
        <v>549</v>
      </c>
      <c r="D387" s="74" t="s">
        <v>530</v>
      </c>
      <c r="E387" s="74" t="s">
        <v>550</v>
      </c>
      <c r="F387" s="54" t="s">
        <v>532</v>
      </c>
      <c r="G387" s="80">
        <f>일위노임!G226</f>
        <v>6.8000000000000005E-2</v>
      </c>
      <c r="H387" s="80">
        <f>합산자재!H124</f>
        <v>0</v>
      </c>
      <c r="I387" s="80" t="str">
        <f>IF(G387*H387&lt;&gt;0, TRUNC(G387*H387,1),"")</f>
        <v/>
      </c>
      <c r="J387" s="80">
        <v>6.8000000000000005E-2</v>
      </c>
      <c r="K387" s="80">
        <f>합산자재!I124</f>
        <v>172068</v>
      </c>
      <c r="L387" s="80">
        <f>IF(G387*K387&lt;&gt;0, TRUNC(G387*K387,1),"")</f>
        <v>11700.6</v>
      </c>
      <c r="M387" s="80">
        <f>합산자재!J124</f>
        <v>0</v>
      </c>
      <c r="N387" s="80" t="str">
        <f>IF(G387*M387&lt;&gt;0, TRUNC(G387*M387,1),"")</f>
        <v/>
      </c>
      <c r="O387" s="80"/>
      <c r="P387" s="80">
        <f>IF(SUM(I387,L387,N387)&lt;&gt;0,TRUNC(SUM(I387,L387,N387),1),"")</f>
        <v>11700.6</v>
      </c>
      <c r="Q387" s="74"/>
      <c r="AE387" s="48">
        <f>L387</f>
        <v>11700.6</v>
      </c>
    </row>
    <row r="388" spans="1:31" ht="23.25" customHeight="1">
      <c r="A388" s="64" t="s">
        <v>926</v>
      </c>
      <c r="B388" s="64" t="s">
        <v>873</v>
      </c>
      <c r="C388" s="76" t="s">
        <v>927</v>
      </c>
      <c r="D388" s="74" t="s">
        <v>928</v>
      </c>
      <c r="E388" s="74" t="s">
        <v>929</v>
      </c>
      <c r="F388" s="54" t="s">
        <v>458</v>
      </c>
      <c r="G388" s="80">
        <v>1</v>
      </c>
      <c r="H388" s="80">
        <f>IF(TRUNC((AD389+AC389)/$AE$3,1)*$AE$3-AD389 &lt;0, AC389, TRUNC((AD389+AC389)/$AE$3,1)*$AE$3-AD389)</f>
        <v>351</v>
      </c>
      <c r="I388" s="80">
        <f>H388</f>
        <v>351</v>
      </c>
      <c r="J388" s="80">
        <v>1</v>
      </c>
      <c r="K388" s="80"/>
      <c r="L388" s="80" t="str">
        <f>IF(G388*K388&lt;&gt;0, TRUNC(G388*K388,1),"")</f>
        <v/>
      </c>
      <c r="M388" s="80"/>
      <c r="N388" s="80" t="str">
        <f>IF(G388*M388&lt;&gt;0, TRUNC(G388*M388,1),"")</f>
        <v/>
      </c>
      <c r="O388" s="80"/>
      <c r="P388" s="80">
        <f>IF(SUM(I388,L388,N388)&lt;&gt;0,TRUNC(SUM(I388,L388,N388),1),"")</f>
        <v>351</v>
      </c>
      <c r="Q388" s="74"/>
    </row>
    <row r="389" spans="1:31" ht="23.25" customHeight="1">
      <c r="B389" s="64" t="s">
        <v>921</v>
      </c>
      <c r="D389" s="74" t="s">
        <v>922</v>
      </c>
      <c r="E389" s="74"/>
      <c r="F389" s="54"/>
      <c r="G389" s="80"/>
      <c r="H389" s="80"/>
      <c r="I389" s="80">
        <f>TRUNC(SUM(I385:I388))</f>
        <v>10351</v>
      </c>
      <c r="J389" s="80"/>
      <c r="K389" s="80"/>
      <c r="L389" s="80">
        <f>TRUNC(SUM(L385:L388))</f>
        <v>11700</v>
      </c>
      <c r="M389" s="80"/>
      <c r="N389" s="80">
        <f>TRUNC(SUM(N385:N388))</f>
        <v>0</v>
      </c>
      <c r="O389" s="80"/>
      <c r="P389" s="80">
        <f>IF(SUM(I389,L389,N389)&lt;&gt;0,TRUNC(SUM(I389,L389,N389),1),"")</f>
        <v>22051</v>
      </c>
      <c r="Q389" s="74"/>
      <c r="AC389" s="48">
        <f>TRUNC(AE389*옵션!$B$36/100,1)</f>
        <v>351</v>
      </c>
      <c r="AD389" s="48">
        <f>TRUNC(SUM(L385:L387))</f>
        <v>11700</v>
      </c>
      <c r="AE389" s="48">
        <f>TRUNC(SUM(AE385:AE388))</f>
        <v>11700</v>
      </c>
    </row>
    <row r="390" spans="1:31" ht="23.25" customHeight="1">
      <c r="D390" s="74"/>
      <c r="E390" s="74"/>
      <c r="F390" s="54"/>
      <c r="G390" s="80"/>
      <c r="H390" s="80"/>
      <c r="I390" s="80" t="str">
        <f>IF(G390*H390&lt;&gt;0, TRUNC(G390*H390,1),"")</f>
        <v/>
      </c>
      <c r="J390" s="80"/>
      <c r="K390" s="80"/>
      <c r="L390" s="80" t="str">
        <f>IF(G390*K390&lt;&gt;0, TRUNC(G390*K390,1),"")</f>
        <v/>
      </c>
      <c r="M390" s="80"/>
      <c r="N390" s="80" t="str">
        <f>IF(G390*M390&lt;&gt;0, TRUNC(G390*M390,1),"")</f>
        <v/>
      </c>
      <c r="O390" s="80"/>
      <c r="P390" s="80" t="str">
        <f>IF(SUM(I390,L390,N390)&lt;&gt;0,TRUNC(SUM(I390,L390,N390),1),"")</f>
        <v/>
      </c>
      <c r="Q390" s="74"/>
    </row>
    <row r="391" spans="1:31" ht="23.25" customHeight="1">
      <c r="A391" s="64" t="s">
        <v>874</v>
      </c>
      <c r="B391" s="64" t="s">
        <v>915</v>
      </c>
      <c r="C391" s="76" t="s">
        <v>875</v>
      </c>
      <c r="D391" s="158" t="s">
        <v>1037</v>
      </c>
      <c r="E391" s="159"/>
      <c r="F391" s="159"/>
      <c r="G391" s="159"/>
      <c r="H391" s="159"/>
      <c r="I391" s="159"/>
      <c r="J391" s="159"/>
      <c r="K391" s="159"/>
      <c r="L391" s="159"/>
      <c r="M391" s="159"/>
      <c r="N391" s="159"/>
      <c r="O391" s="159"/>
      <c r="P391" s="159"/>
      <c r="Q391" s="160"/>
    </row>
    <row r="392" spans="1:31" ht="23.25" customHeight="1">
      <c r="A392" s="64" t="s">
        <v>1038</v>
      </c>
      <c r="B392" s="64" t="s">
        <v>876</v>
      </c>
      <c r="C392" s="76" t="s">
        <v>382</v>
      </c>
      <c r="D392" s="74" t="s">
        <v>383</v>
      </c>
      <c r="E392" s="74" t="s">
        <v>384</v>
      </c>
      <c r="F392" s="54" t="s">
        <v>266</v>
      </c>
      <c r="G392" s="80">
        <v>1</v>
      </c>
      <c r="H392" s="80">
        <f>합산자재!H65</f>
        <v>1192000</v>
      </c>
      <c r="I392" s="80">
        <f>IF(G392*H392&lt;&gt;0, TRUNC(G392*H392,1),"")</f>
        <v>1192000</v>
      </c>
      <c r="J392" s="80">
        <v>1</v>
      </c>
      <c r="K392" s="80">
        <f>합산자재!I65</f>
        <v>0</v>
      </c>
      <c r="L392" s="80" t="str">
        <f>IF(G392*K392&lt;&gt;0, TRUNC(G392*K392,1),"")</f>
        <v/>
      </c>
      <c r="M392" s="80">
        <f>합산자재!J65</f>
        <v>0</v>
      </c>
      <c r="N392" s="80" t="str">
        <f>IF(G392*M392&lt;&gt;0, TRUNC(G392*M392,1),"")</f>
        <v/>
      </c>
      <c r="O392" s="80"/>
      <c r="P392" s="80">
        <f>IF(SUM(I392,L392,N392)&lt;&gt;0,TRUNC(SUM(I392,L392,N392),1),"")</f>
        <v>1192000</v>
      </c>
      <c r="Q392" s="74"/>
    </row>
    <row r="393" spans="1:31" ht="23.25" customHeight="1">
      <c r="A393" s="64" t="s">
        <v>593</v>
      </c>
      <c r="B393" s="64" t="s">
        <v>876</v>
      </c>
      <c r="C393" s="76" t="s">
        <v>529</v>
      </c>
      <c r="D393" s="74" t="s">
        <v>530</v>
      </c>
      <c r="E393" s="74" t="s">
        <v>531</v>
      </c>
      <c r="F393" s="54" t="s">
        <v>532</v>
      </c>
      <c r="G393" s="80">
        <f>일위노임!G229</f>
        <v>0.31</v>
      </c>
      <c r="H393" s="80">
        <f>합산자재!H115</f>
        <v>0</v>
      </c>
      <c r="I393" s="80" t="str">
        <f>IF(G393*H393&lt;&gt;0, TRUNC(G393*H393,1),"")</f>
        <v/>
      </c>
      <c r="J393" s="80">
        <v>0.31</v>
      </c>
      <c r="K393" s="80">
        <f>합산자재!I115</f>
        <v>273676</v>
      </c>
      <c r="L393" s="80">
        <f>IF(G393*K393&lt;&gt;0, TRUNC(G393*K393,1),"")</f>
        <v>84839.5</v>
      </c>
      <c r="M393" s="80">
        <f>합산자재!J115</f>
        <v>0</v>
      </c>
      <c r="N393" s="80" t="str">
        <f>IF(G393*M393&lt;&gt;0, TRUNC(G393*M393,1),"")</f>
        <v/>
      </c>
      <c r="O393" s="80"/>
      <c r="P393" s="80">
        <f>IF(SUM(I393,L393,N393)&lt;&gt;0,TRUNC(SUM(I393,L393,N393),1),"")</f>
        <v>84839.5</v>
      </c>
      <c r="Q393" s="74"/>
      <c r="AE393" s="48">
        <f>L393</f>
        <v>84839.5</v>
      </c>
    </row>
    <row r="394" spans="1:31" ht="23.25" customHeight="1">
      <c r="A394" s="64" t="s">
        <v>926</v>
      </c>
      <c r="B394" s="64" t="s">
        <v>876</v>
      </c>
      <c r="C394" s="76" t="s">
        <v>927</v>
      </c>
      <c r="D394" s="74" t="s">
        <v>928</v>
      </c>
      <c r="E394" s="74" t="s">
        <v>929</v>
      </c>
      <c r="F394" s="54" t="s">
        <v>458</v>
      </c>
      <c r="G394" s="80">
        <v>1</v>
      </c>
      <c r="H394" s="80">
        <f>IF(TRUNC((AD395+AC395)/$AE$3,1)*$AE$3-AD395 &lt;0, AC395, TRUNC((AD395+AC395)/$AE$3,1)*$AE$3-AD395)</f>
        <v>2545.1000000000058</v>
      </c>
      <c r="I394" s="80">
        <f>H394</f>
        <v>2545.1000000000058</v>
      </c>
      <c r="J394" s="80">
        <v>1</v>
      </c>
      <c r="K394" s="80"/>
      <c r="L394" s="80" t="str">
        <f>IF(G394*K394&lt;&gt;0, TRUNC(G394*K394,1),"")</f>
        <v/>
      </c>
      <c r="M394" s="80"/>
      <c r="N394" s="80" t="str">
        <f>IF(G394*M394&lt;&gt;0, TRUNC(G394*M394,1),"")</f>
        <v/>
      </c>
      <c r="O394" s="80"/>
      <c r="P394" s="80">
        <f>IF(SUM(I394,L394,N394)&lt;&gt;0,TRUNC(SUM(I394,L394,N394),1),"")</f>
        <v>2545.1</v>
      </c>
      <c r="Q394" s="74"/>
    </row>
    <row r="395" spans="1:31" ht="23.25" customHeight="1">
      <c r="B395" s="64" t="s">
        <v>921</v>
      </c>
      <c r="D395" s="74" t="s">
        <v>922</v>
      </c>
      <c r="E395" s="74"/>
      <c r="F395" s="54"/>
      <c r="G395" s="80"/>
      <c r="H395" s="80"/>
      <c r="I395" s="80">
        <f>TRUNC(SUM(I391:I394))</f>
        <v>1194545</v>
      </c>
      <c r="J395" s="80"/>
      <c r="K395" s="80"/>
      <c r="L395" s="80">
        <f>TRUNC(SUM(L391:L394))</f>
        <v>84839</v>
      </c>
      <c r="M395" s="80"/>
      <c r="N395" s="80">
        <f>TRUNC(SUM(N391:N394))</f>
        <v>0</v>
      </c>
      <c r="O395" s="80"/>
      <c r="P395" s="80">
        <f>IF(SUM(I395,L395,N395)&lt;&gt;0,TRUNC(SUM(I395,L395,N395),1),"")</f>
        <v>1279384</v>
      </c>
      <c r="Q395" s="74"/>
      <c r="AC395" s="48">
        <f>TRUNC(AE395*옵션!$B$36/100,1)</f>
        <v>2545.1</v>
      </c>
      <c r="AD395" s="48">
        <f>TRUNC(SUM(L391:L393))</f>
        <v>84839</v>
      </c>
      <c r="AE395" s="48">
        <f>TRUNC(SUM(AE391:AE394))</f>
        <v>84839</v>
      </c>
    </row>
    <row r="396" spans="1:31" ht="23.25" customHeight="1">
      <c r="D396" s="74"/>
      <c r="E396" s="74"/>
      <c r="F396" s="54"/>
      <c r="G396" s="80"/>
      <c r="H396" s="80"/>
      <c r="I396" s="80" t="str">
        <f>IF(G396*H396&lt;&gt;0, TRUNC(G396*H396,1),"")</f>
        <v/>
      </c>
      <c r="J396" s="80"/>
      <c r="K396" s="80"/>
      <c r="L396" s="80" t="str">
        <f>IF(G396*K396&lt;&gt;0, TRUNC(G396*K396,1),"")</f>
        <v/>
      </c>
      <c r="M396" s="80"/>
      <c r="N396" s="80" t="str">
        <f>IF(G396*M396&lt;&gt;0, TRUNC(G396*M396,1),"")</f>
        <v/>
      </c>
      <c r="O396" s="80"/>
      <c r="P396" s="80" t="str">
        <f>IF(SUM(I396,L396,N396)&lt;&gt;0,TRUNC(SUM(I396,L396,N396),1),"")</f>
        <v/>
      </c>
      <c r="Q396" s="74"/>
    </row>
    <row r="397" spans="1:31" ht="23.25" customHeight="1">
      <c r="A397" s="64" t="s">
        <v>877</v>
      </c>
      <c r="B397" s="64" t="s">
        <v>915</v>
      </c>
      <c r="C397" s="76" t="s">
        <v>878</v>
      </c>
      <c r="D397" s="158" t="s">
        <v>1039</v>
      </c>
      <c r="E397" s="159"/>
      <c r="F397" s="159"/>
      <c r="G397" s="159"/>
      <c r="H397" s="159"/>
      <c r="I397" s="159"/>
      <c r="J397" s="159"/>
      <c r="K397" s="159"/>
      <c r="L397" s="159"/>
      <c r="M397" s="159"/>
      <c r="N397" s="159"/>
      <c r="O397" s="159"/>
      <c r="P397" s="159"/>
      <c r="Q397" s="160"/>
    </row>
    <row r="398" spans="1:31" ht="23.25" customHeight="1">
      <c r="A398" s="64" t="s">
        <v>1040</v>
      </c>
      <c r="B398" s="64" t="s">
        <v>879</v>
      </c>
      <c r="C398" s="76" t="s">
        <v>398</v>
      </c>
      <c r="D398" s="74" t="s">
        <v>399</v>
      </c>
      <c r="E398" s="74" t="s">
        <v>400</v>
      </c>
      <c r="F398" s="54" t="s">
        <v>266</v>
      </c>
      <c r="G398" s="80">
        <v>1</v>
      </c>
      <c r="H398" s="80">
        <f>합산자재!H69</f>
        <v>360000</v>
      </c>
      <c r="I398" s="80">
        <f>IF(G398*H398&lt;&gt;0, TRUNC(G398*H398,1),"")</f>
        <v>360000</v>
      </c>
      <c r="J398" s="80">
        <v>1</v>
      </c>
      <c r="K398" s="80">
        <f>합산자재!I69</f>
        <v>0</v>
      </c>
      <c r="L398" s="80" t="str">
        <f>IF(G398*K398&lt;&gt;0, TRUNC(G398*K398,1),"")</f>
        <v/>
      </c>
      <c r="M398" s="80">
        <f>합산자재!J69</f>
        <v>0</v>
      </c>
      <c r="N398" s="80" t="str">
        <f>IF(G398*M398&lt;&gt;0, TRUNC(G398*M398,1),"")</f>
        <v/>
      </c>
      <c r="O398" s="80"/>
      <c r="P398" s="80">
        <f t="shared" ref="P398:P403" si="60">IF(SUM(I398,L398,N398)&lt;&gt;0,TRUNC(SUM(I398,L398,N398),1),"")</f>
        <v>360000</v>
      </c>
      <c r="Q398" s="74"/>
    </row>
    <row r="399" spans="1:31" ht="23.25" customHeight="1">
      <c r="A399" s="64" t="s">
        <v>593</v>
      </c>
      <c r="B399" s="64" t="s">
        <v>879</v>
      </c>
      <c r="C399" s="76" t="s">
        <v>529</v>
      </c>
      <c r="D399" s="74" t="s">
        <v>530</v>
      </c>
      <c r="E399" s="74" t="s">
        <v>531</v>
      </c>
      <c r="F399" s="54" t="s">
        <v>532</v>
      </c>
      <c r="G399" s="80">
        <f>일위노임!G233</f>
        <v>0.9</v>
      </c>
      <c r="H399" s="80">
        <f>합산자재!H115</f>
        <v>0</v>
      </c>
      <c r="I399" s="80" t="str">
        <f>IF(G399*H399&lt;&gt;0, TRUNC(G399*H399,1),"")</f>
        <v/>
      </c>
      <c r="J399" s="80">
        <v>0.9</v>
      </c>
      <c r="K399" s="80">
        <f>합산자재!I115</f>
        <v>273676</v>
      </c>
      <c r="L399" s="80">
        <f>IF(G399*K399&lt;&gt;0, TRUNC(G399*K399,1),"")</f>
        <v>246308.4</v>
      </c>
      <c r="M399" s="80">
        <f>합산자재!J115</f>
        <v>0</v>
      </c>
      <c r="N399" s="80" t="str">
        <f>IF(G399*M399&lt;&gt;0, TRUNC(G399*M399,1),"")</f>
        <v/>
      </c>
      <c r="O399" s="80"/>
      <c r="P399" s="80">
        <f t="shared" si="60"/>
        <v>246308.4</v>
      </c>
      <c r="Q399" s="74"/>
      <c r="AE399" s="48">
        <f>L399</f>
        <v>246308.4</v>
      </c>
    </row>
    <row r="400" spans="1:31" ht="23.25" customHeight="1">
      <c r="A400" s="64" t="s">
        <v>579</v>
      </c>
      <c r="B400" s="64" t="s">
        <v>879</v>
      </c>
      <c r="C400" s="76" t="s">
        <v>549</v>
      </c>
      <c r="D400" s="74" t="s">
        <v>530</v>
      </c>
      <c r="E400" s="74" t="s">
        <v>550</v>
      </c>
      <c r="F400" s="54" t="s">
        <v>532</v>
      </c>
      <c r="G400" s="80">
        <f>일위노임!G234</f>
        <v>0.8</v>
      </c>
      <c r="H400" s="80">
        <f>합산자재!H124</f>
        <v>0</v>
      </c>
      <c r="I400" s="80" t="str">
        <f>IF(G400*H400&lt;&gt;0, TRUNC(G400*H400,1),"")</f>
        <v/>
      </c>
      <c r="J400" s="80">
        <v>0.8</v>
      </c>
      <c r="K400" s="80">
        <f>합산자재!I124</f>
        <v>172068</v>
      </c>
      <c r="L400" s="80">
        <f>IF(G400*K400&lt;&gt;0, TRUNC(G400*K400,1),"")</f>
        <v>137654.39999999999</v>
      </c>
      <c r="M400" s="80">
        <f>합산자재!J124</f>
        <v>0</v>
      </c>
      <c r="N400" s="80" t="str">
        <f>IF(G400*M400&lt;&gt;0, TRUNC(G400*M400,1),"")</f>
        <v/>
      </c>
      <c r="O400" s="80"/>
      <c r="P400" s="80">
        <f t="shared" si="60"/>
        <v>137654.39999999999</v>
      </c>
      <c r="Q400" s="74"/>
      <c r="AE400" s="48">
        <f>L400</f>
        <v>137654.39999999999</v>
      </c>
    </row>
    <row r="401" spans="1:31" ht="23.25" customHeight="1">
      <c r="A401" s="64" t="s">
        <v>926</v>
      </c>
      <c r="B401" s="64" t="s">
        <v>879</v>
      </c>
      <c r="C401" s="76" t="s">
        <v>927</v>
      </c>
      <c r="D401" s="74" t="s">
        <v>928</v>
      </c>
      <c r="E401" s="74" t="s">
        <v>929</v>
      </c>
      <c r="F401" s="54" t="s">
        <v>458</v>
      </c>
      <c r="G401" s="80">
        <v>1</v>
      </c>
      <c r="H401" s="80">
        <f>IF(TRUNC((AD402+AC402)/$AE$3,1)*$AE$3-AD402 &lt;0, AC402, TRUNC((AD402+AC402)/$AE$3,1)*$AE$3-AD402)</f>
        <v>11518.799999999988</v>
      </c>
      <c r="I401" s="80">
        <f>H401</f>
        <v>11518.799999999988</v>
      </c>
      <c r="J401" s="80">
        <v>1</v>
      </c>
      <c r="K401" s="80"/>
      <c r="L401" s="80" t="str">
        <f>IF(G401*K401&lt;&gt;0, TRUNC(G401*K401,1),"")</f>
        <v/>
      </c>
      <c r="M401" s="80"/>
      <c r="N401" s="80" t="str">
        <f>IF(G401*M401&lt;&gt;0, TRUNC(G401*M401,1),"")</f>
        <v/>
      </c>
      <c r="O401" s="80"/>
      <c r="P401" s="80">
        <f t="shared" si="60"/>
        <v>11518.8</v>
      </c>
      <c r="Q401" s="74"/>
    </row>
    <row r="402" spans="1:31" ht="23.25" customHeight="1">
      <c r="B402" s="64" t="s">
        <v>921</v>
      </c>
      <c r="D402" s="74" t="s">
        <v>922</v>
      </c>
      <c r="E402" s="74"/>
      <c r="F402" s="54"/>
      <c r="G402" s="80"/>
      <c r="H402" s="80"/>
      <c r="I402" s="80">
        <f>TRUNC(SUM(I397:I401))</f>
        <v>371518</v>
      </c>
      <c r="J402" s="80"/>
      <c r="K402" s="80"/>
      <c r="L402" s="80">
        <f>TRUNC(SUM(L397:L401))</f>
        <v>383962</v>
      </c>
      <c r="M402" s="80"/>
      <c r="N402" s="80">
        <f>TRUNC(SUM(N397:N401))</f>
        <v>0</v>
      </c>
      <c r="O402" s="80"/>
      <c r="P402" s="80">
        <f t="shared" si="60"/>
        <v>755480</v>
      </c>
      <c r="Q402" s="74"/>
      <c r="AC402" s="48">
        <f>TRUNC(AE402*옵션!$B$36/100,1)</f>
        <v>11518.8</v>
      </c>
      <c r="AD402" s="48">
        <f>TRUNC(SUM(L397:L400))</f>
        <v>383962</v>
      </c>
      <c r="AE402" s="48">
        <f>TRUNC(SUM(AE397:AE401))</f>
        <v>383962</v>
      </c>
    </row>
    <row r="403" spans="1:31" ht="23.25" customHeight="1">
      <c r="D403" s="74"/>
      <c r="E403" s="74"/>
      <c r="F403" s="54"/>
      <c r="G403" s="80"/>
      <c r="H403" s="80"/>
      <c r="I403" s="80" t="str">
        <f>IF(G403*H403&lt;&gt;0, TRUNC(G403*H403,1),"")</f>
        <v/>
      </c>
      <c r="J403" s="80"/>
      <c r="K403" s="80"/>
      <c r="L403" s="80" t="str">
        <f>IF(G403*K403&lt;&gt;0, TRUNC(G403*K403,1),"")</f>
        <v/>
      </c>
      <c r="M403" s="80"/>
      <c r="N403" s="80" t="str">
        <f>IF(G403*M403&lt;&gt;0, TRUNC(G403*M403,1),"")</f>
        <v/>
      </c>
      <c r="O403" s="80"/>
      <c r="P403" s="80" t="str">
        <f t="shared" si="60"/>
        <v/>
      </c>
      <c r="Q403" s="74"/>
    </row>
    <row r="404" spans="1:31" ht="23.25" customHeight="1">
      <c r="A404" s="64" t="s">
        <v>880</v>
      </c>
      <c r="B404" s="64" t="s">
        <v>915</v>
      </c>
      <c r="C404" s="76" t="s">
        <v>881</v>
      </c>
      <c r="D404" s="158" t="s">
        <v>1041</v>
      </c>
      <c r="E404" s="159"/>
      <c r="F404" s="159"/>
      <c r="G404" s="159"/>
      <c r="H404" s="159"/>
      <c r="I404" s="159"/>
      <c r="J404" s="159"/>
      <c r="K404" s="159"/>
      <c r="L404" s="159"/>
      <c r="M404" s="159"/>
      <c r="N404" s="159"/>
      <c r="O404" s="159"/>
      <c r="P404" s="159"/>
      <c r="Q404" s="160"/>
    </row>
    <row r="405" spans="1:31" ht="23.25" customHeight="1">
      <c r="A405" s="64" t="s">
        <v>1042</v>
      </c>
      <c r="B405" s="64" t="s">
        <v>882</v>
      </c>
      <c r="C405" s="76" t="s">
        <v>403</v>
      </c>
      <c r="D405" s="74" t="s">
        <v>399</v>
      </c>
      <c r="E405" s="74" t="s">
        <v>404</v>
      </c>
      <c r="F405" s="54" t="s">
        <v>266</v>
      </c>
      <c r="G405" s="80">
        <v>1</v>
      </c>
      <c r="H405" s="80">
        <f>합산자재!H70</f>
        <v>520000</v>
      </c>
      <c r="I405" s="80">
        <f>IF(G405*H405&lt;&gt;0, TRUNC(G405*H405,1),"")</f>
        <v>520000</v>
      </c>
      <c r="J405" s="80">
        <v>1</v>
      </c>
      <c r="K405" s="80">
        <f>합산자재!I70</f>
        <v>0</v>
      </c>
      <c r="L405" s="80" t="str">
        <f>IF(G405*K405&lt;&gt;0, TRUNC(G405*K405,1),"")</f>
        <v/>
      </c>
      <c r="M405" s="80">
        <f>합산자재!J70</f>
        <v>0</v>
      </c>
      <c r="N405" s="80" t="str">
        <f>IF(G405*M405&lt;&gt;0, TRUNC(G405*M405,1),"")</f>
        <v/>
      </c>
      <c r="O405" s="80"/>
      <c r="P405" s="80">
        <f t="shared" ref="P405:P410" si="61">IF(SUM(I405,L405,N405)&lt;&gt;0,TRUNC(SUM(I405,L405,N405),1),"")</f>
        <v>520000</v>
      </c>
      <c r="Q405" s="74"/>
    </row>
    <row r="406" spans="1:31" ht="23.25" customHeight="1">
      <c r="A406" s="64" t="s">
        <v>593</v>
      </c>
      <c r="B406" s="64" t="s">
        <v>882</v>
      </c>
      <c r="C406" s="76" t="s">
        <v>529</v>
      </c>
      <c r="D406" s="74" t="s">
        <v>530</v>
      </c>
      <c r="E406" s="74" t="s">
        <v>531</v>
      </c>
      <c r="F406" s="54" t="s">
        <v>532</v>
      </c>
      <c r="G406" s="80">
        <f>일위노임!G238</f>
        <v>0.9</v>
      </c>
      <c r="H406" s="80">
        <f>합산자재!H115</f>
        <v>0</v>
      </c>
      <c r="I406" s="80" t="str">
        <f>IF(G406*H406&lt;&gt;0, TRUNC(G406*H406,1),"")</f>
        <v/>
      </c>
      <c r="J406" s="80">
        <v>0.9</v>
      </c>
      <c r="K406" s="80">
        <f>합산자재!I115</f>
        <v>273676</v>
      </c>
      <c r="L406" s="80">
        <f>IF(G406*K406&lt;&gt;0, TRUNC(G406*K406,1),"")</f>
        <v>246308.4</v>
      </c>
      <c r="M406" s="80">
        <f>합산자재!J115</f>
        <v>0</v>
      </c>
      <c r="N406" s="80" t="str">
        <f>IF(G406*M406&lt;&gt;0, TRUNC(G406*M406,1),"")</f>
        <v/>
      </c>
      <c r="O406" s="80"/>
      <c r="P406" s="80">
        <f t="shared" si="61"/>
        <v>246308.4</v>
      </c>
      <c r="Q406" s="74"/>
      <c r="AE406" s="48">
        <f>L406</f>
        <v>246308.4</v>
      </c>
    </row>
    <row r="407" spans="1:31" ht="23.25" customHeight="1">
      <c r="A407" s="64" t="s">
        <v>579</v>
      </c>
      <c r="B407" s="64" t="s">
        <v>882</v>
      </c>
      <c r="C407" s="76" t="s">
        <v>549</v>
      </c>
      <c r="D407" s="74" t="s">
        <v>530</v>
      </c>
      <c r="E407" s="74" t="s">
        <v>550</v>
      </c>
      <c r="F407" s="54" t="s">
        <v>532</v>
      </c>
      <c r="G407" s="80">
        <f>일위노임!G239</f>
        <v>0.8</v>
      </c>
      <c r="H407" s="80">
        <f>합산자재!H124</f>
        <v>0</v>
      </c>
      <c r="I407" s="80" t="str">
        <f>IF(G407*H407&lt;&gt;0, TRUNC(G407*H407,1),"")</f>
        <v/>
      </c>
      <c r="J407" s="80">
        <v>0.8</v>
      </c>
      <c r="K407" s="80">
        <f>합산자재!I124</f>
        <v>172068</v>
      </c>
      <c r="L407" s="80">
        <f>IF(G407*K407&lt;&gt;0, TRUNC(G407*K407,1),"")</f>
        <v>137654.39999999999</v>
      </c>
      <c r="M407" s="80">
        <f>합산자재!J124</f>
        <v>0</v>
      </c>
      <c r="N407" s="80" t="str">
        <f>IF(G407*M407&lt;&gt;0, TRUNC(G407*M407,1),"")</f>
        <v/>
      </c>
      <c r="O407" s="80"/>
      <c r="P407" s="80">
        <f t="shared" si="61"/>
        <v>137654.39999999999</v>
      </c>
      <c r="Q407" s="74"/>
      <c r="AE407" s="48">
        <f>L407</f>
        <v>137654.39999999999</v>
      </c>
    </row>
    <row r="408" spans="1:31" ht="23.25" customHeight="1">
      <c r="A408" s="64" t="s">
        <v>926</v>
      </c>
      <c r="B408" s="64" t="s">
        <v>882</v>
      </c>
      <c r="C408" s="76" t="s">
        <v>927</v>
      </c>
      <c r="D408" s="74" t="s">
        <v>928</v>
      </c>
      <c r="E408" s="74" t="s">
        <v>929</v>
      </c>
      <c r="F408" s="54" t="s">
        <v>458</v>
      </c>
      <c r="G408" s="80">
        <v>1</v>
      </c>
      <c r="H408" s="80">
        <f>IF(TRUNC((AD409+AC409)/$AE$3,1)*$AE$3-AD409 &lt;0, AC409, TRUNC((AD409+AC409)/$AE$3,1)*$AE$3-AD409)</f>
        <v>11518.799999999988</v>
      </c>
      <c r="I408" s="80">
        <f>H408</f>
        <v>11518.799999999988</v>
      </c>
      <c r="J408" s="80">
        <v>1</v>
      </c>
      <c r="K408" s="80"/>
      <c r="L408" s="80" t="str">
        <f>IF(G408*K408&lt;&gt;0, TRUNC(G408*K408,1),"")</f>
        <v/>
      </c>
      <c r="M408" s="80"/>
      <c r="N408" s="80" t="str">
        <f>IF(G408*M408&lt;&gt;0, TRUNC(G408*M408,1),"")</f>
        <v/>
      </c>
      <c r="O408" s="80"/>
      <c r="P408" s="80">
        <f t="shared" si="61"/>
        <v>11518.8</v>
      </c>
      <c r="Q408" s="74"/>
    </row>
    <row r="409" spans="1:31" ht="23.25" customHeight="1">
      <c r="B409" s="64" t="s">
        <v>921</v>
      </c>
      <c r="D409" s="74" t="s">
        <v>922</v>
      </c>
      <c r="E409" s="74"/>
      <c r="F409" s="54"/>
      <c r="G409" s="80"/>
      <c r="H409" s="80"/>
      <c r="I409" s="80">
        <f>TRUNC(SUM(I404:I408))</f>
        <v>531518</v>
      </c>
      <c r="J409" s="80"/>
      <c r="K409" s="80"/>
      <c r="L409" s="80">
        <f>TRUNC(SUM(L404:L408))</f>
        <v>383962</v>
      </c>
      <c r="M409" s="80"/>
      <c r="N409" s="80">
        <f>TRUNC(SUM(N404:N408))</f>
        <v>0</v>
      </c>
      <c r="O409" s="80"/>
      <c r="P409" s="80">
        <f t="shared" si="61"/>
        <v>915480</v>
      </c>
      <c r="Q409" s="74"/>
      <c r="AC409" s="48">
        <f>TRUNC(AE409*옵션!$B$36/100,1)</f>
        <v>11518.8</v>
      </c>
      <c r="AD409" s="48">
        <f>TRUNC(SUM(L404:L407))</f>
        <v>383962</v>
      </c>
      <c r="AE409" s="48">
        <f>TRUNC(SUM(AE404:AE408))</f>
        <v>383962</v>
      </c>
    </row>
    <row r="410" spans="1:31" ht="23.25" customHeight="1">
      <c r="D410" s="74"/>
      <c r="E410" s="74"/>
      <c r="F410" s="54"/>
      <c r="G410" s="80"/>
      <c r="H410" s="80"/>
      <c r="I410" s="80" t="str">
        <f>IF(G410*H410&lt;&gt;0, TRUNC(G410*H410,1),"")</f>
        <v/>
      </c>
      <c r="J410" s="80"/>
      <c r="K410" s="80"/>
      <c r="L410" s="80" t="str">
        <f>IF(G410*K410&lt;&gt;0, TRUNC(G410*K410,1),"")</f>
        <v/>
      </c>
      <c r="M410" s="80"/>
      <c r="N410" s="80" t="str">
        <f>IF(G410*M410&lt;&gt;0, TRUNC(G410*M410,1),"")</f>
        <v/>
      </c>
      <c r="O410" s="80"/>
      <c r="P410" s="80" t="str">
        <f t="shared" si="61"/>
        <v/>
      </c>
      <c r="Q410" s="74"/>
    </row>
    <row r="411" spans="1:31" ht="23.25" customHeight="1">
      <c r="A411" s="64" t="s">
        <v>883</v>
      </c>
      <c r="B411" s="64" t="s">
        <v>915</v>
      </c>
      <c r="C411" s="76" t="s">
        <v>884</v>
      </c>
      <c r="D411" s="158" t="s">
        <v>1043</v>
      </c>
      <c r="E411" s="159"/>
      <c r="F411" s="159"/>
      <c r="G411" s="159"/>
      <c r="H411" s="159"/>
      <c r="I411" s="159"/>
      <c r="J411" s="159"/>
      <c r="K411" s="159"/>
      <c r="L411" s="159"/>
      <c r="M411" s="159"/>
      <c r="N411" s="159"/>
      <c r="O411" s="159"/>
      <c r="P411" s="159"/>
      <c r="Q411" s="160"/>
    </row>
    <row r="412" spans="1:31" ht="23.25" customHeight="1">
      <c r="A412" s="64" t="s">
        <v>1044</v>
      </c>
      <c r="B412" s="64" t="s">
        <v>885</v>
      </c>
      <c r="C412" s="76" t="s">
        <v>422</v>
      </c>
      <c r="D412" s="74" t="s">
        <v>423</v>
      </c>
      <c r="E412" s="74" t="s">
        <v>424</v>
      </c>
      <c r="F412" s="54" t="s">
        <v>266</v>
      </c>
      <c r="G412" s="80">
        <v>1</v>
      </c>
      <c r="H412" s="80">
        <f>합산자재!H77</f>
        <v>55000</v>
      </c>
      <c r="I412" s="80">
        <f>IF(G412*H412&lt;&gt;0, TRUNC(G412*H412,1),"")</f>
        <v>55000</v>
      </c>
      <c r="J412" s="80">
        <v>1</v>
      </c>
      <c r="K412" s="80">
        <f>합산자재!I77</f>
        <v>0</v>
      </c>
      <c r="L412" s="80" t="str">
        <f>IF(G412*K412&lt;&gt;0, TRUNC(G412*K412,1),"")</f>
        <v/>
      </c>
      <c r="M412" s="80">
        <f>합산자재!J77</f>
        <v>0</v>
      </c>
      <c r="N412" s="80" t="str">
        <f>IF(G412*M412&lt;&gt;0, TRUNC(G412*M412,1),"")</f>
        <v/>
      </c>
      <c r="O412" s="80"/>
      <c r="P412" s="80">
        <f>IF(SUM(I412,L412,N412)&lt;&gt;0,TRUNC(SUM(I412,L412,N412),1),"")</f>
        <v>55000</v>
      </c>
      <c r="Q412" s="74"/>
    </row>
    <row r="413" spans="1:31" ht="23.25" customHeight="1">
      <c r="A413" s="64" t="s">
        <v>593</v>
      </c>
      <c r="B413" s="64" t="s">
        <v>885</v>
      </c>
      <c r="C413" s="76" t="s">
        <v>529</v>
      </c>
      <c r="D413" s="74" t="s">
        <v>530</v>
      </c>
      <c r="E413" s="74" t="s">
        <v>531</v>
      </c>
      <c r="F413" s="54" t="s">
        <v>532</v>
      </c>
      <c r="G413" s="80">
        <f>일위노임!G242</f>
        <v>0.19</v>
      </c>
      <c r="H413" s="80">
        <f>합산자재!H115</f>
        <v>0</v>
      </c>
      <c r="I413" s="80" t="str">
        <f>IF(G413*H413&lt;&gt;0, TRUNC(G413*H413,1),"")</f>
        <v/>
      </c>
      <c r="J413" s="80">
        <v>0.19</v>
      </c>
      <c r="K413" s="80">
        <f>합산자재!I115</f>
        <v>273676</v>
      </c>
      <c r="L413" s="80">
        <f>IF(G413*K413&lt;&gt;0, TRUNC(G413*K413,1),"")</f>
        <v>51998.400000000001</v>
      </c>
      <c r="M413" s="80">
        <f>합산자재!J115</f>
        <v>0</v>
      </c>
      <c r="N413" s="80" t="str">
        <f>IF(G413*M413&lt;&gt;0, TRUNC(G413*M413,1),"")</f>
        <v/>
      </c>
      <c r="O413" s="80"/>
      <c r="P413" s="80">
        <f>IF(SUM(I413,L413,N413)&lt;&gt;0,TRUNC(SUM(I413,L413,N413),1),"")</f>
        <v>51998.400000000001</v>
      </c>
      <c r="Q413" s="74"/>
      <c r="AE413" s="48">
        <f>L413</f>
        <v>51998.400000000001</v>
      </c>
    </row>
    <row r="414" spans="1:31" ht="23.25" customHeight="1">
      <c r="A414" s="64" t="s">
        <v>926</v>
      </c>
      <c r="B414" s="64" t="s">
        <v>885</v>
      </c>
      <c r="C414" s="76" t="s">
        <v>927</v>
      </c>
      <c r="D414" s="74" t="s">
        <v>928</v>
      </c>
      <c r="E414" s="74" t="s">
        <v>929</v>
      </c>
      <c r="F414" s="54" t="s">
        <v>458</v>
      </c>
      <c r="G414" s="80">
        <v>1</v>
      </c>
      <c r="H414" s="80">
        <f>IF(TRUNC((AD415+AC415)/$AE$3,1)*$AE$3-AD415 &lt;0, AC415, TRUNC((AD415+AC415)/$AE$3,1)*$AE$3-AD415)</f>
        <v>1559.9000000000015</v>
      </c>
      <c r="I414" s="80">
        <f>H414</f>
        <v>1559.9000000000015</v>
      </c>
      <c r="J414" s="80">
        <v>1</v>
      </c>
      <c r="K414" s="80"/>
      <c r="L414" s="80" t="str">
        <f>IF(G414*K414&lt;&gt;0, TRUNC(G414*K414,1),"")</f>
        <v/>
      </c>
      <c r="M414" s="80"/>
      <c r="N414" s="80" t="str">
        <f>IF(G414*M414&lt;&gt;0, TRUNC(G414*M414,1),"")</f>
        <v/>
      </c>
      <c r="O414" s="80"/>
      <c r="P414" s="80">
        <f>IF(SUM(I414,L414,N414)&lt;&gt;0,TRUNC(SUM(I414,L414,N414),1),"")</f>
        <v>1559.9</v>
      </c>
      <c r="Q414" s="74"/>
    </row>
    <row r="415" spans="1:31" ht="23.25" customHeight="1">
      <c r="B415" s="64" t="s">
        <v>921</v>
      </c>
      <c r="D415" s="74" t="s">
        <v>922</v>
      </c>
      <c r="E415" s="74"/>
      <c r="F415" s="54"/>
      <c r="G415" s="80"/>
      <c r="H415" s="80"/>
      <c r="I415" s="80">
        <f>TRUNC(SUM(I411:I414))</f>
        <v>56559</v>
      </c>
      <c r="J415" s="80"/>
      <c r="K415" s="80"/>
      <c r="L415" s="80">
        <f>TRUNC(SUM(L411:L414))</f>
        <v>51998</v>
      </c>
      <c r="M415" s="80"/>
      <c r="N415" s="80">
        <f>TRUNC(SUM(N411:N414))</f>
        <v>0</v>
      </c>
      <c r="O415" s="80"/>
      <c r="P415" s="80">
        <f>IF(SUM(I415,L415,N415)&lt;&gt;0,TRUNC(SUM(I415,L415,N415),1),"")</f>
        <v>108557</v>
      </c>
      <c r="Q415" s="74"/>
      <c r="AC415" s="48">
        <f>TRUNC(AE415*옵션!$B$36/100,1)</f>
        <v>1559.9</v>
      </c>
      <c r="AD415" s="48">
        <f>TRUNC(SUM(L411:L413))</f>
        <v>51998</v>
      </c>
      <c r="AE415" s="48">
        <f>TRUNC(SUM(AE411:AE414))</f>
        <v>51998</v>
      </c>
    </row>
    <row r="416" spans="1:31" ht="23.25" customHeight="1">
      <c r="D416" s="74"/>
      <c r="E416" s="74"/>
      <c r="F416" s="54"/>
      <c r="G416" s="80"/>
      <c r="H416" s="80"/>
      <c r="I416" s="80" t="str">
        <f>IF(G416*H416&lt;&gt;0, TRUNC(G416*H416,1),"")</f>
        <v/>
      </c>
      <c r="J416" s="80"/>
      <c r="K416" s="80"/>
      <c r="L416" s="80" t="str">
        <f>IF(G416*K416&lt;&gt;0, TRUNC(G416*K416,1),"")</f>
        <v/>
      </c>
      <c r="M416" s="80"/>
      <c r="N416" s="80" t="str">
        <f>IF(G416*M416&lt;&gt;0, TRUNC(G416*M416,1),"")</f>
        <v/>
      </c>
      <c r="O416" s="80"/>
      <c r="P416" s="80" t="str">
        <f>IF(SUM(I416,L416,N416)&lt;&gt;0,TRUNC(SUM(I416,L416,N416),1),"")</f>
        <v/>
      </c>
      <c r="Q416" s="74"/>
    </row>
    <row r="417" spans="1:31" ht="23.25" customHeight="1">
      <c r="A417" s="64" t="s">
        <v>886</v>
      </c>
      <c r="B417" s="64" t="s">
        <v>915</v>
      </c>
      <c r="C417" s="76" t="s">
        <v>887</v>
      </c>
      <c r="D417" s="158" t="s">
        <v>1045</v>
      </c>
      <c r="E417" s="159"/>
      <c r="F417" s="159"/>
      <c r="G417" s="159"/>
      <c r="H417" s="159"/>
      <c r="I417" s="159"/>
      <c r="J417" s="159"/>
      <c r="K417" s="159"/>
      <c r="L417" s="159"/>
      <c r="M417" s="159"/>
      <c r="N417" s="159"/>
      <c r="O417" s="159"/>
      <c r="P417" s="159"/>
      <c r="Q417" s="160"/>
    </row>
    <row r="418" spans="1:31" ht="23.25" customHeight="1">
      <c r="A418" s="64" t="s">
        <v>1046</v>
      </c>
      <c r="B418" s="64" t="s">
        <v>888</v>
      </c>
      <c r="C418" s="76" t="s">
        <v>439</v>
      </c>
      <c r="D418" s="74" t="s">
        <v>440</v>
      </c>
      <c r="E418" s="74"/>
      <c r="F418" s="54" t="s">
        <v>266</v>
      </c>
      <c r="G418" s="80">
        <v>1</v>
      </c>
      <c r="H418" s="80">
        <f>합산자재!H82</f>
        <v>500000</v>
      </c>
      <c r="I418" s="80">
        <f>IF(G418*H418&lt;&gt;0, TRUNC(G418*H418,1),"")</f>
        <v>500000</v>
      </c>
      <c r="J418" s="80">
        <v>1</v>
      </c>
      <c r="K418" s="80">
        <f>합산자재!I82</f>
        <v>0</v>
      </c>
      <c r="L418" s="80" t="str">
        <f>IF(G418*K418&lt;&gt;0, TRUNC(G418*K418,1),"")</f>
        <v/>
      </c>
      <c r="M418" s="80">
        <f>합산자재!J82</f>
        <v>0</v>
      </c>
      <c r="N418" s="80" t="str">
        <f>IF(G418*M418&lt;&gt;0, TRUNC(G418*M418,1),"")</f>
        <v/>
      </c>
      <c r="O418" s="80"/>
      <c r="P418" s="80">
        <f t="shared" ref="P418:P423" si="62">IF(SUM(I418,L418,N418)&lt;&gt;0,TRUNC(SUM(I418,L418,N418),1),"")</f>
        <v>500000</v>
      </c>
      <c r="Q418" s="74"/>
    </row>
    <row r="419" spans="1:31" ht="23.25" customHeight="1">
      <c r="A419" s="64" t="s">
        <v>593</v>
      </c>
      <c r="B419" s="64" t="s">
        <v>888</v>
      </c>
      <c r="C419" s="76" t="s">
        <v>529</v>
      </c>
      <c r="D419" s="74" t="s">
        <v>530</v>
      </c>
      <c r="E419" s="74" t="s">
        <v>531</v>
      </c>
      <c r="F419" s="54" t="s">
        <v>532</v>
      </c>
      <c r="G419" s="80">
        <f>일위노임!G246</f>
        <v>0.3</v>
      </c>
      <c r="H419" s="80">
        <f>합산자재!H115</f>
        <v>0</v>
      </c>
      <c r="I419" s="80" t="str">
        <f>IF(G419*H419&lt;&gt;0, TRUNC(G419*H419,1),"")</f>
        <v/>
      </c>
      <c r="J419" s="80">
        <v>0.3</v>
      </c>
      <c r="K419" s="80">
        <f>합산자재!I115</f>
        <v>273676</v>
      </c>
      <c r="L419" s="80">
        <f>IF(G419*K419&lt;&gt;0, TRUNC(G419*K419,1),"")</f>
        <v>82102.8</v>
      </c>
      <c r="M419" s="80">
        <f>합산자재!J115</f>
        <v>0</v>
      </c>
      <c r="N419" s="80" t="str">
        <f>IF(G419*M419&lt;&gt;0, TRUNC(G419*M419,1),"")</f>
        <v/>
      </c>
      <c r="O419" s="80"/>
      <c r="P419" s="80">
        <f t="shared" si="62"/>
        <v>82102.8</v>
      </c>
      <c r="Q419" s="74"/>
      <c r="AE419" s="48">
        <f>L419</f>
        <v>82102.8</v>
      </c>
    </row>
    <row r="420" spans="1:31" ht="23.25" customHeight="1">
      <c r="A420" s="64" t="s">
        <v>579</v>
      </c>
      <c r="B420" s="64" t="s">
        <v>888</v>
      </c>
      <c r="C420" s="76" t="s">
        <v>549</v>
      </c>
      <c r="D420" s="74" t="s">
        <v>530</v>
      </c>
      <c r="E420" s="74" t="s">
        <v>550</v>
      </c>
      <c r="F420" s="54" t="s">
        <v>532</v>
      </c>
      <c r="G420" s="80">
        <f>일위노임!G247</f>
        <v>0.8</v>
      </c>
      <c r="H420" s="80">
        <f>합산자재!H124</f>
        <v>0</v>
      </c>
      <c r="I420" s="80" t="str">
        <f>IF(G420*H420&lt;&gt;0, TRUNC(G420*H420,1),"")</f>
        <v/>
      </c>
      <c r="J420" s="80">
        <v>0.8</v>
      </c>
      <c r="K420" s="80">
        <f>합산자재!I124</f>
        <v>172068</v>
      </c>
      <c r="L420" s="80">
        <f>IF(G420*K420&lt;&gt;0, TRUNC(G420*K420,1),"")</f>
        <v>137654.39999999999</v>
      </c>
      <c r="M420" s="80">
        <f>합산자재!J124</f>
        <v>0</v>
      </c>
      <c r="N420" s="80" t="str">
        <f>IF(G420*M420&lt;&gt;0, TRUNC(G420*M420,1),"")</f>
        <v/>
      </c>
      <c r="O420" s="80"/>
      <c r="P420" s="80">
        <f t="shared" si="62"/>
        <v>137654.39999999999</v>
      </c>
      <c r="Q420" s="74"/>
      <c r="AE420" s="48">
        <f>L420</f>
        <v>137654.39999999999</v>
      </c>
    </row>
    <row r="421" spans="1:31" ht="23.25" customHeight="1">
      <c r="A421" s="64" t="s">
        <v>926</v>
      </c>
      <c r="B421" s="64" t="s">
        <v>888</v>
      </c>
      <c r="C421" s="76" t="s">
        <v>927</v>
      </c>
      <c r="D421" s="74" t="s">
        <v>928</v>
      </c>
      <c r="E421" s="74" t="s">
        <v>929</v>
      </c>
      <c r="F421" s="54" t="s">
        <v>458</v>
      </c>
      <c r="G421" s="80">
        <v>1</v>
      </c>
      <c r="H421" s="80">
        <f>IF(TRUNC((AD422+AC422)/$AE$3,1)*$AE$3-AD422 &lt;0, AC422, TRUNC((AD422+AC422)/$AE$3,1)*$AE$3-AD422)</f>
        <v>6592.7000000000116</v>
      </c>
      <c r="I421" s="80">
        <f>H421</f>
        <v>6592.7000000000116</v>
      </c>
      <c r="J421" s="80">
        <v>1</v>
      </c>
      <c r="K421" s="80"/>
      <c r="L421" s="80" t="str">
        <f>IF(G421*K421&lt;&gt;0, TRUNC(G421*K421,1),"")</f>
        <v/>
      </c>
      <c r="M421" s="80"/>
      <c r="N421" s="80" t="str">
        <f>IF(G421*M421&lt;&gt;0, TRUNC(G421*M421,1),"")</f>
        <v/>
      </c>
      <c r="O421" s="80"/>
      <c r="P421" s="80">
        <f t="shared" si="62"/>
        <v>6592.7</v>
      </c>
      <c r="Q421" s="74"/>
    </row>
    <row r="422" spans="1:31" ht="23.25" customHeight="1">
      <c r="B422" s="64" t="s">
        <v>921</v>
      </c>
      <c r="D422" s="74" t="s">
        <v>922</v>
      </c>
      <c r="E422" s="74"/>
      <c r="F422" s="54"/>
      <c r="G422" s="80"/>
      <c r="H422" s="80"/>
      <c r="I422" s="80">
        <f>TRUNC(SUM(I417:I421))</f>
        <v>506592</v>
      </c>
      <c r="J422" s="80"/>
      <c r="K422" s="80"/>
      <c r="L422" s="80">
        <f>TRUNC(SUM(L417:L421))</f>
        <v>219757</v>
      </c>
      <c r="M422" s="80"/>
      <c r="N422" s="80">
        <f>TRUNC(SUM(N417:N421))</f>
        <v>0</v>
      </c>
      <c r="O422" s="80"/>
      <c r="P422" s="80">
        <f t="shared" si="62"/>
        <v>726349</v>
      </c>
      <c r="Q422" s="74"/>
      <c r="AC422" s="48">
        <f>TRUNC(AE422*옵션!$B$36/100,1)</f>
        <v>6592.7</v>
      </c>
      <c r="AD422" s="48">
        <f>TRUNC(SUM(L417:L420))</f>
        <v>219757</v>
      </c>
      <c r="AE422" s="48">
        <f>TRUNC(SUM(AE417:AE421))</f>
        <v>219757</v>
      </c>
    </row>
    <row r="423" spans="1:31" ht="23.25" customHeight="1">
      <c r="D423" s="74"/>
      <c r="E423" s="74"/>
      <c r="F423" s="54"/>
      <c r="G423" s="80"/>
      <c r="H423" s="80"/>
      <c r="I423" s="80" t="str">
        <f>IF(G423*H423&lt;&gt;0, TRUNC(G423*H423,1),"")</f>
        <v/>
      </c>
      <c r="J423" s="80"/>
      <c r="K423" s="80"/>
      <c r="L423" s="80" t="str">
        <f>IF(G423*K423&lt;&gt;0, TRUNC(G423*K423,1),"")</f>
        <v/>
      </c>
      <c r="M423" s="80"/>
      <c r="N423" s="80" t="str">
        <f>IF(G423*M423&lt;&gt;0, TRUNC(G423*M423,1),"")</f>
        <v/>
      </c>
      <c r="O423" s="80"/>
      <c r="P423" s="80" t="str">
        <f t="shared" si="62"/>
        <v/>
      </c>
      <c r="Q423" s="74"/>
    </row>
    <row r="424" spans="1:31" ht="23.25" customHeight="1">
      <c r="A424" s="64" t="s">
        <v>889</v>
      </c>
      <c r="B424" s="64" t="s">
        <v>915</v>
      </c>
      <c r="C424" s="76" t="s">
        <v>890</v>
      </c>
      <c r="D424" s="158" t="s">
        <v>1047</v>
      </c>
      <c r="E424" s="159"/>
      <c r="F424" s="159"/>
      <c r="G424" s="159"/>
      <c r="H424" s="159"/>
      <c r="I424" s="159"/>
      <c r="J424" s="159"/>
      <c r="K424" s="159"/>
      <c r="L424" s="159"/>
      <c r="M424" s="159"/>
      <c r="N424" s="159"/>
      <c r="O424" s="159"/>
      <c r="P424" s="159"/>
      <c r="Q424" s="160"/>
    </row>
    <row r="425" spans="1:31" ht="23.25" customHeight="1">
      <c r="A425" s="64" t="s">
        <v>1048</v>
      </c>
      <c r="B425" s="64" t="s">
        <v>891</v>
      </c>
      <c r="C425" s="76" t="s">
        <v>441</v>
      </c>
      <c r="D425" s="74" t="s">
        <v>442</v>
      </c>
      <c r="E425" s="74" t="s">
        <v>443</v>
      </c>
      <c r="F425" s="54" t="s">
        <v>266</v>
      </c>
      <c r="G425" s="80">
        <v>1</v>
      </c>
      <c r="H425" s="80">
        <f>합산자재!H83</f>
        <v>450000</v>
      </c>
      <c r="I425" s="80">
        <f>IF(G425*H425&lt;&gt;0, TRUNC(G425*H425,1),"")</f>
        <v>450000</v>
      </c>
      <c r="J425" s="80">
        <v>1</v>
      </c>
      <c r="K425" s="80">
        <f>합산자재!I83</f>
        <v>0</v>
      </c>
      <c r="L425" s="80" t="str">
        <f>IF(G425*K425&lt;&gt;0, TRUNC(G425*K425,1),"")</f>
        <v/>
      </c>
      <c r="M425" s="80">
        <f>합산자재!J83</f>
        <v>0</v>
      </c>
      <c r="N425" s="80" t="str">
        <f>IF(G425*M425&lt;&gt;0, TRUNC(G425*M425,1),"")</f>
        <v/>
      </c>
      <c r="O425" s="80"/>
      <c r="P425" s="80">
        <f t="shared" ref="P425:P430" si="63">IF(SUM(I425,L425,N425)&lt;&gt;0,TRUNC(SUM(I425,L425,N425),1),"")</f>
        <v>450000</v>
      </c>
      <c r="Q425" s="74"/>
    </row>
    <row r="426" spans="1:31" ht="23.25" customHeight="1">
      <c r="A426" s="64" t="s">
        <v>593</v>
      </c>
      <c r="B426" s="64" t="s">
        <v>891</v>
      </c>
      <c r="C426" s="76" t="s">
        <v>529</v>
      </c>
      <c r="D426" s="74" t="s">
        <v>530</v>
      </c>
      <c r="E426" s="74" t="s">
        <v>531</v>
      </c>
      <c r="F426" s="54" t="s">
        <v>532</v>
      </c>
      <c r="G426" s="80">
        <f>일위노임!G251</f>
        <v>1.2</v>
      </c>
      <c r="H426" s="80">
        <f>합산자재!H115</f>
        <v>0</v>
      </c>
      <c r="I426" s="80" t="str">
        <f>IF(G426*H426&lt;&gt;0, TRUNC(G426*H426,1),"")</f>
        <v/>
      </c>
      <c r="J426" s="80">
        <v>1.2</v>
      </c>
      <c r="K426" s="80">
        <f>합산자재!I115</f>
        <v>273676</v>
      </c>
      <c r="L426" s="80">
        <f>IF(G426*K426&lt;&gt;0, TRUNC(G426*K426,1),"")</f>
        <v>328411.2</v>
      </c>
      <c r="M426" s="80">
        <f>합산자재!J115</f>
        <v>0</v>
      </c>
      <c r="N426" s="80" t="str">
        <f>IF(G426*M426&lt;&gt;0, TRUNC(G426*M426,1),"")</f>
        <v/>
      </c>
      <c r="O426" s="80"/>
      <c r="P426" s="80">
        <f t="shared" si="63"/>
        <v>328411.2</v>
      </c>
      <c r="Q426" s="74"/>
      <c r="AE426" s="48">
        <f>L426</f>
        <v>328411.2</v>
      </c>
    </row>
    <row r="427" spans="1:31" ht="23.25" customHeight="1">
      <c r="A427" s="64" t="s">
        <v>579</v>
      </c>
      <c r="B427" s="64" t="s">
        <v>891</v>
      </c>
      <c r="C427" s="76" t="s">
        <v>549</v>
      </c>
      <c r="D427" s="74" t="s">
        <v>530</v>
      </c>
      <c r="E427" s="74" t="s">
        <v>550</v>
      </c>
      <c r="F427" s="54" t="s">
        <v>532</v>
      </c>
      <c r="G427" s="80">
        <f>일위노임!G252</f>
        <v>0.8</v>
      </c>
      <c r="H427" s="80">
        <f>합산자재!H124</f>
        <v>0</v>
      </c>
      <c r="I427" s="80" t="str">
        <f>IF(G427*H427&lt;&gt;0, TRUNC(G427*H427,1),"")</f>
        <v/>
      </c>
      <c r="J427" s="80">
        <v>0.8</v>
      </c>
      <c r="K427" s="80">
        <f>합산자재!I124</f>
        <v>172068</v>
      </c>
      <c r="L427" s="80">
        <f>IF(G427*K427&lt;&gt;0, TRUNC(G427*K427,1),"")</f>
        <v>137654.39999999999</v>
      </c>
      <c r="M427" s="80">
        <f>합산자재!J124</f>
        <v>0</v>
      </c>
      <c r="N427" s="80" t="str">
        <f>IF(G427*M427&lt;&gt;0, TRUNC(G427*M427,1),"")</f>
        <v/>
      </c>
      <c r="O427" s="80"/>
      <c r="P427" s="80">
        <f t="shared" si="63"/>
        <v>137654.39999999999</v>
      </c>
      <c r="Q427" s="74"/>
      <c r="AE427" s="48">
        <f>L427</f>
        <v>137654.39999999999</v>
      </c>
    </row>
    <row r="428" spans="1:31" ht="23.25" customHeight="1">
      <c r="A428" s="64" t="s">
        <v>926</v>
      </c>
      <c r="B428" s="64" t="s">
        <v>891</v>
      </c>
      <c r="C428" s="76" t="s">
        <v>927</v>
      </c>
      <c r="D428" s="74" t="s">
        <v>928</v>
      </c>
      <c r="E428" s="74" t="s">
        <v>929</v>
      </c>
      <c r="F428" s="54" t="s">
        <v>458</v>
      </c>
      <c r="G428" s="80">
        <v>1</v>
      </c>
      <c r="H428" s="80">
        <f>IF(TRUNC((AD429+AC429)/$AE$3,1)*$AE$3-AD429 &lt;0, AC429, TRUNC((AD429+AC429)/$AE$3,1)*$AE$3-AD429)</f>
        <v>13981.900000000023</v>
      </c>
      <c r="I428" s="80">
        <f>H428</f>
        <v>13981.900000000023</v>
      </c>
      <c r="J428" s="80">
        <v>1</v>
      </c>
      <c r="K428" s="80"/>
      <c r="L428" s="80" t="str">
        <f>IF(G428*K428&lt;&gt;0, TRUNC(G428*K428,1),"")</f>
        <v/>
      </c>
      <c r="M428" s="80"/>
      <c r="N428" s="80" t="str">
        <f>IF(G428*M428&lt;&gt;0, TRUNC(G428*M428,1),"")</f>
        <v/>
      </c>
      <c r="O428" s="80"/>
      <c r="P428" s="80">
        <f t="shared" si="63"/>
        <v>13981.9</v>
      </c>
      <c r="Q428" s="74"/>
    </row>
    <row r="429" spans="1:31" ht="23.25" customHeight="1">
      <c r="B429" s="64" t="s">
        <v>921</v>
      </c>
      <c r="D429" s="74" t="s">
        <v>922</v>
      </c>
      <c r="E429" s="74"/>
      <c r="F429" s="54"/>
      <c r="G429" s="80"/>
      <c r="H429" s="80"/>
      <c r="I429" s="80">
        <f>TRUNC(SUM(I424:I428))</f>
        <v>463981</v>
      </c>
      <c r="J429" s="80"/>
      <c r="K429" s="80"/>
      <c r="L429" s="80">
        <f>TRUNC(SUM(L424:L428))</f>
        <v>466065</v>
      </c>
      <c r="M429" s="80"/>
      <c r="N429" s="80">
        <f>TRUNC(SUM(N424:N428))</f>
        <v>0</v>
      </c>
      <c r="O429" s="80"/>
      <c r="P429" s="80">
        <f t="shared" si="63"/>
        <v>930046</v>
      </c>
      <c r="Q429" s="74"/>
      <c r="AC429" s="48">
        <f>TRUNC(AE429*옵션!$B$36/100,1)</f>
        <v>13981.9</v>
      </c>
      <c r="AD429" s="48">
        <f>TRUNC(SUM(L424:L427))</f>
        <v>466065</v>
      </c>
      <c r="AE429" s="48">
        <f>TRUNC(SUM(AE424:AE428))</f>
        <v>466065</v>
      </c>
    </row>
    <row r="430" spans="1:31" ht="23.25" customHeight="1">
      <c r="D430" s="74"/>
      <c r="E430" s="74"/>
      <c r="F430" s="54"/>
      <c r="G430" s="80"/>
      <c r="H430" s="80"/>
      <c r="I430" s="80" t="str">
        <f>IF(G430*H430&lt;&gt;0, TRUNC(G430*H430,1),"")</f>
        <v/>
      </c>
      <c r="J430" s="80"/>
      <c r="K430" s="80"/>
      <c r="L430" s="80" t="str">
        <f>IF(G430*K430&lt;&gt;0, TRUNC(G430*K430,1),"")</f>
        <v/>
      </c>
      <c r="M430" s="80"/>
      <c r="N430" s="80" t="str">
        <f>IF(G430*M430&lt;&gt;0, TRUNC(G430*M430,1),"")</f>
        <v/>
      </c>
      <c r="O430" s="80"/>
      <c r="P430" s="80" t="str">
        <f t="shared" si="63"/>
        <v/>
      </c>
      <c r="Q430" s="74"/>
    </row>
    <row r="431" spans="1:31" ht="23.25" customHeight="1">
      <c r="A431" s="64" t="s">
        <v>892</v>
      </c>
      <c r="B431" s="64" t="s">
        <v>915</v>
      </c>
      <c r="C431" s="76" t="s">
        <v>893</v>
      </c>
      <c r="D431" s="158" t="s">
        <v>1049</v>
      </c>
      <c r="E431" s="159"/>
      <c r="F431" s="159"/>
      <c r="G431" s="159"/>
      <c r="H431" s="159"/>
      <c r="I431" s="159"/>
      <c r="J431" s="159"/>
      <c r="K431" s="159"/>
      <c r="L431" s="159"/>
      <c r="M431" s="159"/>
      <c r="N431" s="159"/>
      <c r="O431" s="159"/>
      <c r="P431" s="159"/>
      <c r="Q431" s="160"/>
    </row>
    <row r="432" spans="1:31" ht="23.25" customHeight="1">
      <c r="A432" s="64" t="s">
        <v>1050</v>
      </c>
      <c r="B432" s="64" t="s">
        <v>894</v>
      </c>
      <c r="C432" s="76" t="s">
        <v>444</v>
      </c>
      <c r="D432" s="74" t="s">
        <v>445</v>
      </c>
      <c r="E432" s="74" t="s">
        <v>446</v>
      </c>
      <c r="F432" s="54" t="s">
        <v>266</v>
      </c>
      <c r="G432" s="80">
        <v>1</v>
      </c>
      <c r="H432" s="80">
        <f>합산자재!H84</f>
        <v>165000</v>
      </c>
      <c r="I432" s="80">
        <f>IF(G432*H432&lt;&gt;0, TRUNC(G432*H432,1),"")</f>
        <v>165000</v>
      </c>
      <c r="J432" s="80">
        <v>1</v>
      </c>
      <c r="K432" s="80">
        <f>합산자재!I84</f>
        <v>0</v>
      </c>
      <c r="L432" s="80" t="str">
        <f>IF(G432*K432&lt;&gt;0, TRUNC(G432*K432,1),"")</f>
        <v/>
      </c>
      <c r="M432" s="80">
        <f>합산자재!J84</f>
        <v>0</v>
      </c>
      <c r="N432" s="80" t="str">
        <f>IF(G432*M432&lt;&gt;0, TRUNC(G432*M432,1),"")</f>
        <v/>
      </c>
      <c r="O432" s="80"/>
      <c r="P432" s="80">
        <f t="shared" ref="P432:P437" si="64">IF(SUM(I432,L432,N432)&lt;&gt;0,TRUNC(SUM(I432,L432,N432),1),"")</f>
        <v>165000</v>
      </c>
      <c r="Q432" s="74"/>
    </row>
    <row r="433" spans="1:31" ht="23.25" customHeight="1">
      <c r="A433" s="64" t="s">
        <v>593</v>
      </c>
      <c r="B433" s="64" t="s">
        <v>894</v>
      </c>
      <c r="C433" s="76" t="s">
        <v>529</v>
      </c>
      <c r="D433" s="74" t="s">
        <v>530</v>
      </c>
      <c r="E433" s="74" t="s">
        <v>531</v>
      </c>
      <c r="F433" s="54" t="s">
        <v>532</v>
      </c>
      <c r="G433" s="80">
        <f>일위노임!G256</f>
        <v>0.3</v>
      </c>
      <c r="H433" s="80">
        <f>합산자재!H115</f>
        <v>0</v>
      </c>
      <c r="I433" s="80" t="str">
        <f>IF(G433*H433&lt;&gt;0, TRUNC(G433*H433,1),"")</f>
        <v/>
      </c>
      <c r="J433" s="80">
        <v>0.3</v>
      </c>
      <c r="K433" s="80">
        <f>합산자재!I115</f>
        <v>273676</v>
      </c>
      <c r="L433" s="80">
        <f>IF(G433*K433&lt;&gt;0, TRUNC(G433*K433,1),"")</f>
        <v>82102.8</v>
      </c>
      <c r="M433" s="80">
        <f>합산자재!J115</f>
        <v>0</v>
      </c>
      <c r="N433" s="80" t="str">
        <f>IF(G433*M433&lt;&gt;0, TRUNC(G433*M433,1),"")</f>
        <v/>
      </c>
      <c r="O433" s="80"/>
      <c r="P433" s="80">
        <f t="shared" si="64"/>
        <v>82102.8</v>
      </c>
      <c r="Q433" s="74"/>
      <c r="AE433" s="48">
        <f>L433</f>
        <v>82102.8</v>
      </c>
    </row>
    <row r="434" spans="1:31" ht="23.25" customHeight="1">
      <c r="A434" s="64" t="s">
        <v>579</v>
      </c>
      <c r="B434" s="64" t="s">
        <v>894</v>
      </c>
      <c r="C434" s="76" t="s">
        <v>549</v>
      </c>
      <c r="D434" s="74" t="s">
        <v>530</v>
      </c>
      <c r="E434" s="74" t="s">
        <v>550</v>
      </c>
      <c r="F434" s="54" t="s">
        <v>532</v>
      </c>
      <c r="G434" s="80">
        <f>일위노임!G257</f>
        <v>0.2</v>
      </c>
      <c r="H434" s="80">
        <f>합산자재!H124</f>
        <v>0</v>
      </c>
      <c r="I434" s="80" t="str">
        <f>IF(G434*H434&lt;&gt;0, TRUNC(G434*H434,1),"")</f>
        <v/>
      </c>
      <c r="J434" s="80">
        <v>0.2</v>
      </c>
      <c r="K434" s="80">
        <f>합산자재!I124</f>
        <v>172068</v>
      </c>
      <c r="L434" s="80">
        <f>IF(G434*K434&lt;&gt;0, TRUNC(G434*K434,1),"")</f>
        <v>34413.599999999999</v>
      </c>
      <c r="M434" s="80">
        <f>합산자재!J124</f>
        <v>0</v>
      </c>
      <c r="N434" s="80" t="str">
        <f>IF(G434*M434&lt;&gt;0, TRUNC(G434*M434,1),"")</f>
        <v/>
      </c>
      <c r="O434" s="80"/>
      <c r="P434" s="80">
        <f t="shared" si="64"/>
        <v>34413.599999999999</v>
      </c>
      <c r="Q434" s="74"/>
      <c r="AE434" s="48">
        <f>L434</f>
        <v>34413.599999999999</v>
      </c>
    </row>
    <row r="435" spans="1:31" ht="23.25" customHeight="1">
      <c r="A435" s="64" t="s">
        <v>926</v>
      </c>
      <c r="B435" s="64" t="s">
        <v>894</v>
      </c>
      <c r="C435" s="76" t="s">
        <v>927</v>
      </c>
      <c r="D435" s="74" t="s">
        <v>928</v>
      </c>
      <c r="E435" s="74" t="s">
        <v>929</v>
      </c>
      <c r="F435" s="54" t="s">
        <v>458</v>
      </c>
      <c r="G435" s="80">
        <v>1</v>
      </c>
      <c r="H435" s="80">
        <f>IF(TRUNC((AD436+AC436)/$AE$3,1)*$AE$3-AD436 &lt;0, AC436, TRUNC((AD436+AC436)/$AE$3,1)*$AE$3-AD436)</f>
        <v>3495.3999999999942</v>
      </c>
      <c r="I435" s="80">
        <f>H435</f>
        <v>3495.3999999999942</v>
      </c>
      <c r="J435" s="80">
        <v>1</v>
      </c>
      <c r="K435" s="80"/>
      <c r="L435" s="80" t="str">
        <f>IF(G435*K435&lt;&gt;0, TRUNC(G435*K435,1),"")</f>
        <v/>
      </c>
      <c r="M435" s="80"/>
      <c r="N435" s="80" t="str">
        <f>IF(G435*M435&lt;&gt;0, TRUNC(G435*M435,1),"")</f>
        <v/>
      </c>
      <c r="O435" s="80"/>
      <c r="P435" s="80">
        <f t="shared" si="64"/>
        <v>3495.3</v>
      </c>
      <c r="Q435" s="74"/>
    </row>
    <row r="436" spans="1:31" ht="23.25" customHeight="1">
      <c r="B436" s="64" t="s">
        <v>921</v>
      </c>
      <c r="D436" s="74" t="s">
        <v>922</v>
      </c>
      <c r="E436" s="74"/>
      <c r="F436" s="54"/>
      <c r="G436" s="80"/>
      <c r="H436" s="80"/>
      <c r="I436" s="80">
        <f>TRUNC(SUM(I431:I435))</f>
        <v>168495</v>
      </c>
      <c r="J436" s="80"/>
      <c r="K436" s="80"/>
      <c r="L436" s="80">
        <f>TRUNC(SUM(L431:L435))</f>
        <v>116516</v>
      </c>
      <c r="M436" s="80"/>
      <c r="N436" s="80">
        <f>TRUNC(SUM(N431:N435))</f>
        <v>0</v>
      </c>
      <c r="O436" s="80"/>
      <c r="P436" s="80">
        <f t="shared" si="64"/>
        <v>285011</v>
      </c>
      <c r="Q436" s="74"/>
      <c r="AC436" s="48">
        <f>TRUNC(AE436*옵션!$B$36/100,1)</f>
        <v>3495.4</v>
      </c>
      <c r="AD436" s="48">
        <f>TRUNC(SUM(L431:L434))</f>
        <v>116516</v>
      </c>
      <c r="AE436" s="48">
        <f>TRUNC(SUM(AE431:AE435))</f>
        <v>116516</v>
      </c>
    </row>
    <row r="437" spans="1:31" ht="23.25" customHeight="1">
      <c r="D437" s="74"/>
      <c r="E437" s="74"/>
      <c r="F437" s="54"/>
      <c r="G437" s="80"/>
      <c r="H437" s="80"/>
      <c r="I437" s="80" t="str">
        <f>IF(G437*H437&lt;&gt;0, TRUNC(G437*H437,1),"")</f>
        <v/>
      </c>
      <c r="J437" s="80"/>
      <c r="K437" s="80"/>
      <c r="L437" s="80" t="str">
        <f>IF(G437*K437&lt;&gt;0, TRUNC(G437*K437,1),"")</f>
        <v/>
      </c>
      <c r="M437" s="80"/>
      <c r="N437" s="80" t="str">
        <f>IF(G437*M437&lt;&gt;0, TRUNC(G437*M437,1),"")</f>
        <v/>
      </c>
      <c r="O437" s="80"/>
      <c r="P437" s="80" t="str">
        <f t="shared" si="64"/>
        <v/>
      </c>
      <c r="Q437" s="74"/>
    </row>
    <row r="438" spans="1:31" ht="23.25" customHeight="1">
      <c r="A438" s="64" t="s">
        <v>895</v>
      </c>
      <c r="B438" s="64" t="s">
        <v>915</v>
      </c>
      <c r="C438" s="76" t="s">
        <v>896</v>
      </c>
      <c r="D438" s="158" t="s">
        <v>1051</v>
      </c>
      <c r="E438" s="159"/>
      <c r="F438" s="159"/>
      <c r="G438" s="159"/>
      <c r="H438" s="159"/>
      <c r="I438" s="159"/>
      <c r="J438" s="159"/>
      <c r="K438" s="159"/>
      <c r="L438" s="159"/>
      <c r="M438" s="159"/>
      <c r="N438" s="159"/>
      <c r="O438" s="159"/>
      <c r="P438" s="159"/>
      <c r="Q438" s="160"/>
    </row>
    <row r="439" spans="1:31" ht="23.25" customHeight="1">
      <c r="A439" s="64" t="s">
        <v>1052</v>
      </c>
      <c r="B439" s="64" t="s">
        <v>897</v>
      </c>
      <c r="C439" s="76" t="s">
        <v>473</v>
      </c>
      <c r="D439" s="74" t="s">
        <v>474</v>
      </c>
      <c r="E439" s="74" t="s">
        <v>475</v>
      </c>
      <c r="F439" s="54" t="s">
        <v>266</v>
      </c>
      <c r="G439" s="80">
        <v>1</v>
      </c>
      <c r="H439" s="80">
        <f>합산자재!H95</f>
        <v>2000000</v>
      </c>
      <c r="I439" s="80">
        <f>IF(G439*H439&lt;&gt;0, TRUNC(G439*H439,1),"")</f>
        <v>2000000</v>
      </c>
      <c r="J439" s="80">
        <v>1</v>
      </c>
      <c r="K439" s="80">
        <f>합산자재!I95</f>
        <v>0</v>
      </c>
      <c r="L439" s="80" t="str">
        <f>IF(G439*K439&lt;&gt;0, TRUNC(G439*K439,1),"")</f>
        <v/>
      </c>
      <c r="M439" s="80">
        <f>합산자재!J95</f>
        <v>0</v>
      </c>
      <c r="N439" s="80" t="str">
        <f>IF(G439*M439&lt;&gt;0, TRUNC(G439*M439,1),"")</f>
        <v/>
      </c>
      <c r="O439" s="80"/>
      <c r="P439" s="80">
        <f t="shared" ref="P439:P444" si="65">IF(SUM(I439,L439,N439)&lt;&gt;0,TRUNC(SUM(I439,L439,N439),1),"")</f>
        <v>2000000</v>
      </c>
      <c r="Q439" s="74"/>
    </row>
    <row r="440" spans="1:31" ht="23.25" customHeight="1">
      <c r="A440" s="64" t="s">
        <v>593</v>
      </c>
      <c r="B440" s="64" t="s">
        <v>897</v>
      </c>
      <c r="C440" s="76" t="s">
        <v>529</v>
      </c>
      <c r="D440" s="74" t="s">
        <v>530</v>
      </c>
      <c r="E440" s="74" t="s">
        <v>531</v>
      </c>
      <c r="F440" s="54" t="s">
        <v>532</v>
      </c>
      <c r="G440" s="80">
        <f>일위노임!G261</f>
        <v>0.98</v>
      </c>
      <c r="H440" s="80">
        <f>합산자재!H115</f>
        <v>0</v>
      </c>
      <c r="I440" s="80" t="str">
        <f>IF(G440*H440&lt;&gt;0, TRUNC(G440*H440,1),"")</f>
        <v/>
      </c>
      <c r="J440" s="80">
        <v>0.98</v>
      </c>
      <c r="K440" s="80">
        <f>합산자재!I115</f>
        <v>273676</v>
      </c>
      <c r="L440" s="80">
        <f>IF(G440*K440&lt;&gt;0, TRUNC(G440*K440,1),"")</f>
        <v>268202.40000000002</v>
      </c>
      <c r="M440" s="80">
        <f>합산자재!J115</f>
        <v>0</v>
      </c>
      <c r="N440" s="80" t="str">
        <f>IF(G440*M440&lt;&gt;0, TRUNC(G440*M440,1),"")</f>
        <v/>
      </c>
      <c r="O440" s="80"/>
      <c r="P440" s="80">
        <f t="shared" si="65"/>
        <v>268202.40000000002</v>
      </c>
      <c r="Q440" s="74"/>
      <c r="AE440" s="48">
        <f>L440</f>
        <v>268202.40000000002</v>
      </c>
    </row>
    <row r="441" spans="1:31" ht="23.25" customHeight="1">
      <c r="A441" s="64" t="s">
        <v>579</v>
      </c>
      <c r="B441" s="64" t="s">
        <v>897</v>
      </c>
      <c r="C441" s="76" t="s">
        <v>549</v>
      </c>
      <c r="D441" s="74" t="s">
        <v>530</v>
      </c>
      <c r="E441" s="74" t="s">
        <v>550</v>
      </c>
      <c r="F441" s="54" t="s">
        <v>532</v>
      </c>
      <c r="G441" s="80">
        <f>일위노임!G262</f>
        <v>0.75</v>
      </c>
      <c r="H441" s="80">
        <f>합산자재!H124</f>
        <v>0</v>
      </c>
      <c r="I441" s="80" t="str">
        <f>IF(G441*H441&lt;&gt;0, TRUNC(G441*H441,1),"")</f>
        <v/>
      </c>
      <c r="J441" s="80">
        <v>0.75</v>
      </c>
      <c r="K441" s="80">
        <f>합산자재!I124</f>
        <v>172068</v>
      </c>
      <c r="L441" s="80">
        <f>IF(G441*K441&lt;&gt;0, TRUNC(G441*K441,1),"")</f>
        <v>129051</v>
      </c>
      <c r="M441" s="80">
        <f>합산자재!J124</f>
        <v>0</v>
      </c>
      <c r="N441" s="80" t="str">
        <f>IF(G441*M441&lt;&gt;0, TRUNC(G441*M441,1),"")</f>
        <v/>
      </c>
      <c r="O441" s="80"/>
      <c r="P441" s="80">
        <f t="shared" si="65"/>
        <v>129051</v>
      </c>
      <c r="Q441" s="74"/>
      <c r="AE441" s="48">
        <f>L441</f>
        <v>129051</v>
      </c>
    </row>
    <row r="442" spans="1:31" ht="23.25" customHeight="1">
      <c r="A442" s="64" t="s">
        <v>926</v>
      </c>
      <c r="B442" s="64" t="s">
        <v>897</v>
      </c>
      <c r="C442" s="76" t="s">
        <v>927</v>
      </c>
      <c r="D442" s="74" t="s">
        <v>928</v>
      </c>
      <c r="E442" s="74" t="s">
        <v>929</v>
      </c>
      <c r="F442" s="54" t="s">
        <v>458</v>
      </c>
      <c r="G442" s="80">
        <v>1</v>
      </c>
      <c r="H442" s="80">
        <f>IF(TRUNC((AD443+AC443)/$AE$3,1)*$AE$3-AD443 &lt;0, AC443, TRUNC((AD443+AC443)/$AE$3,1)*$AE$3-AD443)</f>
        <v>11917.5</v>
      </c>
      <c r="I442" s="80">
        <f>H442</f>
        <v>11917.5</v>
      </c>
      <c r="J442" s="80">
        <v>1</v>
      </c>
      <c r="K442" s="80"/>
      <c r="L442" s="80" t="str">
        <f>IF(G442*K442&lt;&gt;0, TRUNC(G442*K442,1),"")</f>
        <v/>
      </c>
      <c r="M442" s="80"/>
      <c r="N442" s="80" t="str">
        <f>IF(G442*M442&lt;&gt;0, TRUNC(G442*M442,1),"")</f>
        <v/>
      </c>
      <c r="O442" s="80"/>
      <c r="P442" s="80">
        <f t="shared" si="65"/>
        <v>11917.5</v>
      </c>
      <c r="Q442" s="74"/>
    </row>
    <row r="443" spans="1:31" ht="23.25" customHeight="1">
      <c r="B443" s="64" t="s">
        <v>921</v>
      </c>
      <c r="D443" s="74" t="s">
        <v>922</v>
      </c>
      <c r="E443" s="74"/>
      <c r="F443" s="54"/>
      <c r="G443" s="80"/>
      <c r="H443" s="80"/>
      <c r="I443" s="80">
        <f>TRUNC(SUM(I438:I442))</f>
        <v>2011917</v>
      </c>
      <c r="J443" s="80"/>
      <c r="K443" s="80"/>
      <c r="L443" s="80">
        <f>TRUNC(SUM(L438:L442))</f>
        <v>397253</v>
      </c>
      <c r="M443" s="80"/>
      <c r="N443" s="80">
        <f>TRUNC(SUM(N438:N442))</f>
        <v>0</v>
      </c>
      <c r="O443" s="80"/>
      <c r="P443" s="80">
        <f t="shared" si="65"/>
        <v>2409170</v>
      </c>
      <c r="Q443" s="74"/>
      <c r="AC443" s="48">
        <f>TRUNC(AE443*옵션!$B$36/100,1)</f>
        <v>11917.5</v>
      </c>
      <c r="AD443" s="48">
        <f>TRUNC(SUM(L438:L441))</f>
        <v>397253</v>
      </c>
      <c r="AE443" s="48">
        <f>TRUNC(SUM(AE438:AE442))</f>
        <v>397253</v>
      </c>
    </row>
    <row r="444" spans="1:31" ht="23.25" customHeight="1">
      <c r="D444" s="74"/>
      <c r="E444" s="74"/>
      <c r="F444" s="54"/>
      <c r="G444" s="80"/>
      <c r="H444" s="80"/>
      <c r="I444" s="80" t="str">
        <f>IF(G444*H444&lt;&gt;0, TRUNC(G444*H444,1),"")</f>
        <v/>
      </c>
      <c r="J444" s="80"/>
      <c r="K444" s="80"/>
      <c r="L444" s="80" t="str">
        <f>IF(G444*K444&lt;&gt;0, TRUNC(G444*K444,1),"")</f>
        <v/>
      </c>
      <c r="M444" s="80"/>
      <c r="N444" s="80" t="str">
        <f>IF(G444*M444&lt;&gt;0, TRUNC(G444*M444,1),"")</f>
        <v/>
      </c>
      <c r="O444" s="80"/>
      <c r="P444" s="80" t="str">
        <f t="shared" si="65"/>
        <v/>
      </c>
      <c r="Q444" s="74"/>
    </row>
    <row r="445" spans="1:31" ht="23.25" customHeight="1">
      <c r="A445" s="64" t="s">
        <v>898</v>
      </c>
      <c r="B445" s="64" t="s">
        <v>915</v>
      </c>
      <c r="C445" s="76" t="s">
        <v>899</v>
      </c>
      <c r="D445" s="158" t="s">
        <v>1053</v>
      </c>
      <c r="E445" s="159"/>
      <c r="F445" s="159"/>
      <c r="G445" s="159"/>
      <c r="H445" s="159"/>
      <c r="I445" s="159"/>
      <c r="J445" s="159"/>
      <c r="K445" s="159"/>
      <c r="L445" s="159"/>
      <c r="M445" s="159"/>
      <c r="N445" s="159"/>
      <c r="O445" s="159"/>
      <c r="P445" s="159"/>
      <c r="Q445" s="160"/>
    </row>
    <row r="446" spans="1:31" ht="23.25" customHeight="1">
      <c r="A446" s="64" t="s">
        <v>1054</v>
      </c>
      <c r="B446" s="64" t="s">
        <v>900</v>
      </c>
      <c r="C446" s="76" t="s">
        <v>476</v>
      </c>
      <c r="D446" s="74" t="s">
        <v>474</v>
      </c>
      <c r="E446" s="74" t="s">
        <v>477</v>
      </c>
      <c r="F446" s="54" t="s">
        <v>266</v>
      </c>
      <c r="G446" s="80">
        <v>1</v>
      </c>
      <c r="H446" s="80">
        <f>합산자재!H96</f>
        <v>2000000</v>
      </c>
      <c r="I446" s="80">
        <f>IF(G446*H446&lt;&gt;0, TRUNC(G446*H446,1),"")</f>
        <v>2000000</v>
      </c>
      <c r="J446" s="80">
        <v>1</v>
      </c>
      <c r="K446" s="80">
        <f>합산자재!I96</f>
        <v>0</v>
      </c>
      <c r="L446" s="80" t="str">
        <f>IF(G446*K446&lt;&gt;0, TRUNC(G446*K446,1),"")</f>
        <v/>
      </c>
      <c r="M446" s="80">
        <f>합산자재!J96</f>
        <v>0</v>
      </c>
      <c r="N446" s="80" t="str">
        <f>IF(G446*M446&lt;&gt;0, TRUNC(G446*M446,1),"")</f>
        <v/>
      </c>
      <c r="O446" s="80"/>
      <c r="P446" s="80">
        <f t="shared" ref="P446:P451" si="66">IF(SUM(I446,L446,N446)&lt;&gt;0,TRUNC(SUM(I446,L446,N446),1),"")</f>
        <v>2000000</v>
      </c>
      <c r="Q446" s="74"/>
    </row>
    <row r="447" spans="1:31" ht="23.25" customHeight="1">
      <c r="A447" s="64" t="s">
        <v>593</v>
      </c>
      <c r="B447" s="64" t="s">
        <v>900</v>
      </c>
      <c r="C447" s="76" t="s">
        <v>529</v>
      </c>
      <c r="D447" s="74" t="s">
        <v>530</v>
      </c>
      <c r="E447" s="74" t="s">
        <v>531</v>
      </c>
      <c r="F447" s="54" t="s">
        <v>532</v>
      </c>
      <c r="G447" s="80">
        <f>일위노임!G266</f>
        <v>1.3720000000000001</v>
      </c>
      <c r="H447" s="80">
        <f>합산자재!H115</f>
        <v>0</v>
      </c>
      <c r="I447" s="80" t="str">
        <f>IF(G447*H447&lt;&gt;0, TRUNC(G447*H447,1),"")</f>
        <v/>
      </c>
      <c r="J447" s="80">
        <v>1.3720000000000001</v>
      </c>
      <c r="K447" s="80">
        <f>합산자재!I115</f>
        <v>273676</v>
      </c>
      <c r="L447" s="80">
        <f>IF(G447*K447&lt;&gt;0, TRUNC(G447*K447,1),"")</f>
        <v>375483.4</v>
      </c>
      <c r="M447" s="80">
        <f>합산자재!J115</f>
        <v>0</v>
      </c>
      <c r="N447" s="80" t="str">
        <f>IF(G447*M447&lt;&gt;0, TRUNC(G447*M447,1),"")</f>
        <v/>
      </c>
      <c r="O447" s="80"/>
      <c r="P447" s="80">
        <f t="shared" si="66"/>
        <v>375483.4</v>
      </c>
      <c r="Q447" s="74"/>
      <c r="AE447" s="48">
        <f>L447</f>
        <v>375483.4</v>
      </c>
    </row>
    <row r="448" spans="1:31" ht="23.25" customHeight="1">
      <c r="A448" s="64" t="s">
        <v>579</v>
      </c>
      <c r="B448" s="64" t="s">
        <v>900</v>
      </c>
      <c r="C448" s="76" t="s">
        <v>549</v>
      </c>
      <c r="D448" s="74" t="s">
        <v>530</v>
      </c>
      <c r="E448" s="74" t="s">
        <v>550</v>
      </c>
      <c r="F448" s="54" t="s">
        <v>532</v>
      </c>
      <c r="G448" s="80">
        <f>일위노임!G267</f>
        <v>1.05</v>
      </c>
      <c r="H448" s="80">
        <f>합산자재!H124</f>
        <v>0</v>
      </c>
      <c r="I448" s="80" t="str">
        <f>IF(G448*H448&lt;&gt;0, TRUNC(G448*H448,1),"")</f>
        <v/>
      </c>
      <c r="J448" s="80">
        <v>1.05</v>
      </c>
      <c r="K448" s="80">
        <f>합산자재!I124</f>
        <v>172068</v>
      </c>
      <c r="L448" s="80">
        <f>IF(G448*K448&lt;&gt;0, TRUNC(G448*K448,1),"")</f>
        <v>180671.4</v>
      </c>
      <c r="M448" s="80">
        <f>합산자재!J124</f>
        <v>0</v>
      </c>
      <c r="N448" s="80" t="str">
        <f>IF(G448*M448&lt;&gt;0, TRUNC(G448*M448,1),"")</f>
        <v/>
      </c>
      <c r="O448" s="80"/>
      <c r="P448" s="80">
        <f t="shared" si="66"/>
        <v>180671.4</v>
      </c>
      <c r="Q448" s="74"/>
      <c r="AE448" s="48">
        <f>L448</f>
        <v>180671.4</v>
      </c>
    </row>
    <row r="449" spans="1:31" ht="23.25" customHeight="1">
      <c r="A449" s="64" t="s">
        <v>926</v>
      </c>
      <c r="B449" s="64" t="s">
        <v>900</v>
      </c>
      <c r="C449" s="76" t="s">
        <v>927</v>
      </c>
      <c r="D449" s="74" t="s">
        <v>928</v>
      </c>
      <c r="E449" s="74" t="s">
        <v>929</v>
      </c>
      <c r="F449" s="54" t="s">
        <v>458</v>
      </c>
      <c r="G449" s="80">
        <v>1</v>
      </c>
      <c r="H449" s="80">
        <f>IF(TRUNC((AD450+AC450)/$AE$3,1)*$AE$3-AD450 &lt;0, AC450, TRUNC((AD450+AC450)/$AE$3,1)*$AE$3-AD450)</f>
        <v>16684.599999999977</v>
      </c>
      <c r="I449" s="80">
        <f>H449</f>
        <v>16684.599999999977</v>
      </c>
      <c r="J449" s="80">
        <v>1</v>
      </c>
      <c r="K449" s="80"/>
      <c r="L449" s="80" t="str">
        <f>IF(G449*K449&lt;&gt;0, TRUNC(G449*K449,1),"")</f>
        <v/>
      </c>
      <c r="M449" s="80"/>
      <c r="N449" s="80" t="str">
        <f>IF(G449*M449&lt;&gt;0, TRUNC(G449*M449,1),"")</f>
        <v/>
      </c>
      <c r="O449" s="80"/>
      <c r="P449" s="80">
        <f t="shared" si="66"/>
        <v>16684.599999999999</v>
      </c>
      <c r="Q449" s="74"/>
    </row>
    <row r="450" spans="1:31" ht="23.25" customHeight="1">
      <c r="B450" s="64" t="s">
        <v>921</v>
      </c>
      <c r="D450" s="74" t="s">
        <v>922</v>
      </c>
      <c r="E450" s="74"/>
      <c r="F450" s="54"/>
      <c r="G450" s="80"/>
      <c r="H450" s="80"/>
      <c r="I450" s="80">
        <f>TRUNC(SUM(I445:I449))</f>
        <v>2016684</v>
      </c>
      <c r="J450" s="80"/>
      <c r="K450" s="80"/>
      <c r="L450" s="80">
        <f>TRUNC(SUM(L445:L449))</f>
        <v>556154</v>
      </c>
      <c r="M450" s="80"/>
      <c r="N450" s="80">
        <f>TRUNC(SUM(N445:N449))</f>
        <v>0</v>
      </c>
      <c r="O450" s="80"/>
      <c r="P450" s="80">
        <f t="shared" si="66"/>
        <v>2572838</v>
      </c>
      <c r="Q450" s="74"/>
      <c r="AC450" s="48">
        <f>TRUNC(AE450*옵션!$B$36/100,1)</f>
        <v>16684.599999999999</v>
      </c>
      <c r="AD450" s="48">
        <f>TRUNC(SUM(L445:L448))</f>
        <v>556154</v>
      </c>
      <c r="AE450" s="48">
        <f>TRUNC(SUM(AE445:AE449))</f>
        <v>556154</v>
      </c>
    </row>
    <row r="451" spans="1:31" ht="23.25" customHeight="1">
      <c r="D451" s="74"/>
      <c r="E451" s="74"/>
      <c r="F451" s="54"/>
      <c r="G451" s="80"/>
      <c r="H451" s="80"/>
      <c r="I451" s="80" t="str">
        <f>IF(G451*H451&lt;&gt;0, TRUNC(G451*H451,1),"")</f>
        <v/>
      </c>
      <c r="J451" s="80"/>
      <c r="K451" s="80"/>
      <c r="L451" s="80" t="str">
        <f>IF(G451*K451&lt;&gt;0, TRUNC(G451*K451,1),"")</f>
        <v/>
      </c>
      <c r="M451" s="80"/>
      <c r="N451" s="80" t="str">
        <f>IF(G451*M451&lt;&gt;0, TRUNC(G451*M451,1),"")</f>
        <v/>
      </c>
      <c r="O451" s="80"/>
      <c r="P451" s="80" t="str">
        <f t="shared" si="66"/>
        <v/>
      </c>
      <c r="Q451" s="74"/>
    </row>
    <row r="452" spans="1:31" ht="23.25" customHeight="1">
      <c r="A452" s="64" t="s">
        <v>901</v>
      </c>
      <c r="B452" s="64" t="s">
        <v>915</v>
      </c>
      <c r="C452" s="76" t="s">
        <v>902</v>
      </c>
      <c r="D452" s="158" t="s">
        <v>1055</v>
      </c>
      <c r="E452" s="159"/>
      <c r="F452" s="159"/>
      <c r="G452" s="159"/>
      <c r="H452" s="159"/>
      <c r="I452" s="159"/>
      <c r="J452" s="159"/>
      <c r="K452" s="159"/>
      <c r="L452" s="159"/>
      <c r="M452" s="159"/>
      <c r="N452" s="159"/>
      <c r="O452" s="159"/>
      <c r="P452" s="159"/>
      <c r="Q452" s="160"/>
    </row>
    <row r="453" spans="1:31" ht="23.25" customHeight="1">
      <c r="A453" s="64" t="s">
        <v>1056</v>
      </c>
      <c r="B453" s="64" t="s">
        <v>903</v>
      </c>
      <c r="C453" s="76" t="s">
        <v>478</v>
      </c>
      <c r="D453" s="74" t="s">
        <v>474</v>
      </c>
      <c r="E453" s="74" t="s">
        <v>479</v>
      </c>
      <c r="F453" s="54" t="s">
        <v>266</v>
      </c>
      <c r="G453" s="80">
        <v>1</v>
      </c>
      <c r="H453" s="80">
        <f>합산자재!H97</f>
        <v>2000000</v>
      </c>
      <c r="I453" s="80">
        <f>IF(G453*H453&lt;&gt;0, TRUNC(G453*H453,1),"")</f>
        <v>2000000</v>
      </c>
      <c r="J453" s="80">
        <v>1</v>
      </c>
      <c r="K453" s="80">
        <f>합산자재!I97</f>
        <v>0</v>
      </c>
      <c r="L453" s="80" t="str">
        <f>IF(G453*K453&lt;&gt;0, TRUNC(G453*K453,1),"")</f>
        <v/>
      </c>
      <c r="M453" s="80">
        <f>합산자재!J97</f>
        <v>0</v>
      </c>
      <c r="N453" s="80" t="str">
        <f>IF(G453*M453&lt;&gt;0, TRUNC(G453*M453,1),"")</f>
        <v/>
      </c>
      <c r="O453" s="80"/>
      <c r="P453" s="80">
        <f t="shared" ref="P453:P458" si="67">IF(SUM(I453,L453,N453)&lt;&gt;0,TRUNC(SUM(I453,L453,N453),1),"")</f>
        <v>2000000</v>
      </c>
      <c r="Q453" s="74"/>
    </row>
    <row r="454" spans="1:31" ht="23.25" customHeight="1">
      <c r="A454" s="64" t="s">
        <v>593</v>
      </c>
      <c r="B454" s="64" t="s">
        <v>903</v>
      </c>
      <c r="C454" s="76" t="s">
        <v>529</v>
      </c>
      <c r="D454" s="74" t="s">
        <v>530</v>
      </c>
      <c r="E454" s="74" t="s">
        <v>531</v>
      </c>
      <c r="F454" s="54" t="s">
        <v>532</v>
      </c>
      <c r="G454" s="80">
        <f>일위노임!G271</f>
        <v>0.98</v>
      </c>
      <c r="H454" s="80">
        <f>합산자재!H115</f>
        <v>0</v>
      </c>
      <c r="I454" s="80" t="str">
        <f>IF(G454*H454&lt;&gt;0, TRUNC(G454*H454,1),"")</f>
        <v/>
      </c>
      <c r="J454" s="80">
        <v>0.98</v>
      </c>
      <c r="K454" s="80">
        <f>합산자재!I115</f>
        <v>273676</v>
      </c>
      <c r="L454" s="80">
        <f>IF(G454*K454&lt;&gt;0, TRUNC(G454*K454,1),"")</f>
        <v>268202.40000000002</v>
      </c>
      <c r="M454" s="80">
        <f>합산자재!J115</f>
        <v>0</v>
      </c>
      <c r="N454" s="80" t="str">
        <f>IF(G454*M454&lt;&gt;0, TRUNC(G454*M454,1),"")</f>
        <v/>
      </c>
      <c r="O454" s="80"/>
      <c r="P454" s="80">
        <f t="shared" si="67"/>
        <v>268202.40000000002</v>
      </c>
      <c r="Q454" s="74"/>
      <c r="AE454" s="48">
        <f>L454</f>
        <v>268202.40000000002</v>
      </c>
    </row>
    <row r="455" spans="1:31" ht="23.25" customHeight="1">
      <c r="A455" s="64" t="s">
        <v>579</v>
      </c>
      <c r="B455" s="64" t="s">
        <v>903</v>
      </c>
      <c r="C455" s="76" t="s">
        <v>549</v>
      </c>
      <c r="D455" s="74" t="s">
        <v>530</v>
      </c>
      <c r="E455" s="74" t="s">
        <v>550</v>
      </c>
      <c r="F455" s="54" t="s">
        <v>532</v>
      </c>
      <c r="G455" s="80">
        <f>일위노임!G272</f>
        <v>0.75</v>
      </c>
      <c r="H455" s="80">
        <f>합산자재!H124</f>
        <v>0</v>
      </c>
      <c r="I455" s="80" t="str">
        <f>IF(G455*H455&lt;&gt;0, TRUNC(G455*H455,1),"")</f>
        <v/>
      </c>
      <c r="J455" s="80">
        <v>0.75</v>
      </c>
      <c r="K455" s="80">
        <f>합산자재!I124</f>
        <v>172068</v>
      </c>
      <c r="L455" s="80">
        <f>IF(G455*K455&lt;&gt;0, TRUNC(G455*K455,1),"")</f>
        <v>129051</v>
      </c>
      <c r="M455" s="80">
        <f>합산자재!J124</f>
        <v>0</v>
      </c>
      <c r="N455" s="80" t="str">
        <f>IF(G455*M455&lt;&gt;0, TRUNC(G455*M455,1),"")</f>
        <v/>
      </c>
      <c r="O455" s="80"/>
      <c r="P455" s="80">
        <f t="shared" si="67"/>
        <v>129051</v>
      </c>
      <c r="Q455" s="74"/>
      <c r="AE455" s="48">
        <f>L455</f>
        <v>129051</v>
      </c>
    </row>
    <row r="456" spans="1:31" ht="23.25" customHeight="1">
      <c r="A456" s="64" t="s">
        <v>926</v>
      </c>
      <c r="B456" s="64" t="s">
        <v>903</v>
      </c>
      <c r="C456" s="76" t="s">
        <v>927</v>
      </c>
      <c r="D456" s="74" t="s">
        <v>928</v>
      </c>
      <c r="E456" s="74" t="s">
        <v>929</v>
      </c>
      <c r="F456" s="54" t="s">
        <v>458</v>
      </c>
      <c r="G456" s="80">
        <v>1</v>
      </c>
      <c r="H456" s="80">
        <f>IF(TRUNC((AD457+AC457)/$AE$3,1)*$AE$3-AD457 &lt;0, AC457, TRUNC((AD457+AC457)/$AE$3,1)*$AE$3-AD457)</f>
        <v>11917.5</v>
      </c>
      <c r="I456" s="80">
        <f>H456</f>
        <v>11917.5</v>
      </c>
      <c r="J456" s="80">
        <v>1</v>
      </c>
      <c r="K456" s="80"/>
      <c r="L456" s="80" t="str">
        <f>IF(G456*K456&lt;&gt;0, TRUNC(G456*K456,1),"")</f>
        <v/>
      </c>
      <c r="M456" s="80"/>
      <c r="N456" s="80" t="str">
        <f>IF(G456*M456&lt;&gt;0, TRUNC(G456*M456,1),"")</f>
        <v/>
      </c>
      <c r="O456" s="80"/>
      <c r="P456" s="80">
        <f t="shared" si="67"/>
        <v>11917.5</v>
      </c>
      <c r="Q456" s="74"/>
    </row>
    <row r="457" spans="1:31" ht="23.25" customHeight="1">
      <c r="B457" s="64" t="s">
        <v>921</v>
      </c>
      <c r="D457" s="74" t="s">
        <v>922</v>
      </c>
      <c r="E457" s="74"/>
      <c r="F457" s="54"/>
      <c r="G457" s="80"/>
      <c r="H457" s="80"/>
      <c r="I457" s="80">
        <f>TRUNC(SUM(I452:I456))</f>
        <v>2011917</v>
      </c>
      <c r="J457" s="80"/>
      <c r="K457" s="80"/>
      <c r="L457" s="80">
        <f>TRUNC(SUM(L452:L456))</f>
        <v>397253</v>
      </c>
      <c r="M457" s="80"/>
      <c r="N457" s="80">
        <f>TRUNC(SUM(N452:N456))</f>
        <v>0</v>
      </c>
      <c r="O457" s="80"/>
      <c r="P457" s="80">
        <f t="shared" si="67"/>
        <v>2409170</v>
      </c>
      <c r="Q457" s="74"/>
      <c r="AC457" s="48">
        <f>TRUNC(AE457*옵션!$B$36/100,1)</f>
        <v>11917.5</v>
      </c>
      <c r="AD457" s="48">
        <f>TRUNC(SUM(L452:L455))</f>
        <v>397253</v>
      </c>
      <c r="AE457" s="48">
        <f>TRUNC(SUM(AE452:AE456))</f>
        <v>397253</v>
      </c>
    </row>
    <row r="458" spans="1:31" ht="23.25" customHeight="1">
      <c r="D458" s="74"/>
      <c r="E458" s="74"/>
      <c r="F458" s="54"/>
      <c r="G458" s="80"/>
      <c r="H458" s="80"/>
      <c r="I458" s="80" t="str">
        <f>IF(G458*H458&lt;&gt;0, TRUNC(G458*H458,1),"")</f>
        <v/>
      </c>
      <c r="J458" s="80"/>
      <c r="K458" s="80"/>
      <c r="L458" s="80" t="str">
        <f>IF(G458*K458&lt;&gt;0, TRUNC(G458*K458,1),"")</f>
        <v/>
      </c>
      <c r="M458" s="80"/>
      <c r="N458" s="80" t="str">
        <f>IF(G458*M458&lt;&gt;0, TRUNC(G458*M458,1),"")</f>
        <v/>
      </c>
      <c r="O458" s="80"/>
      <c r="P458" s="80" t="str">
        <f t="shared" si="67"/>
        <v/>
      </c>
      <c r="Q458" s="74"/>
    </row>
    <row r="459" spans="1:31" ht="23.25" customHeight="1">
      <c r="A459" s="64" t="s">
        <v>904</v>
      </c>
      <c r="B459" s="64" t="s">
        <v>915</v>
      </c>
      <c r="C459" s="76" t="s">
        <v>905</v>
      </c>
      <c r="D459" s="158" t="s">
        <v>1057</v>
      </c>
      <c r="E459" s="159"/>
      <c r="F459" s="159"/>
      <c r="G459" s="159"/>
      <c r="H459" s="159"/>
      <c r="I459" s="159"/>
      <c r="J459" s="159"/>
      <c r="K459" s="159"/>
      <c r="L459" s="159"/>
      <c r="M459" s="159"/>
      <c r="N459" s="159"/>
      <c r="O459" s="159"/>
      <c r="P459" s="159"/>
      <c r="Q459" s="160"/>
    </row>
    <row r="460" spans="1:31" ht="23.25" customHeight="1">
      <c r="A460" s="64" t="s">
        <v>1058</v>
      </c>
      <c r="B460" s="64" t="s">
        <v>906</v>
      </c>
      <c r="C460" s="76" t="s">
        <v>482</v>
      </c>
      <c r="D460" s="74" t="s">
        <v>483</v>
      </c>
      <c r="E460" s="74"/>
      <c r="F460" s="54" t="s">
        <v>266</v>
      </c>
      <c r="G460" s="80">
        <v>1</v>
      </c>
      <c r="H460" s="80">
        <f>합산자재!H99</f>
        <v>650000</v>
      </c>
      <c r="I460" s="80">
        <f>IF(G460*H460&lt;&gt;0, TRUNC(G460*H460,1),"")</f>
        <v>650000</v>
      </c>
      <c r="J460" s="80">
        <v>1</v>
      </c>
      <c r="K460" s="80">
        <f>합산자재!I99</f>
        <v>0</v>
      </c>
      <c r="L460" s="80" t="str">
        <f>IF(G460*K460&lt;&gt;0, TRUNC(G460*K460,1),"")</f>
        <v/>
      </c>
      <c r="M460" s="80">
        <f>합산자재!J99</f>
        <v>0</v>
      </c>
      <c r="N460" s="80" t="str">
        <f>IF(G460*M460&lt;&gt;0, TRUNC(G460*M460,1),"")</f>
        <v/>
      </c>
      <c r="O460" s="80"/>
      <c r="P460" s="80">
        <f t="shared" ref="P460:P465" si="68">IF(SUM(I460,L460,N460)&lt;&gt;0,TRUNC(SUM(I460,L460,N460),1),"")</f>
        <v>650000</v>
      </c>
      <c r="Q460" s="74"/>
    </row>
    <row r="461" spans="1:31" ht="23.25" customHeight="1">
      <c r="A461" s="64" t="s">
        <v>593</v>
      </c>
      <c r="B461" s="64" t="s">
        <v>906</v>
      </c>
      <c r="C461" s="76" t="s">
        <v>529</v>
      </c>
      <c r="D461" s="74" t="s">
        <v>530</v>
      </c>
      <c r="E461" s="74" t="s">
        <v>531</v>
      </c>
      <c r="F461" s="54" t="s">
        <v>532</v>
      </c>
      <c r="G461" s="80">
        <f>일위노임!G276</f>
        <v>0.3</v>
      </c>
      <c r="H461" s="80">
        <f>합산자재!H115</f>
        <v>0</v>
      </c>
      <c r="I461" s="80" t="str">
        <f>IF(G461*H461&lt;&gt;0, TRUNC(G461*H461,1),"")</f>
        <v/>
      </c>
      <c r="J461" s="80">
        <v>0.3</v>
      </c>
      <c r="K461" s="80">
        <f>합산자재!I115</f>
        <v>273676</v>
      </c>
      <c r="L461" s="80">
        <f>IF(G461*K461&lt;&gt;0, TRUNC(G461*K461,1),"")</f>
        <v>82102.8</v>
      </c>
      <c r="M461" s="80">
        <f>합산자재!J115</f>
        <v>0</v>
      </c>
      <c r="N461" s="80" t="str">
        <f>IF(G461*M461&lt;&gt;0, TRUNC(G461*M461,1),"")</f>
        <v/>
      </c>
      <c r="O461" s="80"/>
      <c r="P461" s="80">
        <f t="shared" si="68"/>
        <v>82102.8</v>
      </c>
      <c r="Q461" s="74"/>
      <c r="AE461" s="48">
        <f>L461</f>
        <v>82102.8</v>
      </c>
    </row>
    <row r="462" spans="1:31" ht="23.25" customHeight="1">
      <c r="A462" s="64" t="s">
        <v>579</v>
      </c>
      <c r="B462" s="64" t="s">
        <v>906</v>
      </c>
      <c r="C462" s="76" t="s">
        <v>549</v>
      </c>
      <c r="D462" s="74" t="s">
        <v>530</v>
      </c>
      <c r="E462" s="74" t="s">
        <v>550</v>
      </c>
      <c r="F462" s="54" t="s">
        <v>532</v>
      </c>
      <c r="G462" s="80">
        <f>일위노임!G277</f>
        <v>0.2</v>
      </c>
      <c r="H462" s="80">
        <f>합산자재!H124</f>
        <v>0</v>
      </c>
      <c r="I462" s="80" t="str">
        <f>IF(G462*H462&lt;&gt;0, TRUNC(G462*H462,1),"")</f>
        <v/>
      </c>
      <c r="J462" s="80">
        <v>0.2</v>
      </c>
      <c r="K462" s="80">
        <f>합산자재!I124</f>
        <v>172068</v>
      </c>
      <c r="L462" s="80">
        <f>IF(G462*K462&lt;&gt;0, TRUNC(G462*K462,1),"")</f>
        <v>34413.599999999999</v>
      </c>
      <c r="M462" s="80">
        <f>합산자재!J124</f>
        <v>0</v>
      </c>
      <c r="N462" s="80" t="str">
        <f>IF(G462*M462&lt;&gt;0, TRUNC(G462*M462,1),"")</f>
        <v/>
      </c>
      <c r="O462" s="80"/>
      <c r="P462" s="80">
        <f t="shared" si="68"/>
        <v>34413.599999999999</v>
      </c>
      <c r="Q462" s="74"/>
      <c r="AE462" s="48">
        <f>L462</f>
        <v>34413.599999999999</v>
      </c>
    </row>
    <row r="463" spans="1:31" ht="23.25" customHeight="1">
      <c r="A463" s="64" t="s">
        <v>926</v>
      </c>
      <c r="B463" s="64" t="s">
        <v>906</v>
      </c>
      <c r="C463" s="76" t="s">
        <v>927</v>
      </c>
      <c r="D463" s="74" t="s">
        <v>928</v>
      </c>
      <c r="E463" s="74" t="s">
        <v>929</v>
      </c>
      <c r="F463" s="54" t="s">
        <v>458</v>
      </c>
      <c r="G463" s="80">
        <v>1</v>
      </c>
      <c r="H463" s="80">
        <f>IF(TRUNC((AD464+AC464)/$AE$3,1)*$AE$3-AD464 &lt;0, AC464, TRUNC((AD464+AC464)/$AE$3,1)*$AE$3-AD464)</f>
        <v>3495.3999999999942</v>
      </c>
      <c r="I463" s="80">
        <f>H463</f>
        <v>3495.3999999999942</v>
      </c>
      <c r="J463" s="80">
        <v>1</v>
      </c>
      <c r="K463" s="80"/>
      <c r="L463" s="80" t="str">
        <f>IF(G463*K463&lt;&gt;0, TRUNC(G463*K463,1),"")</f>
        <v/>
      </c>
      <c r="M463" s="80"/>
      <c r="N463" s="80" t="str">
        <f>IF(G463*M463&lt;&gt;0, TRUNC(G463*M463,1),"")</f>
        <v/>
      </c>
      <c r="O463" s="80"/>
      <c r="P463" s="80">
        <f t="shared" si="68"/>
        <v>3495.3</v>
      </c>
      <c r="Q463" s="74"/>
    </row>
    <row r="464" spans="1:31" ht="23.25" customHeight="1">
      <c r="B464" s="64" t="s">
        <v>921</v>
      </c>
      <c r="D464" s="74" t="s">
        <v>922</v>
      </c>
      <c r="E464" s="74"/>
      <c r="F464" s="54"/>
      <c r="G464" s="80"/>
      <c r="H464" s="80"/>
      <c r="I464" s="80">
        <f>TRUNC(SUM(I459:I463))</f>
        <v>653495</v>
      </c>
      <c r="J464" s="80"/>
      <c r="K464" s="80"/>
      <c r="L464" s="80">
        <f>TRUNC(SUM(L459:L463))</f>
        <v>116516</v>
      </c>
      <c r="M464" s="80"/>
      <c r="N464" s="80">
        <f>TRUNC(SUM(N459:N463))</f>
        <v>0</v>
      </c>
      <c r="O464" s="80"/>
      <c r="P464" s="80">
        <f t="shared" si="68"/>
        <v>770011</v>
      </c>
      <c r="Q464" s="74"/>
      <c r="AC464" s="48">
        <f>TRUNC(AE464*옵션!$B$36/100,1)</f>
        <v>3495.4</v>
      </c>
      <c r="AD464" s="48">
        <f>TRUNC(SUM(L459:L462))</f>
        <v>116516</v>
      </c>
      <c r="AE464" s="48">
        <f>TRUNC(SUM(AE459:AE463))</f>
        <v>116516</v>
      </c>
    </row>
    <row r="465" spans="1:31" ht="23.25" customHeight="1">
      <c r="D465" s="74"/>
      <c r="E465" s="74"/>
      <c r="F465" s="54"/>
      <c r="G465" s="80"/>
      <c r="H465" s="80"/>
      <c r="I465" s="80" t="str">
        <f>IF(G465*H465&lt;&gt;0, TRUNC(G465*H465,1),"")</f>
        <v/>
      </c>
      <c r="J465" s="80"/>
      <c r="K465" s="80"/>
      <c r="L465" s="80" t="str">
        <f>IF(G465*K465&lt;&gt;0, TRUNC(G465*K465,1),"")</f>
        <v/>
      </c>
      <c r="M465" s="80"/>
      <c r="N465" s="80" t="str">
        <f>IF(G465*M465&lt;&gt;0, TRUNC(G465*M465,1),"")</f>
        <v/>
      </c>
      <c r="O465" s="80"/>
      <c r="P465" s="80" t="str">
        <f t="shared" si="68"/>
        <v/>
      </c>
      <c r="Q465" s="74"/>
    </row>
    <row r="466" spans="1:31" ht="23.25" customHeight="1">
      <c r="A466" s="64" t="s">
        <v>907</v>
      </c>
      <c r="B466" s="64" t="s">
        <v>915</v>
      </c>
      <c r="C466" s="76" t="s">
        <v>908</v>
      </c>
      <c r="D466" s="158" t="s">
        <v>1059</v>
      </c>
      <c r="E466" s="159"/>
      <c r="F466" s="159"/>
      <c r="G466" s="159"/>
      <c r="H466" s="159"/>
      <c r="I466" s="159"/>
      <c r="J466" s="159"/>
      <c r="K466" s="159"/>
      <c r="L466" s="159"/>
      <c r="M466" s="159"/>
      <c r="N466" s="159"/>
      <c r="O466" s="159"/>
      <c r="P466" s="159"/>
      <c r="Q466" s="160"/>
    </row>
    <row r="467" spans="1:31" ht="23.25" customHeight="1">
      <c r="A467" s="64" t="s">
        <v>1060</v>
      </c>
      <c r="B467" s="64" t="s">
        <v>909</v>
      </c>
      <c r="C467" s="76" t="s">
        <v>498</v>
      </c>
      <c r="D467" s="74" t="s">
        <v>499</v>
      </c>
      <c r="E467" s="74" t="s">
        <v>500</v>
      </c>
      <c r="F467" s="54" t="s">
        <v>266</v>
      </c>
      <c r="G467" s="80">
        <v>1</v>
      </c>
      <c r="H467" s="80">
        <f>합산자재!H106</f>
        <v>140000</v>
      </c>
      <c r="I467" s="80">
        <f>IF(G467*H467&lt;&gt;0, TRUNC(G467*H467,1),"")</f>
        <v>140000</v>
      </c>
      <c r="J467" s="80">
        <v>1</v>
      </c>
      <c r="K467" s="80">
        <f>합산자재!I106</f>
        <v>0</v>
      </c>
      <c r="L467" s="80" t="str">
        <f>IF(G467*K467&lt;&gt;0, TRUNC(G467*K467,1),"")</f>
        <v/>
      </c>
      <c r="M467" s="80">
        <f>합산자재!J106</f>
        <v>0</v>
      </c>
      <c r="N467" s="80" t="str">
        <f>IF(G467*M467&lt;&gt;0, TRUNC(G467*M467,1),"")</f>
        <v/>
      </c>
      <c r="O467" s="80"/>
      <c r="P467" s="80">
        <f t="shared" ref="P467:P472" si="69">IF(SUM(I467,L467,N467)&lt;&gt;0,TRUNC(SUM(I467,L467,N467),1),"")</f>
        <v>140000</v>
      </c>
      <c r="Q467" s="74"/>
    </row>
    <row r="468" spans="1:31" ht="23.25" customHeight="1">
      <c r="A468" s="64" t="s">
        <v>593</v>
      </c>
      <c r="B468" s="64" t="s">
        <v>909</v>
      </c>
      <c r="C468" s="76" t="s">
        <v>529</v>
      </c>
      <c r="D468" s="74" t="s">
        <v>530</v>
      </c>
      <c r="E468" s="74" t="s">
        <v>531</v>
      </c>
      <c r="F468" s="54" t="s">
        <v>532</v>
      </c>
      <c r="G468" s="80">
        <f>일위노임!G281</f>
        <v>0.08</v>
      </c>
      <c r="H468" s="80">
        <f>합산자재!H115</f>
        <v>0</v>
      </c>
      <c r="I468" s="80" t="str">
        <f>IF(G468*H468&lt;&gt;0, TRUNC(G468*H468,1),"")</f>
        <v/>
      </c>
      <c r="J468" s="80">
        <v>0.08</v>
      </c>
      <c r="K468" s="80">
        <f>합산자재!I115</f>
        <v>273676</v>
      </c>
      <c r="L468" s="80">
        <f>IF(G468*K468&lt;&gt;0, TRUNC(G468*K468,1),"")</f>
        <v>21894</v>
      </c>
      <c r="M468" s="80">
        <f>합산자재!J115</f>
        <v>0</v>
      </c>
      <c r="N468" s="80" t="str">
        <f>IF(G468*M468&lt;&gt;0, TRUNC(G468*M468,1),"")</f>
        <v/>
      </c>
      <c r="O468" s="80"/>
      <c r="P468" s="80">
        <f t="shared" si="69"/>
        <v>21894</v>
      </c>
      <c r="Q468" s="74"/>
      <c r="AE468" s="48">
        <f>L468</f>
        <v>21894</v>
      </c>
    </row>
    <row r="469" spans="1:31" ht="23.25" customHeight="1">
      <c r="A469" s="64" t="s">
        <v>579</v>
      </c>
      <c r="B469" s="64" t="s">
        <v>909</v>
      </c>
      <c r="C469" s="76" t="s">
        <v>549</v>
      </c>
      <c r="D469" s="74" t="s">
        <v>530</v>
      </c>
      <c r="E469" s="74" t="s">
        <v>550</v>
      </c>
      <c r="F469" s="54" t="s">
        <v>532</v>
      </c>
      <c r="G469" s="80">
        <f>일위노임!G282</f>
        <v>0.19</v>
      </c>
      <c r="H469" s="80">
        <f>합산자재!H124</f>
        <v>0</v>
      </c>
      <c r="I469" s="80" t="str">
        <f>IF(G469*H469&lt;&gt;0, TRUNC(G469*H469,1),"")</f>
        <v/>
      </c>
      <c r="J469" s="80">
        <v>0.19</v>
      </c>
      <c r="K469" s="80">
        <f>합산자재!I124</f>
        <v>172068</v>
      </c>
      <c r="L469" s="80">
        <f>IF(G469*K469&lt;&gt;0, TRUNC(G469*K469,1),"")</f>
        <v>32692.9</v>
      </c>
      <c r="M469" s="80">
        <f>합산자재!J124</f>
        <v>0</v>
      </c>
      <c r="N469" s="80" t="str">
        <f>IF(G469*M469&lt;&gt;0, TRUNC(G469*M469,1),"")</f>
        <v/>
      </c>
      <c r="O469" s="80"/>
      <c r="P469" s="80">
        <f t="shared" si="69"/>
        <v>32692.9</v>
      </c>
      <c r="Q469" s="74"/>
      <c r="AE469" s="48">
        <f>L469</f>
        <v>32692.9</v>
      </c>
    </row>
    <row r="470" spans="1:31" ht="23.25" customHeight="1">
      <c r="A470" s="64" t="s">
        <v>926</v>
      </c>
      <c r="B470" s="64" t="s">
        <v>909</v>
      </c>
      <c r="C470" s="76" t="s">
        <v>927</v>
      </c>
      <c r="D470" s="74" t="s">
        <v>928</v>
      </c>
      <c r="E470" s="74" t="s">
        <v>929</v>
      </c>
      <c r="F470" s="54" t="s">
        <v>458</v>
      </c>
      <c r="G470" s="80">
        <v>1</v>
      </c>
      <c r="H470" s="80">
        <f>IF(TRUNC((AD471+AC471)/$AE$3,1)*$AE$3-AD471 &lt;0, AC471, TRUNC((AD471+AC471)/$AE$3,1)*$AE$3-AD471)</f>
        <v>1637.5</v>
      </c>
      <c r="I470" s="80">
        <f>H470</f>
        <v>1637.5</v>
      </c>
      <c r="J470" s="80">
        <v>1</v>
      </c>
      <c r="K470" s="80"/>
      <c r="L470" s="80" t="str">
        <f>IF(G470*K470&lt;&gt;0, TRUNC(G470*K470,1),"")</f>
        <v/>
      </c>
      <c r="M470" s="80"/>
      <c r="N470" s="80" t="str">
        <f>IF(G470*M470&lt;&gt;0, TRUNC(G470*M470,1),"")</f>
        <v/>
      </c>
      <c r="O470" s="80"/>
      <c r="P470" s="80">
        <f t="shared" si="69"/>
        <v>1637.5</v>
      </c>
      <c r="Q470" s="74"/>
    </row>
    <row r="471" spans="1:31" ht="23.25" customHeight="1">
      <c r="B471" s="64" t="s">
        <v>921</v>
      </c>
      <c r="D471" s="74" t="s">
        <v>922</v>
      </c>
      <c r="E471" s="74"/>
      <c r="F471" s="54"/>
      <c r="G471" s="80"/>
      <c r="H471" s="80"/>
      <c r="I471" s="80">
        <f>TRUNC(SUM(I466:I470))</f>
        <v>141637</v>
      </c>
      <c r="J471" s="80"/>
      <c r="K471" s="80"/>
      <c r="L471" s="80">
        <f>TRUNC(SUM(L466:L470))</f>
        <v>54586</v>
      </c>
      <c r="M471" s="80"/>
      <c r="N471" s="80">
        <f>TRUNC(SUM(N466:N470))</f>
        <v>0</v>
      </c>
      <c r="O471" s="80"/>
      <c r="P471" s="80">
        <f t="shared" si="69"/>
        <v>196223</v>
      </c>
      <c r="Q471" s="74"/>
      <c r="AC471" s="48">
        <f>TRUNC(AE471*옵션!$B$36/100,1)</f>
        <v>1637.5</v>
      </c>
      <c r="AD471" s="48">
        <f>TRUNC(SUM(L466:L469))</f>
        <v>54586</v>
      </c>
      <c r="AE471" s="48">
        <f>TRUNC(SUM(AE466:AE470))</f>
        <v>54586</v>
      </c>
    </row>
    <row r="472" spans="1:31" ht="23.25" customHeight="1">
      <c r="D472" s="74"/>
      <c r="E472" s="74"/>
      <c r="F472" s="54"/>
      <c r="G472" s="80"/>
      <c r="H472" s="80"/>
      <c r="I472" s="80" t="str">
        <f>IF(G472*H472&lt;&gt;0, TRUNC(G472*H472,1),"")</f>
        <v/>
      </c>
      <c r="J472" s="80"/>
      <c r="K472" s="80"/>
      <c r="L472" s="80" t="str">
        <f>IF(G472*K472&lt;&gt;0, TRUNC(G472*K472,1),"")</f>
        <v/>
      </c>
      <c r="M472" s="80"/>
      <c r="N472" s="80" t="str">
        <f>IF(G472*M472&lt;&gt;0, TRUNC(G472*M472,1),"")</f>
        <v/>
      </c>
      <c r="O472" s="80"/>
      <c r="P472" s="80" t="str">
        <f t="shared" si="69"/>
        <v/>
      </c>
      <c r="Q472" s="74"/>
    </row>
    <row r="473" spans="1:31" ht="23.25" customHeight="1">
      <c r="A473" s="64" t="s">
        <v>910</v>
      </c>
      <c r="B473" s="64" t="s">
        <v>915</v>
      </c>
      <c r="C473" s="76" t="s">
        <v>911</v>
      </c>
      <c r="D473" s="158" t="s">
        <v>1061</v>
      </c>
      <c r="E473" s="159"/>
      <c r="F473" s="159"/>
      <c r="G473" s="159"/>
      <c r="H473" s="159"/>
      <c r="I473" s="159"/>
      <c r="J473" s="159"/>
      <c r="K473" s="159"/>
      <c r="L473" s="159"/>
      <c r="M473" s="159"/>
      <c r="N473" s="159"/>
      <c r="O473" s="159"/>
      <c r="P473" s="159"/>
      <c r="Q473" s="160"/>
    </row>
    <row r="474" spans="1:31" ht="23.25" customHeight="1">
      <c r="A474" s="64" t="s">
        <v>1062</v>
      </c>
      <c r="B474" s="64" t="s">
        <v>912</v>
      </c>
      <c r="C474" s="76" t="s">
        <v>510</v>
      </c>
      <c r="D474" s="74" t="s">
        <v>511</v>
      </c>
      <c r="E474" s="74" t="s">
        <v>512</v>
      </c>
      <c r="F474" s="54" t="s">
        <v>266</v>
      </c>
      <c r="G474" s="80">
        <v>1</v>
      </c>
      <c r="H474" s="80">
        <f>합산자재!H110</f>
        <v>440000</v>
      </c>
      <c r="I474" s="80">
        <f>IF(G474*H474&lt;&gt;0, TRUNC(G474*H474,1),"")</f>
        <v>440000</v>
      </c>
      <c r="J474" s="80">
        <v>1</v>
      </c>
      <c r="K474" s="80">
        <f>합산자재!I110</f>
        <v>0</v>
      </c>
      <c r="L474" s="80" t="str">
        <f>IF(G474*K474&lt;&gt;0, TRUNC(G474*K474,1),"")</f>
        <v/>
      </c>
      <c r="M474" s="80">
        <f>합산자재!J110</f>
        <v>0</v>
      </c>
      <c r="N474" s="80" t="str">
        <f>IF(G474*M474&lt;&gt;0, TRUNC(G474*M474,1),"")</f>
        <v/>
      </c>
      <c r="O474" s="80"/>
      <c r="P474" s="80">
        <f>IF(SUM(I474,L474,N474)&lt;&gt;0,TRUNC(SUM(I474,L474,N474),1),"")</f>
        <v>440000</v>
      </c>
      <c r="Q474" s="74"/>
    </row>
    <row r="475" spans="1:31" ht="23.25" customHeight="1">
      <c r="A475" s="64" t="s">
        <v>593</v>
      </c>
      <c r="B475" s="64" t="s">
        <v>912</v>
      </c>
      <c r="C475" s="76" t="s">
        <v>529</v>
      </c>
      <c r="D475" s="74" t="s">
        <v>530</v>
      </c>
      <c r="E475" s="74" t="s">
        <v>531</v>
      </c>
      <c r="F475" s="54" t="s">
        <v>532</v>
      </c>
      <c r="G475" s="80">
        <f>일위노임!G286</f>
        <v>0.17699999999999999</v>
      </c>
      <c r="H475" s="80">
        <f>합산자재!H115</f>
        <v>0</v>
      </c>
      <c r="I475" s="80" t="str">
        <f>IF(G475*H475&lt;&gt;0, TRUNC(G475*H475,1),"")</f>
        <v/>
      </c>
      <c r="J475" s="80">
        <v>0.17699999999999999</v>
      </c>
      <c r="K475" s="80">
        <f>합산자재!I115</f>
        <v>273676</v>
      </c>
      <c r="L475" s="80">
        <f>IF(G475*K475&lt;&gt;0, TRUNC(G475*K475,1),"")</f>
        <v>48440.6</v>
      </c>
      <c r="M475" s="80">
        <f>합산자재!J115</f>
        <v>0</v>
      </c>
      <c r="N475" s="80" t="str">
        <f>IF(G475*M475&lt;&gt;0, TRUNC(G475*M475,1),"")</f>
        <v/>
      </c>
      <c r="O475" s="80"/>
      <c r="P475" s="80">
        <f>IF(SUM(I475,L475,N475)&lt;&gt;0,TRUNC(SUM(I475,L475,N475),1),"")</f>
        <v>48440.6</v>
      </c>
      <c r="Q475" s="74"/>
      <c r="AE475" s="48">
        <f>L475</f>
        <v>48440.6</v>
      </c>
    </row>
    <row r="476" spans="1:31" ht="23.25" customHeight="1">
      <c r="A476" s="64" t="s">
        <v>579</v>
      </c>
      <c r="B476" s="64" t="s">
        <v>912</v>
      </c>
      <c r="C476" s="76" t="s">
        <v>549</v>
      </c>
      <c r="D476" s="74" t="s">
        <v>530</v>
      </c>
      <c r="E476" s="74" t="s">
        <v>550</v>
      </c>
      <c r="F476" s="54" t="s">
        <v>532</v>
      </c>
      <c r="G476" s="80">
        <f>일위노임!G287</f>
        <v>0.59199999999999997</v>
      </c>
      <c r="H476" s="80">
        <f>합산자재!H124</f>
        <v>0</v>
      </c>
      <c r="I476" s="80" t="str">
        <f>IF(G476*H476&lt;&gt;0, TRUNC(G476*H476,1),"")</f>
        <v/>
      </c>
      <c r="J476" s="80">
        <v>0.59199999999999997</v>
      </c>
      <c r="K476" s="80">
        <f>합산자재!I124</f>
        <v>172068</v>
      </c>
      <c r="L476" s="80">
        <f>IF(G476*K476&lt;&gt;0, TRUNC(G476*K476,1),"")</f>
        <v>101864.2</v>
      </c>
      <c r="M476" s="80">
        <f>합산자재!J124</f>
        <v>0</v>
      </c>
      <c r="N476" s="80" t="str">
        <f>IF(G476*M476&lt;&gt;0, TRUNC(G476*M476,1),"")</f>
        <v/>
      </c>
      <c r="O476" s="80"/>
      <c r="P476" s="80">
        <f>IF(SUM(I476,L476,N476)&lt;&gt;0,TRUNC(SUM(I476,L476,N476),1),"")</f>
        <v>101864.2</v>
      </c>
      <c r="Q476" s="74"/>
      <c r="AE476" s="48">
        <f>L476</f>
        <v>101864.2</v>
      </c>
    </row>
    <row r="477" spans="1:31" ht="23.25" customHeight="1">
      <c r="A477" s="64" t="s">
        <v>926</v>
      </c>
      <c r="B477" s="64" t="s">
        <v>912</v>
      </c>
      <c r="C477" s="76" t="s">
        <v>927</v>
      </c>
      <c r="D477" s="74" t="s">
        <v>928</v>
      </c>
      <c r="E477" s="74" t="s">
        <v>929</v>
      </c>
      <c r="F477" s="54" t="s">
        <v>458</v>
      </c>
      <c r="G477" s="80">
        <v>1</v>
      </c>
      <c r="H477" s="80">
        <f>IF(TRUNC((AD478+AC478)/$AE$3,1)*$AE$3-AD478 &lt;0, AC478, TRUNC((AD478+AC478)/$AE$3,1)*$AE$3-AD478)</f>
        <v>4509.1000000000058</v>
      </c>
      <c r="I477" s="80">
        <f>H477</f>
        <v>4509.1000000000058</v>
      </c>
      <c r="J477" s="80">
        <v>1</v>
      </c>
      <c r="K477" s="80"/>
      <c r="L477" s="80" t="str">
        <f>IF(G477*K477&lt;&gt;0, TRUNC(G477*K477,1),"")</f>
        <v/>
      </c>
      <c r="M477" s="80"/>
      <c r="N477" s="80" t="str">
        <f>IF(G477*M477&lt;&gt;0, TRUNC(G477*M477,1),"")</f>
        <v/>
      </c>
      <c r="O477" s="80"/>
      <c r="P477" s="80">
        <f>IF(SUM(I477,L477,N477)&lt;&gt;0,TRUNC(SUM(I477,L477,N477),1),"")</f>
        <v>4509.1000000000004</v>
      </c>
      <c r="Q477" s="74"/>
    </row>
    <row r="478" spans="1:31" ht="23.25" customHeight="1">
      <c r="B478" s="64" t="s">
        <v>921</v>
      </c>
      <c r="D478" s="74" t="s">
        <v>922</v>
      </c>
      <c r="E478" s="74"/>
      <c r="F478" s="54"/>
      <c r="G478" s="80"/>
      <c r="H478" s="80"/>
      <c r="I478" s="80">
        <f>TRUNC(SUM(I473:I477))</f>
        <v>444509</v>
      </c>
      <c r="J478" s="80"/>
      <c r="K478" s="80"/>
      <c r="L478" s="80">
        <f>TRUNC(SUM(L473:L477))</f>
        <v>150304</v>
      </c>
      <c r="M478" s="80"/>
      <c r="N478" s="80">
        <f>TRUNC(SUM(N473:N477))</f>
        <v>0</v>
      </c>
      <c r="O478" s="80"/>
      <c r="P478" s="80">
        <f>IF(SUM(I478,L478,N478)&lt;&gt;0,TRUNC(SUM(I478,L478,N478),1),"")</f>
        <v>594813</v>
      </c>
      <c r="Q478" s="74"/>
      <c r="AC478" s="48">
        <f>TRUNC(AE478*옵션!$B$36/100,1)</f>
        <v>4509.1000000000004</v>
      </c>
      <c r="AD478" s="48">
        <f>TRUNC(SUM(L473:L476))</f>
        <v>150304</v>
      </c>
      <c r="AE478" s="48">
        <f>TRUNC(SUM(AE473:AE477))</f>
        <v>150304</v>
      </c>
    </row>
    <row r="479" spans="1:31" ht="23.25" customHeight="1">
      <c r="D479" s="74"/>
      <c r="E479" s="74"/>
      <c r="F479" s="54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74"/>
    </row>
    <row r="480" spans="1:31" ht="23.25" customHeight="1">
      <c r="D480" s="74"/>
      <c r="E480" s="74"/>
      <c r="F480" s="54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74"/>
    </row>
    <row r="481" spans="4:17" ht="23.25" customHeight="1">
      <c r="D481" s="74"/>
      <c r="E481" s="74"/>
      <c r="F481" s="54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74"/>
    </row>
    <row r="482" spans="4:17" ht="23.25" customHeight="1">
      <c r="D482" s="74"/>
      <c r="E482" s="74"/>
      <c r="F482" s="54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74"/>
    </row>
    <row r="483" spans="4:17" ht="23.25" customHeight="1">
      <c r="D483" s="74"/>
      <c r="E483" s="74"/>
      <c r="F483" s="54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74"/>
    </row>
    <row r="484" spans="4:17" ht="23.25" customHeight="1">
      <c r="D484" s="74"/>
      <c r="E484" s="74"/>
      <c r="F484" s="54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74"/>
    </row>
    <row r="485" spans="4:17" ht="23.25" customHeight="1">
      <c r="D485" s="74"/>
      <c r="E485" s="74"/>
      <c r="F485" s="54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74"/>
    </row>
    <row r="486" spans="4:17" ht="23.25" customHeight="1">
      <c r="D486" s="74"/>
      <c r="E486" s="74"/>
      <c r="F486" s="54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74"/>
    </row>
    <row r="487" spans="4:17" ht="23.25" customHeight="1">
      <c r="D487" s="74"/>
      <c r="E487" s="74"/>
      <c r="F487" s="54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74"/>
    </row>
    <row r="488" spans="4:17" ht="23.25" customHeight="1">
      <c r="D488" s="74"/>
      <c r="E488" s="74"/>
      <c r="F488" s="54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74"/>
    </row>
    <row r="489" spans="4:17" ht="23.25" customHeight="1">
      <c r="D489" s="74"/>
      <c r="E489" s="74"/>
      <c r="F489" s="54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74"/>
    </row>
    <row r="490" spans="4:17" ht="23.25" customHeight="1">
      <c r="D490" s="74"/>
      <c r="E490" s="74"/>
      <c r="F490" s="54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74"/>
    </row>
    <row r="491" spans="4:17" ht="23.25" customHeight="1">
      <c r="D491" s="74"/>
      <c r="E491" s="74"/>
      <c r="F491" s="54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74"/>
    </row>
    <row r="492" spans="4:17" ht="23.25" customHeight="1">
      <c r="D492" s="74"/>
      <c r="E492" s="74"/>
      <c r="F492" s="54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74"/>
    </row>
    <row r="493" spans="4:17" ht="23.25" customHeight="1">
      <c r="D493" s="74"/>
      <c r="E493" s="74"/>
      <c r="F493" s="54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74"/>
    </row>
    <row r="494" spans="4:17" ht="23.25" customHeight="1">
      <c r="D494" s="74"/>
      <c r="E494" s="74"/>
      <c r="F494" s="54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74"/>
    </row>
    <row r="495" spans="4:17" ht="23.25" customHeight="1">
      <c r="D495" s="74"/>
      <c r="E495" s="74"/>
      <c r="F495" s="54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74"/>
    </row>
    <row r="496" spans="4:17" ht="23.25" customHeight="1">
      <c r="D496" s="74"/>
      <c r="E496" s="74"/>
      <c r="F496" s="54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74"/>
    </row>
    <row r="497" spans="4:17" ht="23.25" customHeight="1">
      <c r="D497" s="74"/>
      <c r="E497" s="74"/>
      <c r="F497" s="54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74"/>
    </row>
  </sheetData>
  <mergeCells count="80">
    <mergeCell ref="D473:Q473"/>
    <mergeCell ref="D438:Q438"/>
    <mergeCell ref="D445:Q445"/>
    <mergeCell ref="D452:Q452"/>
    <mergeCell ref="D459:Q459"/>
    <mergeCell ref="D466:Q466"/>
    <mergeCell ref="D404:Q404"/>
    <mergeCell ref="D411:Q411"/>
    <mergeCell ref="D417:Q417"/>
    <mergeCell ref="D424:Q424"/>
    <mergeCell ref="D431:Q431"/>
    <mergeCell ref="D373:Q373"/>
    <mergeCell ref="D379:Q379"/>
    <mergeCell ref="D385:Q385"/>
    <mergeCell ref="D391:Q391"/>
    <mergeCell ref="D397:Q397"/>
    <mergeCell ref="D340:Q340"/>
    <mergeCell ref="D347:Q347"/>
    <mergeCell ref="D353:Q353"/>
    <mergeCell ref="D359:Q359"/>
    <mergeCell ref="D366:Q366"/>
    <mergeCell ref="D305:Q305"/>
    <mergeCell ref="D312:Q312"/>
    <mergeCell ref="D319:Q319"/>
    <mergeCell ref="D326:Q326"/>
    <mergeCell ref="D333:Q333"/>
    <mergeCell ref="D267:Q267"/>
    <mergeCell ref="D274:Q274"/>
    <mergeCell ref="D284:Q284"/>
    <mergeCell ref="D291:Q291"/>
    <mergeCell ref="D298:Q298"/>
    <mergeCell ref="D232:Q232"/>
    <mergeCell ref="D238:Q238"/>
    <mergeCell ref="D247:Q247"/>
    <mergeCell ref="D254:Q254"/>
    <mergeCell ref="D261:Q261"/>
    <mergeCell ref="D200:Q200"/>
    <mergeCell ref="D207:Q207"/>
    <mergeCell ref="D213:Q213"/>
    <mergeCell ref="D220:Q220"/>
    <mergeCell ref="D226:Q226"/>
    <mergeCell ref="D160:Q160"/>
    <mergeCell ref="D168:Q168"/>
    <mergeCell ref="D176:Q176"/>
    <mergeCell ref="D184:Q184"/>
    <mergeCell ref="D193:Q193"/>
    <mergeCell ref="D116:Q116"/>
    <mergeCell ref="D126:Q126"/>
    <mergeCell ref="D136:Q136"/>
    <mergeCell ref="D144:Q144"/>
    <mergeCell ref="D152:Q152"/>
    <mergeCell ref="D66:Q66"/>
    <mergeCell ref="D76:Q76"/>
    <mergeCell ref="D86:Q86"/>
    <mergeCell ref="D96:Q96"/>
    <mergeCell ref="D106:Q106"/>
    <mergeCell ref="D34:Q34"/>
    <mergeCell ref="D40:Q40"/>
    <mergeCell ref="D46:Q46"/>
    <mergeCell ref="D51:Q51"/>
    <mergeCell ref="D56:Q56"/>
    <mergeCell ref="D4:Q4"/>
    <mergeCell ref="D9:Q9"/>
    <mergeCell ref="D14:Q14"/>
    <mergeCell ref="D19:Q19"/>
    <mergeCell ref="D25:Q25"/>
    <mergeCell ref="A2:A3"/>
    <mergeCell ref="E2:E3"/>
    <mergeCell ref="D2:D3"/>
    <mergeCell ref="M2:N2"/>
    <mergeCell ref="W1:Y1"/>
    <mergeCell ref="B2:B3"/>
    <mergeCell ref="C2:C3"/>
    <mergeCell ref="Q2:Q3"/>
    <mergeCell ref="P2:P3"/>
    <mergeCell ref="J2:L2"/>
    <mergeCell ref="F2:F3"/>
    <mergeCell ref="G2:G3"/>
    <mergeCell ref="H2:I2"/>
    <mergeCell ref="D1:Q1"/>
  </mergeCells>
  <phoneticPr fontId="2" type="noConversion"/>
  <printOptions horizontalCentered="1" verticalCentered="1"/>
  <pageMargins left="0.74803149606299213" right="0.35433070866141736" top="0.59055118110236227" bottom="0.59055118110236227" header="0.51181102362204722" footer="0.47244094488188981"/>
  <pageSetup paperSize="9" scale="7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AQ289"/>
  <sheetViews>
    <sheetView view="pageBreakPreview" topLeftCell="D1" zoomScaleSheetLayoutView="100" workbookViewId="0">
      <pane ySplit="3" topLeftCell="A4" activePane="bottomLeft" state="frozen"/>
      <selection activeCell="A2" sqref="A2"/>
      <selection pane="bottomLeft" activeCell="A2" sqref="A2:A3"/>
    </sheetView>
  </sheetViews>
  <sheetFormatPr defaultRowHeight="21.95" customHeight="1"/>
  <cols>
    <col min="1" max="1" width="4.6640625" style="48" hidden="1" customWidth="1"/>
    <col min="2" max="2" width="6.5546875" style="64" hidden="1" customWidth="1"/>
    <col min="3" max="3" width="10.77734375" style="64" hidden="1" customWidth="1"/>
    <col min="4" max="5" width="24.33203125" style="64" customWidth="1"/>
    <col min="6" max="6" width="4.5546875" style="48" customWidth="1"/>
    <col min="7" max="7" width="10.109375" style="48" customWidth="1"/>
    <col min="8" max="8" width="9.33203125" style="48" customWidth="1"/>
    <col min="9" max="9" width="10" style="48" customWidth="1"/>
    <col min="10" max="10" width="5.21875" style="48" customWidth="1"/>
    <col min="11" max="11" width="4.77734375" style="64" hidden="1" customWidth="1"/>
    <col min="12" max="12" width="14.109375" style="48" customWidth="1"/>
    <col min="13" max="13" width="7.21875" style="48" customWidth="1"/>
    <col min="14" max="14" width="5.44140625" style="48" customWidth="1"/>
    <col min="15" max="15" width="8.77734375" style="48" customWidth="1"/>
    <col min="16" max="16" width="2.44140625" style="49" hidden="1" customWidth="1"/>
    <col min="17" max="17" width="1.21875" style="49" hidden="1" customWidth="1"/>
    <col min="18" max="18" width="5.109375" style="49" hidden="1" customWidth="1"/>
    <col min="19" max="19" width="9.21875" style="48" customWidth="1"/>
    <col min="20" max="20" width="11.109375" style="48" customWidth="1"/>
    <col min="21" max="29" width="8.88671875" style="48"/>
    <col min="30" max="55" width="11.77734375" style="48" customWidth="1"/>
    <col min="56" max="16384" width="8.88671875" style="48"/>
  </cols>
  <sheetData>
    <row r="1" spans="1:43" ht="21.95" customHeight="1">
      <c r="A1" s="48" t="s">
        <v>566</v>
      </c>
      <c r="B1" s="64" t="s">
        <v>697</v>
      </c>
      <c r="D1" s="157" t="s">
        <v>572</v>
      </c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AA1" s="48" t="s">
        <v>531</v>
      </c>
      <c r="AB1" s="48" t="s">
        <v>534</v>
      </c>
      <c r="AC1" s="48" t="s">
        <v>536</v>
      </c>
      <c r="AD1" s="48" t="s">
        <v>538</v>
      </c>
      <c r="AE1" s="48" t="s">
        <v>540</v>
      </c>
      <c r="AF1" s="48" t="s">
        <v>542</v>
      </c>
      <c r="AG1" s="48" t="s">
        <v>544</v>
      </c>
      <c r="AH1" s="48" t="s">
        <v>546</v>
      </c>
      <c r="AI1" s="48" t="s">
        <v>548</v>
      </c>
      <c r="AJ1" s="48" t="s">
        <v>550</v>
      </c>
      <c r="AK1" s="48" t="s">
        <v>552</v>
      </c>
      <c r="AL1" s="48" t="s">
        <v>554</v>
      </c>
      <c r="AM1" s="48" t="s">
        <v>556</v>
      </c>
      <c r="AN1" s="48" t="s">
        <v>558</v>
      </c>
      <c r="AO1" s="48" t="s">
        <v>560</v>
      </c>
      <c r="AP1" s="48" t="s">
        <v>562</v>
      </c>
      <c r="AQ1" s="48" t="s">
        <v>564</v>
      </c>
    </row>
    <row r="2" spans="1:43" s="78" customFormat="1" ht="21.95" customHeight="1">
      <c r="A2" s="150" t="s">
        <v>150</v>
      </c>
      <c r="B2" s="149" t="s">
        <v>151</v>
      </c>
      <c r="C2" s="149" t="s">
        <v>152</v>
      </c>
      <c r="D2" s="151" t="s">
        <v>153</v>
      </c>
      <c r="E2" s="151" t="s">
        <v>154</v>
      </c>
      <c r="F2" s="154" t="s">
        <v>155</v>
      </c>
      <c r="G2" s="154" t="s">
        <v>156</v>
      </c>
      <c r="H2" s="154"/>
      <c r="I2" s="154"/>
      <c r="J2" s="154"/>
      <c r="K2" s="151" t="s">
        <v>152</v>
      </c>
      <c r="L2" s="154" t="s">
        <v>157</v>
      </c>
      <c r="M2" s="154"/>
      <c r="N2" s="154"/>
      <c r="O2" s="154"/>
      <c r="P2" s="154" t="s">
        <v>158</v>
      </c>
      <c r="Q2" s="154"/>
      <c r="R2" s="154"/>
      <c r="S2" s="154" t="s">
        <v>159</v>
      </c>
      <c r="T2" s="154" t="s">
        <v>160</v>
      </c>
    </row>
    <row r="3" spans="1:43" s="78" customFormat="1" ht="21.95" customHeight="1">
      <c r="A3" s="150"/>
      <c r="B3" s="149"/>
      <c r="C3" s="149"/>
      <c r="D3" s="152"/>
      <c r="E3" s="152"/>
      <c r="F3" s="155"/>
      <c r="G3" s="79" t="s">
        <v>161</v>
      </c>
      <c r="H3" s="79" t="s">
        <v>162</v>
      </c>
      <c r="I3" s="79" t="s">
        <v>163</v>
      </c>
      <c r="J3" s="79" t="s">
        <v>164</v>
      </c>
      <c r="K3" s="152"/>
      <c r="L3" s="79" t="s">
        <v>165</v>
      </c>
      <c r="M3" s="79" t="s">
        <v>166</v>
      </c>
      <c r="N3" s="79" t="s">
        <v>167</v>
      </c>
      <c r="O3" s="79" t="s">
        <v>168</v>
      </c>
      <c r="P3" s="79" t="s">
        <v>169</v>
      </c>
      <c r="Q3" s="79" t="s">
        <v>170</v>
      </c>
      <c r="R3" s="79" t="s">
        <v>171</v>
      </c>
      <c r="S3" s="155"/>
      <c r="T3" s="155"/>
    </row>
    <row r="4" spans="1:43" ht="21.95" customHeight="1">
      <c r="B4" s="64" t="s">
        <v>573</v>
      </c>
      <c r="D4" s="158" t="s">
        <v>574</v>
      </c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60"/>
    </row>
    <row r="5" spans="1:43" ht="21.95" customHeight="1">
      <c r="B5" s="64" t="s">
        <v>575</v>
      </c>
      <c r="C5" s="64" t="s">
        <v>576</v>
      </c>
      <c r="D5" s="74" t="s">
        <v>577</v>
      </c>
      <c r="E5" s="74" t="s">
        <v>578</v>
      </c>
      <c r="F5" s="80" t="s">
        <v>458</v>
      </c>
      <c r="G5" s="80">
        <v>1</v>
      </c>
      <c r="H5" s="80">
        <f>IF(I5&lt;&gt;0,G5-I5,"")</f>
        <v>0</v>
      </c>
      <c r="I5" s="80">
        <v>1</v>
      </c>
      <c r="J5" s="80"/>
      <c r="K5" s="74" t="s">
        <v>579</v>
      </c>
      <c r="L5" s="80" t="s">
        <v>550</v>
      </c>
      <c r="M5" s="80">
        <v>0.2</v>
      </c>
      <c r="N5" s="80">
        <v>100</v>
      </c>
      <c r="O5" s="80">
        <f>IF(I5*M5=0,"",I5*M5*(N5/100))</f>
        <v>0.2</v>
      </c>
      <c r="P5" s="58"/>
      <c r="Q5" s="58"/>
      <c r="R5" s="58"/>
      <c r="S5" s="80" t="s">
        <v>580</v>
      </c>
      <c r="T5" s="80"/>
      <c r="AJ5" s="48">
        <f>O5</f>
        <v>0.2</v>
      </c>
    </row>
    <row r="6" spans="1:43" ht="21.95" customHeight="1">
      <c r="B6" s="64" t="s">
        <v>575</v>
      </c>
      <c r="C6" s="64" t="s">
        <v>549</v>
      </c>
      <c r="D6" s="74" t="s">
        <v>530</v>
      </c>
      <c r="E6" s="74" t="s">
        <v>550</v>
      </c>
      <c r="F6" s="80" t="s">
        <v>532</v>
      </c>
      <c r="G6" s="80">
        <f>IF(H6*I6/100+0.000005 &lt;1, TRUNC(H6*I6/100+0.000005, 옵션!$E$13), TRUNC(H6*I6/100+0.000005, 옵션!$E$13))</f>
        <v>0.2</v>
      </c>
      <c r="H6" s="80">
        <f>옵션!$B$13</f>
        <v>100</v>
      </c>
      <c r="I6" s="80">
        <f>SUM(AJ5:AJ5)</f>
        <v>0.2</v>
      </c>
      <c r="J6" s="80"/>
      <c r="K6" s="74"/>
      <c r="L6" s="80"/>
      <c r="M6" s="80"/>
      <c r="N6" s="80"/>
      <c r="O6" s="80" t="str">
        <f>IF(I6*M6=0,"",I6*M6*(N6/100))</f>
        <v/>
      </c>
      <c r="P6" s="58"/>
      <c r="Q6" s="58"/>
      <c r="R6" s="58"/>
      <c r="S6" s="80"/>
      <c r="T6" s="80"/>
      <c r="AJ6" s="48">
        <f>SUM(AJ5:AJ5)</f>
        <v>0.2</v>
      </c>
    </row>
    <row r="7" spans="1:43" ht="21.95" customHeight="1">
      <c r="B7" s="64" t="s">
        <v>573</v>
      </c>
      <c r="D7" s="158" t="s">
        <v>581</v>
      </c>
      <c r="E7" s="159"/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60"/>
    </row>
    <row r="8" spans="1:43" ht="21.95" customHeight="1">
      <c r="B8" s="64" t="s">
        <v>575</v>
      </c>
      <c r="C8" s="64" t="s">
        <v>582</v>
      </c>
      <c r="D8" s="74" t="s">
        <v>577</v>
      </c>
      <c r="E8" s="74" t="s">
        <v>583</v>
      </c>
      <c r="F8" s="80" t="s">
        <v>458</v>
      </c>
      <c r="G8" s="80">
        <v>1</v>
      </c>
      <c r="H8" s="80">
        <f>IF(I8&lt;&gt;0,G8-I8,"")</f>
        <v>0</v>
      </c>
      <c r="I8" s="80">
        <v>1</v>
      </c>
      <c r="J8" s="80"/>
      <c r="K8" s="74" t="s">
        <v>584</v>
      </c>
      <c r="L8" s="80" t="s">
        <v>560</v>
      </c>
      <c r="M8" s="80">
        <v>0.12</v>
      </c>
      <c r="N8" s="80">
        <v>100</v>
      </c>
      <c r="O8" s="80">
        <f>IF(I8*M8=0,"",I8*M8*(N8/100))</f>
        <v>0.12</v>
      </c>
      <c r="P8" s="58"/>
      <c r="Q8" s="58"/>
      <c r="R8" s="58"/>
      <c r="S8" s="80" t="s">
        <v>585</v>
      </c>
      <c r="T8" s="80"/>
      <c r="AO8" s="48">
        <f>O8</f>
        <v>0.12</v>
      </c>
    </row>
    <row r="9" spans="1:43" ht="21.95" customHeight="1">
      <c r="B9" s="64" t="s">
        <v>575</v>
      </c>
      <c r="C9" s="64" t="s">
        <v>582</v>
      </c>
      <c r="D9" s="74"/>
      <c r="E9" s="74"/>
      <c r="F9" s="80"/>
      <c r="G9" s="80">
        <v>1</v>
      </c>
      <c r="H9" s="80">
        <f>IF(I9&lt;&gt;0,G9-I9,"")</f>
        <v>0</v>
      </c>
      <c r="I9" s="80">
        <v>1</v>
      </c>
      <c r="J9" s="80"/>
      <c r="K9" s="74" t="s">
        <v>579</v>
      </c>
      <c r="L9" s="80" t="s">
        <v>550</v>
      </c>
      <c r="M9" s="80">
        <v>0.15</v>
      </c>
      <c r="N9" s="80">
        <v>100</v>
      </c>
      <c r="O9" s="80">
        <f>IF(I9*M9=0,"",I9*M9*(N9/100))</f>
        <v>0.15</v>
      </c>
      <c r="P9" s="58"/>
      <c r="Q9" s="58"/>
      <c r="R9" s="58"/>
      <c r="S9" s="80" t="s">
        <v>585</v>
      </c>
      <c r="T9" s="80"/>
      <c r="AJ9" s="48">
        <f>O9</f>
        <v>0.15</v>
      </c>
    </row>
    <row r="10" spans="1:43" ht="21.95" customHeight="1">
      <c r="B10" s="64" t="s">
        <v>575</v>
      </c>
      <c r="C10" s="64" t="s">
        <v>549</v>
      </c>
      <c r="D10" s="74" t="s">
        <v>530</v>
      </c>
      <c r="E10" s="74" t="s">
        <v>550</v>
      </c>
      <c r="F10" s="80" t="s">
        <v>532</v>
      </c>
      <c r="G10" s="80">
        <f>IF(H10*I10/100+0.000005 &lt;1, TRUNC(H10*I10/100+0.000005, 옵션!$E$13), TRUNC(H10*I10/100+0.000005, 옵션!$E$13))</f>
        <v>0.15</v>
      </c>
      <c r="H10" s="80">
        <f>옵션!$B$13</f>
        <v>100</v>
      </c>
      <c r="I10" s="80">
        <f>SUM(AJ8:AJ9)</f>
        <v>0.15</v>
      </c>
      <c r="J10" s="80"/>
      <c r="K10" s="74"/>
      <c r="L10" s="80"/>
      <c r="M10" s="80"/>
      <c r="N10" s="80"/>
      <c r="O10" s="80" t="str">
        <f>IF(I10*M10=0,"",I10*M10*(N10/100))</f>
        <v/>
      </c>
      <c r="P10" s="58"/>
      <c r="Q10" s="58"/>
      <c r="R10" s="58"/>
      <c r="S10" s="80"/>
      <c r="T10" s="80"/>
      <c r="AJ10" s="48">
        <f>SUM(AJ8:AJ9)</f>
        <v>0.15</v>
      </c>
      <c r="AO10" s="48">
        <f>SUM(AO8:AO9)</f>
        <v>0.12</v>
      </c>
    </row>
    <row r="11" spans="1:43" ht="21.95" customHeight="1">
      <c r="B11" s="64" t="s">
        <v>575</v>
      </c>
      <c r="C11" s="64" t="s">
        <v>559</v>
      </c>
      <c r="D11" s="74" t="s">
        <v>530</v>
      </c>
      <c r="E11" s="74" t="s">
        <v>560</v>
      </c>
      <c r="F11" s="80" t="s">
        <v>532</v>
      </c>
      <c r="G11" s="80">
        <f>IF(H11*I11/100+0.000005 &lt;1, TRUNC(H11*I11/100+0.000005, 옵션!$E$13), TRUNC(H11*I11/100+0.000005, 옵션!$E$13))</f>
        <v>0.12</v>
      </c>
      <c r="H11" s="80">
        <f>옵션!$B$13</f>
        <v>100</v>
      </c>
      <c r="I11" s="80">
        <f>SUM(AO8:AO9)</f>
        <v>0.12</v>
      </c>
      <c r="J11" s="80"/>
      <c r="K11" s="74"/>
      <c r="L11" s="80"/>
      <c r="M11" s="80"/>
      <c r="N11" s="80"/>
      <c r="O11" s="80" t="str">
        <f>IF(I11*M11=0,"",I11*M11*(N11/100))</f>
        <v/>
      </c>
      <c r="P11" s="58"/>
      <c r="Q11" s="58"/>
      <c r="R11" s="58"/>
      <c r="S11" s="80"/>
      <c r="T11" s="80"/>
    </row>
    <row r="12" spans="1:43" ht="21.95" customHeight="1">
      <c r="B12" s="64" t="s">
        <v>573</v>
      </c>
      <c r="D12" s="158" t="s">
        <v>586</v>
      </c>
      <c r="E12" s="159"/>
      <c r="F12" s="159"/>
      <c r="G12" s="159"/>
      <c r="H12" s="159"/>
      <c r="I12" s="159"/>
      <c r="J12" s="159"/>
      <c r="K12" s="159"/>
      <c r="L12" s="159"/>
      <c r="M12" s="159"/>
      <c r="N12" s="159"/>
      <c r="O12" s="159"/>
      <c r="P12" s="159"/>
      <c r="Q12" s="159"/>
      <c r="R12" s="159"/>
      <c r="S12" s="159"/>
      <c r="T12" s="160"/>
    </row>
    <row r="13" spans="1:43" ht="21.95" customHeight="1">
      <c r="B13" s="64" t="s">
        <v>575</v>
      </c>
      <c r="C13" s="64" t="s">
        <v>587</v>
      </c>
      <c r="D13" s="74" t="s">
        <v>577</v>
      </c>
      <c r="E13" s="74" t="s">
        <v>588</v>
      </c>
      <c r="F13" s="80" t="s">
        <v>458</v>
      </c>
      <c r="G13" s="80">
        <v>1</v>
      </c>
      <c r="H13" s="80">
        <f>IF(I13&lt;&gt;0,G13-I13,"")</f>
        <v>0</v>
      </c>
      <c r="I13" s="80">
        <v>1</v>
      </c>
      <c r="J13" s="80"/>
      <c r="K13" s="74" t="s">
        <v>589</v>
      </c>
      <c r="L13" s="80" t="s">
        <v>556</v>
      </c>
      <c r="M13" s="80">
        <v>0.11</v>
      </c>
      <c r="N13" s="80">
        <v>100</v>
      </c>
      <c r="O13" s="80">
        <f>IF(I13*M13=0,"",I13*M13*(N13/100))</f>
        <v>0.11</v>
      </c>
      <c r="P13" s="58"/>
      <c r="Q13" s="58"/>
      <c r="R13" s="58"/>
      <c r="S13" s="80"/>
      <c r="T13" s="80"/>
      <c r="AM13" s="48">
        <f>O13</f>
        <v>0.11</v>
      </c>
    </row>
    <row r="14" spans="1:43" ht="21.95" customHeight="1">
      <c r="B14" s="64" t="s">
        <v>575</v>
      </c>
      <c r="C14" s="64" t="s">
        <v>587</v>
      </c>
      <c r="D14" s="74"/>
      <c r="E14" s="74"/>
      <c r="F14" s="80"/>
      <c r="G14" s="80">
        <v>1</v>
      </c>
      <c r="H14" s="80">
        <f>IF(I14&lt;&gt;0,G14-I14,"")</f>
        <v>0</v>
      </c>
      <c r="I14" s="80">
        <v>1</v>
      </c>
      <c r="J14" s="80"/>
      <c r="K14" s="74" t="s">
        <v>579</v>
      </c>
      <c r="L14" s="80" t="s">
        <v>550</v>
      </c>
      <c r="M14" s="80">
        <v>0.03</v>
      </c>
      <c r="N14" s="80">
        <v>100</v>
      </c>
      <c r="O14" s="80">
        <f>IF(I14*M14=0,"",I14*M14*(N14/100))</f>
        <v>0.03</v>
      </c>
      <c r="P14" s="58"/>
      <c r="Q14" s="58"/>
      <c r="R14" s="58"/>
      <c r="S14" s="80"/>
      <c r="T14" s="80"/>
      <c r="AJ14" s="48">
        <f>O14</f>
        <v>0.03</v>
      </c>
    </row>
    <row r="15" spans="1:43" ht="21.95" customHeight="1">
      <c r="B15" s="64" t="s">
        <v>575</v>
      </c>
      <c r="C15" s="64" t="s">
        <v>549</v>
      </c>
      <c r="D15" s="74" t="s">
        <v>530</v>
      </c>
      <c r="E15" s="74" t="s">
        <v>550</v>
      </c>
      <c r="F15" s="80" t="s">
        <v>532</v>
      </c>
      <c r="G15" s="80">
        <f>IF(H15*I15/100+0.000005 &lt;1, TRUNC(H15*I15/100+0.000005, 옵션!$E$13), TRUNC(H15*I15/100+0.000005, 옵션!$E$13))</f>
        <v>0.03</v>
      </c>
      <c r="H15" s="80">
        <f>옵션!$B$13</f>
        <v>100</v>
      </c>
      <c r="I15" s="80">
        <f>SUM(AJ13:AJ14)</f>
        <v>0.03</v>
      </c>
      <c r="J15" s="80"/>
      <c r="K15" s="74"/>
      <c r="L15" s="80"/>
      <c r="M15" s="80"/>
      <c r="N15" s="80"/>
      <c r="O15" s="80" t="str">
        <f>IF(I15*M15=0,"",I15*M15*(N15/100))</f>
        <v/>
      </c>
      <c r="P15" s="58"/>
      <c r="Q15" s="58"/>
      <c r="R15" s="58"/>
      <c r="S15" s="80"/>
      <c r="T15" s="80"/>
      <c r="AJ15" s="48">
        <f>SUM(AJ13:AJ14)</f>
        <v>0.03</v>
      </c>
      <c r="AM15" s="48">
        <f>SUM(AM13:AM14)</f>
        <v>0.11</v>
      </c>
    </row>
    <row r="16" spans="1:43" ht="21.95" customHeight="1">
      <c r="B16" s="64" t="s">
        <v>575</v>
      </c>
      <c r="C16" s="64" t="s">
        <v>555</v>
      </c>
      <c r="D16" s="74" t="s">
        <v>530</v>
      </c>
      <c r="E16" s="74" t="s">
        <v>556</v>
      </c>
      <c r="F16" s="80" t="s">
        <v>532</v>
      </c>
      <c r="G16" s="80">
        <f>IF(H16*I16/100+0.000005 &lt;1, TRUNC(H16*I16/100+0.000005, 옵션!$E$13), TRUNC(H16*I16/100+0.000005, 옵션!$E$13))</f>
        <v>0.11</v>
      </c>
      <c r="H16" s="80">
        <f>옵션!$B$13</f>
        <v>100</v>
      </c>
      <c r="I16" s="80">
        <f>SUM(AM13:AM14)</f>
        <v>0.11</v>
      </c>
      <c r="J16" s="80"/>
      <c r="K16" s="74"/>
      <c r="L16" s="80"/>
      <c r="M16" s="80"/>
      <c r="N16" s="80"/>
      <c r="O16" s="80" t="str">
        <f>IF(I16*M16=0,"",I16*M16*(N16/100))</f>
        <v/>
      </c>
      <c r="P16" s="58"/>
      <c r="Q16" s="58"/>
      <c r="R16" s="58"/>
      <c r="S16" s="80"/>
      <c r="T16" s="80"/>
    </row>
    <row r="17" spans="2:36" ht="21.95" customHeight="1">
      <c r="B17" s="64" t="s">
        <v>573</v>
      </c>
      <c r="D17" s="158" t="s">
        <v>590</v>
      </c>
      <c r="E17" s="159"/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60"/>
    </row>
    <row r="18" spans="2:36" ht="21.95" customHeight="1">
      <c r="B18" s="64" t="s">
        <v>575</v>
      </c>
      <c r="C18" s="64" t="s">
        <v>591</v>
      </c>
      <c r="D18" s="74" t="s">
        <v>577</v>
      </c>
      <c r="E18" s="74" t="s">
        <v>592</v>
      </c>
      <c r="F18" s="80" t="s">
        <v>458</v>
      </c>
      <c r="G18" s="80">
        <v>1</v>
      </c>
      <c r="H18" s="80">
        <f>IF(I18&lt;&gt;0,G18-I18,"")</f>
        <v>0</v>
      </c>
      <c r="I18" s="80">
        <v>1</v>
      </c>
      <c r="J18" s="80"/>
      <c r="K18" s="74" t="s">
        <v>593</v>
      </c>
      <c r="L18" s="80" t="s">
        <v>531</v>
      </c>
      <c r="M18" s="80">
        <v>0.31</v>
      </c>
      <c r="N18" s="80">
        <v>100</v>
      </c>
      <c r="O18" s="80">
        <f>IF(I18*M18=0,"",I18*M18*(N18/100))</f>
        <v>0.31</v>
      </c>
      <c r="P18" s="58"/>
      <c r="Q18" s="58"/>
      <c r="R18" s="58"/>
      <c r="S18" s="80" t="s">
        <v>594</v>
      </c>
      <c r="T18" s="80"/>
      <c r="AA18" s="48">
        <f>O18</f>
        <v>0.31</v>
      </c>
    </row>
    <row r="19" spans="2:36" ht="21.95" customHeight="1">
      <c r="B19" s="64" t="s">
        <v>575</v>
      </c>
      <c r="C19" s="64" t="s">
        <v>529</v>
      </c>
      <c r="D19" s="74" t="s">
        <v>530</v>
      </c>
      <c r="E19" s="74" t="s">
        <v>531</v>
      </c>
      <c r="F19" s="80" t="s">
        <v>532</v>
      </c>
      <c r="G19" s="80">
        <f>IF(H19*I19/100+0.000005 &lt;1, TRUNC(H19*I19/100+0.000005, 옵션!$E$13), TRUNC(H19*I19/100+0.000005, 옵션!$E$13))</f>
        <v>0.31</v>
      </c>
      <c r="H19" s="80">
        <f>옵션!$B$13</f>
        <v>100</v>
      </c>
      <c r="I19" s="80">
        <f>SUM(AA18:AA18)</f>
        <v>0.31</v>
      </c>
      <c r="J19" s="80"/>
      <c r="K19" s="74"/>
      <c r="L19" s="80"/>
      <c r="M19" s="80"/>
      <c r="N19" s="80"/>
      <c r="O19" s="80" t="str">
        <f>IF(I19*M19=0,"",I19*M19*(N19/100))</f>
        <v/>
      </c>
      <c r="P19" s="58"/>
      <c r="Q19" s="58"/>
      <c r="R19" s="58"/>
      <c r="S19" s="80"/>
      <c r="T19" s="80"/>
      <c r="AA19" s="48">
        <f>SUM(AA18:AA18)</f>
        <v>0.31</v>
      </c>
    </row>
    <row r="20" spans="2:36" ht="21.95" customHeight="1">
      <c r="B20" s="64" t="s">
        <v>573</v>
      </c>
      <c r="D20" s="158" t="s">
        <v>595</v>
      </c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60"/>
    </row>
    <row r="21" spans="2:36" ht="21.95" customHeight="1">
      <c r="B21" s="64" t="s">
        <v>575</v>
      </c>
      <c r="C21" s="64" t="s">
        <v>596</v>
      </c>
      <c r="D21" s="74" t="s">
        <v>577</v>
      </c>
      <c r="E21" s="74" t="s">
        <v>597</v>
      </c>
      <c r="F21" s="80" t="s">
        <v>458</v>
      </c>
      <c r="G21" s="80">
        <v>1</v>
      </c>
      <c r="H21" s="80">
        <f>IF(I21&lt;&gt;0,G21-I21,"")</f>
        <v>0</v>
      </c>
      <c r="I21" s="80">
        <v>1</v>
      </c>
      <c r="J21" s="80"/>
      <c r="K21" s="74" t="s">
        <v>593</v>
      </c>
      <c r="L21" s="80" t="s">
        <v>531</v>
      </c>
      <c r="M21" s="80">
        <v>0.42</v>
      </c>
      <c r="N21" s="80">
        <v>100</v>
      </c>
      <c r="O21" s="80">
        <f>IF(I21*M21=0,"",I21*M21*(N21/100))</f>
        <v>0.42</v>
      </c>
      <c r="P21" s="58"/>
      <c r="Q21" s="58"/>
      <c r="R21" s="58"/>
      <c r="S21" s="80" t="s">
        <v>594</v>
      </c>
      <c r="T21" s="80"/>
      <c r="AA21" s="48">
        <f>O21</f>
        <v>0.42</v>
      </c>
    </row>
    <row r="22" spans="2:36" ht="21.95" customHeight="1">
      <c r="B22" s="64" t="s">
        <v>575</v>
      </c>
      <c r="C22" s="64" t="s">
        <v>529</v>
      </c>
      <c r="D22" s="74" t="s">
        <v>530</v>
      </c>
      <c r="E22" s="74" t="s">
        <v>531</v>
      </c>
      <c r="F22" s="80" t="s">
        <v>532</v>
      </c>
      <c r="G22" s="80">
        <f>IF(H22*I22/100+0.000005 &lt;1, TRUNC(H22*I22/100+0.000005, 옵션!$E$13), TRUNC(H22*I22/100+0.000005, 옵션!$E$13))</f>
        <v>0.42</v>
      </c>
      <c r="H22" s="80">
        <f>옵션!$B$13</f>
        <v>100</v>
      </c>
      <c r="I22" s="80">
        <f>SUM(AA21:AA21)</f>
        <v>0.42</v>
      </c>
      <c r="J22" s="80"/>
      <c r="K22" s="74"/>
      <c r="L22" s="80"/>
      <c r="M22" s="80"/>
      <c r="N22" s="80"/>
      <c r="O22" s="80" t="str">
        <f>IF(I22*M22=0,"",I22*M22*(N22/100))</f>
        <v/>
      </c>
      <c r="P22" s="58"/>
      <c r="Q22" s="58"/>
      <c r="R22" s="58"/>
      <c r="S22" s="80"/>
      <c r="T22" s="80"/>
      <c r="AA22" s="48">
        <f>SUM(AA21:AA21)</f>
        <v>0.42</v>
      </c>
    </row>
    <row r="23" spans="2:36" ht="21.95" customHeight="1">
      <c r="B23" s="64" t="s">
        <v>573</v>
      </c>
      <c r="D23" s="158" t="s">
        <v>598</v>
      </c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60"/>
    </row>
    <row r="24" spans="2:36" ht="21.95" customHeight="1">
      <c r="B24" s="64" t="s">
        <v>575</v>
      </c>
      <c r="C24" s="64" t="s">
        <v>599</v>
      </c>
      <c r="D24" s="74" t="s">
        <v>577</v>
      </c>
      <c r="E24" s="74" t="s">
        <v>600</v>
      </c>
      <c r="F24" s="80" t="s">
        <v>458</v>
      </c>
      <c r="G24" s="80">
        <v>1</v>
      </c>
      <c r="H24" s="80">
        <f>IF(I24&lt;&gt;0,G24-I24,"")</f>
        <v>0</v>
      </c>
      <c r="I24" s="80">
        <v>1</v>
      </c>
      <c r="J24" s="80"/>
      <c r="K24" s="74" t="s">
        <v>579</v>
      </c>
      <c r="L24" s="80" t="s">
        <v>550</v>
      </c>
      <c r="M24" s="80">
        <v>0.2</v>
      </c>
      <c r="N24" s="80">
        <v>100</v>
      </c>
      <c r="O24" s="80">
        <f>IF(I24*M24=0,"",I24*M24*(N24/100))</f>
        <v>0.2</v>
      </c>
      <c r="P24" s="58"/>
      <c r="Q24" s="58"/>
      <c r="R24" s="58"/>
      <c r="S24" s="80" t="s">
        <v>580</v>
      </c>
      <c r="T24" s="80"/>
      <c r="AJ24" s="48">
        <f>O24</f>
        <v>0.2</v>
      </c>
    </row>
    <row r="25" spans="2:36" ht="21.95" customHeight="1">
      <c r="B25" s="64" t="s">
        <v>575</v>
      </c>
      <c r="C25" s="64" t="s">
        <v>549</v>
      </c>
      <c r="D25" s="74" t="s">
        <v>530</v>
      </c>
      <c r="E25" s="74" t="s">
        <v>550</v>
      </c>
      <c r="F25" s="80" t="s">
        <v>532</v>
      </c>
      <c r="G25" s="80">
        <f>IF(H25*I25/100+0.000005 &lt;1, TRUNC(H25*I25/100+0.000005, 옵션!$E$13), TRUNC(H25*I25/100+0.000005, 옵션!$E$13))</f>
        <v>0.2</v>
      </c>
      <c r="H25" s="80">
        <f>옵션!$B$13</f>
        <v>100</v>
      </c>
      <c r="I25" s="80">
        <f>SUM(AJ24:AJ24)</f>
        <v>0.2</v>
      </c>
      <c r="J25" s="80"/>
      <c r="K25" s="74"/>
      <c r="L25" s="80"/>
      <c r="M25" s="80"/>
      <c r="N25" s="80"/>
      <c r="O25" s="80" t="str">
        <f>IF(I25*M25=0,"",I25*M25*(N25/100))</f>
        <v/>
      </c>
      <c r="P25" s="58"/>
      <c r="Q25" s="58"/>
      <c r="R25" s="58"/>
      <c r="S25" s="80"/>
      <c r="T25" s="80"/>
      <c r="AJ25" s="48">
        <f>SUM(AJ24:AJ24)</f>
        <v>0.2</v>
      </c>
    </row>
    <row r="26" spans="2:36" ht="21.95" customHeight="1">
      <c r="B26" s="64" t="s">
        <v>573</v>
      </c>
      <c r="D26" s="158" t="s">
        <v>601</v>
      </c>
      <c r="E26" s="159"/>
      <c r="F26" s="159"/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60"/>
    </row>
    <row r="27" spans="2:36" ht="21.95" customHeight="1">
      <c r="B27" s="64" t="s">
        <v>575</v>
      </c>
      <c r="C27" s="64" t="s">
        <v>602</v>
      </c>
      <c r="D27" s="74" t="s">
        <v>577</v>
      </c>
      <c r="E27" s="74" t="s">
        <v>603</v>
      </c>
      <c r="F27" s="80" t="s">
        <v>458</v>
      </c>
      <c r="G27" s="80">
        <v>1</v>
      </c>
      <c r="H27" s="80">
        <f>IF(I27&lt;&gt;0,G27-I27,"")</f>
        <v>0</v>
      </c>
      <c r="I27" s="80">
        <v>1</v>
      </c>
      <c r="J27" s="80"/>
      <c r="K27" s="74" t="s">
        <v>579</v>
      </c>
      <c r="L27" s="80" t="s">
        <v>550</v>
      </c>
      <c r="M27" s="80">
        <v>0.1</v>
      </c>
      <c r="N27" s="80">
        <v>100</v>
      </c>
      <c r="O27" s="80">
        <f>IF(I27*M27=0,"",I27*M27*(N27/100))</f>
        <v>0.1</v>
      </c>
      <c r="P27" s="58"/>
      <c r="Q27" s="58"/>
      <c r="R27" s="58"/>
      <c r="S27" s="80" t="s">
        <v>580</v>
      </c>
      <c r="T27" s="80"/>
      <c r="AJ27" s="48">
        <f>O27</f>
        <v>0.1</v>
      </c>
    </row>
    <row r="28" spans="2:36" ht="21.95" customHeight="1">
      <c r="B28" s="64" t="s">
        <v>575</v>
      </c>
      <c r="C28" s="64" t="s">
        <v>549</v>
      </c>
      <c r="D28" s="74" t="s">
        <v>530</v>
      </c>
      <c r="E28" s="74" t="s">
        <v>550</v>
      </c>
      <c r="F28" s="80" t="s">
        <v>532</v>
      </c>
      <c r="G28" s="80">
        <f>IF(H28*I28/100+0.000005 &lt;1, TRUNC(H28*I28/100+0.000005, 옵션!$E$13), TRUNC(H28*I28/100+0.000005, 옵션!$E$13))</f>
        <v>0.1</v>
      </c>
      <c r="H28" s="80">
        <f>옵션!$B$13</f>
        <v>100</v>
      </c>
      <c r="I28" s="80">
        <f>SUM(AJ27:AJ27)</f>
        <v>0.1</v>
      </c>
      <c r="J28" s="80"/>
      <c r="K28" s="74"/>
      <c r="L28" s="80"/>
      <c r="M28" s="80"/>
      <c r="N28" s="80"/>
      <c r="O28" s="80" t="str">
        <f>IF(I28*M28=0,"",I28*M28*(N28/100))</f>
        <v/>
      </c>
      <c r="P28" s="58"/>
      <c r="Q28" s="58"/>
      <c r="R28" s="58"/>
      <c r="S28" s="80"/>
      <c r="T28" s="80"/>
      <c r="AJ28" s="48">
        <f>SUM(AJ27:AJ27)</f>
        <v>0.1</v>
      </c>
    </row>
    <row r="29" spans="2:36" ht="21.95" customHeight="1">
      <c r="B29" s="64" t="s">
        <v>573</v>
      </c>
      <c r="D29" s="158" t="s">
        <v>604</v>
      </c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60"/>
    </row>
    <row r="30" spans="2:36" ht="21.95" customHeight="1">
      <c r="B30" s="64" t="s">
        <v>575</v>
      </c>
      <c r="C30" s="64" t="s">
        <v>193</v>
      </c>
      <c r="D30" s="74" t="s">
        <v>194</v>
      </c>
      <c r="E30" s="74" t="s">
        <v>195</v>
      </c>
      <c r="F30" s="80" t="s">
        <v>196</v>
      </c>
      <c r="G30" s="80">
        <v>1</v>
      </c>
      <c r="H30" s="80">
        <f>IF(I30&lt;&gt;0,G30-I30,"")</f>
        <v>0</v>
      </c>
      <c r="I30" s="80">
        <v>1</v>
      </c>
      <c r="J30" s="80"/>
      <c r="K30" s="74" t="s">
        <v>605</v>
      </c>
      <c r="L30" s="80" t="s">
        <v>538</v>
      </c>
      <c r="M30" s="80">
        <v>7.0000000000000001E-3</v>
      </c>
      <c r="N30" s="80">
        <v>150</v>
      </c>
      <c r="O30" s="80">
        <f>IF(I30*M30=0,"",I30*M30*(N30/100))</f>
        <v>1.0500000000000001E-2</v>
      </c>
      <c r="P30" s="58"/>
      <c r="Q30" s="58"/>
      <c r="R30" s="58"/>
      <c r="S30" s="80" t="s">
        <v>606</v>
      </c>
      <c r="T30" s="80"/>
      <c r="AD30" s="48">
        <f>O30</f>
        <v>1.0500000000000001E-2</v>
      </c>
    </row>
    <row r="31" spans="2:36" ht="21.95" customHeight="1">
      <c r="B31" s="64" t="s">
        <v>575</v>
      </c>
      <c r="C31" s="64" t="s">
        <v>193</v>
      </c>
      <c r="D31" s="74"/>
      <c r="E31" s="74"/>
      <c r="F31" s="80"/>
      <c r="G31" s="80">
        <v>1</v>
      </c>
      <c r="H31" s="80">
        <f>IF(I31&lt;&gt;0,G31-I31,"")</f>
        <v>0</v>
      </c>
      <c r="I31" s="80">
        <v>1</v>
      </c>
      <c r="J31" s="80"/>
      <c r="K31" s="74" t="s">
        <v>579</v>
      </c>
      <c r="L31" s="80" t="s">
        <v>550</v>
      </c>
      <c r="M31" s="80">
        <v>1.7999999999999999E-2</v>
      </c>
      <c r="N31" s="80">
        <v>150</v>
      </c>
      <c r="O31" s="80">
        <f>IF(I31*M31=0,"",I31*M31*(N31/100))</f>
        <v>2.6999999999999996E-2</v>
      </c>
      <c r="P31" s="58"/>
      <c r="Q31" s="58"/>
      <c r="R31" s="58"/>
      <c r="S31" s="80" t="s">
        <v>606</v>
      </c>
      <c r="T31" s="80"/>
      <c r="AJ31" s="48">
        <f>O31</f>
        <v>2.6999999999999996E-2</v>
      </c>
    </row>
    <row r="32" spans="2:36" ht="21.95" customHeight="1">
      <c r="B32" s="64" t="s">
        <v>575</v>
      </c>
      <c r="C32" s="64" t="s">
        <v>537</v>
      </c>
      <c r="D32" s="74" t="s">
        <v>530</v>
      </c>
      <c r="E32" s="74" t="s">
        <v>538</v>
      </c>
      <c r="F32" s="80" t="s">
        <v>532</v>
      </c>
      <c r="G32" s="80">
        <f>IF(H32*I32/100+0.000005 &lt;1, TRUNC(H32*I32/100+0.000005, 옵션!$E$13), TRUNC(H32*I32/100+0.000005, 옵션!$E$13))</f>
        <v>1.0500000000000001E-2</v>
      </c>
      <c r="H32" s="80">
        <f>옵션!$B$13</f>
        <v>100</v>
      </c>
      <c r="I32" s="80">
        <f>SUM(AD30:AD31)</f>
        <v>1.0500000000000001E-2</v>
      </c>
      <c r="J32" s="80"/>
      <c r="K32" s="74"/>
      <c r="L32" s="80"/>
      <c r="M32" s="80"/>
      <c r="N32" s="80"/>
      <c r="O32" s="80" t="str">
        <f>IF(I32*M32=0,"",I32*M32*(N32/100))</f>
        <v/>
      </c>
      <c r="P32" s="58"/>
      <c r="Q32" s="58"/>
      <c r="R32" s="58"/>
      <c r="S32" s="80"/>
      <c r="T32" s="80"/>
      <c r="AD32" s="48">
        <f>SUM(AD30:AD31)</f>
        <v>1.0500000000000001E-2</v>
      </c>
      <c r="AJ32" s="48">
        <f>SUM(AJ30:AJ31)</f>
        <v>2.6999999999999996E-2</v>
      </c>
    </row>
    <row r="33" spans="2:36" ht="21.95" customHeight="1">
      <c r="B33" s="64" t="s">
        <v>575</v>
      </c>
      <c r="C33" s="64" t="s">
        <v>549</v>
      </c>
      <c r="D33" s="74" t="s">
        <v>530</v>
      </c>
      <c r="E33" s="74" t="s">
        <v>550</v>
      </c>
      <c r="F33" s="80" t="s">
        <v>532</v>
      </c>
      <c r="G33" s="80">
        <f>IF(H33*I33/100+0.000005 &lt;1, TRUNC(H33*I33/100+0.000005, 옵션!$E$13), TRUNC(H33*I33/100+0.000005, 옵션!$E$13))</f>
        <v>2.7E-2</v>
      </c>
      <c r="H33" s="80">
        <f>옵션!$B$13</f>
        <v>100</v>
      </c>
      <c r="I33" s="80">
        <f>SUM(AJ30:AJ31)</f>
        <v>2.6999999999999996E-2</v>
      </c>
      <c r="J33" s="80"/>
      <c r="K33" s="74"/>
      <c r="L33" s="80"/>
      <c r="M33" s="80"/>
      <c r="N33" s="80"/>
      <c r="O33" s="80" t="str">
        <f>IF(I33*M33=0,"",I33*M33*(N33/100))</f>
        <v/>
      </c>
      <c r="P33" s="58"/>
      <c r="Q33" s="58"/>
      <c r="R33" s="58"/>
      <c r="S33" s="80"/>
      <c r="T33" s="80"/>
    </row>
    <row r="34" spans="2:36" ht="21.95" customHeight="1">
      <c r="B34" s="64" t="s">
        <v>573</v>
      </c>
      <c r="D34" s="158" t="s">
        <v>607</v>
      </c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Q34" s="159"/>
      <c r="R34" s="159"/>
      <c r="S34" s="159"/>
      <c r="T34" s="160"/>
    </row>
    <row r="35" spans="2:36" ht="21.95" customHeight="1">
      <c r="B35" s="64" t="s">
        <v>575</v>
      </c>
      <c r="C35" s="64" t="s">
        <v>199</v>
      </c>
      <c r="D35" s="74" t="s">
        <v>194</v>
      </c>
      <c r="E35" s="74" t="s">
        <v>200</v>
      </c>
      <c r="F35" s="80" t="s">
        <v>196</v>
      </c>
      <c r="G35" s="80">
        <v>1</v>
      </c>
      <c r="H35" s="80">
        <f>IF(I35&lt;&gt;0,G35-I35,"")</f>
        <v>0</v>
      </c>
      <c r="I35" s="80">
        <v>1</v>
      </c>
      <c r="J35" s="80"/>
      <c r="K35" s="74" t="s">
        <v>605</v>
      </c>
      <c r="L35" s="80" t="s">
        <v>538</v>
      </c>
      <c r="M35" s="80">
        <v>7.0000000000000001E-3</v>
      </c>
      <c r="N35" s="80">
        <v>150</v>
      </c>
      <c r="O35" s="80">
        <f>IF(I35*M35=0,"",I35*M35*(N35/100))</f>
        <v>1.0500000000000001E-2</v>
      </c>
      <c r="P35" s="58"/>
      <c r="Q35" s="58"/>
      <c r="R35" s="58"/>
      <c r="S35" s="80" t="s">
        <v>606</v>
      </c>
      <c r="T35" s="80"/>
      <c r="AD35" s="48">
        <f>O35</f>
        <v>1.0500000000000001E-2</v>
      </c>
    </row>
    <row r="36" spans="2:36" ht="21.95" customHeight="1">
      <c r="B36" s="64" t="s">
        <v>575</v>
      </c>
      <c r="C36" s="64" t="s">
        <v>199</v>
      </c>
      <c r="D36" s="74"/>
      <c r="E36" s="74"/>
      <c r="F36" s="80"/>
      <c r="G36" s="80">
        <v>1</v>
      </c>
      <c r="H36" s="80">
        <f>IF(I36&lt;&gt;0,G36-I36,"")</f>
        <v>0</v>
      </c>
      <c r="I36" s="80">
        <v>1</v>
      </c>
      <c r="J36" s="80"/>
      <c r="K36" s="74" t="s">
        <v>579</v>
      </c>
      <c r="L36" s="80" t="s">
        <v>550</v>
      </c>
      <c r="M36" s="80">
        <v>1.7999999999999999E-2</v>
      </c>
      <c r="N36" s="80">
        <v>150</v>
      </c>
      <c r="O36" s="80">
        <f>IF(I36*M36=0,"",I36*M36*(N36/100))</f>
        <v>2.6999999999999996E-2</v>
      </c>
      <c r="P36" s="58"/>
      <c r="Q36" s="58"/>
      <c r="R36" s="58"/>
      <c r="S36" s="80" t="s">
        <v>606</v>
      </c>
      <c r="T36" s="80"/>
      <c r="AJ36" s="48">
        <f>O36</f>
        <v>2.6999999999999996E-2</v>
      </c>
    </row>
    <row r="37" spans="2:36" ht="21.95" customHeight="1">
      <c r="B37" s="64" t="s">
        <v>575</v>
      </c>
      <c r="C37" s="64" t="s">
        <v>537</v>
      </c>
      <c r="D37" s="74" t="s">
        <v>530</v>
      </c>
      <c r="E37" s="74" t="s">
        <v>538</v>
      </c>
      <c r="F37" s="80" t="s">
        <v>532</v>
      </c>
      <c r="G37" s="80">
        <f>IF(H37*I37/100+0.000005 &lt;1, TRUNC(H37*I37/100+0.000005, 옵션!$E$13), TRUNC(H37*I37/100+0.000005, 옵션!$E$13))</f>
        <v>1.0500000000000001E-2</v>
      </c>
      <c r="H37" s="80">
        <f>옵션!$B$13</f>
        <v>100</v>
      </c>
      <c r="I37" s="80">
        <f>SUM(AD35:AD36)</f>
        <v>1.0500000000000001E-2</v>
      </c>
      <c r="J37" s="80"/>
      <c r="K37" s="74"/>
      <c r="L37" s="80"/>
      <c r="M37" s="80"/>
      <c r="N37" s="80"/>
      <c r="O37" s="80" t="str">
        <f>IF(I37*M37=0,"",I37*M37*(N37/100))</f>
        <v/>
      </c>
      <c r="P37" s="58"/>
      <c r="Q37" s="58"/>
      <c r="R37" s="58"/>
      <c r="S37" s="80"/>
      <c r="T37" s="80"/>
      <c r="AD37" s="48">
        <f>SUM(AD35:AD36)</f>
        <v>1.0500000000000001E-2</v>
      </c>
      <c r="AJ37" s="48">
        <f>SUM(AJ35:AJ36)</f>
        <v>2.6999999999999996E-2</v>
      </c>
    </row>
    <row r="38" spans="2:36" ht="21.95" customHeight="1">
      <c r="B38" s="64" t="s">
        <v>575</v>
      </c>
      <c r="C38" s="64" t="s">
        <v>549</v>
      </c>
      <c r="D38" s="74" t="s">
        <v>530</v>
      </c>
      <c r="E38" s="74" t="s">
        <v>550</v>
      </c>
      <c r="F38" s="80" t="s">
        <v>532</v>
      </c>
      <c r="G38" s="80">
        <f>IF(H38*I38/100+0.000005 &lt;1, TRUNC(H38*I38/100+0.000005, 옵션!$E$13), TRUNC(H38*I38/100+0.000005, 옵션!$E$13))</f>
        <v>2.7E-2</v>
      </c>
      <c r="H38" s="80">
        <f>옵션!$B$13</f>
        <v>100</v>
      </c>
      <c r="I38" s="80">
        <f>SUM(AJ35:AJ36)</f>
        <v>2.6999999999999996E-2</v>
      </c>
      <c r="J38" s="80"/>
      <c r="K38" s="74"/>
      <c r="L38" s="80"/>
      <c r="M38" s="80"/>
      <c r="N38" s="80"/>
      <c r="O38" s="80" t="str">
        <f>IF(I38*M38=0,"",I38*M38*(N38/100))</f>
        <v/>
      </c>
      <c r="P38" s="58"/>
      <c r="Q38" s="58"/>
      <c r="R38" s="58"/>
      <c r="S38" s="80"/>
      <c r="T38" s="80"/>
    </row>
    <row r="39" spans="2:36" ht="21.95" customHeight="1">
      <c r="B39" s="64" t="s">
        <v>573</v>
      </c>
      <c r="D39" s="158" t="s">
        <v>608</v>
      </c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60"/>
    </row>
    <row r="40" spans="2:36" ht="21.95" customHeight="1">
      <c r="B40" s="64" t="s">
        <v>575</v>
      </c>
      <c r="C40" s="64" t="s">
        <v>201</v>
      </c>
      <c r="D40" s="74" t="s">
        <v>194</v>
      </c>
      <c r="E40" s="74" t="s">
        <v>202</v>
      </c>
      <c r="F40" s="80" t="s">
        <v>196</v>
      </c>
      <c r="G40" s="80">
        <v>1</v>
      </c>
      <c r="H40" s="80">
        <f>IF(I40&lt;&gt;0,G40-I40,"")</f>
        <v>0</v>
      </c>
      <c r="I40" s="80">
        <v>1</v>
      </c>
      <c r="J40" s="80"/>
      <c r="K40" s="74" t="s">
        <v>605</v>
      </c>
      <c r="L40" s="80" t="s">
        <v>538</v>
      </c>
      <c r="M40" s="80">
        <v>8.9999999999999993E-3</v>
      </c>
      <c r="N40" s="80">
        <v>150</v>
      </c>
      <c r="O40" s="80">
        <f>IF(I40*M40=0,"",I40*M40*(N40/100))</f>
        <v>1.3499999999999998E-2</v>
      </c>
      <c r="P40" s="58"/>
      <c r="Q40" s="58"/>
      <c r="R40" s="58"/>
      <c r="S40" s="80" t="s">
        <v>606</v>
      </c>
      <c r="T40" s="80"/>
      <c r="AD40" s="48">
        <f>O40</f>
        <v>1.3499999999999998E-2</v>
      </c>
    </row>
    <row r="41" spans="2:36" ht="21.95" customHeight="1">
      <c r="B41" s="64" t="s">
        <v>575</v>
      </c>
      <c r="C41" s="64" t="s">
        <v>201</v>
      </c>
      <c r="D41" s="74"/>
      <c r="E41" s="74"/>
      <c r="F41" s="80"/>
      <c r="G41" s="80">
        <v>1</v>
      </c>
      <c r="H41" s="80">
        <f>IF(I41&lt;&gt;0,G41-I41,"")</f>
        <v>0</v>
      </c>
      <c r="I41" s="80">
        <v>1</v>
      </c>
      <c r="J41" s="80"/>
      <c r="K41" s="74" t="s">
        <v>579</v>
      </c>
      <c r="L41" s="80" t="s">
        <v>550</v>
      </c>
      <c r="M41" s="80">
        <v>2.1999999999999999E-2</v>
      </c>
      <c r="N41" s="80">
        <v>150</v>
      </c>
      <c r="O41" s="80">
        <f>IF(I41*M41=0,"",I41*M41*(N41/100))</f>
        <v>3.3000000000000002E-2</v>
      </c>
      <c r="P41" s="58"/>
      <c r="Q41" s="58"/>
      <c r="R41" s="58"/>
      <c r="S41" s="80" t="s">
        <v>606</v>
      </c>
      <c r="T41" s="80"/>
      <c r="AJ41" s="48">
        <f>O41</f>
        <v>3.3000000000000002E-2</v>
      </c>
    </row>
    <row r="42" spans="2:36" ht="21.95" customHeight="1">
      <c r="B42" s="64" t="s">
        <v>575</v>
      </c>
      <c r="C42" s="64" t="s">
        <v>537</v>
      </c>
      <c r="D42" s="74" t="s">
        <v>530</v>
      </c>
      <c r="E42" s="74" t="s">
        <v>538</v>
      </c>
      <c r="F42" s="80" t="s">
        <v>532</v>
      </c>
      <c r="G42" s="80">
        <f>IF(H42*I42/100+0.000005 &lt;1, TRUNC(H42*I42/100+0.000005, 옵션!$E$13), TRUNC(H42*I42/100+0.000005, 옵션!$E$13))</f>
        <v>1.35E-2</v>
      </c>
      <c r="H42" s="80">
        <f>옵션!$B$13</f>
        <v>100</v>
      </c>
      <c r="I42" s="80">
        <f>SUM(AD40:AD41)</f>
        <v>1.3499999999999998E-2</v>
      </c>
      <c r="J42" s="80"/>
      <c r="K42" s="74"/>
      <c r="L42" s="80"/>
      <c r="M42" s="80"/>
      <c r="N42" s="80"/>
      <c r="O42" s="80" t="str">
        <f>IF(I42*M42=0,"",I42*M42*(N42/100))</f>
        <v/>
      </c>
      <c r="P42" s="58"/>
      <c r="Q42" s="58"/>
      <c r="R42" s="58"/>
      <c r="S42" s="80"/>
      <c r="T42" s="80"/>
      <c r="AD42" s="48">
        <f>SUM(AD40:AD41)</f>
        <v>1.3499999999999998E-2</v>
      </c>
      <c r="AJ42" s="48">
        <f>SUM(AJ40:AJ41)</f>
        <v>3.3000000000000002E-2</v>
      </c>
    </row>
    <row r="43" spans="2:36" ht="21.95" customHeight="1">
      <c r="B43" s="64" t="s">
        <v>575</v>
      </c>
      <c r="C43" s="64" t="s">
        <v>549</v>
      </c>
      <c r="D43" s="74" t="s">
        <v>530</v>
      </c>
      <c r="E43" s="74" t="s">
        <v>550</v>
      </c>
      <c r="F43" s="80" t="s">
        <v>532</v>
      </c>
      <c r="G43" s="80">
        <f>IF(H43*I43/100+0.000005 &lt;1, TRUNC(H43*I43/100+0.000005, 옵션!$E$13), TRUNC(H43*I43/100+0.000005, 옵션!$E$13))</f>
        <v>3.3000000000000002E-2</v>
      </c>
      <c r="H43" s="80">
        <f>옵션!$B$13</f>
        <v>100</v>
      </c>
      <c r="I43" s="80">
        <f>SUM(AJ40:AJ41)</f>
        <v>3.3000000000000002E-2</v>
      </c>
      <c r="J43" s="80"/>
      <c r="K43" s="74"/>
      <c r="L43" s="80"/>
      <c r="M43" s="80"/>
      <c r="N43" s="80"/>
      <c r="O43" s="80" t="str">
        <f>IF(I43*M43=0,"",I43*M43*(N43/100))</f>
        <v/>
      </c>
      <c r="P43" s="58"/>
      <c r="Q43" s="58"/>
      <c r="R43" s="58"/>
      <c r="S43" s="80"/>
      <c r="T43" s="80"/>
    </row>
    <row r="44" spans="2:36" ht="21.95" customHeight="1">
      <c r="B44" s="64" t="s">
        <v>573</v>
      </c>
      <c r="D44" s="158" t="s">
        <v>609</v>
      </c>
      <c r="E44" s="159"/>
      <c r="F44" s="159"/>
      <c r="G44" s="159"/>
      <c r="H44" s="159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60"/>
    </row>
    <row r="45" spans="2:36" ht="21.95" customHeight="1">
      <c r="B45" s="64" t="s">
        <v>575</v>
      </c>
      <c r="C45" s="64" t="s">
        <v>203</v>
      </c>
      <c r="D45" s="74" t="s">
        <v>194</v>
      </c>
      <c r="E45" s="74" t="s">
        <v>204</v>
      </c>
      <c r="F45" s="80" t="s">
        <v>196</v>
      </c>
      <c r="G45" s="80">
        <v>1</v>
      </c>
      <c r="H45" s="80">
        <f>IF(I45&lt;&gt;0,G45-I45,"")</f>
        <v>0</v>
      </c>
      <c r="I45" s="80">
        <v>1</v>
      </c>
      <c r="J45" s="80"/>
      <c r="K45" s="74" t="s">
        <v>605</v>
      </c>
      <c r="L45" s="80" t="s">
        <v>538</v>
      </c>
      <c r="M45" s="80">
        <v>8.9999999999999993E-3</v>
      </c>
      <c r="N45" s="80">
        <v>150</v>
      </c>
      <c r="O45" s="80">
        <f>IF(I45*M45=0,"",I45*M45*(N45/100))</f>
        <v>1.3499999999999998E-2</v>
      </c>
      <c r="P45" s="58"/>
      <c r="Q45" s="58"/>
      <c r="R45" s="58"/>
      <c r="S45" s="80" t="s">
        <v>606</v>
      </c>
      <c r="T45" s="80"/>
      <c r="AD45" s="48">
        <f>O45</f>
        <v>1.3499999999999998E-2</v>
      </c>
    </row>
    <row r="46" spans="2:36" ht="21.95" customHeight="1">
      <c r="B46" s="64" t="s">
        <v>575</v>
      </c>
      <c r="C46" s="64" t="s">
        <v>203</v>
      </c>
      <c r="D46" s="74"/>
      <c r="E46" s="74"/>
      <c r="F46" s="80"/>
      <c r="G46" s="80">
        <v>1</v>
      </c>
      <c r="H46" s="80">
        <f>IF(I46&lt;&gt;0,G46-I46,"")</f>
        <v>0</v>
      </c>
      <c r="I46" s="80">
        <v>1</v>
      </c>
      <c r="J46" s="80"/>
      <c r="K46" s="74" t="s">
        <v>579</v>
      </c>
      <c r="L46" s="80" t="s">
        <v>550</v>
      </c>
      <c r="M46" s="80">
        <v>2.1999999999999999E-2</v>
      </c>
      <c r="N46" s="80">
        <v>150</v>
      </c>
      <c r="O46" s="80">
        <f>IF(I46*M46=0,"",I46*M46*(N46/100))</f>
        <v>3.3000000000000002E-2</v>
      </c>
      <c r="P46" s="58"/>
      <c r="Q46" s="58"/>
      <c r="R46" s="58"/>
      <c r="S46" s="80" t="s">
        <v>606</v>
      </c>
      <c r="T46" s="80"/>
      <c r="AJ46" s="48">
        <f>O46</f>
        <v>3.3000000000000002E-2</v>
      </c>
    </row>
    <row r="47" spans="2:36" ht="21.95" customHeight="1">
      <c r="B47" s="64" t="s">
        <v>575</v>
      </c>
      <c r="C47" s="64" t="s">
        <v>537</v>
      </c>
      <c r="D47" s="74" t="s">
        <v>530</v>
      </c>
      <c r="E47" s="74" t="s">
        <v>538</v>
      </c>
      <c r="F47" s="80" t="s">
        <v>532</v>
      </c>
      <c r="G47" s="80">
        <f>IF(H47*I47/100+0.000005 &lt;1, TRUNC(H47*I47/100+0.000005, 옵션!$E$13), TRUNC(H47*I47/100+0.000005, 옵션!$E$13))</f>
        <v>1.35E-2</v>
      </c>
      <c r="H47" s="80">
        <f>옵션!$B$13</f>
        <v>100</v>
      </c>
      <c r="I47" s="80">
        <f>SUM(AD45:AD46)</f>
        <v>1.3499999999999998E-2</v>
      </c>
      <c r="J47" s="80"/>
      <c r="K47" s="74"/>
      <c r="L47" s="80"/>
      <c r="M47" s="80"/>
      <c r="N47" s="80"/>
      <c r="O47" s="80" t="str">
        <f>IF(I47*M47=0,"",I47*M47*(N47/100))</f>
        <v/>
      </c>
      <c r="P47" s="58"/>
      <c r="Q47" s="58"/>
      <c r="R47" s="58"/>
      <c r="S47" s="80"/>
      <c r="T47" s="80"/>
      <c r="AD47" s="48">
        <f>SUM(AD45:AD46)</f>
        <v>1.3499999999999998E-2</v>
      </c>
      <c r="AJ47" s="48">
        <f>SUM(AJ45:AJ46)</f>
        <v>3.3000000000000002E-2</v>
      </c>
    </row>
    <row r="48" spans="2:36" ht="21.95" customHeight="1">
      <c r="B48" s="64" t="s">
        <v>575</v>
      </c>
      <c r="C48" s="64" t="s">
        <v>549</v>
      </c>
      <c r="D48" s="74" t="s">
        <v>530</v>
      </c>
      <c r="E48" s="74" t="s">
        <v>550</v>
      </c>
      <c r="F48" s="80" t="s">
        <v>532</v>
      </c>
      <c r="G48" s="80">
        <f>IF(H48*I48/100+0.000005 &lt;1, TRUNC(H48*I48/100+0.000005, 옵션!$E$13), TRUNC(H48*I48/100+0.000005, 옵션!$E$13))</f>
        <v>3.3000000000000002E-2</v>
      </c>
      <c r="H48" s="80">
        <f>옵션!$B$13</f>
        <v>100</v>
      </c>
      <c r="I48" s="80">
        <f>SUM(AJ45:AJ46)</f>
        <v>3.3000000000000002E-2</v>
      </c>
      <c r="J48" s="80"/>
      <c r="K48" s="74"/>
      <c r="L48" s="80"/>
      <c r="M48" s="80"/>
      <c r="N48" s="80"/>
      <c r="O48" s="80" t="str">
        <f>IF(I48*M48=0,"",I48*M48*(N48/100))</f>
        <v/>
      </c>
      <c r="P48" s="58"/>
      <c r="Q48" s="58"/>
      <c r="R48" s="58"/>
      <c r="S48" s="80"/>
      <c r="T48" s="80"/>
    </row>
    <row r="49" spans="2:36" ht="21.95" customHeight="1">
      <c r="B49" s="64" t="s">
        <v>573</v>
      </c>
      <c r="D49" s="158" t="s">
        <v>610</v>
      </c>
      <c r="E49" s="159"/>
      <c r="F49" s="159"/>
      <c r="G49" s="159"/>
      <c r="H49" s="15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60"/>
    </row>
    <row r="50" spans="2:36" ht="21.95" customHeight="1">
      <c r="B50" s="64" t="s">
        <v>575</v>
      </c>
      <c r="C50" s="64" t="s">
        <v>205</v>
      </c>
      <c r="D50" s="74" t="s">
        <v>194</v>
      </c>
      <c r="E50" s="74" t="s">
        <v>206</v>
      </c>
      <c r="F50" s="80" t="s">
        <v>196</v>
      </c>
      <c r="G50" s="80">
        <v>1</v>
      </c>
      <c r="H50" s="80">
        <f>IF(I50&lt;&gt;0,G50-I50,"")</f>
        <v>0</v>
      </c>
      <c r="I50" s="80">
        <v>1</v>
      </c>
      <c r="J50" s="80"/>
      <c r="K50" s="74" t="s">
        <v>605</v>
      </c>
      <c r="L50" s="80" t="s">
        <v>538</v>
      </c>
      <c r="M50" s="80">
        <v>1.2E-2</v>
      </c>
      <c r="N50" s="80">
        <v>150</v>
      </c>
      <c r="O50" s="80">
        <f>IF(I50*M50=0,"",I50*M50*(N50/100))</f>
        <v>1.8000000000000002E-2</v>
      </c>
      <c r="P50" s="58"/>
      <c r="Q50" s="58"/>
      <c r="R50" s="58"/>
      <c r="S50" s="80" t="s">
        <v>606</v>
      </c>
      <c r="T50" s="80"/>
      <c r="AD50" s="48">
        <f>O50</f>
        <v>1.8000000000000002E-2</v>
      </c>
    </row>
    <row r="51" spans="2:36" ht="21.95" customHeight="1">
      <c r="B51" s="64" t="s">
        <v>575</v>
      </c>
      <c r="C51" s="64" t="s">
        <v>205</v>
      </c>
      <c r="D51" s="74"/>
      <c r="E51" s="74"/>
      <c r="F51" s="80"/>
      <c r="G51" s="80">
        <v>1</v>
      </c>
      <c r="H51" s="80">
        <f>IF(I51&lt;&gt;0,G51-I51,"")</f>
        <v>0</v>
      </c>
      <c r="I51" s="80">
        <v>1</v>
      </c>
      <c r="J51" s="80"/>
      <c r="K51" s="74" t="s">
        <v>579</v>
      </c>
      <c r="L51" s="80" t="s">
        <v>550</v>
      </c>
      <c r="M51" s="80">
        <v>3.5999999999999997E-2</v>
      </c>
      <c r="N51" s="80">
        <v>150</v>
      </c>
      <c r="O51" s="80">
        <f>IF(I51*M51=0,"",I51*M51*(N51/100))</f>
        <v>5.3999999999999992E-2</v>
      </c>
      <c r="P51" s="58"/>
      <c r="Q51" s="58"/>
      <c r="R51" s="58"/>
      <c r="S51" s="80" t="s">
        <v>606</v>
      </c>
      <c r="T51" s="80"/>
      <c r="AJ51" s="48">
        <f>O51</f>
        <v>5.3999999999999992E-2</v>
      </c>
    </row>
    <row r="52" spans="2:36" ht="21.95" customHeight="1">
      <c r="B52" s="64" t="s">
        <v>575</v>
      </c>
      <c r="C52" s="64" t="s">
        <v>537</v>
      </c>
      <c r="D52" s="74" t="s">
        <v>530</v>
      </c>
      <c r="E52" s="74" t="s">
        <v>538</v>
      </c>
      <c r="F52" s="80" t="s">
        <v>532</v>
      </c>
      <c r="G52" s="80">
        <f>IF(H52*I52/100+0.000005 &lt;1, TRUNC(H52*I52/100+0.000005, 옵션!$E$13), TRUNC(H52*I52/100+0.000005, 옵션!$E$13))</f>
        <v>1.7999999999999999E-2</v>
      </c>
      <c r="H52" s="80">
        <f>옵션!$B$13</f>
        <v>100</v>
      </c>
      <c r="I52" s="80">
        <f>SUM(AD50:AD51)</f>
        <v>1.8000000000000002E-2</v>
      </c>
      <c r="J52" s="80"/>
      <c r="K52" s="74"/>
      <c r="L52" s="80"/>
      <c r="M52" s="80"/>
      <c r="N52" s="80"/>
      <c r="O52" s="80" t="str">
        <f>IF(I52*M52=0,"",I52*M52*(N52/100))</f>
        <v/>
      </c>
      <c r="P52" s="58"/>
      <c r="Q52" s="58"/>
      <c r="R52" s="58"/>
      <c r="S52" s="80"/>
      <c r="T52" s="80"/>
      <c r="AD52" s="48">
        <f>SUM(AD50:AD51)</f>
        <v>1.8000000000000002E-2</v>
      </c>
      <c r="AJ52" s="48">
        <f>SUM(AJ50:AJ51)</f>
        <v>5.3999999999999992E-2</v>
      </c>
    </row>
    <row r="53" spans="2:36" ht="21.95" customHeight="1">
      <c r="B53" s="64" t="s">
        <v>575</v>
      </c>
      <c r="C53" s="64" t="s">
        <v>549</v>
      </c>
      <c r="D53" s="74" t="s">
        <v>530</v>
      </c>
      <c r="E53" s="74" t="s">
        <v>550</v>
      </c>
      <c r="F53" s="80" t="s">
        <v>532</v>
      </c>
      <c r="G53" s="80">
        <f>IF(H53*I53/100+0.000005 &lt;1, TRUNC(H53*I53/100+0.000005, 옵션!$E$13), TRUNC(H53*I53/100+0.000005, 옵션!$E$13))</f>
        <v>5.3999999999999999E-2</v>
      </c>
      <c r="H53" s="80">
        <f>옵션!$B$13</f>
        <v>100</v>
      </c>
      <c r="I53" s="80">
        <f>SUM(AJ50:AJ51)</f>
        <v>5.3999999999999992E-2</v>
      </c>
      <c r="J53" s="80"/>
      <c r="K53" s="74"/>
      <c r="L53" s="80"/>
      <c r="M53" s="80"/>
      <c r="N53" s="80"/>
      <c r="O53" s="80" t="str">
        <f>IF(I53*M53=0,"",I53*M53*(N53/100))</f>
        <v/>
      </c>
      <c r="P53" s="58"/>
      <c r="Q53" s="58"/>
      <c r="R53" s="58"/>
      <c r="S53" s="80"/>
      <c r="T53" s="80"/>
    </row>
    <row r="54" spans="2:36" ht="21.95" customHeight="1">
      <c r="B54" s="64" t="s">
        <v>573</v>
      </c>
      <c r="D54" s="158" t="s">
        <v>611</v>
      </c>
      <c r="E54" s="159"/>
      <c r="F54" s="159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60"/>
    </row>
    <row r="55" spans="2:36" ht="21.95" customHeight="1">
      <c r="B55" s="64" t="s">
        <v>575</v>
      </c>
      <c r="C55" s="64" t="s">
        <v>207</v>
      </c>
      <c r="D55" s="74" t="s">
        <v>194</v>
      </c>
      <c r="E55" s="74" t="s">
        <v>208</v>
      </c>
      <c r="F55" s="80" t="s">
        <v>196</v>
      </c>
      <c r="G55" s="80">
        <v>1</v>
      </c>
      <c r="H55" s="80">
        <f>IF(I55&lt;&gt;0,G55-I55,"")</f>
        <v>0</v>
      </c>
      <c r="I55" s="80">
        <v>1</v>
      </c>
      <c r="J55" s="80"/>
      <c r="K55" s="74" t="s">
        <v>605</v>
      </c>
      <c r="L55" s="80" t="s">
        <v>538</v>
      </c>
      <c r="M55" s="80">
        <v>7.0000000000000001E-3</v>
      </c>
      <c r="N55" s="80">
        <v>100</v>
      </c>
      <c r="O55" s="80">
        <f>IF(I55*M55=0,"",I55*M55*(N55/100))</f>
        <v>7.0000000000000001E-3</v>
      </c>
      <c r="P55" s="58"/>
      <c r="Q55" s="58"/>
      <c r="R55" s="58"/>
      <c r="S55" s="80" t="s">
        <v>606</v>
      </c>
      <c r="T55" s="80"/>
      <c r="AD55" s="48">
        <f>O55</f>
        <v>7.0000000000000001E-3</v>
      </c>
    </row>
    <row r="56" spans="2:36" ht="21.95" customHeight="1">
      <c r="B56" s="64" t="s">
        <v>575</v>
      </c>
      <c r="C56" s="64" t="s">
        <v>207</v>
      </c>
      <c r="D56" s="74"/>
      <c r="E56" s="74"/>
      <c r="F56" s="80"/>
      <c r="G56" s="80">
        <v>1</v>
      </c>
      <c r="H56" s="80">
        <f>IF(I56&lt;&gt;0,G56-I56,"")</f>
        <v>0</v>
      </c>
      <c r="I56" s="80">
        <v>1</v>
      </c>
      <c r="J56" s="80"/>
      <c r="K56" s="74" t="s">
        <v>579</v>
      </c>
      <c r="L56" s="80" t="s">
        <v>550</v>
      </c>
      <c r="M56" s="80">
        <v>1.7999999999999999E-2</v>
      </c>
      <c r="N56" s="80">
        <v>100</v>
      </c>
      <c r="O56" s="80">
        <f>IF(I56*M56=0,"",I56*M56*(N56/100))</f>
        <v>1.7999999999999999E-2</v>
      </c>
      <c r="P56" s="58"/>
      <c r="Q56" s="58"/>
      <c r="R56" s="58"/>
      <c r="S56" s="80" t="s">
        <v>606</v>
      </c>
      <c r="T56" s="80"/>
      <c r="AJ56" s="48">
        <f>O56</f>
        <v>1.7999999999999999E-2</v>
      </c>
    </row>
    <row r="57" spans="2:36" ht="21.95" customHeight="1">
      <c r="B57" s="64" t="s">
        <v>575</v>
      </c>
      <c r="C57" s="64" t="s">
        <v>537</v>
      </c>
      <c r="D57" s="74" t="s">
        <v>530</v>
      </c>
      <c r="E57" s="74" t="s">
        <v>538</v>
      </c>
      <c r="F57" s="80" t="s">
        <v>532</v>
      </c>
      <c r="G57" s="80">
        <f>IF(H57*I57/100+0.000005 &lt;1, TRUNC(H57*I57/100+0.000005, 옵션!$E$13), TRUNC(H57*I57/100+0.000005, 옵션!$E$13))</f>
        <v>7.0000000000000001E-3</v>
      </c>
      <c r="H57" s="80">
        <f>옵션!$B$13</f>
        <v>100</v>
      </c>
      <c r="I57" s="80">
        <f>SUM(AD55:AD56)</f>
        <v>7.0000000000000001E-3</v>
      </c>
      <c r="J57" s="80"/>
      <c r="K57" s="74"/>
      <c r="L57" s="80"/>
      <c r="M57" s="80"/>
      <c r="N57" s="80"/>
      <c r="O57" s="80" t="str">
        <f>IF(I57*M57=0,"",I57*M57*(N57/100))</f>
        <v/>
      </c>
      <c r="P57" s="58"/>
      <c r="Q57" s="58"/>
      <c r="R57" s="58"/>
      <c r="S57" s="80"/>
      <c r="T57" s="80"/>
      <c r="AD57" s="48">
        <f>SUM(AD55:AD56)</f>
        <v>7.0000000000000001E-3</v>
      </c>
      <c r="AJ57" s="48">
        <f>SUM(AJ55:AJ56)</f>
        <v>1.7999999999999999E-2</v>
      </c>
    </row>
    <row r="58" spans="2:36" ht="21.95" customHeight="1">
      <c r="B58" s="64" t="s">
        <v>575</v>
      </c>
      <c r="C58" s="64" t="s">
        <v>549</v>
      </c>
      <c r="D58" s="74" t="s">
        <v>530</v>
      </c>
      <c r="E58" s="74" t="s">
        <v>550</v>
      </c>
      <c r="F58" s="80" t="s">
        <v>532</v>
      </c>
      <c r="G58" s="80">
        <f>IF(H58*I58/100+0.000005 &lt;1, TRUNC(H58*I58/100+0.000005, 옵션!$E$13), TRUNC(H58*I58/100+0.000005, 옵션!$E$13))</f>
        <v>1.7999999999999999E-2</v>
      </c>
      <c r="H58" s="80">
        <f>옵션!$B$13</f>
        <v>100</v>
      </c>
      <c r="I58" s="80">
        <f>SUM(AJ55:AJ56)</f>
        <v>1.7999999999999999E-2</v>
      </c>
      <c r="J58" s="80"/>
      <c r="K58" s="74"/>
      <c r="L58" s="80"/>
      <c r="M58" s="80"/>
      <c r="N58" s="80"/>
      <c r="O58" s="80" t="str">
        <f>IF(I58*M58=0,"",I58*M58*(N58/100))</f>
        <v/>
      </c>
      <c r="P58" s="58"/>
      <c r="Q58" s="58"/>
      <c r="R58" s="58"/>
      <c r="S58" s="80"/>
      <c r="T58" s="80"/>
    </row>
    <row r="59" spans="2:36" ht="21.95" customHeight="1">
      <c r="B59" s="64" t="s">
        <v>573</v>
      </c>
      <c r="D59" s="158" t="s">
        <v>612</v>
      </c>
      <c r="E59" s="159"/>
      <c r="F59" s="159"/>
      <c r="G59" s="159"/>
      <c r="H59" s="159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60"/>
    </row>
    <row r="60" spans="2:36" ht="21.95" customHeight="1">
      <c r="B60" s="64" t="s">
        <v>575</v>
      </c>
      <c r="C60" s="64" t="s">
        <v>209</v>
      </c>
      <c r="D60" s="74" t="s">
        <v>194</v>
      </c>
      <c r="E60" s="74" t="s">
        <v>210</v>
      </c>
      <c r="F60" s="80" t="s">
        <v>196</v>
      </c>
      <c r="G60" s="80">
        <v>1</v>
      </c>
      <c r="H60" s="80">
        <f>IF(I60&lt;&gt;0,G60-I60,"")</f>
        <v>0</v>
      </c>
      <c r="I60" s="80">
        <v>1</v>
      </c>
      <c r="J60" s="80"/>
      <c r="K60" s="74" t="s">
        <v>605</v>
      </c>
      <c r="L60" s="80" t="s">
        <v>538</v>
      </c>
      <c r="M60" s="80">
        <v>7.0000000000000001E-3</v>
      </c>
      <c r="N60" s="80">
        <v>100</v>
      </c>
      <c r="O60" s="80">
        <f>IF(I60*M60=0,"",I60*M60*(N60/100))</f>
        <v>7.0000000000000001E-3</v>
      </c>
      <c r="P60" s="58"/>
      <c r="Q60" s="58"/>
      <c r="R60" s="58"/>
      <c r="S60" s="80" t="s">
        <v>606</v>
      </c>
      <c r="T60" s="80"/>
      <c r="AD60" s="48">
        <f>O60</f>
        <v>7.0000000000000001E-3</v>
      </c>
    </row>
    <row r="61" spans="2:36" ht="21.95" customHeight="1">
      <c r="B61" s="64" t="s">
        <v>575</v>
      </c>
      <c r="C61" s="64" t="s">
        <v>209</v>
      </c>
      <c r="D61" s="74"/>
      <c r="E61" s="74"/>
      <c r="F61" s="80"/>
      <c r="G61" s="80">
        <v>1</v>
      </c>
      <c r="H61" s="80">
        <f>IF(I61&lt;&gt;0,G61-I61,"")</f>
        <v>0</v>
      </c>
      <c r="I61" s="80">
        <v>1</v>
      </c>
      <c r="J61" s="80"/>
      <c r="K61" s="74" t="s">
        <v>579</v>
      </c>
      <c r="L61" s="80" t="s">
        <v>550</v>
      </c>
      <c r="M61" s="80">
        <v>1.7999999999999999E-2</v>
      </c>
      <c r="N61" s="80">
        <v>100</v>
      </c>
      <c r="O61" s="80">
        <f>IF(I61*M61=0,"",I61*M61*(N61/100))</f>
        <v>1.7999999999999999E-2</v>
      </c>
      <c r="P61" s="58"/>
      <c r="Q61" s="58"/>
      <c r="R61" s="58"/>
      <c r="S61" s="80" t="s">
        <v>606</v>
      </c>
      <c r="T61" s="80"/>
      <c r="AJ61" s="48">
        <f>O61</f>
        <v>1.7999999999999999E-2</v>
      </c>
    </row>
    <row r="62" spans="2:36" ht="21.95" customHeight="1">
      <c r="B62" s="64" t="s">
        <v>575</v>
      </c>
      <c r="C62" s="64" t="s">
        <v>537</v>
      </c>
      <c r="D62" s="74" t="s">
        <v>530</v>
      </c>
      <c r="E62" s="74" t="s">
        <v>538</v>
      </c>
      <c r="F62" s="80" t="s">
        <v>532</v>
      </c>
      <c r="G62" s="80">
        <f>IF(H62*I62/100+0.000005 &lt;1, TRUNC(H62*I62/100+0.000005, 옵션!$E$13), TRUNC(H62*I62/100+0.000005, 옵션!$E$13))</f>
        <v>7.0000000000000001E-3</v>
      </c>
      <c r="H62" s="80">
        <f>옵션!$B$13</f>
        <v>100</v>
      </c>
      <c r="I62" s="80">
        <f>SUM(AD60:AD61)</f>
        <v>7.0000000000000001E-3</v>
      </c>
      <c r="J62" s="80"/>
      <c r="K62" s="74"/>
      <c r="L62" s="80"/>
      <c r="M62" s="80"/>
      <c r="N62" s="80"/>
      <c r="O62" s="80" t="str">
        <f>IF(I62*M62=0,"",I62*M62*(N62/100))</f>
        <v/>
      </c>
      <c r="P62" s="58"/>
      <c r="Q62" s="58"/>
      <c r="R62" s="58"/>
      <c r="S62" s="80"/>
      <c r="T62" s="80"/>
      <c r="AD62" s="48">
        <f>SUM(AD60:AD61)</f>
        <v>7.0000000000000001E-3</v>
      </c>
      <c r="AJ62" s="48">
        <f>SUM(AJ60:AJ61)</f>
        <v>1.7999999999999999E-2</v>
      </c>
    </row>
    <row r="63" spans="2:36" ht="21.95" customHeight="1">
      <c r="B63" s="64" t="s">
        <v>575</v>
      </c>
      <c r="C63" s="64" t="s">
        <v>549</v>
      </c>
      <c r="D63" s="74" t="s">
        <v>530</v>
      </c>
      <c r="E63" s="74" t="s">
        <v>550</v>
      </c>
      <c r="F63" s="80" t="s">
        <v>532</v>
      </c>
      <c r="G63" s="80">
        <f>IF(H63*I63/100+0.000005 &lt;1, TRUNC(H63*I63/100+0.000005, 옵션!$E$13), TRUNC(H63*I63/100+0.000005, 옵션!$E$13))</f>
        <v>1.7999999999999999E-2</v>
      </c>
      <c r="H63" s="80">
        <f>옵션!$B$13</f>
        <v>100</v>
      </c>
      <c r="I63" s="80">
        <f>SUM(AJ60:AJ61)</f>
        <v>1.7999999999999999E-2</v>
      </c>
      <c r="J63" s="80"/>
      <c r="K63" s="74"/>
      <c r="L63" s="80"/>
      <c r="M63" s="80"/>
      <c r="N63" s="80"/>
      <c r="O63" s="80" t="str">
        <f>IF(I63*M63=0,"",I63*M63*(N63/100))</f>
        <v/>
      </c>
      <c r="P63" s="58"/>
      <c r="Q63" s="58"/>
      <c r="R63" s="58"/>
      <c r="S63" s="80"/>
      <c r="T63" s="80"/>
    </row>
    <row r="64" spans="2:36" ht="21.95" customHeight="1">
      <c r="B64" s="64" t="s">
        <v>573</v>
      </c>
      <c r="D64" s="158" t="s">
        <v>613</v>
      </c>
      <c r="E64" s="159"/>
      <c r="F64" s="159"/>
      <c r="G64" s="159"/>
      <c r="H64" s="159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60"/>
    </row>
    <row r="65" spans="2:36" ht="21.95" customHeight="1">
      <c r="B65" s="64" t="s">
        <v>575</v>
      </c>
      <c r="C65" s="64" t="s">
        <v>211</v>
      </c>
      <c r="D65" s="74" t="s">
        <v>212</v>
      </c>
      <c r="E65" s="74" t="s">
        <v>213</v>
      </c>
      <c r="F65" s="80" t="s">
        <v>196</v>
      </c>
      <c r="G65" s="80">
        <v>1</v>
      </c>
      <c r="H65" s="80">
        <f>IF(I65&lt;&gt;0,G65-I65,"")</f>
        <v>0</v>
      </c>
      <c r="I65" s="80">
        <v>1</v>
      </c>
      <c r="J65" s="80"/>
      <c r="K65" s="74" t="s">
        <v>614</v>
      </c>
      <c r="L65" s="80" t="s">
        <v>544</v>
      </c>
      <c r="M65" s="80">
        <v>1.7299999999999999E-2</v>
      </c>
      <c r="N65" s="80">
        <v>100</v>
      </c>
      <c r="O65" s="80">
        <f>IF(I65*M65=0,"",I65*M65*(N65/100))</f>
        <v>1.7299999999999999E-2</v>
      </c>
      <c r="P65" s="58"/>
      <c r="Q65" s="58"/>
      <c r="R65" s="58"/>
      <c r="S65" s="80" t="s">
        <v>615</v>
      </c>
      <c r="T65" s="80"/>
      <c r="AG65" s="48">
        <f>O65</f>
        <v>1.7299999999999999E-2</v>
      </c>
    </row>
    <row r="66" spans="2:36" ht="21.95" customHeight="1">
      <c r="B66" s="64" t="s">
        <v>575</v>
      </c>
      <c r="C66" s="64" t="s">
        <v>211</v>
      </c>
      <c r="D66" s="74"/>
      <c r="E66" s="74"/>
      <c r="F66" s="80"/>
      <c r="G66" s="80">
        <v>1</v>
      </c>
      <c r="H66" s="80">
        <f>IF(I66&lt;&gt;0,G66-I66,"")</f>
        <v>0</v>
      </c>
      <c r="I66" s="80">
        <v>1</v>
      </c>
      <c r="J66" s="80"/>
      <c r="K66" s="74" t="s">
        <v>579</v>
      </c>
      <c r="L66" s="80" t="s">
        <v>550</v>
      </c>
      <c r="M66" s="80">
        <v>1.8200000000000001E-2</v>
      </c>
      <c r="N66" s="80">
        <v>100</v>
      </c>
      <c r="O66" s="80">
        <f>IF(I66*M66=0,"",I66*M66*(N66/100))</f>
        <v>1.8200000000000001E-2</v>
      </c>
      <c r="P66" s="58"/>
      <c r="Q66" s="58"/>
      <c r="R66" s="58"/>
      <c r="S66" s="80" t="s">
        <v>615</v>
      </c>
      <c r="T66" s="80"/>
      <c r="AJ66" s="48">
        <f>O66</f>
        <v>1.8200000000000001E-2</v>
      </c>
    </row>
    <row r="67" spans="2:36" ht="21.95" customHeight="1">
      <c r="B67" s="64" t="s">
        <v>575</v>
      </c>
      <c r="C67" s="64" t="s">
        <v>543</v>
      </c>
      <c r="D67" s="74" t="s">
        <v>530</v>
      </c>
      <c r="E67" s="74" t="s">
        <v>544</v>
      </c>
      <c r="F67" s="80" t="s">
        <v>532</v>
      </c>
      <c r="G67" s="80">
        <f>IF(H67*I67/100+0.000005 &lt;1, TRUNC(H67*I67/100+0.000005, 옵션!$E$13), TRUNC(H67*I67/100+0.000005, 옵션!$E$13))</f>
        <v>1.7299999999999999E-2</v>
      </c>
      <c r="H67" s="80">
        <f>옵션!$B$13</f>
        <v>100</v>
      </c>
      <c r="I67" s="80">
        <f>SUM(AG65:AG66)</f>
        <v>1.7299999999999999E-2</v>
      </c>
      <c r="J67" s="80"/>
      <c r="K67" s="74"/>
      <c r="L67" s="80"/>
      <c r="M67" s="80"/>
      <c r="N67" s="80"/>
      <c r="O67" s="80" t="str">
        <f>IF(I67*M67=0,"",I67*M67*(N67/100))</f>
        <v/>
      </c>
      <c r="P67" s="58"/>
      <c r="Q67" s="58"/>
      <c r="R67" s="58"/>
      <c r="S67" s="80"/>
      <c r="T67" s="80"/>
      <c r="AG67" s="48">
        <f>SUM(AG65:AG66)</f>
        <v>1.7299999999999999E-2</v>
      </c>
      <c r="AJ67" s="48">
        <f>SUM(AJ65:AJ66)</f>
        <v>1.8200000000000001E-2</v>
      </c>
    </row>
    <row r="68" spans="2:36" ht="21.95" customHeight="1">
      <c r="B68" s="64" t="s">
        <v>575</v>
      </c>
      <c r="C68" s="64" t="s">
        <v>549</v>
      </c>
      <c r="D68" s="74" t="s">
        <v>530</v>
      </c>
      <c r="E68" s="74" t="s">
        <v>550</v>
      </c>
      <c r="F68" s="80" t="s">
        <v>532</v>
      </c>
      <c r="G68" s="80">
        <f>IF(H68*I68/100+0.000005 &lt;1, TRUNC(H68*I68/100+0.000005, 옵션!$E$13), TRUNC(H68*I68/100+0.000005, 옵션!$E$13))</f>
        <v>1.8200000000000001E-2</v>
      </c>
      <c r="H68" s="80">
        <f>옵션!$B$13</f>
        <v>100</v>
      </c>
      <c r="I68" s="80">
        <f>SUM(AJ65:AJ66)</f>
        <v>1.8200000000000001E-2</v>
      </c>
      <c r="J68" s="80"/>
      <c r="K68" s="74"/>
      <c r="L68" s="80"/>
      <c r="M68" s="80"/>
      <c r="N68" s="80"/>
      <c r="O68" s="80" t="str">
        <f>IF(I68*M68=0,"",I68*M68*(N68/100))</f>
        <v/>
      </c>
      <c r="P68" s="58"/>
      <c r="Q68" s="58"/>
      <c r="R68" s="58"/>
      <c r="S68" s="80"/>
      <c r="T68" s="80"/>
    </row>
    <row r="69" spans="2:36" ht="21.95" customHeight="1">
      <c r="B69" s="64" t="s">
        <v>573</v>
      </c>
      <c r="D69" s="158" t="s">
        <v>616</v>
      </c>
      <c r="E69" s="159"/>
      <c r="F69" s="159"/>
      <c r="G69" s="159"/>
      <c r="H69" s="159"/>
      <c r="I69" s="159"/>
      <c r="J69" s="159"/>
      <c r="K69" s="159"/>
      <c r="L69" s="159"/>
      <c r="M69" s="159"/>
      <c r="N69" s="159"/>
      <c r="O69" s="159"/>
      <c r="P69" s="159"/>
      <c r="Q69" s="159"/>
      <c r="R69" s="159"/>
      <c r="S69" s="159"/>
      <c r="T69" s="160"/>
    </row>
    <row r="70" spans="2:36" ht="21.95" customHeight="1">
      <c r="B70" s="64" t="s">
        <v>575</v>
      </c>
      <c r="C70" s="64" t="s">
        <v>216</v>
      </c>
      <c r="D70" s="74" t="s">
        <v>217</v>
      </c>
      <c r="E70" s="74" t="s">
        <v>218</v>
      </c>
      <c r="F70" s="80" t="s">
        <v>196</v>
      </c>
      <c r="G70" s="80">
        <v>1</v>
      </c>
      <c r="H70" s="80">
        <f>IF(I70&lt;&gt;0,G70-I70,"")</f>
        <v>0</v>
      </c>
      <c r="I70" s="80">
        <v>1</v>
      </c>
      <c r="J70" s="80"/>
      <c r="K70" s="74" t="s">
        <v>593</v>
      </c>
      <c r="L70" s="80" t="s">
        <v>531</v>
      </c>
      <c r="M70" s="80">
        <v>6.0000000000000001E-3</v>
      </c>
      <c r="N70" s="80">
        <v>150</v>
      </c>
      <c r="O70" s="80">
        <f>IF(I70*M70=0,"",I70*M70*(N70/100))</f>
        <v>9.0000000000000011E-3</v>
      </c>
      <c r="P70" s="58"/>
      <c r="Q70" s="58"/>
      <c r="R70" s="58"/>
      <c r="S70" s="80" t="s">
        <v>617</v>
      </c>
      <c r="T70" s="80"/>
      <c r="AA70" s="48">
        <f>O70</f>
        <v>9.0000000000000011E-3</v>
      </c>
    </row>
    <row r="71" spans="2:36" ht="21.95" customHeight="1">
      <c r="B71" s="64" t="s">
        <v>575</v>
      </c>
      <c r="C71" s="64" t="s">
        <v>529</v>
      </c>
      <c r="D71" s="74" t="s">
        <v>530</v>
      </c>
      <c r="E71" s="74" t="s">
        <v>531</v>
      </c>
      <c r="F71" s="80" t="s">
        <v>532</v>
      </c>
      <c r="G71" s="80">
        <f>IF(H71*I71/100+0.000005 &lt;1, TRUNC(H71*I71/100+0.000005, 옵션!$E$13), TRUNC(H71*I71/100+0.000005, 옵션!$E$13))</f>
        <v>8.9999999999999993E-3</v>
      </c>
      <c r="H71" s="80">
        <f>옵션!$B$13</f>
        <v>100</v>
      </c>
      <c r="I71" s="80">
        <f>SUM(AA70:AA70)</f>
        <v>9.0000000000000011E-3</v>
      </c>
      <c r="J71" s="80"/>
      <c r="K71" s="74"/>
      <c r="L71" s="80"/>
      <c r="M71" s="80"/>
      <c r="N71" s="80"/>
      <c r="O71" s="80" t="str">
        <f>IF(I71*M71=0,"",I71*M71*(N71/100))</f>
        <v/>
      </c>
      <c r="P71" s="58"/>
      <c r="Q71" s="58"/>
      <c r="R71" s="58"/>
      <c r="S71" s="80"/>
      <c r="T71" s="80"/>
      <c r="AA71" s="48">
        <f>SUM(AA70:AA70)</f>
        <v>9.0000000000000011E-3</v>
      </c>
    </row>
    <row r="72" spans="2:36" ht="21.95" customHeight="1">
      <c r="B72" s="64" t="s">
        <v>573</v>
      </c>
      <c r="D72" s="158" t="s">
        <v>618</v>
      </c>
      <c r="E72" s="159"/>
      <c r="F72" s="159"/>
      <c r="G72" s="159"/>
      <c r="H72" s="159"/>
      <c r="I72" s="159"/>
      <c r="J72" s="159"/>
      <c r="K72" s="159"/>
      <c r="L72" s="159"/>
      <c r="M72" s="159"/>
      <c r="N72" s="159"/>
      <c r="O72" s="159"/>
      <c r="P72" s="159"/>
      <c r="Q72" s="159"/>
      <c r="R72" s="159"/>
      <c r="S72" s="159"/>
      <c r="T72" s="160"/>
    </row>
    <row r="73" spans="2:36" ht="21.95" customHeight="1">
      <c r="B73" s="64" t="s">
        <v>575</v>
      </c>
      <c r="C73" s="64" t="s">
        <v>221</v>
      </c>
      <c r="D73" s="74" t="s">
        <v>222</v>
      </c>
      <c r="E73" s="74" t="s">
        <v>223</v>
      </c>
      <c r="F73" s="80" t="s">
        <v>196</v>
      </c>
      <c r="G73" s="80">
        <v>1</v>
      </c>
      <c r="H73" s="80">
        <f>IF(I73&lt;&gt;0,G73-I73,"")</f>
        <v>0</v>
      </c>
      <c r="I73" s="80">
        <v>1</v>
      </c>
      <c r="J73" s="80"/>
      <c r="K73" s="74" t="s">
        <v>593</v>
      </c>
      <c r="L73" s="80" t="s">
        <v>531</v>
      </c>
      <c r="M73" s="80">
        <v>6.0000000000000001E-3</v>
      </c>
      <c r="N73" s="80">
        <v>150</v>
      </c>
      <c r="O73" s="80">
        <f>IF(I73*M73=0,"",I73*M73*(N73/100))</f>
        <v>9.0000000000000011E-3</v>
      </c>
      <c r="P73" s="58"/>
      <c r="Q73" s="58"/>
      <c r="R73" s="58"/>
      <c r="S73" s="80" t="s">
        <v>617</v>
      </c>
      <c r="T73" s="80"/>
      <c r="AA73" s="48">
        <f>O73</f>
        <v>9.0000000000000011E-3</v>
      </c>
    </row>
    <row r="74" spans="2:36" ht="21.95" customHeight="1">
      <c r="B74" s="64" t="s">
        <v>575</v>
      </c>
      <c r="C74" s="64" t="s">
        <v>529</v>
      </c>
      <c r="D74" s="74" t="s">
        <v>530</v>
      </c>
      <c r="E74" s="74" t="s">
        <v>531</v>
      </c>
      <c r="F74" s="80" t="s">
        <v>532</v>
      </c>
      <c r="G74" s="80">
        <f>IF(H74*I74/100+0.000005 &lt;1, TRUNC(H74*I74/100+0.000005, 옵션!$E$13), TRUNC(H74*I74/100+0.000005, 옵션!$E$13))</f>
        <v>8.9999999999999993E-3</v>
      </c>
      <c r="H74" s="80">
        <f>옵션!$B$13</f>
        <v>100</v>
      </c>
      <c r="I74" s="80">
        <f>SUM(AA73:AA73)</f>
        <v>9.0000000000000011E-3</v>
      </c>
      <c r="J74" s="80"/>
      <c r="K74" s="74"/>
      <c r="L74" s="80"/>
      <c r="M74" s="80"/>
      <c r="N74" s="80"/>
      <c r="O74" s="80" t="str">
        <f>IF(I74*M74=0,"",I74*M74*(N74/100))</f>
        <v/>
      </c>
      <c r="P74" s="58"/>
      <c r="Q74" s="58"/>
      <c r="R74" s="58"/>
      <c r="S74" s="80"/>
      <c r="T74" s="80"/>
      <c r="AA74" s="48">
        <f>SUM(AA73:AA73)</f>
        <v>9.0000000000000011E-3</v>
      </c>
    </row>
    <row r="75" spans="2:36" ht="21.95" customHeight="1">
      <c r="B75" s="64" t="s">
        <v>573</v>
      </c>
      <c r="D75" s="158" t="s">
        <v>619</v>
      </c>
      <c r="E75" s="159"/>
      <c r="F75" s="159"/>
      <c r="G75" s="159"/>
      <c r="H75" s="159"/>
      <c r="I75" s="159"/>
      <c r="J75" s="159"/>
      <c r="K75" s="159"/>
      <c r="L75" s="159"/>
      <c r="M75" s="159"/>
      <c r="N75" s="159"/>
      <c r="O75" s="159"/>
      <c r="P75" s="159"/>
      <c r="Q75" s="159"/>
      <c r="R75" s="159"/>
      <c r="S75" s="159"/>
      <c r="T75" s="160"/>
    </row>
    <row r="76" spans="2:36" ht="21.95" customHeight="1">
      <c r="B76" s="64" t="s">
        <v>575</v>
      </c>
      <c r="C76" s="64" t="s">
        <v>224</v>
      </c>
      <c r="D76" s="74" t="s">
        <v>222</v>
      </c>
      <c r="E76" s="74" t="s">
        <v>225</v>
      </c>
      <c r="F76" s="80" t="s">
        <v>196</v>
      </c>
      <c r="G76" s="80">
        <v>1</v>
      </c>
      <c r="H76" s="80">
        <f>IF(I76&lt;&gt;0,G76-I76,"")</f>
        <v>0</v>
      </c>
      <c r="I76" s="80">
        <v>1</v>
      </c>
      <c r="J76" s="80"/>
      <c r="K76" s="74" t="s">
        <v>593</v>
      </c>
      <c r="L76" s="80" t="s">
        <v>531</v>
      </c>
      <c r="M76" s="80">
        <v>7.0000000000000001E-3</v>
      </c>
      <c r="N76" s="80">
        <v>150</v>
      </c>
      <c r="O76" s="80">
        <f>IF(I76*M76=0,"",I76*M76*(N76/100))</f>
        <v>1.0500000000000001E-2</v>
      </c>
      <c r="P76" s="58"/>
      <c r="Q76" s="58"/>
      <c r="R76" s="58"/>
      <c r="S76" s="80" t="s">
        <v>617</v>
      </c>
      <c r="T76" s="80"/>
      <c r="AA76" s="48">
        <f>O76</f>
        <v>1.0500000000000001E-2</v>
      </c>
    </row>
    <row r="77" spans="2:36" ht="21.95" customHeight="1">
      <c r="B77" s="64" t="s">
        <v>575</v>
      </c>
      <c r="C77" s="64" t="s">
        <v>529</v>
      </c>
      <c r="D77" s="74" t="s">
        <v>530</v>
      </c>
      <c r="E77" s="74" t="s">
        <v>531</v>
      </c>
      <c r="F77" s="80" t="s">
        <v>532</v>
      </c>
      <c r="G77" s="80">
        <f>IF(H77*I77/100+0.000005 &lt;1, TRUNC(H77*I77/100+0.000005, 옵션!$E$13), TRUNC(H77*I77/100+0.000005, 옵션!$E$13))</f>
        <v>1.0500000000000001E-2</v>
      </c>
      <c r="H77" s="80">
        <f>옵션!$B$13</f>
        <v>100</v>
      </c>
      <c r="I77" s="80">
        <f>SUM(AA76:AA76)</f>
        <v>1.0500000000000001E-2</v>
      </c>
      <c r="J77" s="80"/>
      <c r="K77" s="74"/>
      <c r="L77" s="80"/>
      <c r="M77" s="80"/>
      <c r="N77" s="80"/>
      <c r="O77" s="80" t="str">
        <f>IF(I77*M77=0,"",I77*M77*(N77/100))</f>
        <v/>
      </c>
      <c r="P77" s="58"/>
      <c r="Q77" s="58"/>
      <c r="R77" s="58"/>
      <c r="S77" s="80"/>
      <c r="T77" s="80"/>
      <c r="AA77" s="48">
        <f>SUM(AA76:AA76)</f>
        <v>1.0500000000000001E-2</v>
      </c>
    </row>
    <row r="78" spans="2:36" ht="21.95" customHeight="1">
      <c r="B78" s="64" t="s">
        <v>573</v>
      </c>
      <c r="D78" s="158" t="s">
        <v>620</v>
      </c>
      <c r="E78" s="159"/>
      <c r="F78" s="159"/>
      <c r="G78" s="159"/>
      <c r="H78" s="159"/>
      <c r="I78" s="159"/>
      <c r="J78" s="159"/>
      <c r="K78" s="159"/>
      <c r="L78" s="159"/>
      <c r="M78" s="159"/>
      <c r="N78" s="159"/>
      <c r="O78" s="159"/>
      <c r="P78" s="159"/>
      <c r="Q78" s="159"/>
      <c r="R78" s="159"/>
      <c r="S78" s="159"/>
      <c r="T78" s="160"/>
    </row>
    <row r="79" spans="2:36" ht="21.95" customHeight="1">
      <c r="B79" s="64" t="s">
        <v>575</v>
      </c>
      <c r="C79" s="64" t="s">
        <v>226</v>
      </c>
      <c r="D79" s="74" t="s">
        <v>227</v>
      </c>
      <c r="E79" s="74" t="s">
        <v>228</v>
      </c>
      <c r="F79" s="80" t="s">
        <v>196</v>
      </c>
      <c r="G79" s="80">
        <v>1</v>
      </c>
      <c r="H79" s="80">
        <f>IF(I79&lt;&gt;0,G79-I79,"")</f>
        <v>0</v>
      </c>
      <c r="I79" s="80">
        <v>1</v>
      </c>
      <c r="J79" s="80"/>
      <c r="K79" s="74" t="s">
        <v>621</v>
      </c>
      <c r="L79" s="80" t="s">
        <v>534</v>
      </c>
      <c r="M79" s="80">
        <v>1.4E-2</v>
      </c>
      <c r="N79" s="80">
        <v>100</v>
      </c>
      <c r="O79" s="80">
        <f>IF(I79*M79=0,"",I79*M79*(N79/100))</f>
        <v>1.4E-2</v>
      </c>
      <c r="P79" s="58"/>
      <c r="Q79" s="58"/>
      <c r="R79" s="58"/>
      <c r="S79" s="80" t="s">
        <v>622</v>
      </c>
      <c r="T79" s="80"/>
      <c r="AB79" s="48">
        <f>O79</f>
        <v>1.4E-2</v>
      </c>
    </row>
    <row r="80" spans="2:36" ht="21.95" customHeight="1">
      <c r="B80" s="64" t="s">
        <v>575</v>
      </c>
      <c r="C80" s="64" t="s">
        <v>533</v>
      </c>
      <c r="D80" s="74" t="s">
        <v>530</v>
      </c>
      <c r="E80" s="74" t="s">
        <v>534</v>
      </c>
      <c r="F80" s="80" t="s">
        <v>532</v>
      </c>
      <c r="G80" s="80">
        <f>IF(H80*I80/100+0.000005 &lt;1, TRUNC(H80*I80/100+0.000005, 옵션!$E$13), TRUNC(H80*I80/100+0.000005, 옵션!$E$13))</f>
        <v>1.4E-2</v>
      </c>
      <c r="H80" s="80">
        <f>옵션!$B$13</f>
        <v>100</v>
      </c>
      <c r="I80" s="80">
        <f>SUM(AB79:AB79)</f>
        <v>1.4E-2</v>
      </c>
      <c r="J80" s="80"/>
      <c r="K80" s="74"/>
      <c r="L80" s="80"/>
      <c r="M80" s="80"/>
      <c r="N80" s="80"/>
      <c r="O80" s="80" t="str">
        <f>IF(I80*M80=0,"",I80*M80*(N80/100))</f>
        <v/>
      </c>
      <c r="P80" s="58"/>
      <c r="Q80" s="58"/>
      <c r="R80" s="58"/>
      <c r="S80" s="80"/>
      <c r="T80" s="80"/>
      <c r="AB80" s="48">
        <f>SUM(AB79:AB79)</f>
        <v>1.4E-2</v>
      </c>
    </row>
    <row r="81" spans="2:37" ht="21.95" customHeight="1">
      <c r="B81" s="64" t="s">
        <v>573</v>
      </c>
      <c r="D81" s="158" t="s">
        <v>623</v>
      </c>
      <c r="E81" s="159"/>
      <c r="F81" s="159"/>
      <c r="G81" s="159"/>
      <c r="H81" s="159"/>
      <c r="I81" s="159"/>
      <c r="J81" s="159"/>
      <c r="K81" s="159"/>
      <c r="L81" s="159"/>
      <c r="M81" s="159"/>
      <c r="N81" s="159"/>
      <c r="O81" s="159"/>
      <c r="P81" s="159"/>
      <c r="Q81" s="159"/>
      <c r="R81" s="159"/>
      <c r="S81" s="159"/>
      <c r="T81" s="160"/>
    </row>
    <row r="82" spans="2:37" ht="21.95" customHeight="1">
      <c r="B82" s="64" t="s">
        <v>575</v>
      </c>
      <c r="C82" s="64" t="s">
        <v>243</v>
      </c>
      <c r="D82" s="74" t="s">
        <v>227</v>
      </c>
      <c r="E82" s="74" t="s">
        <v>244</v>
      </c>
      <c r="F82" s="80" t="s">
        <v>196</v>
      </c>
      <c r="G82" s="80">
        <v>1</v>
      </c>
      <c r="H82" s="80">
        <f>IF(I82&lt;&gt;0,G82-I82,"")</f>
        <v>0</v>
      </c>
      <c r="I82" s="80">
        <v>1</v>
      </c>
      <c r="J82" s="80"/>
      <c r="K82" s="74" t="s">
        <v>621</v>
      </c>
      <c r="L82" s="80" t="s">
        <v>534</v>
      </c>
      <c r="M82" s="80">
        <v>2.5999999999999999E-2</v>
      </c>
      <c r="N82" s="80">
        <v>100</v>
      </c>
      <c r="O82" s="80">
        <f>IF(I82*M82=0,"",I82*M82*(N82/100))</f>
        <v>2.5999999999999999E-2</v>
      </c>
      <c r="P82" s="58"/>
      <c r="Q82" s="58"/>
      <c r="R82" s="58"/>
      <c r="S82" s="80" t="s">
        <v>622</v>
      </c>
      <c r="T82" s="80"/>
      <c r="AB82" s="48">
        <f>O82</f>
        <v>2.5999999999999999E-2</v>
      </c>
    </row>
    <row r="83" spans="2:37" ht="21.95" customHeight="1">
      <c r="B83" s="64" t="s">
        <v>575</v>
      </c>
      <c r="C83" s="64" t="s">
        <v>533</v>
      </c>
      <c r="D83" s="74" t="s">
        <v>530</v>
      </c>
      <c r="E83" s="74" t="s">
        <v>534</v>
      </c>
      <c r="F83" s="80" t="s">
        <v>532</v>
      </c>
      <c r="G83" s="80">
        <f>IF(H83*I83/100+0.000005 &lt;1, TRUNC(H83*I83/100+0.000005, 옵션!$E$13), TRUNC(H83*I83/100+0.000005, 옵션!$E$13))</f>
        <v>2.5999999999999999E-2</v>
      </c>
      <c r="H83" s="80">
        <f>옵션!$B$13</f>
        <v>100</v>
      </c>
      <c r="I83" s="80">
        <f>SUM(AB82:AB82)</f>
        <v>2.5999999999999999E-2</v>
      </c>
      <c r="J83" s="80"/>
      <c r="K83" s="74"/>
      <c r="L83" s="80"/>
      <c r="M83" s="80"/>
      <c r="N83" s="80"/>
      <c r="O83" s="80" t="str">
        <f>IF(I83*M83=0,"",I83*M83*(N83/100))</f>
        <v/>
      </c>
      <c r="P83" s="58"/>
      <c r="Q83" s="58"/>
      <c r="R83" s="58"/>
      <c r="S83" s="80"/>
      <c r="T83" s="80"/>
      <c r="AB83" s="48">
        <f>SUM(AB82:AB82)</f>
        <v>2.5999999999999999E-2</v>
      </c>
    </row>
    <row r="84" spans="2:37" ht="21.95" customHeight="1">
      <c r="B84" s="64" t="s">
        <v>573</v>
      </c>
      <c r="D84" s="158" t="s">
        <v>624</v>
      </c>
      <c r="E84" s="159"/>
      <c r="F84" s="159"/>
      <c r="G84" s="159"/>
      <c r="H84" s="159"/>
      <c r="I84" s="159"/>
      <c r="J84" s="159"/>
      <c r="K84" s="159"/>
      <c r="L84" s="159"/>
      <c r="M84" s="159"/>
      <c r="N84" s="159"/>
      <c r="O84" s="159"/>
      <c r="P84" s="159"/>
      <c r="Q84" s="159"/>
      <c r="R84" s="159"/>
      <c r="S84" s="159"/>
      <c r="T84" s="160"/>
    </row>
    <row r="85" spans="2:37" ht="21.95" customHeight="1">
      <c r="B85" s="64" t="s">
        <v>575</v>
      </c>
      <c r="C85" s="64" t="s">
        <v>251</v>
      </c>
      <c r="D85" s="74" t="s">
        <v>252</v>
      </c>
      <c r="E85" s="74" t="s">
        <v>253</v>
      </c>
      <c r="F85" s="80" t="s">
        <v>196</v>
      </c>
      <c r="G85" s="80">
        <v>1</v>
      </c>
      <c r="H85" s="80">
        <f>IF(I85&lt;&gt;0,G85-I85,"")</f>
        <v>0</v>
      </c>
      <c r="I85" s="80">
        <v>1</v>
      </c>
      <c r="J85" s="80"/>
      <c r="K85" s="74" t="s">
        <v>621</v>
      </c>
      <c r="L85" s="80" t="s">
        <v>534</v>
      </c>
      <c r="M85" s="80">
        <v>3.2000000000000001E-2</v>
      </c>
      <c r="N85" s="80">
        <v>100</v>
      </c>
      <c r="O85" s="80">
        <f>IF(I85*M85=0,"",I85*M85*(N85/100))</f>
        <v>3.2000000000000001E-2</v>
      </c>
      <c r="P85" s="58"/>
      <c r="Q85" s="58"/>
      <c r="R85" s="58"/>
      <c r="S85" s="80" t="s">
        <v>622</v>
      </c>
      <c r="T85" s="80"/>
      <c r="AB85" s="48">
        <f>O85</f>
        <v>3.2000000000000001E-2</v>
      </c>
    </row>
    <row r="86" spans="2:37" ht="21.95" customHeight="1">
      <c r="B86" s="64" t="s">
        <v>575</v>
      </c>
      <c r="C86" s="64" t="s">
        <v>533</v>
      </c>
      <c r="D86" s="74" t="s">
        <v>530</v>
      </c>
      <c r="E86" s="74" t="s">
        <v>534</v>
      </c>
      <c r="F86" s="80" t="s">
        <v>532</v>
      </c>
      <c r="G86" s="80">
        <f>IF(H86*I86/100+0.000005 &lt;1, TRUNC(H86*I86/100+0.000005, 옵션!$E$13), TRUNC(H86*I86/100+0.000005, 옵션!$E$13))</f>
        <v>3.2000000000000001E-2</v>
      </c>
      <c r="H86" s="80">
        <f>옵션!$B$13</f>
        <v>100</v>
      </c>
      <c r="I86" s="80">
        <f>SUM(AB85:AB85)</f>
        <v>3.2000000000000001E-2</v>
      </c>
      <c r="J86" s="80"/>
      <c r="K86" s="74"/>
      <c r="L86" s="80"/>
      <c r="M86" s="80"/>
      <c r="N86" s="80"/>
      <c r="O86" s="80" t="str">
        <f>IF(I86*M86=0,"",I86*M86*(N86/100))</f>
        <v/>
      </c>
      <c r="P86" s="58"/>
      <c r="Q86" s="58"/>
      <c r="R86" s="58"/>
      <c r="S86" s="80"/>
      <c r="T86" s="80"/>
      <c r="AB86" s="48">
        <f>SUM(AB85:AB85)</f>
        <v>3.2000000000000001E-2</v>
      </c>
    </row>
    <row r="87" spans="2:37" ht="21.95" customHeight="1">
      <c r="B87" s="64" t="s">
        <v>573</v>
      </c>
      <c r="D87" s="158" t="s">
        <v>625</v>
      </c>
      <c r="E87" s="159"/>
      <c r="F87" s="159"/>
      <c r="G87" s="159"/>
      <c r="H87" s="159"/>
      <c r="I87" s="159"/>
      <c r="J87" s="159"/>
      <c r="K87" s="159"/>
      <c r="L87" s="159"/>
      <c r="M87" s="159"/>
      <c r="N87" s="159"/>
      <c r="O87" s="159"/>
      <c r="P87" s="159"/>
      <c r="Q87" s="159"/>
      <c r="R87" s="159"/>
      <c r="S87" s="159"/>
      <c r="T87" s="160"/>
    </row>
    <row r="88" spans="2:37" ht="21.95" customHeight="1">
      <c r="B88" s="64" t="s">
        <v>575</v>
      </c>
      <c r="C88" s="64" t="s">
        <v>256</v>
      </c>
      <c r="D88" s="74" t="s">
        <v>257</v>
      </c>
      <c r="E88" s="74" t="s">
        <v>258</v>
      </c>
      <c r="F88" s="80" t="s">
        <v>196</v>
      </c>
      <c r="G88" s="80">
        <v>1</v>
      </c>
      <c r="H88" s="80">
        <f>IF(I88&lt;&gt;0,G88-I88,"")</f>
        <v>0</v>
      </c>
      <c r="I88" s="80">
        <v>1</v>
      </c>
      <c r="J88" s="80"/>
      <c r="K88" s="74" t="s">
        <v>626</v>
      </c>
      <c r="L88" s="80" t="s">
        <v>548</v>
      </c>
      <c r="M88" s="80">
        <v>9.1999999999999998E-3</v>
      </c>
      <c r="N88" s="80">
        <v>100</v>
      </c>
      <c r="O88" s="80">
        <f>IF(I88*M88=0,"",I88*M88*(N88/100))</f>
        <v>9.1999999999999998E-3</v>
      </c>
      <c r="P88" s="58"/>
      <c r="Q88" s="58"/>
      <c r="R88" s="58"/>
      <c r="S88" s="80" t="s">
        <v>627</v>
      </c>
      <c r="T88" s="80"/>
      <c r="AI88" s="48">
        <f>O88</f>
        <v>9.1999999999999998E-3</v>
      </c>
    </row>
    <row r="89" spans="2:37" ht="21.95" customHeight="1">
      <c r="B89" s="64" t="s">
        <v>575</v>
      </c>
      <c r="C89" s="64" t="s">
        <v>256</v>
      </c>
      <c r="D89" s="74"/>
      <c r="E89" s="74"/>
      <c r="F89" s="80"/>
      <c r="G89" s="80">
        <v>1</v>
      </c>
      <c r="H89" s="80">
        <f>IF(I89&lt;&gt;0,G89-I89,"")</f>
        <v>0</v>
      </c>
      <c r="I89" s="80">
        <v>1</v>
      </c>
      <c r="J89" s="80"/>
      <c r="K89" s="74" t="s">
        <v>628</v>
      </c>
      <c r="L89" s="80" t="s">
        <v>552</v>
      </c>
      <c r="M89" s="80">
        <v>4.5999999999999999E-3</v>
      </c>
      <c r="N89" s="80">
        <v>100</v>
      </c>
      <c r="O89" s="80">
        <f>IF(I89*M89=0,"",I89*M89*(N89/100))</f>
        <v>4.5999999999999999E-3</v>
      </c>
      <c r="P89" s="58"/>
      <c r="Q89" s="58"/>
      <c r="R89" s="58"/>
      <c r="S89" s="80" t="s">
        <v>627</v>
      </c>
      <c r="T89" s="80"/>
      <c r="AK89" s="48">
        <f>O89</f>
        <v>4.5999999999999999E-3</v>
      </c>
    </row>
    <row r="90" spans="2:37" ht="21.95" customHeight="1">
      <c r="B90" s="64" t="s">
        <v>575</v>
      </c>
      <c r="C90" s="64" t="s">
        <v>547</v>
      </c>
      <c r="D90" s="74" t="s">
        <v>530</v>
      </c>
      <c r="E90" s="74" t="s">
        <v>548</v>
      </c>
      <c r="F90" s="80" t="s">
        <v>532</v>
      </c>
      <c r="G90" s="80">
        <f>IF(H90*I90/100+0.000005 &lt;1, TRUNC(H90*I90/100+0.000005, 옵션!$E$13), TRUNC(H90*I90/100+0.000005, 옵션!$E$13))</f>
        <v>9.1999999999999998E-3</v>
      </c>
      <c r="H90" s="80">
        <f>옵션!$B$13</f>
        <v>100</v>
      </c>
      <c r="I90" s="80">
        <f>SUM(AI88:AI89)</f>
        <v>9.1999999999999998E-3</v>
      </c>
      <c r="J90" s="80"/>
      <c r="K90" s="74"/>
      <c r="L90" s="80"/>
      <c r="M90" s="80"/>
      <c r="N90" s="80"/>
      <c r="O90" s="80" t="str">
        <f>IF(I90*M90=0,"",I90*M90*(N90/100))</f>
        <v/>
      </c>
      <c r="P90" s="58"/>
      <c r="Q90" s="58"/>
      <c r="R90" s="58"/>
      <c r="S90" s="80"/>
      <c r="T90" s="80"/>
      <c r="AI90" s="48">
        <f>SUM(AI88:AI89)</f>
        <v>9.1999999999999998E-3</v>
      </c>
      <c r="AK90" s="48">
        <f>SUM(AK88:AK89)</f>
        <v>4.5999999999999999E-3</v>
      </c>
    </row>
    <row r="91" spans="2:37" ht="21.95" customHeight="1">
      <c r="B91" s="64" t="s">
        <v>575</v>
      </c>
      <c r="C91" s="64" t="s">
        <v>551</v>
      </c>
      <c r="D91" s="74" t="s">
        <v>530</v>
      </c>
      <c r="E91" s="74" t="s">
        <v>552</v>
      </c>
      <c r="F91" s="80" t="s">
        <v>532</v>
      </c>
      <c r="G91" s="80">
        <f>IF(H91*I91/100+0.000005 &lt;1, TRUNC(H91*I91/100+0.000005, 옵션!$E$13), TRUNC(H91*I91/100+0.000005, 옵션!$E$13))</f>
        <v>4.5999999999999999E-3</v>
      </c>
      <c r="H91" s="80">
        <f>옵션!$B$13</f>
        <v>100</v>
      </c>
      <c r="I91" s="80">
        <f>SUM(AK88:AK89)</f>
        <v>4.5999999999999999E-3</v>
      </c>
      <c r="J91" s="80"/>
      <c r="K91" s="74"/>
      <c r="L91" s="80"/>
      <c r="M91" s="80"/>
      <c r="N91" s="80"/>
      <c r="O91" s="80" t="str">
        <f>IF(I91*M91=0,"",I91*M91*(N91/100))</f>
        <v/>
      </c>
      <c r="P91" s="58"/>
      <c r="Q91" s="58"/>
      <c r="R91" s="58"/>
      <c r="S91" s="80"/>
      <c r="T91" s="80"/>
    </row>
    <row r="92" spans="2:37" ht="21.95" customHeight="1">
      <c r="B92" s="64" t="s">
        <v>573</v>
      </c>
      <c r="D92" s="158" t="s">
        <v>629</v>
      </c>
      <c r="E92" s="159"/>
      <c r="F92" s="159"/>
      <c r="G92" s="159"/>
      <c r="H92" s="159"/>
      <c r="I92" s="159"/>
      <c r="J92" s="159"/>
      <c r="K92" s="159"/>
      <c r="L92" s="159"/>
      <c r="M92" s="159"/>
      <c r="N92" s="159"/>
      <c r="O92" s="159"/>
      <c r="P92" s="159"/>
      <c r="Q92" s="159"/>
      <c r="R92" s="159"/>
      <c r="S92" s="159"/>
      <c r="T92" s="160"/>
    </row>
    <row r="93" spans="2:37" ht="21.95" customHeight="1">
      <c r="B93" s="64" t="s">
        <v>575</v>
      </c>
      <c r="C93" s="64" t="s">
        <v>259</v>
      </c>
      <c r="D93" s="74" t="s">
        <v>260</v>
      </c>
      <c r="E93" s="74" t="s">
        <v>261</v>
      </c>
      <c r="F93" s="80" t="s">
        <v>262</v>
      </c>
      <c r="G93" s="80">
        <v>1</v>
      </c>
      <c r="H93" s="80">
        <f>IF(I93&lt;&gt;0,G93-I93,"")</f>
        <v>0</v>
      </c>
      <c r="I93" s="80">
        <v>1</v>
      </c>
      <c r="J93" s="80"/>
      <c r="K93" s="74" t="s">
        <v>593</v>
      </c>
      <c r="L93" s="80" t="s">
        <v>531</v>
      </c>
      <c r="M93" s="80">
        <v>0.3</v>
      </c>
      <c r="N93" s="80">
        <v>100</v>
      </c>
      <c r="O93" s="80">
        <f>IF(I93*M93=0,"",I93*M93*(N93/100))</f>
        <v>0.3</v>
      </c>
      <c r="P93" s="58"/>
      <c r="Q93" s="58"/>
      <c r="R93" s="58"/>
      <c r="S93" s="80" t="s">
        <v>630</v>
      </c>
      <c r="T93" s="80"/>
      <c r="AA93" s="48">
        <f>O93</f>
        <v>0.3</v>
      </c>
    </row>
    <row r="94" spans="2:37" ht="21.95" customHeight="1">
      <c r="B94" s="64" t="s">
        <v>575</v>
      </c>
      <c r="C94" s="64" t="s">
        <v>259</v>
      </c>
      <c r="D94" s="74"/>
      <c r="E94" s="74"/>
      <c r="F94" s="80"/>
      <c r="G94" s="80">
        <v>1</v>
      </c>
      <c r="H94" s="80">
        <f>IF(I94&lt;&gt;0,G94-I94,"")</f>
        <v>0</v>
      </c>
      <c r="I94" s="80">
        <v>1</v>
      </c>
      <c r="J94" s="80"/>
      <c r="K94" s="74" t="s">
        <v>579</v>
      </c>
      <c r="L94" s="80" t="s">
        <v>550</v>
      </c>
      <c r="M94" s="80">
        <v>0.08</v>
      </c>
      <c r="N94" s="80">
        <v>100</v>
      </c>
      <c r="O94" s="80">
        <f>IF(I94*M94=0,"",I94*M94*(N94/100))</f>
        <v>0.08</v>
      </c>
      <c r="P94" s="58"/>
      <c r="Q94" s="58"/>
      <c r="R94" s="58"/>
      <c r="S94" s="80" t="s">
        <v>630</v>
      </c>
      <c r="T94" s="80"/>
      <c r="AJ94" s="48">
        <f>O94</f>
        <v>0.08</v>
      </c>
    </row>
    <row r="95" spans="2:37" ht="21.95" customHeight="1">
      <c r="B95" s="64" t="s">
        <v>575</v>
      </c>
      <c r="C95" s="64" t="s">
        <v>529</v>
      </c>
      <c r="D95" s="74" t="s">
        <v>530</v>
      </c>
      <c r="E95" s="74" t="s">
        <v>531</v>
      </c>
      <c r="F95" s="80" t="s">
        <v>532</v>
      </c>
      <c r="G95" s="80">
        <f>IF(H95*I95/100+0.000005 &lt;1, TRUNC(H95*I95/100+0.000005, 옵션!$E$13), TRUNC(H95*I95/100+0.000005, 옵션!$E$13))</f>
        <v>0.3</v>
      </c>
      <c r="H95" s="80">
        <f>옵션!$B$13</f>
        <v>100</v>
      </c>
      <c r="I95" s="80">
        <f>SUM(AA93:AA94)</f>
        <v>0.3</v>
      </c>
      <c r="J95" s="80"/>
      <c r="K95" s="74"/>
      <c r="L95" s="80"/>
      <c r="M95" s="80"/>
      <c r="N95" s="80"/>
      <c r="O95" s="80" t="str">
        <f>IF(I95*M95=0,"",I95*M95*(N95/100))</f>
        <v/>
      </c>
      <c r="P95" s="58"/>
      <c r="Q95" s="58"/>
      <c r="R95" s="58"/>
      <c r="S95" s="80"/>
      <c r="T95" s="80"/>
      <c r="AA95" s="48">
        <f>SUM(AA93:AA94)</f>
        <v>0.3</v>
      </c>
      <c r="AJ95" s="48">
        <f>SUM(AJ93:AJ94)</f>
        <v>0.08</v>
      </c>
    </row>
    <row r="96" spans="2:37" ht="21.95" customHeight="1">
      <c r="B96" s="64" t="s">
        <v>575</v>
      </c>
      <c r="C96" s="64" t="s">
        <v>549</v>
      </c>
      <c r="D96" s="74" t="s">
        <v>530</v>
      </c>
      <c r="E96" s="74" t="s">
        <v>550</v>
      </c>
      <c r="F96" s="80" t="s">
        <v>532</v>
      </c>
      <c r="G96" s="80">
        <f>IF(H96*I96/100+0.000005 &lt;1, TRUNC(H96*I96/100+0.000005, 옵션!$E$13), TRUNC(H96*I96/100+0.000005, 옵션!$E$13))</f>
        <v>0.08</v>
      </c>
      <c r="H96" s="80">
        <f>옵션!$B$13</f>
        <v>100</v>
      </c>
      <c r="I96" s="80">
        <f>SUM(AJ93:AJ94)</f>
        <v>0.08</v>
      </c>
      <c r="J96" s="80"/>
      <c r="K96" s="74"/>
      <c r="L96" s="80"/>
      <c r="M96" s="80"/>
      <c r="N96" s="80"/>
      <c r="O96" s="80" t="str">
        <f>IF(I96*M96=0,"",I96*M96*(N96/100))</f>
        <v/>
      </c>
      <c r="P96" s="58"/>
      <c r="Q96" s="58"/>
      <c r="R96" s="58"/>
      <c r="S96" s="80"/>
      <c r="T96" s="80"/>
    </row>
    <row r="97" spans="2:36" ht="21.95" customHeight="1">
      <c r="B97" s="64" t="s">
        <v>573</v>
      </c>
      <c r="D97" s="158" t="s">
        <v>631</v>
      </c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  <c r="Q97" s="159"/>
      <c r="R97" s="159"/>
      <c r="S97" s="159"/>
      <c r="T97" s="160"/>
    </row>
    <row r="98" spans="2:36" ht="21.95" customHeight="1">
      <c r="B98" s="64" t="s">
        <v>575</v>
      </c>
      <c r="C98" s="64" t="s">
        <v>263</v>
      </c>
      <c r="D98" s="74" t="s">
        <v>264</v>
      </c>
      <c r="E98" s="74" t="s">
        <v>265</v>
      </c>
      <c r="F98" s="80" t="s">
        <v>266</v>
      </c>
      <c r="G98" s="80">
        <v>1</v>
      </c>
      <c r="H98" s="80">
        <f>IF(I98&lt;&gt;0,G98-I98,"")</f>
        <v>0</v>
      </c>
      <c r="I98" s="80">
        <v>1</v>
      </c>
      <c r="J98" s="80"/>
      <c r="K98" s="74" t="s">
        <v>593</v>
      </c>
      <c r="L98" s="80" t="s">
        <v>531</v>
      </c>
      <c r="M98" s="80">
        <v>0.11</v>
      </c>
      <c r="N98" s="80">
        <v>100</v>
      </c>
      <c r="O98" s="80">
        <f>IF(I98*M98=0,"",I98*M98*(N98/100))</f>
        <v>0.11</v>
      </c>
      <c r="P98" s="58"/>
      <c r="Q98" s="58"/>
      <c r="R98" s="58"/>
      <c r="S98" s="80" t="s">
        <v>617</v>
      </c>
      <c r="T98" s="80"/>
      <c r="AA98" s="48">
        <f>O98</f>
        <v>0.11</v>
      </c>
    </row>
    <row r="99" spans="2:36" ht="21.95" customHeight="1">
      <c r="B99" s="64" t="s">
        <v>575</v>
      </c>
      <c r="C99" s="64" t="s">
        <v>263</v>
      </c>
      <c r="D99" s="74"/>
      <c r="E99" s="74"/>
      <c r="F99" s="80"/>
      <c r="G99" s="80">
        <v>1</v>
      </c>
      <c r="H99" s="80">
        <f>IF(I99&lt;&gt;0,G99-I99,"")</f>
        <v>0</v>
      </c>
      <c r="I99" s="80">
        <v>1</v>
      </c>
      <c r="J99" s="80"/>
      <c r="K99" s="74" t="s">
        <v>579</v>
      </c>
      <c r="L99" s="80" t="s">
        <v>550</v>
      </c>
      <c r="M99" s="80">
        <v>0.08</v>
      </c>
      <c r="N99" s="80">
        <v>100</v>
      </c>
      <c r="O99" s="80">
        <f>IF(I99*M99=0,"",I99*M99*(N99/100))</f>
        <v>0.08</v>
      </c>
      <c r="P99" s="58"/>
      <c r="Q99" s="58"/>
      <c r="R99" s="58"/>
      <c r="S99" s="80" t="s">
        <v>617</v>
      </c>
      <c r="T99" s="80"/>
      <c r="AJ99" s="48">
        <f>O99</f>
        <v>0.08</v>
      </c>
    </row>
    <row r="100" spans="2:36" ht="21.95" customHeight="1">
      <c r="B100" s="64" t="s">
        <v>575</v>
      </c>
      <c r="C100" s="64" t="s">
        <v>529</v>
      </c>
      <c r="D100" s="74" t="s">
        <v>530</v>
      </c>
      <c r="E100" s="74" t="s">
        <v>531</v>
      </c>
      <c r="F100" s="80" t="s">
        <v>532</v>
      </c>
      <c r="G100" s="80">
        <f>IF(H100*I100/100+0.000005 &lt;1, TRUNC(H100*I100/100+0.000005, 옵션!$E$13), TRUNC(H100*I100/100+0.000005, 옵션!$E$13))</f>
        <v>0.11</v>
      </c>
      <c r="H100" s="80">
        <f>옵션!$B$13</f>
        <v>100</v>
      </c>
      <c r="I100" s="80">
        <f>SUM(AA98:AA99)</f>
        <v>0.11</v>
      </c>
      <c r="J100" s="80"/>
      <c r="K100" s="74"/>
      <c r="L100" s="80"/>
      <c r="M100" s="80"/>
      <c r="N100" s="80"/>
      <c r="O100" s="80" t="str">
        <f>IF(I100*M100=0,"",I100*M100*(N100/100))</f>
        <v/>
      </c>
      <c r="P100" s="58"/>
      <c r="Q100" s="58"/>
      <c r="R100" s="58"/>
      <c r="S100" s="80"/>
      <c r="T100" s="80"/>
      <c r="AA100" s="48">
        <f>SUM(AA98:AA99)</f>
        <v>0.11</v>
      </c>
      <c r="AJ100" s="48">
        <f>SUM(AJ98:AJ99)</f>
        <v>0.08</v>
      </c>
    </row>
    <row r="101" spans="2:36" ht="21.95" customHeight="1">
      <c r="B101" s="64" t="s">
        <v>575</v>
      </c>
      <c r="C101" s="64" t="s">
        <v>549</v>
      </c>
      <c r="D101" s="74" t="s">
        <v>530</v>
      </c>
      <c r="E101" s="74" t="s">
        <v>550</v>
      </c>
      <c r="F101" s="80" t="s">
        <v>532</v>
      </c>
      <c r="G101" s="80">
        <f>IF(H101*I101/100+0.000005 &lt;1, TRUNC(H101*I101/100+0.000005, 옵션!$E$13), TRUNC(H101*I101/100+0.000005, 옵션!$E$13))</f>
        <v>0.08</v>
      </c>
      <c r="H101" s="80">
        <f>옵션!$B$13</f>
        <v>100</v>
      </c>
      <c r="I101" s="80">
        <f>SUM(AJ98:AJ99)</f>
        <v>0.08</v>
      </c>
      <c r="J101" s="80"/>
      <c r="K101" s="74"/>
      <c r="L101" s="80"/>
      <c r="M101" s="80"/>
      <c r="N101" s="80"/>
      <c r="O101" s="80" t="str">
        <f>IF(I101*M101=0,"",I101*M101*(N101/100))</f>
        <v/>
      </c>
      <c r="P101" s="58"/>
      <c r="Q101" s="58"/>
      <c r="R101" s="58"/>
      <c r="S101" s="80"/>
      <c r="T101" s="80"/>
    </row>
    <row r="102" spans="2:36" ht="21.95" customHeight="1">
      <c r="B102" s="64" t="s">
        <v>573</v>
      </c>
      <c r="D102" s="158" t="s">
        <v>632</v>
      </c>
      <c r="E102" s="159"/>
      <c r="F102" s="159"/>
      <c r="G102" s="159"/>
      <c r="H102" s="159"/>
      <c r="I102" s="159"/>
      <c r="J102" s="159"/>
      <c r="K102" s="159"/>
      <c r="L102" s="159"/>
      <c r="M102" s="159"/>
      <c r="N102" s="159"/>
      <c r="O102" s="159"/>
      <c r="P102" s="159"/>
      <c r="Q102" s="159"/>
      <c r="R102" s="159"/>
      <c r="S102" s="159"/>
      <c r="T102" s="160"/>
    </row>
    <row r="103" spans="2:36" ht="21.95" customHeight="1">
      <c r="B103" s="64" t="s">
        <v>575</v>
      </c>
      <c r="C103" s="64" t="s">
        <v>267</v>
      </c>
      <c r="D103" s="74" t="s">
        <v>268</v>
      </c>
      <c r="E103" s="74" t="s">
        <v>269</v>
      </c>
      <c r="F103" s="80" t="s">
        <v>266</v>
      </c>
      <c r="G103" s="80">
        <v>1</v>
      </c>
      <c r="H103" s="80">
        <f>IF(I103&lt;&gt;0,G103-I103,"")</f>
        <v>0</v>
      </c>
      <c r="I103" s="80">
        <v>1</v>
      </c>
      <c r="J103" s="80"/>
      <c r="K103" s="74" t="s">
        <v>593</v>
      </c>
      <c r="L103" s="80" t="s">
        <v>531</v>
      </c>
      <c r="M103" s="80">
        <v>2.7E-2</v>
      </c>
      <c r="N103" s="80">
        <v>100</v>
      </c>
      <c r="O103" s="80">
        <f>IF(I103*M103=0,"",I103*M103*(N103/100))</f>
        <v>2.7E-2</v>
      </c>
      <c r="P103" s="58"/>
      <c r="Q103" s="58"/>
      <c r="R103" s="58"/>
      <c r="S103" s="80" t="s">
        <v>617</v>
      </c>
      <c r="T103" s="80"/>
      <c r="AA103" s="48">
        <f>O103</f>
        <v>2.7E-2</v>
      </c>
    </row>
    <row r="104" spans="2:36" ht="21.95" customHeight="1">
      <c r="B104" s="64" t="s">
        <v>575</v>
      </c>
      <c r="C104" s="64" t="s">
        <v>529</v>
      </c>
      <c r="D104" s="74" t="s">
        <v>530</v>
      </c>
      <c r="E104" s="74" t="s">
        <v>531</v>
      </c>
      <c r="F104" s="80" t="s">
        <v>532</v>
      </c>
      <c r="G104" s="80">
        <f>IF(H104*I104/100+0.000005 &lt;1, TRUNC(H104*I104/100+0.000005, 옵션!$E$13), TRUNC(H104*I104/100+0.000005, 옵션!$E$13))</f>
        <v>2.7E-2</v>
      </c>
      <c r="H104" s="80">
        <f>옵션!$B$13</f>
        <v>100</v>
      </c>
      <c r="I104" s="80">
        <f>SUM(AA103:AA103)</f>
        <v>2.7E-2</v>
      </c>
      <c r="J104" s="80"/>
      <c r="K104" s="74"/>
      <c r="L104" s="80"/>
      <c r="M104" s="80"/>
      <c r="N104" s="80"/>
      <c r="O104" s="80" t="str">
        <f>IF(I104*M104=0,"",I104*M104*(N104/100))</f>
        <v/>
      </c>
      <c r="P104" s="58"/>
      <c r="Q104" s="58"/>
      <c r="R104" s="58"/>
      <c r="S104" s="80"/>
      <c r="T104" s="80"/>
      <c r="AA104" s="48">
        <f>SUM(AA103:AA103)</f>
        <v>2.7E-2</v>
      </c>
    </row>
    <row r="105" spans="2:36" ht="21.95" customHeight="1">
      <c r="B105" s="64" t="s">
        <v>573</v>
      </c>
      <c r="D105" s="158" t="s">
        <v>633</v>
      </c>
      <c r="E105" s="159"/>
      <c r="F105" s="159"/>
      <c r="G105" s="159"/>
      <c r="H105" s="159"/>
      <c r="I105" s="159"/>
      <c r="J105" s="159"/>
      <c r="K105" s="159"/>
      <c r="L105" s="159"/>
      <c r="M105" s="159"/>
      <c r="N105" s="159"/>
      <c r="O105" s="159"/>
      <c r="P105" s="159"/>
      <c r="Q105" s="159"/>
      <c r="R105" s="159"/>
      <c r="S105" s="159"/>
      <c r="T105" s="160"/>
    </row>
    <row r="106" spans="2:36" ht="21.95" customHeight="1">
      <c r="B106" s="64" t="s">
        <v>575</v>
      </c>
      <c r="C106" s="64" t="s">
        <v>270</v>
      </c>
      <c r="D106" s="74" t="s">
        <v>271</v>
      </c>
      <c r="E106" s="74" t="s">
        <v>272</v>
      </c>
      <c r="F106" s="80" t="s">
        <v>196</v>
      </c>
      <c r="G106" s="80">
        <v>1</v>
      </c>
      <c r="H106" s="80">
        <f>IF(I106&lt;&gt;0,G106-I106,"")</f>
        <v>0</v>
      </c>
      <c r="I106" s="80">
        <v>1</v>
      </c>
      <c r="J106" s="80"/>
      <c r="K106" s="74" t="s">
        <v>634</v>
      </c>
      <c r="L106" s="80" t="s">
        <v>536</v>
      </c>
      <c r="M106" s="80">
        <v>5.0000000000000001E-4</v>
      </c>
      <c r="N106" s="80">
        <v>100</v>
      </c>
      <c r="O106" s="80">
        <f>IF(I106*M106=0,"",I106*M106*(N106/100))</f>
        <v>5.0000000000000001E-4</v>
      </c>
      <c r="P106" s="58"/>
      <c r="Q106" s="58"/>
      <c r="R106" s="58"/>
      <c r="S106" s="80" t="s">
        <v>635</v>
      </c>
      <c r="T106" s="80"/>
      <c r="AC106" s="48">
        <f>O106</f>
        <v>5.0000000000000001E-4</v>
      </c>
    </row>
    <row r="107" spans="2:36" ht="21.95" customHeight="1">
      <c r="B107" s="64" t="s">
        <v>575</v>
      </c>
      <c r="C107" s="64" t="s">
        <v>270</v>
      </c>
      <c r="D107" s="74"/>
      <c r="E107" s="74"/>
      <c r="F107" s="80"/>
      <c r="G107" s="80">
        <v>1</v>
      </c>
      <c r="H107" s="80">
        <f>IF(I107&lt;&gt;0,G107-I107,"")</f>
        <v>0</v>
      </c>
      <c r="I107" s="80">
        <v>1</v>
      </c>
      <c r="J107" s="80"/>
      <c r="K107" s="74" t="s">
        <v>579</v>
      </c>
      <c r="L107" s="80" t="s">
        <v>550</v>
      </c>
      <c r="M107" s="80">
        <v>1E-4</v>
      </c>
      <c r="N107" s="80">
        <v>100</v>
      </c>
      <c r="O107" s="80">
        <f>IF(I107*M107=0,"",I107*M107*(N107/100))</f>
        <v>1E-4</v>
      </c>
      <c r="P107" s="58"/>
      <c r="Q107" s="58"/>
      <c r="R107" s="58"/>
      <c r="S107" s="80" t="s">
        <v>635</v>
      </c>
      <c r="T107" s="80"/>
      <c r="AJ107" s="48">
        <f>O107</f>
        <v>1E-4</v>
      </c>
    </row>
    <row r="108" spans="2:36" ht="21.95" customHeight="1">
      <c r="B108" s="64" t="s">
        <v>575</v>
      </c>
      <c r="C108" s="64" t="s">
        <v>535</v>
      </c>
      <c r="D108" s="74" t="s">
        <v>530</v>
      </c>
      <c r="E108" s="74" t="s">
        <v>536</v>
      </c>
      <c r="F108" s="80" t="s">
        <v>532</v>
      </c>
      <c r="G108" s="80">
        <f>IF(H108*I108/100+0.000005 &lt;1, TRUNC(H108*I108/100+0.000005, 옵션!$E$13), TRUNC(H108*I108/100+0.000005, 옵션!$E$13))</f>
        <v>5.0000000000000001E-4</v>
      </c>
      <c r="H108" s="80">
        <f>옵션!$B$13</f>
        <v>100</v>
      </c>
      <c r="I108" s="80">
        <f>SUM(AC106:AC107)</f>
        <v>5.0000000000000001E-4</v>
      </c>
      <c r="J108" s="80"/>
      <c r="K108" s="74"/>
      <c r="L108" s="80"/>
      <c r="M108" s="80"/>
      <c r="N108" s="80"/>
      <c r="O108" s="80" t="str">
        <f>IF(I108*M108=0,"",I108*M108*(N108/100))</f>
        <v/>
      </c>
      <c r="P108" s="58"/>
      <c r="Q108" s="58"/>
      <c r="R108" s="58"/>
      <c r="S108" s="80"/>
      <c r="T108" s="80"/>
      <c r="AC108" s="48">
        <f>SUM(AC106:AC107)</f>
        <v>5.0000000000000001E-4</v>
      </c>
      <c r="AJ108" s="48">
        <f>SUM(AJ106:AJ107)</f>
        <v>1E-4</v>
      </c>
    </row>
    <row r="109" spans="2:36" ht="21.95" customHeight="1">
      <c r="B109" s="64" t="s">
        <v>575</v>
      </c>
      <c r="C109" s="64" t="s">
        <v>549</v>
      </c>
      <c r="D109" s="74" t="s">
        <v>530</v>
      </c>
      <c r="E109" s="74" t="s">
        <v>550</v>
      </c>
      <c r="F109" s="80" t="s">
        <v>532</v>
      </c>
      <c r="G109" s="80">
        <f>IF(H109*I109/100+0.000005 &lt;1, TRUNC(H109*I109/100+0.000005, 옵션!$E$13), TRUNC(H109*I109/100+0.000005, 옵션!$E$13))</f>
        <v>1E-4</v>
      </c>
      <c r="H109" s="80">
        <f>옵션!$B$13</f>
        <v>100</v>
      </c>
      <c r="I109" s="80">
        <f>SUM(AJ106:AJ107)</f>
        <v>1E-4</v>
      </c>
      <c r="J109" s="80"/>
      <c r="K109" s="74"/>
      <c r="L109" s="80"/>
      <c r="M109" s="80"/>
      <c r="N109" s="80"/>
      <c r="O109" s="80" t="str">
        <f>IF(I109*M109=0,"",I109*M109*(N109/100))</f>
        <v/>
      </c>
      <c r="P109" s="58"/>
      <c r="Q109" s="58"/>
      <c r="R109" s="58"/>
      <c r="S109" s="80"/>
      <c r="T109" s="80"/>
    </row>
    <row r="110" spans="2:36" ht="21.95" customHeight="1">
      <c r="B110" s="64" t="s">
        <v>573</v>
      </c>
      <c r="D110" s="158" t="s">
        <v>636</v>
      </c>
      <c r="E110" s="159"/>
      <c r="F110" s="159"/>
      <c r="G110" s="159"/>
      <c r="H110" s="159"/>
      <c r="I110" s="159"/>
      <c r="J110" s="159"/>
      <c r="K110" s="159"/>
      <c r="L110" s="159"/>
      <c r="M110" s="159"/>
      <c r="N110" s="159"/>
      <c r="O110" s="159"/>
      <c r="P110" s="159"/>
      <c r="Q110" s="159"/>
      <c r="R110" s="159"/>
      <c r="S110" s="159"/>
      <c r="T110" s="160"/>
    </row>
    <row r="111" spans="2:36" ht="21.95" customHeight="1">
      <c r="B111" s="64" t="s">
        <v>575</v>
      </c>
      <c r="C111" s="64" t="s">
        <v>273</v>
      </c>
      <c r="D111" s="74" t="s">
        <v>274</v>
      </c>
      <c r="E111" s="74" t="s">
        <v>275</v>
      </c>
      <c r="F111" s="80" t="s">
        <v>266</v>
      </c>
      <c r="G111" s="80">
        <v>1</v>
      </c>
      <c r="H111" s="80">
        <f>IF(I111&lt;&gt;0,G111-I111,"")</f>
        <v>0</v>
      </c>
      <c r="I111" s="80">
        <v>1</v>
      </c>
      <c r="J111" s="80"/>
      <c r="K111" s="74" t="s">
        <v>621</v>
      </c>
      <c r="L111" s="80" t="s">
        <v>534</v>
      </c>
      <c r="M111" s="80">
        <v>8.1000000000000003E-2</v>
      </c>
      <c r="N111" s="80">
        <v>120</v>
      </c>
      <c r="O111" s="80">
        <f>IF(I111*M111=0,"",I111*M111*(N111/100))</f>
        <v>9.7199999999999995E-2</v>
      </c>
      <c r="P111" s="58"/>
      <c r="Q111" s="58"/>
      <c r="R111" s="58"/>
      <c r="S111" s="80" t="s">
        <v>637</v>
      </c>
      <c r="T111" s="80"/>
      <c r="AB111" s="48">
        <f>O111</f>
        <v>9.7199999999999995E-2</v>
      </c>
    </row>
    <row r="112" spans="2:36" ht="21.95" customHeight="1">
      <c r="B112" s="64" t="s">
        <v>575</v>
      </c>
      <c r="C112" s="64" t="s">
        <v>533</v>
      </c>
      <c r="D112" s="74" t="s">
        <v>530</v>
      </c>
      <c r="E112" s="74" t="s">
        <v>534</v>
      </c>
      <c r="F112" s="80" t="s">
        <v>532</v>
      </c>
      <c r="G112" s="80">
        <f>IF(H112*I112/100+0.000005 &lt;1, TRUNC(H112*I112/100+0.000005, 옵션!$E$13), TRUNC(H112*I112/100+0.000005, 옵션!$E$13))</f>
        <v>9.7199999999999995E-2</v>
      </c>
      <c r="H112" s="80">
        <f>옵션!$B$13</f>
        <v>100</v>
      </c>
      <c r="I112" s="80">
        <f>SUM(AB111:AB111)</f>
        <v>9.7199999999999995E-2</v>
      </c>
      <c r="J112" s="80"/>
      <c r="K112" s="74"/>
      <c r="L112" s="80"/>
      <c r="M112" s="80"/>
      <c r="N112" s="80"/>
      <c r="O112" s="80" t="str">
        <f>IF(I112*M112=0,"",I112*M112*(N112/100))</f>
        <v/>
      </c>
      <c r="P112" s="58"/>
      <c r="Q112" s="58"/>
      <c r="R112" s="58"/>
      <c r="S112" s="80"/>
      <c r="T112" s="80"/>
      <c r="AB112" s="48">
        <f>SUM(AB111:AB111)</f>
        <v>9.7199999999999995E-2</v>
      </c>
    </row>
    <row r="113" spans="2:43" ht="21.95" customHeight="1">
      <c r="B113" s="64" t="s">
        <v>573</v>
      </c>
      <c r="D113" s="158" t="s">
        <v>638</v>
      </c>
      <c r="E113" s="159"/>
      <c r="F113" s="159"/>
      <c r="G113" s="159"/>
      <c r="H113" s="159"/>
      <c r="I113" s="159"/>
      <c r="J113" s="159"/>
      <c r="K113" s="159"/>
      <c r="L113" s="159"/>
      <c r="M113" s="159"/>
      <c r="N113" s="159"/>
      <c r="O113" s="159"/>
      <c r="P113" s="159"/>
      <c r="Q113" s="159"/>
      <c r="R113" s="159"/>
      <c r="S113" s="159"/>
      <c r="T113" s="160"/>
    </row>
    <row r="114" spans="2:43" ht="21.95" customHeight="1">
      <c r="B114" s="64" t="s">
        <v>575</v>
      </c>
      <c r="C114" s="64" t="s">
        <v>278</v>
      </c>
      <c r="D114" s="74" t="s">
        <v>274</v>
      </c>
      <c r="E114" s="74" t="s">
        <v>279</v>
      </c>
      <c r="F114" s="80" t="s">
        <v>266</v>
      </c>
      <c r="G114" s="80">
        <v>1</v>
      </c>
      <c r="H114" s="80">
        <f>IF(I114&lt;&gt;0,G114-I114,"")</f>
        <v>0</v>
      </c>
      <c r="I114" s="80">
        <v>1</v>
      </c>
      <c r="J114" s="80"/>
      <c r="K114" s="74" t="s">
        <v>621</v>
      </c>
      <c r="L114" s="80" t="s">
        <v>534</v>
      </c>
      <c r="M114" s="80">
        <v>9.9000000000000005E-2</v>
      </c>
      <c r="N114" s="80">
        <v>120</v>
      </c>
      <c r="O114" s="80">
        <f>IF(I114*M114=0,"",I114*M114*(N114/100))</f>
        <v>0.1188</v>
      </c>
      <c r="P114" s="58"/>
      <c r="Q114" s="58"/>
      <c r="R114" s="58"/>
      <c r="S114" s="80" t="s">
        <v>637</v>
      </c>
      <c r="T114" s="80"/>
      <c r="AB114" s="48">
        <f>O114</f>
        <v>0.1188</v>
      </c>
    </row>
    <row r="115" spans="2:43" ht="21.95" customHeight="1">
      <c r="B115" s="64" t="s">
        <v>575</v>
      </c>
      <c r="C115" s="64" t="s">
        <v>533</v>
      </c>
      <c r="D115" s="74" t="s">
        <v>530</v>
      </c>
      <c r="E115" s="74" t="s">
        <v>534</v>
      </c>
      <c r="F115" s="80" t="s">
        <v>532</v>
      </c>
      <c r="G115" s="80">
        <f>IF(H115*I115/100+0.000005 &lt;1, TRUNC(H115*I115/100+0.000005, 옵션!$E$13), TRUNC(H115*I115/100+0.000005, 옵션!$E$13))</f>
        <v>0.1188</v>
      </c>
      <c r="H115" s="80">
        <f>옵션!$B$13</f>
        <v>100</v>
      </c>
      <c r="I115" s="80">
        <f>SUM(AB114:AB114)</f>
        <v>0.1188</v>
      </c>
      <c r="J115" s="80"/>
      <c r="K115" s="74"/>
      <c r="L115" s="80"/>
      <c r="M115" s="80"/>
      <c r="N115" s="80"/>
      <c r="O115" s="80" t="str">
        <f>IF(I115*M115=0,"",I115*M115*(N115/100))</f>
        <v/>
      </c>
      <c r="P115" s="58"/>
      <c r="Q115" s="58"/>
      <c r="R115" s="58"/>
      <c r="S115" s="80"/>
      <c r="T115" s="80"/>
      <c r="AB115" s="48">
        <f>SUM(AB114:AB114)</f>
        <v>0.1188</v>
      </c>
    </row>
    <row r="116" spans="2:43" ht="21.95" customHeight="1">
      <c r="B116" s="64" t="s">
        <v>573</v>
      </c>
      <c r="D116" s="158" t="s">
        <v>639</v>
      </c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60"/>
    </row>
    <row r="117" spans="2:43" ht="21.95" customHeight="1">
      <c r="B117" s="64" t="s">
        <v>575</v>
      </c>
      <c r="C117" s="64" t="s">
        <v>280</v>
      </c>
      <c r="D117" s="74" t="s">
        <v>274</v>
      </c>
      <c r="E117" s="74" t="s">
        <v>281</v>
      </c>
      <c r="F117" s="80" t="s">
        <v>266</v>
      </c>
      <c r="G117" s="80">
        <v>1</v>
      </c>
      <c r="H117" s="80">
        <f>IF(I117&lt;&gt;0,G117-I117,"")</f>
        <v>0</v>
      </c>
      <c r="I117" s="80">
        <v>1</v>
      </c>
      <c r="J117" s="80"/>
      <c r="K117" s="74" t="s">
        <v>621</v>
      </c>
      <c r="L117" s="80" t="s">
        <v>534</v>
      </c>
      <c r="M117" s="80">
        <v>0.108</v>
      </c>
      <c r="N117" s="80">
        <v>120</v>
      </c>
      <c r="O117" s="80">
        <f>IF(I117*M117=0,"",I117*M117*(N117/100))</f>
        <v>0.12959999999999999</v>
      </c>
      <c r="P117" s="58"/>
      <c r="Q117" s="58"/>
      <c r="R117" s="58"/>
      <c r="S117" s="80" t="s">
        <v>637</v>
      </c>
      <c r="T117" s="80"/>
      <c r="AB117" s="48">
        <f>O117</f>
        <v>0.12959999999999999</v>
      </c>
    </row>
    <row r="118" spans="2:43" ht="21.95" customHeight="1">
      <c r="B118" s="64" t="s">
        <v>575</v>
      </c>
      <c r="C118" s="64" t="s">
        <v>533</v>
      </c>
      <c r="D118" s="74" t="s">
        <v>530</v>
      </c>
      <c r="E118" s="74" t="s">
        <v>534</v>
      </c>
      <c r="F118" s="80" t="s">
        <v>532</v>
      </c>
      <c r="G118" s="80">
        <f>IF(H118*I118/100+0.000005 &lt;1, TRUNC(H118*I118/100+0.000005, 옵션!$E$13), TRUNC(H118*I118/100+0.000005, 옵션!$E$13))</f>
        <v>0.12959999999999999</v>
      </c>
      <c r="H118" s="80">
        <f>옵션!$B$13</f>
        <v>100</v>
      </c>
      <c r="I118" s="80">
        <f>SUM(AB117:AB117)</f>
        <v>0.12959999999999999</v>
      </c>
      <c r="J118" s="80"/>
      <c r="K118" s="74"/>
      <c r="L118" s="80"/>
      <c r="M118" s="80"/>
      <c r="N118" s="80"/>
      <c r="O118" s="80" t="str">
        <f>IF(I118*M118=0,"",I118*M118*(N118/100))</f>
        <v/>
      </c>
      <c r="P118" s="58"/>
      <c r="Q118" s="58"/>
      <c r="R118" s="58"/>
      <c r="S118" s="80"/>
      <c r="T118" s="80"/>
      <c r="AB118" s="48">
        <f>SUM(AB117:AB117)</f>
        <v>0.12959999999999999</v>
      </c>
    </row>
    <row r="119" spans="2:43" ht="21.95" customHeight="1">
      <c r="B119" s="64" t="s">
        <v>573</v>
      </c>
      <c r="D119" s="158" t="s">
        <v>640</v>
      </c>
      <c r="E119" s="159"/>
      <c r="F119" s="159"/>
      <c r="G119" s="159"/>
      <c r="H119" s="159"/>
      <c r="I119" s="159"/>
      <c r="J119" s="159"/>
      <c r="K119" s="159"/>
      <c r="L119" s="159"/>
      <c r="M119" s="159"/>
      <c r="N119" s="159"/>
      <c r="O119" s="159"/>
      <c r="P119" s="159"/>
      <c r="Q119" s="159"/>
      <c r="R119" s="159"/>
      <c r="S119" s="159"/>
      <c r="T119" s="160"/>
    </row>
    <row r="120" spans="2:43" ht="21.95" customHeight="1">
      <c r="B120" s="64" t="s">
        <v>575</v>
      </c>
      <c r="C120" s="64" t="s">
        <v>282</v>
      </c>
      <c r="D120" s="74" t="s">
        <v>283</v>
      </c>
      <c r="E120" s="74" t="s">
        <v>284</v>
      </c>
      <c r="F120" s="80" t="s">
        <v>285</v>
      </c>
      <c r="G120" s="80">
        <v>1</v>
      </c>
      <c r="H120" s="80">
        <f>IF(I120&lt;&gt;0,G120-I120,"")</f>
        <v>0</v>
      </c>
      <c r="I120" s="80">
        <v>1</v>
      </c>
      <c r="J120" s="80"/>
      <c r="K120" s="74" t="s">
        <v>641</v>
      </c>
      <c r="L120" s="80" t="s">
        <v>554</v>
      </c>
      <c r="M120" s="80">
        <v>0.53</v>
      </c>
      <c r="N120" s="80">
        <v>100</v>
      </c>
      <c r="O120" s="80">
        <f t="shared" ref="O120:O127" si="0">IF(I120*M120=0,"",I120*M120*(N120/100))</f>
        <v>0.53</v>
      </c>
      <c r="P120" s="58"/>
      <c r="Q120" s="58"/>
      <c r="R120" s="58"/>
      <c r="S120" s="80" t="s">
        <v>642</v>
      </c>
      <c r="T120" s="80"/>
      <c r="AL120" s="48">
        <f>O120</f>
        <v>0.53</v>
      </c>
    </row>
    <row r="121" spans="2:43" ht="21.95" customHeight="1">
      <c r="B121" s="64" t="s">
        <v>575</v>
      </c>
      <c r="C121" s="64" t="s">
        <v>282</v>
      </c>
      <c r="D121" s="74"/>
      <c r="E121" s="74"/>
      <c r="F121" s="80"/>
      <c r="G121" s="80">
        <v>1</v>
      </c>
      <c r="H121" s="80">
        <f>IF(I121&lt;&gt;0,G121-I121,"")</f>
        <v>0</v>
      </c>
      <c r="I121" s="80">
        <v>1</v>
      </c>
      <c r="J121" s="80"/>
      <c r="K121" s="74" t="s">
        <v>628</v>
      </c>
      <c r="L121" s="80" t="s">
        <v>552</v>
      </c>
      <c r="M121" s="80">
        <v>0.8</v>
      </c>
      <c r="N121" s="80">
        <v>100</v>
      </c>
      <c r="O121" s="80">
        <f t="shared" si="0"/>
        <v>0.8</v>
      </c>
      <c r="P121" s="58"/>
      <c r="Q121" s="58"/>
      <c r="R121" s="58"/>
      <c r="S121" s="80" t="s">
        <v>642</v>
      </c>
      <c r="T121" s="80"/>
      <c r="AK121" s="48">
        <f>O121</f>
        <v>0.8</v>
      </c>
    </row>
    <row r="122" spans="2:43" ht="21.95" customHeight="1">
      <c r="B122" s="64" t="s">
        <v>575</v>
      </c>
      <c r="C122" s="64" t="s">
        <v>282</v>
      </c>
      <c r="D122" s="74"/>
      <c r="E122" s="74"/>
      <c r="F122" s="80"/>
      <c r="G122" s="80">
        <v>1</v>
      </c>
      <c r="H122" s="80">
        <f>IF(I122&lt;&gt;0,G122-I122,"")</f>
        <v>0</v>
      </c>
      <c r="I122" s="80">
        <v>1</v>
      </c>
      <c r="J122" s="80"/>
      <c r="K122" s="74" t="s">
        <v>643</v>
      </c>
      <c r="L122" s="80" t="s">
        <v>564</v>
      </c>
      <c r="M122" s="80">
        <v>0.28000000000000003</v>
      </c>
      <c r="N122" s="80">
        <v>100</v>
      </c>
      <c r="O122" s="80">
        <f t="shared" si="0"/>
        <v>0.28000000000000003</v>
      </c>
      <c r="P122" s="58"/>
      <c r="Q122" s="58"/>
      <c r="R122" s="58"/>
      <c r="S122" s="80" t="s">
        <v>642</v>
      </c>
      <c r="T122" s="80"/>
      <c r="AQ122" s="48">
        <f>O122</f>
        <v>0.28000000000000003</v>
      </c>
    </row>
    <row r="123" spans="2:43" ht="21.95" customHeight="1">
      <c r="B123" s="64" t="s">
        <v>575</v>
      </c>
      <c r="C123" s="64" t="s">
        <v>282</v>
      </c>
      <c r="D123" s="74"/>
      <c r="E123" s="74"/>
      <c r="F123" s="80"/>
      <c r="G123" s="80">
        <v>1</v>
      </c>
      <c r="H123" s="80">
        <f>IF(I123&lt;&gt;0,G123-I123,"")</f>
        <v>0</v>
      </c>
      <c r="I123" s="80">
        <v>1</v>
      </c>
      <c r="J123" s="80"/>
      <c r="K123" s="74" t="s">
        <v>644</v>
      </c>
      <c r="L123" s="80" t="s">
        <v>558</v>
      </c>
      <c r="M123" s="80">
        <v>0.03</v>
      </c>
      <c r="N123" s="80">
        <v>100</v>
      </c>
      <c r="O123" s="80">
        <f t="shared" si="0"/>
        <v>0.03</v>
      </c>
      <c r="P123" s="58"/>
      <c r="Q123" s="58"/>
      <c r="R123" s="58"/>
      <c r="S123" s="80" t="s">
        <v>642</v>
      </c>
      <c r="T123" s="80"/>
      <c r="AN123" s="48">
        <f>O123</f>
        <v>0.03</v>
      </c>
    </row>
    <row r="124" spans="2:43" ht="21.95" customHeight="1">
      <c r="B124" s="64" t="s">
        <v>575</v>
      </c>
      <c r="C124" s="64" t="s">
        <v>551</v>
      </c>
      <c r="D124" s="74" t="s">
        <v>530</v>
      </c>
      <c r="E124" s="74" t="s">
        <v>552</v>
      </c>
      <c r="F124" s="80" t="s">
        <v>532</v>
      </c>
      <c r="G124" s="80">
        <f>IF(H124*I124/100+0.000005 &lt;1, TRUNC(H124*I124/100+0.000005, 옵션!$E$13), TRUNC(H124*I124/100+0.000005, 옵션!$E$13))</f>
        <v>0.8</v>
      </c>
      <c r="H124" s="80">
        <f>옵션!$B$13</f>
        <v>100</v>
      </c>
      <c r="I124" s="80">
        <f>SUM(AK120:AK123)</f>
        <v>0.8</v>
      </c>
      <c r="J124" s="80"/>
      <c r="K124" s="74"/>
      <c r="L124" s="80"/>
      <c r="M124" s="80"/>
      <c r="N124" s="80"/>
      <c r="O124" s="80" t="str">
        <f t="shared" si="0"/>
        <v/>
      </c>
      <c r="P124" s="58"/>
      <c r="Q124" s="58"/>
      <c r="R124" s="58"/>
      <c r="S124" s="80"/>
      <c r="T124" s="80"/>
      <c r="AK124" s="48">
        <f>SUM(AK120:AK123)</f>
        <v>0.8</v>
      </c>
      <c r="AL124" s="48">
        <f>SUM(AL120:AL123)</f>
        <v>0.53</v>
      </c>
      <c r="AN124" s="48">
        <f>SUM(AN120:AN123)</f>
        <v>0.03</v>
      </c>
      <c r="AQ124" s="48">
        <f>SUM(AQ120:AQ123)</f>
        <v>0.28000000000000003</v>
      </c>
    </row>
    <row r="125" spans="2:43" ht="21.95" customHeight="1">
      <c r="B125" s="64" t="s">
        <v>575</v>
      </c>
      <c r="C125" s="64" t="s">
        <v>553</v>
      </c>
      <c r="D125" s="74" t="s">
        <v>530</v>
      </c>
      <c r="E125" s="74" t="s">
        <v>554</v>
      </c>
      <c r="F125" s="80" t="s">
        <v>532</v>
      </c>
      <c r="G125" s="80">
        <f>IF(H125*I125/100+0.000005 &lt;1, TRUNC(H125*I125/100+0.000005, 옵션!$E$13), TRUNC(H125*I125/100+0.000005, 옵션!$E$13))</f>
        <v>0.53</v>
      </c>
      <c r="H125" s="80">
        <f>옵션!$B$13</f>
        <v>100</v>
      </c>
      <c r="I125" s="80">
        <f>SUM(AL120:AL123)</f>
        <v>0.53</v>
      </c>
      <c r="J125" s="80"/>
      <c r="K125" s="74"/>
      <c r="L125" s="80"/>
      <c r="M125" s="80"/>
      <c r="N125" s="80"/>
      <c r="O125" s="80" t="str">
        <f t="shared" si="0"/>
        <v/>
      </c>
      <c r="P125" s="58"/>
      <c r="Q125" s="58"/>
      <c r="R125" s="58"/>
      <c r="S125" s="80"/>
      <c r="T125" s="80"/>
    </row>
    <row r="126" spans="2:43" ht="21.95" customHeight="1">
      <c r="B126" s="64" t="s">
        <v>575</v>
      </c>
      <c r="C126" s="64" t="s">
        <v>557</v>
      </c>
      <c r="D126" s="74" t="s">
        <v>530</v>
      </c>
      <c r="E126" s="74" t="s">
        <v>558</v>
      </c>
      <c r="F126" s="80" t="s">
        <v>532</v>
      </c>
      <c r="G126" s="80">
        <f>IF(H126*I126/100+0.000005 &lt;1, TRUNC(H126*I126/100+0.000005, 옵션!$E$13), TRUNC(H126*I126/100+0.000005, 옵션!$E$13))</f>
        <v>0.03</v>
      </c>
      <c r="H126" s="80">
        <f>옵션!$B$13</f>
        <v>100</v>
      </c>
      <c r="I126" s="80">
        <f>SUM(AN120:AN123)</f>
        <v>0.03</v>
      </c>
      <c r="J126" s="80"/>
      <c r="K126" s="74"/>
      <c r="L126" s="80"/>
      <c r="M126" s="80"/>
      <c r="N126" s="80"/>
      <c r="O126" s="80" t="str">
        <f t="shared" si="0"/>
        <v/>
      </c>
      <c r="P126" s="58"/>
      <c r="Q126" s="58"/>
      <c r="R126" s="58"/>
      <c r="S126" s="80"/>
      <c r="T126" s="80"/>
    </row>
    <row r="127" spans="2:43" ht="21.95" customHeight="1">
      <c r="B127" s="64" t="s">
        <v>575</v>
      </c>
      <c r="C127" s="64" t="s">
        <v>563</v>
      </c>
      <c r="D127" s="74" t="s">
        <v>530</v>
      </c>
      <c r="E127" s="74" t="s">
        <v>564</v>
      </c>
      <c r="F127" s="80" t="s">
        <v>532</v>
      </c>
      <c r="G127" s="80">
        <f>IF(H127*I127/100+0.000005 &lt;1, TRUNC(H127*I127/100+0.000005, 옵션!$E$13), TRUNC(H127*I127/100+0.000005, 옵션!$E$13))</f>
        <v>0.28000000000000003</v>
      </c>
      <c r="H127" s="80">
        <f>옵션!$B$13</f>
        <v>100</v>
      </c>
      <c r="I127" s="80">
        <f>SUM(AQ120:AQ123)</f>
        <v>0.28000000000000003</v>
      </c>
      <c r="J127" s="80"/>
      <c r="K127" s="74"/>
      <c r="L127" s="80"/>
      <c r="M127" s="80"/>
      <c r="N127" s="80"/>
      <c r="O127" s="80" t="str">
        <f t="shared" si="0"/>
        <v/>
      </c>
      <c r="P127" s="58"/>
      <c r="Q127" s="58"/>
      <c r="R127" s="58"/>
      <c r="S127" s="80"/>
      <c r="T127" s="80"/>
    </row>
    <row r="128" spans="2:43" ht="21.95" customHeight="1">
      <c r="B128" s="64" t="s">
        <v>573</v>
      </c>
      <c r="D128" s="158" t="s">
        <v>645</v>
      </c>
      <c r="E128" s="159"/>
      <c r="F128" s="159"/>
      <c r="G128" s="159"/>
      <c r="H128" s="159"/>
      <c r="I128" s="159"/>
      <c r="J128" s="159"/>
      <c r="K128" s="159"/>
      <c r="L128" s="159"/>
      <c r="M128" s="159"/>
      <c r="N128" s="159"/>
      <c r="O128" s="159"/>
      <c r="P128" s="159"/>
      <c r="Q128" s="159"/>
      <c r="R128" s="159"/>
      <c r="S128" s="159"/>
      <c r="T128" s="160"/>
    </row>
    <row r="129" spans="2:36" ht="21.95" customHeight="1">
      <c r="B129" s="64" t="s">
        <v>575</v>
      </c>
      <c r="C129" s="64" t="s">
        <v>287</v>
      </c>
      <c r="D129" s="74" t="s">
        <v>288</v>
      </c>
      <c r="E129" s="74" t="s">
        <v>289</v>
      </c>
      <c r="F129" s="80" t="s">
        <v>290</v>
      </c>
      <c r="G129" s="80">
        <v>1</v>
      </c>
      <c r="H129" s="80">
        <f>IF(I129&lt;&gt;0,G129-I129,"")</f>
        <v>0</v>
      </c>
      <c r="I129" s="80">
        <v>1</v>
      </c>
      <c r="J129" s="80"/>
      <c r="K129" s="74" t="s">
        <v>614</v>
      </c>
      <c r="L129" s="80" t="s">
        <v>544</v>
      </c>
      <c r="M129" s="80">
        <v>0.72</v>
      </c>
      <c r="N129" s="80">
        <v>100</v>
      </c>
      <c r="O129" s="80">
        <f>IF(I129*M129=0,"",I129*M129*(N129/100))</f>
        <v>0.72</v>
      </c>
      <c r="P129" s="58"/>
      <c r="Q129" s="58"/>
      <c r="R129" s="58"/>
      <c r="S129" s="80" t="s">
        <v>646</v>
      </c>
      <c r="T129" s="80"/>
      <c r="AG129" s="48">
        <f>O129</f>
        <v>0.72</v>
      </c>
    </row>
    <row r="130" spans="2:36" ht="21.95" customHeight="1">
      <c r="B130" s="64" t="s">
        <v>575</v>
      </c>
      <c r="C130" s="64" t="s">
        <v>287</v>
      </c>
      <c r="D130" s="74"/>
      <c r="E130" s="74"/>
      <c r="F130" s="80"/>
      <c r="G130" s="80">
        <v>1</v>
      </c>
      <c r="H130" s="80">
        <f>IF(I130&lt;&gt;0,G130-I130,"")</f>
        <v>0</v>
      </c>
      <c r="I130" s="80">
        <v>1</v>
      </c>
      <c r="J130" s="80"/>
      <c r="K130" s="74" t="s">
        <v>579</v>
      </c>
      <c r="L130" s="80" t="s">
        <v>550</v>
      </c>
      <c r="M130" s="80">
        <v>0.36</v>
      </c>
      <c r="N130" s="80">
        <v>100</v>
      </c>
      <c r="O130" s="80">
        <f>IF(I130*M130=0,"",I130*M130*(N130/100))</f>
        <v>0.36</v>
      </c>
      <c r="P130" s="58"/>
      <c r="Q130" s="58"/>
      <c r="R130" s="58"/>
      <c r="S130" s="80" t="s">
        <v>646</v>
      </c>
      <c r="T130" s="80"/>
      <c r="AJ130" s="48">
        <f>O130</f>
        <v>0.36</v>
      </c>
    </row>
    <row r="131" spans="2:36" ht="21.95" customHeight="1">
      <c r="B131" s="64" t="s">
        <v>575</v>
      </c>
      <c r="C131" s="64" t="s">
        <v>543</v>
      </c>
      <c r="D131" s="74" t="s">
        <v>530</v>
      </c>
      <c r="E131" s="74" t="s">
        <v>544</v>
      </c>
      <c r="F131" s="80" t="s">
        <v>532</v>
      </c>
      <c r="G131" s="80">
        <f>IF(H131*I131/100+0.000005 &lt;1, TRUNC(H131*I131/100+0.000005, 옵션!$E$13), TRUNC(H131*I131/100+0.000005, 옵션!$E$13))</f>
        <v>0.72</v>
      </c>
      <c r="H131" s="80">
        <f>옵션!$B$13</f>
        <v>100</v>
      </c>
      <c r="I131" s="80">
        <f>SUM(AG129:AG130)</f>
        <v>0.72</v>
      </c>
      <c r="J131" s="80"/>
      <c r="K131" s="74"/>
      <c r="L131" s="80"/>
      <c r="M131" s="80"/>
      <c r="N131" s="80"/>
      <c r="O131" s="80" t="str">
        <f>IF(I131*M131=0,"",I131*M131*(N131/100))</f>
        <v/>
      </c>
      <c r="P131" s="58"/>
      <c r="Q131" s="58"/>
      <c r="R131" s="58"/>
      <c r="S131" s="80"/>
      <c r="T131" s="80"/>
      <c r="AG131" s="48">
        <f>SUM(AG129:AG130)</f>
        <v>0.72</v>
      </c>
      <c r="AJ131" s="48">
        <f>SUM(AJ129:AJ130)</f>
        <v>0.36</v>
      </c>
    </row>
    <row r="132" spans="2:36" ht="21.95" customHeight="1">
      <c r="B132" s="64" t="s">
        <v>575</v>
      </c>
      <c r="C132" s="64" t="s">
        <v>549</v>
      </c>
      <c r="D132" s="74" t="s">
        <v>530</v>
      </c>
      <c r="E132" s="74" t="s">
        <v>550</v>
      </c>
      <c r="F132" s="80" t="s">
        <v>532</v>
      </c>
      <c r="G132" s="80">
        <f>IF(H132*I132/100+0.000005 &lt;1, TRUNC(H132*I132/100+0.000005, 옵션!$E$13), TRUNC(H132*I132/100+0.000005, 옵션!$E$13))</f>
        <v>0.36</v>
      </c>
      <c r="H132" s="80">
        <f>옵션!$B$13</f>
        <v>100</v>
      </c>
      <c r="I132" s="80">
        <f>SUM(AJ129:AJ130)</f>
        <v>0.36</v>
      </c>
      <c r="J132" s="80"/>
      <c r="K132" s="74"/>
      <c r="L132" s="80"/>
      <c r="M132" s="80"/>
      <c r="N132" s="80"/>
      <c r="O132" s="80" t="str">
        <f>IF(I132*M132=0,"",I132*M132*(N132/100))</f>
        <v/>
      </c>
      <c r="P132" s="58"/>
      <c r="Q132" s="58"/>
      <c r="R132" s="58"/>
      <c r="S132" s="80"/>
      <c r="T132" s="80"/>
    </row>
    <row r="133" spans="2:36" ht="21.95" customHeight="1">
      <c r="B133" s="64" t="s">
        <v>573</v>
      </c>
      <c r="D133" s="158" t="s">
        <v>647</v>
      </c>
      <c r="E133" s="159"/>
      <c r="F133" s="159"/>
      <c r="G133" s="159"/>
      <c r="H133" s="159"/>
      <c r="I133" s="159"/>
      <c r="J133" s="159"/>
      <c r="K133" s="159"/>
      <c r="L133" s="159"/>
      <c r="M133" s="159"/>
      <c r="N133" s="159"/>
      <c r="O133" s="159"/>
      <c r="P133" s="159"/>
      <c r="Q133" s="159"/>
      <c r="R133" s="159"/>
      <c r="S133" s="159"/>
      <c r="T133" s="160"/>
    </row>
    <row r="134" spans="2:36" ht="21.95" customHeight="1">
      <c r="B134" s="64" t="s">
        <v>575</v>
      </c>
      <c r="C134" s="64" t="s">
        <v>303</v>
      </c>
      <c r="D134" s="74" t="s">
        <v>304</v>
      </c>
      <c r="E134" s="74" t="s">
        <v>305</v>
      </c>
      <c r="F134" s="80" t="s">
        <v>306</v>
      </c>
      <c r="G134" s="80">
        <v>1</v>
      </c>
      <c r="H134" s="80">
        <f>IF(I134&lt;&gt;0,G134-I134,"")</f>
        <v>0</v>
      </c>
      <c r="I134" s="80">
        <v>1</v>
      </c>
      <c r="J134" s="80"/>
      <c r="K134" s="74" t="s">
        <v>605</v>
      </c>
      <c r="L134" s="80" t="s">
        <v>538</v>
      </c>
      <c r="M134" s="80">
        <v>0.22</v>
      </c>
      <c r="N134" s="80">
        <v>100</v>
      </c>
      <c r="O134" s="80">
        <f>IF(I134*M134=0,"",I134*M134*(N134/100))</f>
        <v>0.22</v>
      </c>
      <c r="P134" s="58"/>
      <c r="Q134" s="58"/>
      <c r="R134" s="58"/>
      <c r="S134" s="80" t="s">
        <v>648</v>
      </c>
      <c r="T134" s="80"/>
      <c r="AD134" s="48">
        <f>O134</f>
        <v>0.22</v>
      </c>
    </row>
    <row r="135" spans="2:36" ht="21.95" customHeight="1">
      <c r="B135" s="64" t="s">
        <v>575</v>
      </c>
      <c r="C135" s="64" t="s">
        <v>303</v>
      </c>
      <c r="D135" s="74"/>
      <c r="E135" s="74"/>
      <c r="F135" s="80"/>
      <c r="G135" s="80">
        <v>1</v>
      </c>
      <c r="H135" s="80">
        <f>IF(I135&lt;&gt;0,G135-I135,"")</f>
        <v>0</v>
      </c>
      <c r="I135" s="80">
        <v>1</v>
      </c>
      <c r="J135" s="80"/>
      <c r="K135" s="74" t="s">
        <v>579</v>
      </c>
      <c r="L135" s="80" t="s">
        <v>550</v>
      </c>
      <c r="M135" s="80">
        <v>0.11</v>
      </c>
      <c r="N135" s="80">
        <v>100</v>
      </c>
      <c r="O135" s="80">
        <f>IF(I135*M135=0,"",I135*M135*(N135/100))</f>
        <v>0.11</v>
      </c>
      <c r="P135" s="58"/>
      <c r="Q135" s="58"/>
      <c r="R135" s="58"/>
      <c r="S135" s="80" t="s">
        <v>648</v>
      </c>
      <c r="T135" s="80"/>
      <c r="AJ135" s="48">
        <f>O135</f>
        <v>0.11</v>
      </c>
    </row>
    <row r="136" spans="2:36" ht="21.95" customHeight="1">
      <c r="B136" s="64" t="s">
        <v>575</v>
      </c>
      <c r="C136" s="64" t="s">
        <v>537</v>
      </c>
      <c r="D136" s="74" t="s">
        <v>530</v>
      </c>
      <c r="E136" s="74" t="s">
        <v>538</v>
      </c>
      <c r="F136" s="80" t="s">
        <v>532</v>
      </c>
      <c r="G136" s="80">
        <f>IF(H136*I136/100+0.000005 &lt;1, TRUNC(H136*I136/100+0.000005, 옵션!$E$13), TRUNC(H136*I136/100+0.000005, 옵션!$E$13))</f>
        <v>0.22</v>
      </c>
      <c r="H136" s="80">
        <f>옵션!$B$13</f>
        <v>100</v>
      </c>
      <c r="I136" s="80">
        <f>SUM(AD134:AD135)</f>
        <v>0.22</v>
      </c>
      <c r="J136" s="80"/>
      <c r="K136" s="74"/>
      <c r="L136" s="80"/>
      <c r="M136" s="80"/>
      <c r="N136" s="80"/>
      <c r="O136" s="80" t="str">
        <f>IF(I136*M136=0,"",I136*M136*(N136/100))</f>
        <v/>
      </c>
      <c r="P136" s="58"/>
      <c r="Q136" s="58"/>
      <c r="R136" s="58"/>
      <c r="S136" s="80"/>
      <c r="T136" s="80"/>
      <c r="AD136" s="48">
        <f>SUM(AD134:AD135)</f>
        <v>0.22</v>
      </c>
      <c r="AJ136" s="48">
        <f>SUM(AJ134:AJ135)</f>
        <v>0.11</v>
      </c>
    </row>
    <row r="137" spans="2:36" ht="21.95" customHeight="1">
      <c r="B137" s="64" t="s">
        <v>575</v>
      </c>
      <c r="C137" s="64" t="s">
        <v>549</v>
      </c>
      <c r="D137" s="74" t="s">
        <v>530</v>
      </c>
      <c r="E137" s="74" t="s">
        <v>550</v>
      </c>
      <c r="F137" s="80" t="s">
        <v>532</v>
      </c>
      <c r="G137" s="80">
        <f>IF(H137*I137/100+0.000005 &lt;1, TRUNC(H137*I137/100+0.000005, 옵션!$E$13), TRUNC(H137*I137/100+0.000005, 옵션!$E$13))</f>
        <v>0.11</v>
      </c>
      <c r="H137" s="80">
        <f>옵션!$B$13</f>
        <v>100</v>
      </c>
      <c r="I137" s="80">
        <f>SUM(AJ134:AJ135)</f>
        <v>0.11</v>
      </c>
      <c r="J137" s="80"/>
      <c r="K137" s="74"/>
      <c r="L137" s="80"/>
      <c r="M137" s="80"/>
      <c r="N137" s="80"/>
      <c r="O137" s="80" t="str">
        <f>IF(I137*M137=0,"",I137*M137*(N137/100))</f>
        <v/>
      </c>
      <c r="P137" s="58"/>
      <c r="Q137" s="58"/>
      <c r="R137" s="58"/>
      <c r="S137" s="80"/>
      <c r="T137" s="80"/>
    </row>
    <row r="138" spans="2:36" ht="21.95" customHeight="1">
      <c r="B138" s="64" t="s">
        <v>573</v>
      </c>
      <c r="D138" s="158" t="s">
        <v>649</v>
      </c>
      <c r="E138" s="159"/>
      <c r="F138" s="159"/>
      <c r="G138" s="159"/>
      <c r="H138" s="159"/>
      <c r="I138" s="159"/>
      <c r="J138" s="159"/>
      <c r="K138" s="159"/>
      <c r="L138" s="159"/>
      <c r="M138" s="159"/>
      <c r="N138" s="159"/>
      <c r="O138" s="159"/>
      <c r="P138" s="159"/>
      <c r="Q138" s="159"/>
      <c r="R138" s="159"/>
      <c r="S138" s="159"/>
      <c r="T138" s="160"/>
    </row>
    <row r="139" spans="2:36" ht="21.95" customHeight="1">
      <c r="B139" s="64" t="s">
        <v>575</v>
      </c>
      <c r="C139" s="64" t="s">
        <v>313</v>
      </c>
      <c r="D139" s="74" t="s">
        <v>314</v>
      </c>
      <c r="E139" s="74" t="s">
        <v>315</v>
      </c>
      <c r="F139" s="80" t="s">
        <v>316</v>
      </c>
      <c r="G139" s="80">
        <v>1</v>
      </c>
      <c r="H139" s="80">
        <f>IF(I139&lt;&gt;0,G139-I139,"")</f>
        <v>0</v>
      </c>
      <c r="I139" s="80">
        <v>1</v>
      </c>
      <c r="J139" s="80"/>
      <c r="K139" s="74" t="s">
        <v>593</v>
      </c>
      <c r="L139" s="80" t="s">
        <v>531</v>
      </c>
      <c r="M139" s="80">
        <v>0.48</v>
      </c>
      <c r="N139" s="80">
        <v>100</v>
      </c>
      <c r="O139" s="80">
        <f>IF(I139*M139=0,"",I139*M139*(N139/100))</f>
        <v>0.48</v>
      </c>
      <c r="P139" s="58"/>
      <c r="Q139" s="58"/>
      <c r="R139" s="58"/>
      <c r="S139" s="80" t="s">
        <v>650</v>
      </c>
      <c r="T139" s="80"/>
      <c r="AA139" s="48">
        <f>O139</f>
        <v>0.48</v>
      </c>
    </row>
    <row r="140" spans="2:36" ht="21.95" customHeight="1">
      <c r="B140" s="64" t="s">
        <v>575</v>
      </c>
      <c r="C140" s="64" t="s">
        <v>529</v>
      </c>
      <c r="D140" s="74" t="s">
        <v>530</v>
      </c>
      <c r="E140" s="74" t="s">
        <v>531</v>
      </c>
      <c r="F140" s="80" t="s">
        <v>532</v>
      </c>
      <c r="G140" s="80">
        <f>IF(H140*I140/100+0.000005 &lt;1, TRUNC(H140*I140/100+0.000005, 옵션!$E$13), TRUNC(H140*I140/100+0.000005, 옵션!$E$13))</f>
        <v>0.48</v>
      </c>
      <c r="H140" s="80">
        <f>옵션!$B$13</f>
        <v>100</v>
      </c>
      <c r="I140" s="80">
        <f>SUM(AA139:AA139)</f>
        <v>0.48</v>
      </c>
      <c r="J140" s="80"/>
      <c r="K140" s="74"/>
      <c r="L140" s="80"/>
      <c r="M140" s="80"/>
      <c r="N140" s="80"/>
      <c r="O140" s="80" t="str">
        <f>IF(I140*M140=0,"",I140*M140*(N140/100))</f>
        <v/>
      </c>
      <c r="P140" s="58"/>
      <c r="Q140" s="58"/>
      <c r="R140" s="58"/>
      <c r="S140" s="80"/>
      <c r="T140" s="80"/>
      <c r="AA140" s="48">
        <f>SUM(AA139:AA139)</f>
        <v>0.48</v>
      </c>
    </row>
    <row r="141" spans="2:36" ht="21.95" customHeight="1">
      <c r="B141" s="64" t="s">
        <v>573</v>
      </c>
      <c r="D141" s="158" t="s">
        <v>651</v>
      </c>
      <c r="E141" s="159"/>
      <c r="F141" s="159"/>
      <c r="G141" s="159"/>
      <c r="H141" s="159"/>
      <c r="I141" s="159"/>
      <c r="J141" s="159"/>
      <c r="K141" s="159"/>
      <c r="L141" s="159"/>
      <c r="M141" s="159"/>
      <c r="N141" s="159"/>
      <c r="O141" s="159"/>
      <c r="P141" s="159"/>
      <c r="Q141" s="159"/>
      <c r="R141" s="159"/>
      <c r="S141" s="159"/>
      <c r="T141" s="160"/>
    </row>
    <row r="142" spans="2:36" ht="21.95" customHeight="1">
      <c r="B142" s="64" t="s">
        <v>575</v>
      </c>
      <c r="C142" s="64" t="s">
        <v>317</v>
      </c>
      <c r="D142" s="74" t="s">
        <v>318</v>
      </c>
      <c r="E142" s="74" t="s">
        <v>319</v>
      </c>
      <c r="F142" s="80" t="s">
        <v>266</v>
      </c>
      <c r="G142" s="80">
        <v>1</v>
      </c>
      <c r="H142" s="80">
        <f>IF(I142&lt;&gt;0,G142-I142,"")</f>
        <v>0</v>
      </c>
      <c r="I142" s="80">
        <v>1</v>
      </c>
      <c r="J142" s="80"/>
      <c r="K142" s="74" t="s">
        <v>593</v>
      </c>
      <c r="L142" s="80" t="s">
        <v>531</v>
      </c>
      <c r="M142" s="80">
        <v>0.17699999999999999</v>
      </c>
      <c r="N142" s="80">
        <v>100</v>
      </c>
      <c r="O142" s="80">
        <f>IF(I142*M142=0,"",I142*M142*(N142/100))</f>
        <v>0.17699999999999999</v>
      </c>
      <c r="P142" s="58"/>
      <c r="Q142" s="58"/>
      <c r="R142" s="58"/>
      <c r="S142" s="80" t="s">
        <v>652</v>
      </c>
      <c r="T142" s="80"/>
      <c r="AA142" s="48">
        <f>O142</f>
        <v>0.17699999999999999</v>
      </c>
    </row>
    <row r="143" spans="2:36" ht="21.95" customHeight="1">
      <c r="B143" s="64" t="s">
        <v>575</v>
      </c>
      <c r="C143" s="64" t="s">
        <v>317</v>
      </c>
      <c r="D143" s="74"/>
      <c r="E143" s="74"/>
      <c r="F143" s="80"/>
      <c r="G143" s="80">
        <v>1</v>
      </c>
      <c r="H143" s="80">
        <f>IF(I143&lt;&gt;0,G143-I143,"")</f>
        <v>0</v>
      </c>
      <c r="I143" s="80">
        <v>1</v>
      </c>
      <c r="J143" s="80"/>
      <c r="K143" s="74" t="s">
        <v>579</v>
      </c>
      <c r="L143" s="80" t="s">
        <v>550</v>
      </c>
      <c r="M143" s="80">
        <v>0.59199999999999997</v>
      </c>
      <c r="N143" s="80">
        <v>100</v>
      </c>
      <c r="O143" s="80">
        <f>IF(I143*M143=0,"",I143*M143*(N143/100))</f>
        <v>0.59199999999999997</v>
      </c>
      <c r="P143" s="58"/>
      <c r="Q143" s="58"/>
      <c r="R143" s="58"/>
      <c r="S143" s="80" t="s">
        <v>652</v>
      </c>
      <c r="T143" s="80"/>
      <c r="AJ143" s="48">
        <f>O143</f>
        <v>0.59199999999999997</v>
      </c>
    </row>
    <row r="144" spans="2:36" ht="21.95" customHeight="1">
      <c r="B144" s="64" t="s">
        <v>575</v>
      </c>
      <c r="C144" s="64" t="s">
        <v>529</v>
      </c>
      <c r="D144" s="74" t="s">
        <v>530</v>
      </c>
      <c r="E144" s="74" t="s">
        <v>531</v>
      </c>
      <c r="F144" s="80" t="s">
        <v>532</v>
      </c>
      <c r="G144" s="80">
        <f>IF(H144*I144/100+0.000005 &lt;1, TRUNC(H144*I144/100+0.000005, 옵션!$E$13), TRUNC(H144*I144/100+0.000005, 옵션!$E$13))</f>
        <v>0.17699999999999999</v>
      </c>
      <c r="H144" s="80">
        <f>옵션!$B$13</f>
        <v>100</v>
      </c>
      <c r="I144" s="80">
        <f>SUM(AA142:AA143)</f>
        <v>0.17699999999999999</v>
      </c>
      <c r="J144" s="80"/>
      <c r="K144" s="74"/>
      <c r="L144" s="80"/>
      <c r="M144" s="80"/>
      <c r="N144" s="80"/>
      <c r="O144" s="80" t="str">
        <f>IF(I144*M144=0,"",I144*M144*(N144/100))</f>
        <v/>
      </c>
      <c r="P144" s="58"/>
      <c r="Q144" s="58"/>
      <c r="R144" s="58"/>
      <c r="S144" s="80"/>
      <c r="T144" s="80"/>
      <c r="AA144" s="48">
        <f>SUM(AA142:AA143)</f>
        <v>0.17699999999999999</v>
      </c>
      <c r="AJ144" s="48">
        <f>SUM(AJ142:AJ143)</f>
        <v>0.59199999999999997</v>
      </c>
    </row>
    <row r="145" spans="2:42" ht="21.95" customHeight="1">
      <c r="B145" s="64" t="s">
        <v>575</v>
      </c>
      <c r="C145" s="64" t="s">
        <v>549</v>
      </c>
      <c r="D145" s="74" t="s">
        <v>530</v>
      </c>
      <c r="E145" s="74" t="s">
        <v>550</v>
      </c>
      <c r="F145" s="80" t="s">
        <v>532</v>
      </c>
      <c r="G145" s="80">
        <f>IF(H145*I145/100+0.000005 &lt;1, TRUNC(H145*I145/100+0.000005, 옵션!$E$13), TRUNC(H145*I145/100+0.000005, 옵션!$E$13))</f>
        <v>0.59199999999999997</v>
      </c>
      <c r="H145" s="80">
        <f>옵션!$B$13</f>
        <v>100</v>
      </c>
      <c r="I145" s="80">
        <f>SUM(AJ142:AJ143)</f>
        <v>0.59199999999999997</v>
      </c>
      <c r="J145" s="80"/>
      <c r="K145" s="74"/>
      <c r="L145" s="80"/>
      <c r="M145" s="80"/>
      <c r="N145" s="80"/>
      <c r="O145" s="80" t="str">
        <f>IF(I145*M145=0,"",I145*M145*(N145/100))</f>
        <v/>
      </c>
      <c r="P145" s="58"/>
      <c r="Q145" s="58"/>
      <c r="R145" s="58"/>
      <c r="S145" s="80"/>
      <c r="T145" s="80"/>
    </row>
    <row r="146" spans="2:42" ht="21.95" customHeight="1">
      <c r="B146" s="64" t="s">
        <v>573</v>
      </c>
      <c r="D146" s="158" t="s">
        <v>653</v>
      </c>
      <c r="E146" s="159"/>
      <c r="F146" s="159"/>
      <c r="G146" s="159"/>
      <c r="H146" s="159"/>
      <c r="I146" s="159"/>
      <c r="J146" s="159"/>
      <c r="K146" s="159"/>
      <c r="L146" s="159"/>
      <c r="M146" s="159"/>
      <c r="N146" s="159"/>
      <c r="O146" s="159"/>
      <c r="P146" s="159"/>
      <c r="Q146" s="159"/>
      <c r="R146" s="159"/>
      <c r="S146" s="159"/>
      <c r="T146" s="160"/>
    </row>
    <row r="147" spans="2:42" ht="21.95" customHeight="1">
      <c r="B147" s="64" t="s">
        <v>575</v>
      </c>
      <c r="C147" s="64" t="s">
        <v>320</v>
      </c>
      <c r="D147" s="74" t="s">
        <v>321</v>
      </c>
      <c r="E147" s="74" t="s">
        <v>322</v>
      </c>
      <c r="F147" s="80" t="s">
        <v>262</v>
      </c>
      <c r="G147" s="80">
        <v>1</v>
      </c>
      <c r="H147" s="80">
        <f>IF(I147&lt;&gt;0,G147-I147,"")</f>
        <v>0</v>
      </c>
      <c r="I147" s="80">
        <v>1</v>
      </c>
      <c r="J147" s="80"/>
      <c r="K147" s="74" t="s">
        <v>654</v>
      </c>
      <c r="L147" s="80" t="s">
        <v>546</v>
      </c>
      <c r="M147" s="80">
        <v>0.82</v>
      </c>
      <c r="N147" s="80">
        <v>80</v>
      </c>
      <c r="O147" s="80">
        <f t="shared" ref="O147:O156" si="1">IF(I147*M147=0,"",I147*M147*(N147/100))</f>
        <v>0.65600000000000003</v>
      </c>
      <c r="P147" s="58"/>
      <c r="Q147" s="58"/>
      <c r="R147" s="58"/>
      <c r="S147" s="80" t="s">
        <v>655</v>
      </c>
      <c r="T147" s="80"/>
      <c r="AH147" s="48">
        <f>O147</f>
        <v>0.65600000000000003</v>
      </c>
    </row>
    <row r="148" spans="2:42" ht="21.95" customHeight="1">
      <c r="B148" s="64" t="s">
        <v>575</v>
      </c>
      <c r="C148" s="64" t="s">
        <v>320</v>
      </c>
      <c r="D148" s="74"/>
      <c r="E148" s="74"/>
      <c r="F148" s="80"/>
      <c r="G148" s="80">
        <v>1</v>
      </c>
      <c r="H148" s="80">
        <f>IF(I148&lt;&gt;0,G148-I148,"")</f>
        <v>0</v>
      </c>
      <c r="I148" s="80">
        <v>1</v>
      </c>
      <c r="J148" s="80"/>
      <c r="K148" s="74" t="s">
        <v>656</v>
      </c>
      <c r="L148" s="80" t="s">
        <v>540</v>
      </c>
      <c r="M148" s="80">
        <v>0.67</v>
      </c>
      <c r="N148" s="80">
        <v>80</v>
      </c>
      <c r="O148" s="80">
        <f t="shared" si="1"/>
        <v>0.53600000000000003</v>
      </c>
      <c r="P148" s="58"/>
      <c r="Q148" s="58"/>
      <c r="R148" s="58"/>
      <c r="S148" s="80" t="s">
        <v>655</v>
      </c>
      <c r="T148" s="80"/>
      <c r="AE148" s="48">
        <f>O148</f>
        <v>0.53600000000000003</v>
      </c>
    </row>
    <row r="149" spans="2:42" ht="21.95" customHeight="1">
      <c r="B149" s="64" t="s">
        <v>575</v>
      </c>
      <c r="C149" s="64" t="s">
        <v>320</v>
      </c>
      <c r="D149" s="74"/>
      <c r="E149" s="74"/>
      <c r="F149" s="80"/>
      <c r="G149" s="80">
        <v>1</v>
      </c>
      <c r="H149" s="80">
        <f>IF(I149&lt;&gt;0,G149-I149,"")</f>
        <v>0</v>
      </c>
      <c r="I149" s="80">
        <v>1</v>
      </c>
      <c r="J149" s="80"/>
      <c r="K149" s="74" t="s">
        <v>657</v>
      </c>
      <c r="L149" s="80" t="s">
        <v>542</v>
      </c>
      <c r="M149" s="80">
        <v>0.2</v>
      </c>
      <c r="N149" s="80">
        <v>80</v>
      </c>
      <c r="O149" s="80">
        <f t="shared" si="1"/>
        <v>0.16000000000000003</v>
      </c>
      <c r="P149" s="58"/>
      <c r="Q149" s="58"/>
      <c r="R149" s="58"/>
      <c r="S149" s="80" t="s">
        <v>655</v>
      </c>
      <c r="T149" s="80"/>
      <c r="AF149" s="48">
        <f>O149</f>
        <v>0.16000000000000003</v>
      </c>
    </row>
    <row r="150" spans="2:42" ht="21.95" customHeight="1">
      <c r="B150" s="64" t="s">
        <v>575</v>
      </c>
      <c r="C150" s="64" t="s">
        <v>320</v>
      </c>
      <c r="D150" s="74"/>
      <c r="E150" s="74"/>
      <c r="F150" s="80"/>
      <c r="G150" s="80">
        <v>1</v>
      </c>
      <c r="H150" s="80">
        <f>IF(I150&lt;&gt;0,G150-I150,"")</f>
        <v>0</v>
      </c>
      <c r="I150" s="80">
        <v>1</v>
      </c>
      <c r="J150" s="80"/>
      <c r="K150" s="74" t="s">
        <v>579</v>
      </c>
      <c r="L150" s="80" t="s">
        <v>550</v>
      </c>
      <c r="M150" s="80">
        <v>1.47</v>
      </c>
      <c r="N150" s="80">
        <v>80</v>
      </c>
      <c r="O150" s="80">
        <f t="shared" si="1"/>
        <v>1.1759999999999999</v>
      </c>
      <c r="P150" s="58"/>
      <c r="Q150" s="58"/>
      <c r="R150" s="58"/>
      <c r="S150" s="80" t="s">
        <v>655</v>
      </c>
      <c r="T150" s="80"/>
      <c r="AJ150" s="48">
        <f>O150</f>
        <v>1.1759999999999999</v>
      </c>
    </row>
    <row r="151" spans="2:42" ht="21.95" customHeight="1">
      <c r="B151" s="64" t="s">
        <v>575</v>
      </c>
      <c r="C151" s="64" t="s">
        <v>320</v>
      </c>
      <c r="D151" s="74"/>
      <c r="E151" s="74"/>
      <c r="F151" s="80"/>
      <c r="G151" s="80">
        <v>1</v>
      </c>
      <c r="H151" s="80">
        <f>IF(I151&lt;&gt;0,G151-I151,"")</f>
        <v>0</v>
      </c>
      <c r="I151" s="80">
        <v>1</v>
      </c>
      <c r="J151" s="80"/>
      <c r="K151" s="74" t="s">
        <v>658</v>
      </c>
      <c r="L151" s="80" t="s">
        <v>562</v>
      </c>
      <c r="M151" s="80">
        <v>0.05</v>
      </c>
      <c r="N151" s="80">
        <v>80</v>
      </c>
      <c r="O151" s="80">
        <f t="shared" si="1"/>
        <v>4.0000000000000008E-2</v>
      </c>
      <c r="P151" s="58"/>
      <c r="Q151" s="58"/>
      <c r="R151" s="58"/>
      <c r="S151" s="80" t="s">
        <v>655</v>
      </c>
      <c r="T151" s="80"/>
      <c r="AP151" s="48">
        <f>O151</f>
        <v>4.0000000000000008E-2</v>
      </c>
    </row>
    <row r="152" spans="2:42" ht="21.95" customHeight="1">
      <c r="B152" s="64" t="s">
        <v>575</v>
      </c>
      <c r="C152" s="64" t="s">
        <v>539</v>
      </c>
      <c r="D152" s="74" t="s">
        <v>530</v>
      </c>
      <c r="E152" s="74" t="s">
        <v>540</v>
      </c>
      <c r="F152" s="80" t="s">
        <v>532</v>
      </c>
      <c r="G152" s="80">
        <f>IF(H152*I152/100+0.000005 &lt;1, TRUNC(H152*I152/100+0.000005, 옵션!$E$13), TRUNC(H152*I152/100+0.000005, 옵션!$E$13))</f>
        <v>0.53600000000000003</v>
      </c>
      <c r="H152" s="80">
        <f>옵션!$B$13</f>
        <v>100</v>
      </c>
      <c r="I152" s="80">
        <f>SUM(AE147:AE151)</f>
        <v>0.53600000000000003</v>
      </c>
      <c r="J152" s="80"/>
      <c r="K152" s="74"/>
      <c r="L152" s="80"/>
      <c r="M152" s="80"/>
      <c r="N152" s="80"/>
      <c r="O152" s="80" t="str">
        <f t="shared" si="1"/>
        <v/>
      </c>
      <c r="P152" s="58"/>
      <c r="Q152" s="58"/>
      <c r="R152" s="58"/>
      <c r="S152" s="80"/>
      <c r="T152" s="80"/>
      <c r="AE152" s="48">
        <f>SUM(AE147:AE151)</f>
        <v>0.53600000000000003</v>
      </c>
      <c r="AF152" s="48">
        <f>SUM(AF147:AF151)</f>
        <v>0.16000000000000003</v>
      </c>
      <c r="AH152" s="48">
        <f>SUM(AH147:AH151)</f>
        <v>0.65600000000000003</v>
      </c>
      <c r="AJ152" s="48">
        <f>SUM(AJ147:AJ151)</f>
        <v>1.1759999999999999</v>
      </c>
      <c r="AP152" s="48">
        <f>SUM(AP147:AP151)</f>
        <v>4.0000000000000008E-2</v>
      </c>
    </row>
    <row r="153" spans="2:42" ht="21.95" customHeight="1">
      <c r="B153" s="64" t="s">
        <v>575</v>
      </c>
      <c r="C153" s="64" t="s">
        <v>541</v>
      </c>
      <c r="D153" s="74" t="s">
        <v>530</v>
      </c>
      <c r="E153" s="74" t="s">
        <v>542</v>
      </c>
      <c r="F153" s="80" t="s">
        <v>532</v>
      </c>
      <c r="G153" s="80">
        <f>IF(H153*I153/100+0.000005 &lt;1, TRUNC(H153*I153/100+0.000005, 옵션!$E$13), TRUNC(H153*I153/100+0.000005, 옵션!$E$13))</f>
        <v>0.16</v>
      </c>
      <c r="H153" s="80">
        <f>옵션!$B$13</f>
        <v>100</v>
      </c>
      <c r="I153" s="80">
        <f>SUM(AF147:AF151)</f>
        <v>0.16000000000000003</v>
      </c>
      <c r="J153" s="80"/>
      <c r="K153" s="74"/>
      <c r="L153" s="80"/>
      <c r="M153" s="80"/>
      <c r="N153" s="80"/>
      <c r="O153" s="80" t="str">
        <f t="shared" si="1"/>
        <v/>
      </c>
      <c r="P153" s="58"/>
      <c r="Q153" s="58"/>
      <c r="R153" s="58"/>
      <c r="S153" s="80"/>
      <c r="T153" s="80"/>
    </row>
    <row r="154" spans="2:42" ht="21.95" customHeight="1">
      <c r="B154" s="64" t="s">
        <v>575</v>
      </c>
      <c r="C154" s="64" t="s">
        <v>545</v>
      </c>
      <c r="D154" s="74" t="s">
        <v>530</v>
      </c>
      <c r="E154" s="74" t="s">
        <v>546</v>
      </c>
      <c r="F154" s="80" t="s">
        <v>532</v>
      </c>
      <c r="G154" s="80">
        <f>IF(H154*I154/100+0.000005 &lt;1, TRUNC(H154*I154/100+0.000005, 옵션!$E$13), TRUNC(H154*I154/100+0.000005, 옵션!$E$13))</f>
        <v>0.65600000000000003</v>
      </c>
      <c r="H154" s="80">
        <f>옵션!$B$13</f>
        <v>100</v>
      </c>
      <c r="I154" s="80">
        <f>SUM(AH147:AH151)</f>
        <v>0.65600000000000003</v>
      </c>
      <c r="J154" s="80"/>
      <c r="K154" s="74"/>
      <c r="L154" s="80"/>
      <c r="M154" s="80"/>
      <c r="N154" s="80"/>
      <c r="O154" s="80" t="str">
        <f t="shared" si="1"/>
        <v/>
      </c>
      <c r="P154" s="58"/>
      <c r="Q154" s="58"/>
      <c r="R154" s="58"/>
      <c r="S154" s="80"/>
      <c r="T154" s="80"/>
    </row>
    <row r="155" spans="2:42" ht="21.95" customHeight="1">
      <c r="B155" s="64" t="s">
        <v>575</v>
      </c>
      <c r="C155" s="64" t="s">
        <v>549</v>
      </c>
      <c r="D155" s="74" t="s">
        <v>530</v>
      </c>
      <c r="E155" s="74" t="s">
        <v>550</v>
      </c>
      <c r="F155" s="80" t="s">
        <v>532</v>
      </c>
      <c r="G155" s="80">
        <f>IF(H155*I155/100+0.000005 &lt;1, TRUNC(H155*I155/100+0.000005, 옵션!$E$13), TRUNC(H155*I155/100+0.000005, 옵션!$E$13))</f>
        <v>1.1759999999999999</v>
      </c>
      <c r="H155" s="80">
        <f>옵션!$B$13</f>
        <v>100</v>
      </c>
      <c r="I155" s="80">
        <f>SUM(AJ147:AJ151)</f>
        <v>1.1759999999999999</v>
      </c>
      <c r="J155" s="80"/>
      <c r="K155" s="74"/>
      <c r="L155" s="80"/>
      <c r="M155" s="80"/>
      <c r="N155" s="80"/>
      <c r="O155" s="80" t="str">
        <f t="shared" si="1"/>
        <v/>
      </c>
      <c r="P155" s="58"/>
      <c r="Q155" s="58"/>
      <c r="R155" s="58"/>
      <c r="S155" s="80"/>
      <c r="T155" s="80"/>
    </row>
    <row r="156" spans="2:42" ht="21.95" customHeight="1">
      <c r="B156" s="64" t="s">
        <v>575</v>
      </c>
      <c r="C156" s="64" t="s">
        <v>561</v>
      </c>
      <c r="D156" s="74" t="s">
        <v>530</v>
      </c>
      <c r="E156" s="74" t="s">
        <v>562</v>
      </c>
      <c r="F156" s="80" t="s">
        <v>532</v>
      </c>
      <c r="G156" s="80">
        <f>IF(H156*I156/100+0.000005 &lt;1, TRUNC(H156*I156/100+0.000005, 옵션!$E$13), TRUNC(H156*I156/100+0.000005, 옵션!$E$13))</f>
        <v>0.04</v>
      </c>
      <c r="H156" s="80">
        <f>옵션!$B$13</f>
        <v>100</v>
      </c>
      <c r="I156" s="80">
        <f>SUM(AP147:AP151)</f>
        <v>4.0000000000000008E-2</v>
      </c>
      <c r="J156" s="80"/>
      <c r="K156" s="74"/>
      <c r="L156" s="80"/>
      <c r="M156" s="80"/>
      <c r="N156" s="80"/>
      <c r="O156" s="80" t="str">
        <f t="shared" si="1"/>
        <v/>
      </c>
      <c r="P156" s="58"/>
      <c r="Q156" s="58"/>
      <c r="R156" s="58"/>
      <c r="S156" s="80"/>
      <c r="T156" s="80"/>
    </row>
    <row r="157" spans="2:42" ht="21.95" customHeight="1">
      <c r="B157" s="64" t="s">
        <v>573</v>
      </c>
      <c r="D157" s="158" t="s">
        <v>659</v>
      </c>
      <c r="E157" s="159"/>
      <c r="F157" s="159"/>
      <c r="G157" s="159"/>
      <c r="H157" s="159"/>
      <c r="I157" s="159"/>
      <c r="J157" s="159"/>
      <c r="K157" s="159"/>
      <c r="L157" s="159"/>
      <c r="M157" s="159"/>
      <c r="N157" s="159"/>
      <c r="O157" s="159"/>
      <c r="P157" s="159"/>
      <c r="Q157" s="159"/>
      <c r="R157" s="159"/>
      <c r="S157" s="159"/>
      <c r="T157" s="160"/>
    </row>
    <row r="158" spans="2:42" ht="21.95" customHeight="1">
      <c r="B158" s="64" t="s">
        <v>575</v>
      </c>
      <c r="C158" s="64" t="s">
        <v>332</v>
      </c>
      <c r="D158" s="74" t="s">
        <v>333</v>
      </c>
      <c r="E158" s="74" t="s">
        <v>334</v>
      </c>
      <c r="F158" s="80" t="s">
        <v>196</v>
      </c>
      <c r="G158" s="80">
        <v>1</v>
      </c>
      <c r="H158" s="80">
        <f>IF(I158&lt;&gt;0,G158-I158,"")</f>
        <v>0</v>
      </c>
      <c r="I158" s="80">
        <v>1</v>
      </c>
      <c r="J158" s="80"/>
      <c r="K158" s="74" t="s">
        <v>621</v>
      </c>
      <c r="L158" s="80" t="s">
        <v>534</v>
      </c>
      <c r="M158" s="80">
        <v>4.62E-3</v>
      </c>
      <c r="N158" s="80">
        <v>190</v>
      </c>
      <c r="O158" s="80">
        <f>IF(I158*M158=0,"",I158*M158*(N158/100))</f>
        <v>8.7779999999999993E-3</v>
      </c>
      <c r="P158" s="58"/>
      <c r="Q158" s="58"/>
      <c r="R158" s="58"/>
      <c r="S158" s="80" t="s">
        <v>660</v>
      </c>
      <c r="T158" s="80"/>
      <c r="AB158" s="48">
        <f>O158</f>
        <v>8.7779999999999993E-3</v>
      </c>
    </row>
    <row r="159" spans="2:42" ht="21.95" customHeight="1">
      <c r="B159" s="64" t="s">
        <v>575</v>
      </c>
      <c r="C159" s="64" t="s">
        <v>332</v>
      </c>
      <c r="D159" s="74"/>
      <c r="E159" s="74"/>
      <c r="F159" s="80"/>
      <c r="G159" s="80">
        <v>1</v>
      </c>
      <c r="H159" s="80">
        <f>IF(I159&lt;&gt;0,G159-I159,"")</f>
        <v>0</v>
      </c>
      <c r="I159" s="80">
        <v>1</v>
      </c>
      <c r="J159" s="80"/>
      <c r="K159" s="74" t="s">
        <v>579</v>
      </c>
      <c r="L159" s="80" t="s">
        <v>550</v>
      </c>
      <c r="M159" s="80">
        <v>4.62E-3</v>
      </c>
      <c r="N159" s="80">
        <v>190</v>
      </c>
      <c r="O159" s="80">
        <f>IF(I159*M159=0,"",I159*M159*(N159/100))</f>
        <v>8.7779999999999993E-3</v>
      </c>
      <c r="P159" s="58"/>
      <c r="Q159" s="58"/>
      <c r="R159" s="58"/>
      <c r="S159" s="80" t="s">
        <v>660</v>
      </c>
      <c r="T159" s="80"/>
      <c r="AJ159" s="48">
        <f>O159</f>
        <v>8.7779999999999993E-3</v>
      </c>
    </row>
    <row r="160" spans="2:42" ht="21.95" customHeight="1">
      <c r="B160" s="64" t="s">
        <v>575</v>
      </c>
      <c r="C160" s="64" t="s">
        <v>533</v>
      </c>
      <c r="D160" s="74" t="s">
        <v>530</v>
      </c>
      <c r="E160" s="74" t="s">
        <v>534</v>
      </c>
      <c r="F160" s="80" t="s">
        <v>532</v>
      </c>
      <c r="G160" s="80">
        <f>IF(H160*I160/100+0.000005 &lt;1, TRUNC(H160*I160/100+0.000005, 옵션!$E$13), TRUNC(H160*I160/100+0.000005, 옵션!$E$13))</f>
        <v>8.7799999999999996E-3</v>
      </c>
      <c r="H160" s="80">
        <f>옵션!$B$13</f>
        <v>100</v>
      </c>
      <c r="I160" s="80">
        <f>SUM(AB158:AB159)</f>
        <v>8.7779999999999993E-3</v>
      </c>
      <c r="J160" s="80"/>
      <c r="K160" s="74"/>
      <c r="L160" s="80"/>
      <c r="M160" s="80"/>
      <c r="N160" s="80"/>
      <c r="O160" s="80" t="str">
        <f>IF(I160*M160=0,"",I160*M160*(N160/100))</f>
        <v/>
      </c>
      <c r="P160" s="58"/>
      <c r="Q160" s="58"/>
      <c r="R160" s="58"/>
      <c r="S160" s="80"/>
      <c r="T160" s="80"/>
      <c r="AB160" s="48">
        <f>SUM(AB158:AB159)</f>
        <v>8.7779999999999993E-3</v>
      </c>
      <c r="AJ160" s="48">
        <f>SUM(AJ158:AJ159)</f>
        <v>8.7779999999999993E-3</v>
      </c>
    </row>
    <row r="161" spans="2:36" ht="21.95" customHeight="1">
      <c r="B161" s="64" t="s">
        <v>575</v>
      </c>
      <c r="C161" s="64" t="s">
        <v>549</v>
      </c>
      <c r="D161" s="74" t="s">
        <v>530</v>
      </c>
      <c r="E161" s="74" t="s">
        <v>550</v>
      </c>
      <c r="F161" s="80" t="s">
        <v>532</v>
      </c>
      <c r="G161" s="80">
        <f>IF(H161*I161/100+0.000005 &lt;1, TRUNC(H161*I161/100+0.000005, 옵션!$E$13), TRUNC(H161*I161/100+0.000005, 옵션!$E$13))</f>
        <v>8.7799999999999996E-3</v>
      </c>
      <c r="H161" s="80">
        <f>옵션!$B$13</f>
        <v>100</v>
      </c>
      <c r="I161" s="80">
        <f>SUM(AJ158:AJ159)</f>
        <v>8.7779999999999993E-3</v>
      </c>
      <c r="J161" s="80"/>
      <c r="K161" s="74"/>
      <c r="L161" s="80"/>
      <c r="M161" s="80"/>
      <c r="N161" s="80"/>
      <c r="O161" s="80" t="str">
        <f>IF(I161*M161=0,"",I161*M161*(N161/100))</f>
        <v/>
      </c>
      <c r="P161" s="58"/>
      <c r="Q161" s="58"/>
      <c r="R161" s="58"/>
      <c r="S161" s="80"/>
      <c r="T161" s="80"/>
    </row>
    <row r="162" spans="2:36" ht="21.95" customHeight="1">
      <c r="B162" s="64" t="s">
        <v>573</v>
      </c>
      <c r="D162" s="158" t="s">
        <v>661</v>
      </c>
      <c r="E162" s="159"/>
      <c r="F162" s="159"/>
      <c r="G162" s="159"/>
      <c r="H162" s="159"/>
      <c r="I162" s="159"/>
      <c r="J162" s="159"/>
      <c r="K162" s="159"/>
      <c r="L162" s="159"/>
      <c r="M162" s="159"/>
      <c r="N162" s="159"/>
      <c r="O162" s="159"/>
      <c r="P162" s="159"/>
      <c r="Q162" s="159"/>
      <c r="R162" s="159"/>
      <c r="S162" s="159"/>
      <c r="T162" s="160"/>
    </row>
    <row r="163" spans="2:36" ht="21.95" customHeight="1">
      <c r="B163" s="64" t="s">
        <v>575</v>
      </c>
      <c r="C163" s="64" t="s">
        <v>332</v>
      </c>
      <c r="D163" s="74" t="s">
        <v>333</v>
      </c>
      <c r="E163" s="74" t="s">
        <v>335</v>
      </c>
      <c r="F163" s="80" t="s">
        <v>196</v>
      </c>
      <c r="G163" s="80">
        <v>1</v>
      </c>
      <c r="H163" s="80">
        <f>IF(I163&lt;&gt;0,G163-I163,"")</f>
        <v>0</v>
      </c>
      <c r="I163" s="80">
        <v>1</v>
      </c>
      <c r="J163" s="80"/>
      <c r="K163" s="74" t="s">
        <v>621</v>
      </c>
      <c r="L163" s="80" t="s">
        <v>534</v>
      </c>
      <c r="M163" s="80">
        <v>4.8399999999999997E-3</v>
      </c>
      <c r="N163" s="80">
        <v>190</v>
      </c>
      <c r="O163" s="80">
        <f>IF(I163*M163=0,"",I163*M163*(N163/100))</f>
        <v>9.1959999999999993E-3</v>
      </c>
      <c r="P163" s="58"/>
      <c r="Q163" s="58"/>
      <c r="R163" s="58"/>
      <c r="S163" s="80" t="s">
        <v>660</v>
      </c>
      <c r="T163" s="80"/>
      <c r="AB163" s="48">
        <f>O163</f>
        <v>9.1959999999999993E-3</v>
      </c>
    </row>
    <row r="164" spans="2:36" ht="21.95" customHeight="1">
      <c r="B164" s="64" t="s">
        <v>575</v>
      </c>
      <c r="C164" s="64" t="s">
        <v>332</v>
      </c>
      <c r="D164" s="74"/>
      <c r="E164" s="74"/>
      <c r="F164" s="80"/>
      <c r="G164" s="80">
        <v>1</v>
      </c>
      <c r="H164" s="80">
        <f>IF(I164&lt;&gt;0,G164-I164,"")</f>
        <v>0</v>
      </c>
      <c r="I164" s="80">
        <v>1</v>
      </c>
      <c r="J164" s="80"/>
      <c r="K164" s="74" t="s">
        <v>579</v>
      </c>
      <c r="L164" s="80" t="s">
        <v>550</v>
      </c>
      <c r="M164" s="80">
        <v>4.8399999999999997E-3</v>
      </c>
      <c r="N164" s="80">
        <v>190</v>
      </c>
      <c r="O164" s="80">
        <f>IF(I164*M164=0,"",I164*M164*(N164/100))</f>
        <v>9.1959999999999993E-3</v>
      </c>
      <c r="P164" s="58"/>
      <c r="Q164" s="58"/>
      <c r="R164" s="58"/>
      <c r="S164" s="80" t="s">
        <v>660</v>
      </c>
      <c r="T164" s="80"/>
      <c r="AJ164" s="48">
        <f>O164</f>
        <v>9.1959999999999993E-3</v>
      </c>
    </row>
    <row r="165" spans="2:36" ht="21.95" customHeight="1">
      <c r="B165" s="64" t="s">
        <v>575</v>
      </c>
      <c r="C165" s="64" t="s">
        <v>533</v>
      </c>
      <c r="D165" s="74" t="s">
        <v>530</v>
      </c>
      <c r="E165" s="74" t="s">
        <v>534</v>
      </c>
      <c r="F165" s="80" t="s">
        <v>532</v>
      </c>
      <c r="G165" s="80">
        <f>IF(H165*I165/100+0.000005 &lt;1, TRUNC(H165*I165/100+0.000005, 옵션!$E$13), TRUNC(H165*I165/100+0.000005, 옵션!$E$13))</f>
        <v>9.1999999999999998E-3</v>
      </c>
      <c r="H165" s="80">
        <f>옵션!$B$13</f>
        <v>100</v>
      </c>
      <c r="I165" s="80">
        <f>SUM(AB163:AB164)</f>
        <v>9.1959999999999993E-3</v>
      </c>
      <c r="J165" s="80"/>
      <c r="K165" s="74"/>
      <c r="L165" s="80"/>
      <c r="M165" s="80"/>
      <c r="N165" s="80"/>
      <c r="O165" s="80" t="str">
        <f>IF(I165*M165=0,"",I165*M165*(N165/100))</f>
        <v/>
      </c>
      <c r="P165" s="58"/>
      <c r="Q165" s="58"/>
      <c r="R165" s="58"/>
      <c r="S165" s="80"/>
      <c r="T165" s="80"/>
      <c r="AB165" s="48">
        <f>SUM(AB163:AB164)</f>
        <v>9.1959999999999993E-3</v>
      </c>
      <c r="AJ165" s="48">
        <f>SUM(AJ163:AJ164)</f>
        <v>9.1959999999999993E-3</v>
      </c>
    </row>
    <row r="166" spans="2:36" ht="21.95" customHeight="1">
      <c r="B166" s="64" t="s">
        <v>575</v>
      </c>
      <c r="C166" s="64" t="s">
        <v>549</v>
      </c>
      <c r="D166" s="74" t="s">
        <v>530</v>
      </c>
      <c r="E166" s="74" t="s">
        <v>550</v>
      </c>
      <c r="F166" s="80" t="s">
        <v>532</v>
      </c>
      <c r="G166" s="80">
        <f>IF(H166*I166/100+0.000005 &lt;1, TRUNC(H166*I166/100+0.000005, 옵션!$E$13), TRUNC(H166*I166/100+0.000005, 옵션!$E$13))</f>
        <v>9.1999999999999998E-3</v>
      </c>
      <c r="H166" s="80">
        <f>옵션!$B$13</f>
        <v>100</v>
      </c>
      <c r="I166" s="80">
        <f>SUM(AJ163:AJ164)</f>
        <v>9.1959999999999993E-3</v>
      </c>
      <c r="J166" s="80"/>
      <c r="K166" s="74"/>
      <c r="L166" s="80"/>
      <c r="M166" s="80"/>
      <c r="N166" s="80"/>
      <c r="O166" s="80" t="str">
        <f>IF(I166*M166=0,"",I166*M166*(N166/100))</f>
        <v/>
      </c>
      <c r="P166" s="58"/>
      <c r="Q166" s="58"/>
      <c r="R166" s="58"/>
      <c r="S166" s="80"/>
      <c r="T166" s="80"/>
    </row>
    <row r="167" spans="2:36" ht="21.95" customHeight="1">
      <c r="B167" s="64" t="s">
        <v>573</v>
      </c>
      <c r="D167" s="158" t="s">
        <v>662</v>
      </c>
      <c r="E167" s="159"/>
      <c r="F167" s="159"/>
      <c r="G167" s="159"/>
      <c r="H167" s="159"/>
      <c r="I167" s="159"/>
      <c r="J167" s="159"/>
      <c r="K167" s="159"/>
      <c r="L167" s="159"/>
      <c r="M167" s="159"/>
      <c r="N167" s="159"/>
      <c r="O167" s="159"/>
      <c r="P167" s="159"/>
      <c r="Q167" s="159"/>
      <c r="R167" s="159"/>
      <c r="S167" s="159"/>
      <c r="T167" s="160"/>
    </row>
    <row r="168" spans="2:36" ht="21.95" customHeight="1">
      <c r="B168" s="64" t="s">
        <v>575</v>
      </c>
      <c r="C168" s="64" t="s">
        <v>332</v>
      </c>
      <c r="D168" s="74" t="s">
        <v>333</v>
      </c>
      <c r="E168" s="74" t="s">
        <v>336</v>
      </c>
      <c r="F168" s="80" t="s">
        <v>196</v>
      </c>
      <c r="G168" s="80">
        <v>1</v>
      </c>
      <c r="H168" s="80">
        <f>IF(I168&lt;&gt;0,G168-I168,"")</f>
        <v>0</v>
      </c>
      <c r="I168" s="80">
        <v>1</v>
      </c>
      <c r="J168" s="80"/>
      <c r="K168" s="74" t="s">
        <v>621</v>
      </c>
      <c r="L168" s="80" t="s">
        <v>534</v>
      </c>
      <c r="M168" s="80">
        <v>5.28E-3</v>
      </c>
      <c r="N168" s="80">
        <v>190</v>
      </c>
      <c r="O168" s="80">
        <f>IF(I168*M168=0,"",I168*M168*(N168/100))</f>
        <v>1.0031999999999999E-2</v>
      </c>
      <c r="P168" s="58"/>
      <c r="Q168" s="58"/>
      <c r="R168" s="58"/>
      <c r="S168" s="80" t="s">
        <v>660</v>
      </c>
      <c r="T168" s="80"/>
      <c r="AB168" s="48">
        <f>O168</f>
        <v>1.0031999999999999E-2</v>
      </c>
    </row>
    <row r="169" spans="2:36" ht="21.95" customHeight="1">
      <c r="B169" s="64" t="s">
        <v>575</v>
      </c>
      <c r="C169" s="64" t="s">
        <v>332</v>
      </c>
      <c r="D169" s="74"/>
      <c r="E169" s="74"/>
      <c r="F169" s="80"/>
      <c r="G169" s="80">
        <v>1</v>
      </c>
      <c r="H169" s="80">
        <f>IF(I169&lt;&gt;0,G169-I169,"")</f>
        <v>0</v>
      </c>
      <c r="I169" s="80">
        <v>1</v>
      </c>
      <c r="J169" s="80"/>
      <c r="K169" s="74" t="s">
        <v>579</v>
      </c>
      <c r="L169" s="80" t="s">
        <v>550</v>
      </c>
      <c r="M169" s="80">
        <v>5.28E-3</v>
      </c>
      <c r="N169" s="80">
        <v>190</v>
      </c>
      <c r="O169" s="80">
        <f>IF(I169*M169=0,"",I169*M169*(N169/100))</f>
        <v>1.0031999999999999E-2</v>
      </c>
      <c r="P169" s="58"/>
      <c r="Q169" s="58"/>
      <c r="R169" s="58"/>
      <c r="S169" s="80" t="s">
        <v>660</v>
      </c>
      <c r="T169" s="80"/>
      <c r="AJ169" s="48">
        <f>O169</f>
        <v>1.0031999999999999E-2</v>
      </c>
    </row>
    <row r="170" spans="2:36" ht="21.95" customHeight="1">
      <c r="B170" s="64" t="s">
        <v>575</v>
      </c>
      <c r="C170" s="64" t="s">
        <v>533</v>
      </c>
      <c r="D170" s="74" t="s">
        <v>530</v>
      </c>
      <c r="E170" s="74" t="s">
        <v>534</v>
      </c>
      <c r="F170" s="80" t="s">
        <v>532</v>
      </c>
      <c r="G170" s="80">
        <f>IF(H170*I170/100+0.000005 &lt;1, TRUNC(H170*I170/100+0.000005, 옵션!$E$13), TRUNC(H170*I170/100+0.000005, 옵션!$E$13))</f>
        <v>1.0030000000000001E-2</v>
      </c>
      <c r="H170" s="80">
        <f>옵션!$B$13</f>
        <v>100</v>
      </c>
      <c r="I170" s="80">
        <f>SUM(AB168:AB169)</f>
        <v>1.0031999999999999E-2</v>
      </c>
      <c r="J170" s="80"/>
      <c r="K170" s="74"/>
      <c r="L170" s="80"/>
      <c r="M170" s="80"/>
      <c r="N170" s="80"/>
      <c r="O170" s="80" t="str">
        <f>IF(I170*M170=0,"",I170*M170*(N170/100))</f>
        <v/>
      </c>
      <c r="P170" s="58"/>
      <c r="Q170" s="58"/>
      <c r="R170" s="58"/>
      <c r="S170" s="80"/>
      <c r="T170" s="80"/>
      <c r="AB170" s="48">
        <f>SUM(AB168:AB169)</f>
        <v>1.0031999999999999E-2</v>
      </c>
      <c r="AJ170" s="48">
        <f>SUM(AJ168:AJ169)</f>
        <v>1.0031999999999999E-2</v>
      </c>
    </row>
    <row r="171" spans="2:36" ht="21.95" customHeight="1">
      <c r="B171" s="64" t="s">
        <v>575</v>
      </c>
      <c r="C171" s="64" t="s">
        <v>549</v>
      </c>
      <c r="D171" s="74" t="s">
        <v>530</v>
      </c>
      <c r="E171" s="74" t="s">
        <v>550</v>
      </c>
      <c r="F171" s="80" t="s">
        <v>532</v>
      </c>
      <c r="G171" s="80">
        <f>IF(H171*I171/100+0.000005 &lt;1, TRUNC(H171*I171/100+0.000005, 옵션!$E$13), TRUNC(H171*I171/100+0.000005, 옵션!$E$13))</f>
        <v>1.0030000000000001E-2</v>
      </c>
      <c r="H171" s="80">
        <f>옵션!$B$13</f>
        <v>100</v>
      </c>
      <c r="I171" s="80">
        <f>SUM(AJ168:AJ169)</f>
        <v>1.0031999999999999E-2</v>
      </c>
      <c r="J171" s="80"/>
      <c r="K171" s="74"/>
      <c r="L171" s="80"/>
      <c r="M171" s="80"/>
      <c r="N171" s="80"/>
      <c r="O171" s="80" t="str">
        <f>IF(I171*M171=0,"",I171*M171*(N171/100))</f>
        <v/>
      </c>
      <c r="P171" s="58"/>
      <c r="Q171" s="58"/>
      <c r="R171" s="58"/>
      <c r="S171" s="80"/>
      <c r="T171" s="80"/>
    </row>
    <row r="172" spans="2:36" ht="21.95" customHeight="1">
      <c r="B172" s="64" t="s">
        <v>573</v>
      </c>
      <c r="D172" s="158" t="s">
        <v>663</v>
      </c>
      <c r="E172" s="159"/>
      <c r="F172" s="159"/>
      <c r="G172" s="159"/>
      <c r="H172" s="159"/>
      <c r="I172" s="159"/>
      <c r="J172" s="159"/>
      <c r="K172" s="159"/>
      <c r="L172" s="159"/>
      <c r="M172" s="159"/>
      <c r="N172" s="159"/>
      <c r="O172" s="159"/>
      <c r="P172" s="159"/>
      <c r="Q172" s="159"/>
      <c r="R172" s="159"/>
      <c r="S172" s="159"/>
      <c r="T172" s="160"/>
    </row>
    <row r="173" spans="2:36" ht="21.95" customHeight="1">
      <c r="B173" s="64" t="s">
        <v>575</v>
      </c>
      <c r="C173" s="64" t="s">
        <v>337</v>
      </c>
      <c r="D173" s="74" t="s">
        <v>333</v>
      </c>
      <c r="E173" s="74" t="s">
        <v>338</v>
      </c>
      <c r="F173" s="80" t="s">
        <v>196</v>
      </c>
      <c r="G173" s="80">
        <v>1</v>
      </c>
      <c r="H173" s="80">
        <f>IF(I173&lt;&gt;0,G173-I173,"")</f>
        <v>0</v>
      </c>
      <c r="I173" s="80">
        <v>1</v>
      </c>
      <c r="J173" s="80"/>
      <c r="K173" s="74" t="s">
        <v>621</v>
      </c>
      <c r="L173" s="80" t="s">
        <v>534</v>
      </c>
      <c r="M173" s="80">
        <v>6.0899999999999999E-3</v>
      </c>
      <c r="N173" s="80">
        <v>190</v>
      </c>
      <c r="O173" s="80">
        <f>IF(I173*M173=0,"",I173*M173*(N173/100))</f>
        <v>1.1571E-2</v>
      </c>
      <c r="P173" s="58"/>
      <c r="Q173" s="58"/>
      <c r="R173" s="58"/>
      <c r="S173" s="80" t="s">
        <v>660</v>
      </c>
      <c r="T173" s="80"/>
      <c r="AB173" s="48">
        <f>O173</f>
        <v>1.1571E-2</v>
      </c>
    </row>
    <row r="174" spans="2:36" ht="21.95" customHeight="1">
      <c r="B174" s="64" t="s">
        <v>575</v>
      </c>
      <c r="C174" s="64" t="s">
        <v>337</v>
      </c>
      <c r="D174" s="74"/>
      <c r="E174" s="74"/>
      <c r="F174" s="80"/>
      <c r="G174" s="80">
        <v>1</v>
      </c>
      <c r="H174" s="80">
        <f>IF(I174&lt;&gt;0,G174-I174,"")</f>
        <v>0</v>
      </c>
      <c r="I174" s="80">
        <v>1</v>
      </c>
      <c r="J174" s="80"/>
      <c r="K174" s="74" t="s">
        <v>579</v>
      </c>
      <c r="L174" s="80" t="s">
        <v>550</v>
      </c>
      <c r="M174" s="80">
        <v>6.0899999999999999E-3</v>
      </c>
      <c r="N174" s="80">
        <v>190</v>
      </c>
      <c r="O174" s="80">
        <f>IF(I174*M174=0,"",I174*M174*(N174/100))</f>
        <v>1.1571E-2</v>
      </c>
      <c r="P174" s="58"/>
      <c r="Q174" s="58"/>
      <c r="R174" s="58"/>
      <c r="S174" s="80" t="s">
        <v>660</v>
      </c>
      <c r="T174" s="80"/>
      <c r="AJ174" s="48">
        <f>O174</f>
        <v>1.1571E-2</v>
      </c>
    </row>
    <row r="175" spans="2:36" ht="21.95" customHeight="1">
      <c r="B175" s="64" t="s">
        <v>575</v>
      </c>
      <c r="C175" s="64" t="s">
        <v>533</v>
      </c>
      <c r="D175" s="74" t="s">
        <v>530</v>
      </c>
      <c r="E175" s="74" t="s">
        <v>534</v>
      </c>
      <c r="F175" s="80" t="s">
        <v>532</v>
      </c>
      <c r="G175" s="80">
        <f>IF(H175*I175/100+0.000005 &lt;1, TRUNC(H175*I175/100+0.000005, 옵션!$E$13), TRUNC(H175*I175/100+0.000005, 옵션!$E$13))</f>
        <v>1.157E-2</v>
      </c>
      <c r="H175" s="80">
        <f>옵션!$B$13</f>
        <v>100</v>
      </c>
      <c r="I175" s="80">
        <f>SUM(AB173:AB174)</f>
        <v>1.1571E-2</v>
      </c>
      <c r="J175" s="80"/>
      <c r="K175" s="74"/>
      <c r="L175" s="80"/>
      <c r="M175" s="80"/>
      <c r="N175" s="80"/>
      <c r="O175" s="80" t="str">
        <f>IF(I175*M175=0,"",I175*M175*(N175/100))</f>
        <v/>
      </c>
      <c r="P175" s="58"/>
      <c r="Q175" s="58"/>
      <c r="R175" s="58"/>
      <c r="S175" s="80"/>
      <c r="T175" s="80"/>
      <c r="AB175" s="48">
        <f>SUM(AB173:AB174)</f>
        <v>1.1571E-2</v>
      </c>
      <c r="AJ175" s="48">
        <f>SUM(AJ173:AJ174)</f>
        <v>1.1571E-2</v>
      </c>
    </row>
    <row r="176" spans="2:36" ht="21.95" customHeight="1">
      <c r="B176" s="64" t="s">
        <v>575</v>
      </c>
      <c r="C176" s="64" t="s">
        <v>549</v>
      </c>
      <c r="D176" s="74" t="s">
        <v>530</v>
      </c>
      <c r="E176" s="74" t="s">
        <v>550</v>
      </c>
      <c r="F176" s="80" t="s">
        <v>532</v>
      </c>
      <c r="G176" s="80">
        <f>IF(H176*I176/100+0.000005 &lt;1, TRUNC(H176*I176/100+0.000005, 옵션!$E$13), TRUNC(H176*I176/100+0.000005, 옵션!$E$13))</f>
        <v>1.157E-2</v>
      </c>
      <c r="H176" s="80">
        <f>옵션!$B$13</f>
        <v>100</v>
      </c>
      <c r="I176" s="80">
        <f>SUM(AJ173:AJ174)</f>
        <v>1.1571E-2</v>
      </c>
      <c r="J176" s="80"/>
      <c r="K176" s="74"/>
      <c r="L176" s="80"/>
      <c r="M176" s="80"/>
      <c r="N176" s="80"/>
      <c r="O176" s="80" t="str">
        <f>IF(I176*M176=0,"",I176*M176*(N176/100))</f>
        <v/>
      </c>
      <c r="P176" s="58"/>
      <c r="Q176" s="58"/>
      <c r="R176" s="58"/>
      <c r="S176" s="80"/>
      <c r="T176" s="80"/>
    </row>
    <row r="177" spans="2:36" ht="21.95" customHeight="1">
      <c r="B177" s="64" t="s">
        <v>573</v>
      </c>
      <c r="D177" s="158" t="s">
        <v>664</v>
      </c>
      <c r="E177" s="159"/>
      <c r="F177" s="159"/>
      <c r="G177" s="159"/>
      <c r="H177" s="159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  <c r="T177" s="160"/>
    </row>
    <row r="178" spans="2:36" ht="21.95" customHeight="1">
      <c r="B178" s="64" t="s">
        <v>575</v>
      </c>
      <c r="C178" s="64" t="s">
        <v>339</v>
      </c>
      <c r="D178" s="74" t="s">
        <v>333</v>
      </c>
      <c r="E178" s="74" t="s">
        <v>340</v>
      </c>
      <c r="F178" s="80" t="s">
        <v>196</v>
      </c>
      <c r="G178" s="80">
        <v>1</v>
      </c>
      <c r="H178" s="80">
        <f>IF(I178&lt;&gt;0,G178-I178,"")</f>
        <v>0</v>
      </c>
      <c r="I178" s="80">
        <v>1</v>
      </c>
      <c r="J178" s="80"/>
      <c r="K178" s="74" t="s">
        <v>621</v>
      </c>
      <c r="L178" s="80" t="s">
        <v>534</v>
      </c>
      <c r="M178" s="80">
        <v>6.5799999999999999E-3</v>
      </c>
      <c r="N178" s="80">
        <v>190</v>
      </c>
      <c r="O178" s="80">
        <f>IF(I178*M178=0,"",I178*M178*(N178/100))</f>
        <v>1.2501999999999999E-2</v>
      </c>
      <c r="P178" s="58"/>
      <c r="Q178" s="58"/>
      <c r="R178" s="58"/>
      <c r="S178" s="80" t="s">
        <v>660</v>
      </c>
      <c r="T178" s="80"/>
      <c r="AB178" s="48">
        <f>O178</f>
        <v>1.2501999999999999E-2</v>
      </c>
    </row>
    <row r="179" spans="2:36" ht="21.95" customHeight="1">
      <c r="B179" s="64" t="s">
        <v>575</v>
      </c>
      <c r="C179" s="64" t="s">
        <v>339</v>
      </c>
      <c r="D179" s="74"/>
      <c r="E179" s="74"/>
      <c r="F179" s="80"/>
      <c r="G179" s="80">
        <v>1</v>
      </c>
      <c r="H179" s="80">
        <f>IF(I179&lt;&gt;0,G179-I179,"")</f>
        <v>0</v>
      </c>
      <c r="I179" s="80">
        <v>1</v>
      </c>
      <c r="J179" s="80"/>
      <c r="K179" s="74" t="s">
        <v>579</v>
      </c>
      <c r="L179" s="80" t="s">
        <v>550</v>
      </c>
      <c r="M179" s="80">
        <v>6.5799999999999999E-3</v>
      </c>
      <c r="N179" s="80">
        <v>190</v>
      </c>
      <c r="O179" s="80">
        <f>IF(I179*M179=0,"",I179*M179*(N179/100))</f>
        <v>1.2501999999999999E-2</v>
      </c>
      <c r="P179" s="58"/>
      <c r="Q179" s="58"/>
      <c r="R179" s="58"/>
      <c r="S179" s="80" t="s">
        <v>660</v>
      </c>
      <c r="T179" s="80"/>
      <c r="AJ179" s="48">
        <f>O179</f>
        <v>1.2501999999999999E-2</v>
      </c>
    </row>
    <row r="180" spans="2:36" ht="21.95" customHeight="1">
      <c r="B180" s="64" t="s">
        <v>575</v>
      </c>
      <c r="C180" s="64" t="s">
        <v>533</v>
      </c>
      <c r="D180" s="74" t="s">
        <v>530</v>
      </c>
      <c r="E180" s="74" t="s">
        <v>534</v>
      </c>
      <c r="F180" s="80" t="s">
        <v>532</v>
      </c>
      <c r="G180" s="80">
        <f>IF(H180*I180/100+0.000005 &lt;1, TRUNC(H180*I180/100+0.000005, 옵션!$E$13), TRUNC(H180*I180/100+0.000005, 옵션!$E$13))</f>
        <v>1.2500000000000001E-2</v>
      </c>
      <c r="H180" s="80">
        <f>옵션!$B$13</f>
        <v>100</v>
      </c>
      <c r="I180" s="80">
        <f>SUM(AB178:AB179)</f>
        <v>1.2501999999999999E-2</v>
      </c>
      <c r="J180" s="80"/>
      <c r="K180" s="74"/>
      <c r="L180" s="80"/>
      <c r="M180" s="80"/>
      <c r="N180" s="80"/>
      <c r="O180" s="80" t="str">
        <f>IF(I180*M180=0,"",I180*M180*(N180/100))</f>
        <v/>
      </c>
      <c r="P180" s="58"/>
      <c r="Q180" s="58"/>
      <c r="R180" s="58"/>
      <c r="S180" s="80"/>
      <c r="T180" s="80"/>
      <c r="AB180" s="48">
        <f>SUM(AB178:AB179)</f>
        <v>1.2501999999999999E-2</v>
      </c>
      <c r="AJ180" s="48">
        <f>SUM(AJ178:AJ179)</f>
        <v>1.2501999999999999E-2</v>
      </c>
    </row>
    <row r="181" spans="2:36" ht="21.95" customHeight="1">
      <c r="B181" s="64" t="s">
        <v>575</v>
      </c>
      <c r="C181" s="64" t="s">
        <v>549</v>
      </c>
      <c r="D181" s="74" t="s">
        <v>530</v>
      </c>
      <c r="E181" s="74" t="s">
        <v>550</v>
      </c>
      <c r="F181" s="80" t="s">
        <v>532</v>
      </c>
      <c r="G181" s="80">
        <f>IF(H181*I181/100+0.000005 &lt;1, TRUNC(H181*I181/100+0.000005, 옵션!$E$13), TRUNC(H181*I181/100+0.000005, 옵션!$E$13))</f>
        <v>1.2500000000000001E-2</v>
      </c>
      <c r="H181" s="80">
        <f>옵션!$B$13</f>
        <v>100</v>
      </c>
      <c r="I181" s="80">
        <f>SUM(AJ178:AJ179)</f>
        <v>1.2501999999999999E-2</v>
      </c>
      <c r="J181" s="80"/>
      <c r="K181" s="74"/>
      <c r="L181" s="80"/>
      <c r="M181" s="80"/>
      <c r="N181" s="80"/>
      <c r="O181" s="80" t="str">
        <f>IF(I181*M181=0,"",I181*M181*(N181/100))</f>
        <v/>
      </c>
      <c r="P181" s="58"/>
      <c r="Q181" s="58"/>
      <c r="R181" s="58"/>
      <c r="S181" s="80"/>
      <c r="T181" s="80"/>
    </row>
    <row r="182" spans="2:36" ht="21.95" customHeight="1">
      <c r="B182" s="64" t="s">
        <v>573</v>
      </c>
      <c r="D182" s="158" t="s">
        <v>665</v>
      </c>
      <c r="E182" s="159"/>
      <c r="F182" s="159"/>
      <c r="G182" s="159"/>
      <c r="H182" s="159"/>
      <c r="I182" s="159"/>
      <c r="J182" s="159"/>
      <c r="K182" s="159"/>
      <c r="L182" s="159"/>
      <c r="M182" s="159"/>
      <c r="N182" s="159"/>
      <c r="O182" s="159"/>
      <c r="P182" s="159"/>
      <c r="Q182" s="159"/>
      <c r="R182" s="159"/>
      <c r="S182" s="159"/>
      <c r="T182" s="160"/>
    </row>
    <row r="183" spans="2:36" ht="21.95" customHeight="1">
      <c r="B183" s="64" t="s">
        <v>575</v>
      </c>
      <c r="C183" s="64" t="s">
        <v>341</v>
      </c>
      <c r="D183" s="74" t="s">
        <v>333</v>
      </c>
      <c r="E183" s="74" t="s">
        <v>342</v>
      </c>
      <c r="F183" s="80" t="s">
        <v>196</v>
      </c>
      <c r="G183" s="80">
        <v>1</v>
      </c>
      <c r="H183" s="80">
        <f>IF(I183&lt;&gt;0,G183-I183,"")</f>
        <v>0</v>
      </c>
      <c r="I183" s="80">
        <v>1</v>
      </c>
      <c r="J183" s="80"/>
      <c r="K183" s="74" t="s">
        <v>621</v>
      </c>
      <c r="L183" s="80" t="s">
        <v>534</v>
      </c>
      <c r="M183" s="80">
        <v>4.62E-3</v>
      </c>
      <c r="N183" s="80">
        <v>310</v>
      </c>
      <c r="O183" s="80">
        <f>IF(I183*M183=0,"",I183*M183*(N183/100))</f>
        <v>1.4322E-2</v>
      </c>
      <c r="P183" s="58"/>
      <c r="Q183" s="58"/>
      <c r="R183" s="58"/>
      <c r="S183" s="80" t="s">
        <v>660</v>
      </c>
      <c r="T183" s="80"/>
      <c r="AB183" s="48">
        <f>O183</f>
        <v>1.4322E-2</v>
      </c>
    </row>
    <row r="184" spans="2:36" ht="21.95" customHeight="1">
      <c r="B184" s="64" t="s">
        <v>575</v>
      </c>
      <c r="C184" s="64" t="s">
        <v>341</v>
      </c>
      <c r="D184" s="74"/>
      <c r="E184" s="74"/>
      <c r="F184" s="80"/>
      <c r="G184" s="80">
        <v>1</v>
      </c>
      <c r="H184" s="80">
        <f>IF(I184&lt;&gt;0,G184-I184,"")</f>
        <v>0</v>
      </c>
      <c r="I184" s="80">
        <v>1</v>
      </c>
      <c r="J184" s="80"/>
      <c r="K184" s="74" t="s">
        <v>579</v>
      </c>
      <c r="L184" s="80" t="s">
        <v>550</v>
      </c>
      <c r="M184" s="80">
        <v>4.62E-3</v>
      </c>
      <c r="N184" s="80">
        <v>310</v>
      </c>
      <c r="O184" s="80">
        <f>IF(I184*M184=0,"",I184*M184*(N184/100))</f>
        <v>1.4322E-2</v>
      </c>
      <c r="P184" s="58"/>
      <c r="Q184" s="58"/>
      <c r="R184" s="58"/>
      <c r="S184" s="80" t="s">
        <v>660</v>
      </c>
      <c r="T184" s="80"/>
      <c r="AJ184" s="48">
        <f>O184</f>
        <v>1.4322E-2</v>
      </c>
    </row>
    <row r="185" spans="2:36" ht="21.95" customHeight="1">
      <c r="B185" s="64" t="s">
        <v>575</v>
      </c>
      <c r="C185" s="64" t="s">
        <v>533</v>
      </c>
      <c r="D185" s="74" t="s">
        <v>530</v>
      </c>
      <c r="E185" s="74" t="s">
        <v>534</v>
      </c>
      <c r="F185" s="80" t="s">
        <v>532</v>
      </c>
      <c r="G185" s="80">
        <f>IF(H185*I185/100+0.000005 &lt;1, TRUNC(H185*I185/100+0.000005, 옵션!$E$13), TRUNC(H185*I185/100+0.000005, 옵션!$E$13))</f>
        <v>1.4319999999999999E-2</v>
      </c>
      <c r="H185" s="80">
        <f>옵션!$B$13</f>
        <v>100</v>
      </c>
      <c r="I185" s="80">
        <f>SUM(AB183:AB184)</f>
        <v>1.4322E-2</v>
      </c>
      <c r="J185" s="80"/>
      <c r="K185" s="74"/>
      <c r="L185" s="80"/>
      <c r="M185" s="80"/>
      <c r="N185" s="80"/>
      <c r="O185" s="80" t="str">
        <f>IF(I185*M185=0,"",I185*M185*(N185/100))</f>
        <v/>
      </c>
      <c r="P185" s="58"/>
      <c r="Q185" s="58"/>
      <c r="R185" s="58"/>
      <c r="S185" s="80"/>
      <c r="T185" s="80"/>
      <c r="AB185" s="48">
        <f>SUM(AB183:AB184)</f>
        <v>1.4322E-2</v>
      </c>
      <c r="AJ185" s="48">
        <f>SUM(AJ183:AJ184)</f>
        <v>1.4322E-2</v>
      </c>
    </row>
    <row r="186" spans="2:36" ht="21.95" customHeight="1">
      <c r="B186" s="64" t="s">
        <v>575</v>
      </c>
      <c r="C186" s="64" t="s">
        <v>549</v>
      </c>
      <c r="D186" s="74" t="s">
        <v>530</v>
      </c>
      <c r="E186" s="74" t="s">
        <v>550</v>
      </c>
      <c r="F186" s="80" t="s">
        <v>532</v>
      </c>
      <c r="G186" s="80">
        <f>IF(H186*I186/100+0.000005 &lt;1, TRUNC(H186*I186/100+0.000005, 옵션!$E$13), TRUNC(H186*I186/100+0.000005, 옵션!$E$13))</f>
        <v>1.4319999999999999E-2</v>
      </c>
      <c r="H186" s="80">
        <f>옵션!$B$13</f>
        <v>100</v>
      </c>
      <c r="I186" s="80">
        <f>SUM(AJ183:AJ184)</f>
        <v>1.4322E-2</v>
      </c>
      <c r="J186" s="80"/>
      <c r="K186" s="74"/>
      <c r="L186" s="80"/>
      <c r="M186" s="80"/>
      <c r="N186" s="80"/>
      <c r="O186" s="80" t="str">
        <f>IF(I186*M186=0,"",I186*M186*(N186/100))</f>
        <v/>
      </c>
      <c r="P186" s="58"/>
      <c r="Q186" s="58"/>
      <c r="R186" s="58"/>
      <c r="S186" s="80"/>
      <c r="T186" s="80"/>
    </row>
    <row r="187" spans="2:36" ht="21.95" customHeight="1">
      <c r="B187" s="64" t="s">
        <v>573</v>
      </c>
      <c r="D187" s="158" t="s">
        <v>666</v>
      </c>
      <c r="E187" s="159"/>
      <c r="F187" s="159"/>
      <c r="G187" s="159"/>
      <c r="H187" s="159"/>
      <c r="I187" s="159"/>
      <c r="J187" s="159"/>
      <c r="K187" s="159"/>
      <c r="L187" s="159"/>
      <c r="M187" s="159"/>
      <c r="N187" s="159"/>
      <c r="O187" s="159"/>
      <c r="P187" s="159"/>
      <c r="Q187" s="159"/>
      <c r="R187" s="159"/>
      <c r="S187" s="159"/>
      <c r="T187" s="160"/>
    </row>
    <row r="188" spans="2:36" ht="21.95" customHeight="1">
      <c r="B188" s="64" t="s">
        <v>575</v>
      </c>
      <c r="C188" s="64" t="s">
        <v>343</v>
      </c>
      <c r="D188" s="74" t="s">
        <v>333</v>
      </c>
      <c r="E188" s="74" t="s">
        <v>344</v>
      </c>
      <c r="F188" s="80" t="s">
        <v>196</v>
      </c>
      <c r="G188" s="80">
        <v>1</v>
      </c>
      <c r="H188" s="80">
        <f>IF(I188&lt;&gt;0,G188-I188,"")</f>
        <v>0</v>
      </c>
      <c r="I188" s="80">
        <v>1</v>
      </c>
      <c r="J188" s="80"/>
      <c r="K188" s="74" t="s">
        <v>621</v>
      </c>
      <c r="L188" s="80" t="s">
        <v>534</v>
      </c>
      <c r="M188" s="80">
        <v>4.8399999999999997E-3</v>
      </c>
      <c r="N188" s="80">
        <v>310</v>
      </c>
      <c r="O188" s="80">
        <f>IF(I188*M188=0,"",I188*M188*(N188/100))</f>
        <v>1.5004E-2</v>
      </c>
      <c r="P188" s="58"/>
      <c r="Q188" s="58"/>
      <c r="R188" s="58"/>
      <c r="S188" s="80" t="s">
        <v>660</v>
      </c>
      <c r="T188" s="80"/>
      <c r="AB188" s="48">
        <f>O188</f>
        <v>1.5004E-2</v>
      </c>
    </row>
    <row r="189" spans="2:36" ht="21.95" customHeight="1">
      <c r="B189" s="64" t="s">
        <v>575</v>
      </c>
      <c r="C189" s="64" t="s">
        <v>343</v>
      </c>
      <c r="D189" s="74"/>
      <c r="E189" s="74"/>
      <c r="F189" s="80"/>
      <c r="G189" s="80">
        <v>1</v>
      </c>
      <c r="H189" s="80">
        <f>IF(I189&lt;&gt;0,G189-I189,"")</f>
        <v>0</v>
      </c>
      <c r="I189" s="80">
        <v>1</v>
      </c>
      <c r="J189" s="80"/>
      <c r="K189" s="74" t="s">
        <v>579</v>
      </c>
      <c r="L189" s="80" t="s">
        <v>550</v>
      </c>
      <c r="M189" s="80">
        <v>4.8399999999999997E-3</v>
      </c>
      <c r="N189" s="80">
        <v>310</v>
      </c>
      <c r="O189" s="80">
        <f>IF(I189*M189=0,"",I189*M189*(N189/100))</f>
        <v>1.5004E-2</v>
      </c>
      <c r="P189" s="58"/>
      <c r="Q189" s="58"/>
      <c r="R189" s="58"/>
      <c r="S189" s="80" t="s">
        <v>660</v>
      </c>
      <c r="T189" s="80"/>
      <c r="AJ189" s="48">
        <f>O189</f>
        <v>1.5004E-2</v>
      </c>
    </row>
    <row r="190" spans="2:36" ht="21.95" customHeight="1">
      <c r="B190" s="64" t="s">
        <v>575</v>
      </c>
      <c r="C190" s="64" t="s">
        <v>533</v>
      </c>
      <c r="D190" s="74" t="s">
        <v>530</v>
      </c>
      <c r="E190" s="74" t="s">
        <v>534</v>
      </c>
      <c r="F190" s="80" t="s">
        <v>532</v>
      </c>
      <c r="G190" s="80">
        <f>IF(H190*I190/100+0.000005 &lt;1, TRUNC(H190*I190/100+0.000005, 옵션!$E$13), TRUNC(H190*I190/100+0.000005, 옵션!$E$13))</f>
        <v>1.4999999999999999E-2</v>
      </c>
      <c r="H190" s="80">
        <f>옵션!$B$13</f>
        <v>100</v>
      </c>
      <c r="I190" s="80">
        <f>SUM(AB188:AB189)</f>
        <v>1.5004E-2</v>
      </c>
      <c r="J190" s="80"/>
      <c r="K190" s="74"/>
      <c r="L190" s="80"/>
      <c r="M190" s="80"/>
      <c r="N190" s="80"/>
      <c r="O190" s="80" t="str">
        <f>IF(I190*M190=0,"",I190*M190*(N190/100))</f>
        <v/>
      </c>
      <c r="P190" s="58"/>
      <c r="Q190" s="58"/>
      <c r="R190" s="58"/>
      <c r="S190" s="80"/>
      <c r="T190" s="80"/>
      <c r="AB190" s="48">
        <f>SUM(AB188:AB189)</f>
        <v>1.5004E-2</v>
      </c>
      <c r="AJ190" s="48">
        <f>SUM(AJ188:AJ189)</f>
        <v>1.5004E-2</v>
      </c>
    </row>
    <row r="191" spans="2:36" ht="21.95" customHeight="1">
      <c r="B191" s="64" t="s">
        <v>575</v>
      </c>
      <c r="C191" s="64" t="s">
        <v>549</v>
      </c>
      <c r="D191" s="74" t="s">
        <v>530</v>
      </c>
      <c r="E191" s="74" t="s">
        <v>550</v>
      </c>
      <c r="F191" s="80" t="s">
        <v>532</v>
      </c>
      <c r="G191" s="80">
        <f>IF(H191*I191/100+0.000005 &lt;1, TRUNC(H191*I191/100+0.000005, 옵션!$E$13), TRUNC(H191*I191/100+0.000005, 옵션!$E$13))</f>
        <v>1.4999999999999999E-2</v>
      </c>
      <c r="H191" s="80">
        <f>옵션!$B$13</f>
        <v>100</v>
      </c>
      <c r="I191" s="80">
        <f>SUM(AJ188:AJ189)</f>
        <v>1.5004E-2</v>
      </c>
      <c r="J191" s="80"/>
      <c r="K191" s="74"/>
      <c r="L191" s="80"/>
      <c r="M191" s="80"/>
      <c r="N191" s="80"/>
      <c r="O191" s="80" t="str">
        <f>IF(I191*M191=0,"",I191*M191*(N191/100))</f>
        <v/>
      </c>
      <c r="P191" s="58"/>
      <c r="Q191" s="58"/>
      <c r="R191" s="58"/>
      <c r="S191" s="80"/>
      <c r="T191" s="80"/>
    </row>
    <row r="192" spans="2:36" ht="21.95" customHeight="1">
      <c r="B192" s="64" t="s">
        <v>573</v>
      </c>
      <c r="D192" s="158" t="s">
        <v>667</v>
      </c>
      <c r="E192" s="159"/>
      <c r="F192" s="159"/>
      <c r="G192" s="159"/>
      <c r="H192" s="159"/>
      <c r="I192" s="159"/>
      <c r="J192" s="159"/>
      <c r="K192" s="159"/>
      <c r="L192" s="159"/>
      <c r="M192" s="159"/>
      <c r="N192" s="159"/>
      <c r="O192" s="159"/>
      <c r="P192" s="159"/>
      <c r="Q192" s="159"/>
      <c r="R192" s="159"/>
      <c r="S192" s="159"/>
      <c r="T192" s="160"/>
    </row>
    <row r="193" spans="2:36" ht="21.95" customHeight="1">
      <c r="B193" s="64" t="s">
        <v>575</v>
      </c>
      <c r="C193" s="64" t="s">
        <v>337</v>
      </c>
      <c r="D193" s="74" t="s">
        <v>333</v>
      </c>
      <c r="E193" s="74" t="s">
        <v>345</v>
      </c>
      <c r="F193" s="80" t="s">
        <v>196</v>
      </c>
      <c r="G193" s="80">
        <v>1</v>
      </c>
      <c r="H193" s="80">
        <f>IF(I193&lt;&gt;0,G193-I193,"")</f>
        <v>0</v>
      </c>
      <c r="I193" s="80">
        <v>1</v>
      </c>
      <c r="J193" s="80"/>
      <c r="K193" s="74" t="s">
        <v>621</v>
      </c>
      <c r="L193" s="80" t="s">
        <v>534</v>
      </c>
      <c r="M193" s="80">
        <v>6.0899999999999999E-3</v>
      </c>
      <c r="N193" s="80">
        <v>310</v>
      </c>
      <c r="O193" s="80">
        <f>IF(I193*M193=0,"",I193*M193*(N193/100))</f>
        <v>1.8879E-2</v>
      </c>
      <c r="P193" s="58"/>
      <c r="Q193" s="58"/>
      <c r="R193" s="58"/>
      <c r="S193" s="80" t="s">
        <v>660</v>
      </c>
      <c r="T193" s="80"/>
      <c r="AB193" s="48">
        <f>O193</f>
        <v>1.8879E-2</v>
      </c>
    </row>
    <row r="194" spans="2:36" ht="21.95" customHeight="1">
      <c r="B194" s="64" t="s">
        <v>575</v>
      </c>
      <c r="C194" s="64" t="s">
        <v>337</v>
      </c>
      <c r="D194" s="74"/>
      <c r="E194" s="74"/>
      <c r="F194" s="80"/>
      <c r="G194" s="80">
        <v>1</v>
      </c>
      <c r="H194" s="80">
        <f>IF(I194&lt;&gt;0,G194-I194,"")</f>
        <v>0</v>
      </c>
      <c r="I194" s="80">
        <v>1</v>
      </c>
      <c r="J194" s="80"/>
      <c r="K194" s="74" t="s">
        <v>579</v>
      </c>
      <c r="L194" s="80" t="s">
        <v>550</v>
      </c>
      <c r="M194" s="80">
        <v>6.0899999999999999E-3</v>
      </c>
      <c r="N194" s="80">
        <v>310</v>
      </c>
      <c r="O194" s="80">
        <f>IF(I194*M194=0,"",I194*M194*(N194/100))</f>
        <v>1.8879E-2</v>
      </c>
      <c r="P194" s="58"/>
      <c r="Q194" s="58"/>
      <c r="R194" s="58"/>
      <c r="S194" s="80" t="s">
        <v>660</v>
      </c>
      <c r="T194" s="80"/>
      <c r="AJ194" s="48">
        <f>O194</f>
        <v>1.8879E-2</v>
      </c>
    </row>
    <row r="195" spans="2:36" ht="21.95" customHeight="1">
      <c r="B195" s="64" t="s">
        <v>575</v>
      </c>
      <c r="C195" s="64" t="s">
        <v>533</v>
      </c>
      <c r="D195" s="74" t="s">
        <v>530</v>
      </c>
      <c r="E195" s="74" t="s">
        <v>534</v>
      </c>
      <c r="F195" s="80" t="s">
        <v>532</v>
      </c>
      <c r="G195" s="80">
        <f>IF(H195*I195/100+0.000005 &lt;1, TRUNC(H195*I195/100+0.000005, 옵션!$E$13), TRUNC(H195*I195/100+0.000005, 옵션!$E$13))</f>
        <v>1.8880000000000001E-2</v>
      </c>
      <c r="H195" s="80">
        <f>옵션!$B$13</f>
        <v>100</v>
      </c>
      <c r="I195" s="80">
        <f>SUM(AB193:AB194)</f>
        <v>1.8879E-2</v>
      </c>
      <c r="J195" s="80"/>
      <c r="K195" s="74"/>
      <c r="L195" s="80"/>
      <c r="M195" s="80"/>
      <c r="N195" s="80"/>
      <c r="O195" s="80" t="str">
        <f>IF(I195*M195=0,"",I195*M195*(N195/100))</f>
        <v/>
      </c>
      <c r="P195" s="58"/>
      <c r="Q195" s="58"/>
      <c r="R195" s="58"/>
      <c r="S195" s="80"/>
      <c r="T195" s="80"/>
      <c r="AB195" s="48">
        <f>SUM(AB193:AB194)</f>
        <v>1.8879E-2</v>
      </c>
      <c r="AJ195" s="48">
        <f>SUM(AJ193:AJ194)</f>
        <v>1.8879E-2</v>
      </c>
    </row>
    <row r="196" spans="2:36" ht="21.95" customHeight="1">
      <c r="B196" s="64" t="s">
        <v>575</v>
      </c>
      <c r="C196" s="64" t="s">
        <v>549</v>
      </c>
      <c r="D196" s="74" t="s">
        <v>530</v>
      </c>
      <c r="E196" s="74" t="s">
        <v>550</v>
      </c>
      <c r="F196" s="80" t="s">
        <v>532</v>
      </c>
      <c r="G196" s="80">
        <f>IF(H196*I196/100+0.000005 &lt;1, TRUNC(H196*I196/100+0.000005, 옵션!$E$13), TRUNC(H196*I196/100+0.000005, 옵션!$E$13))</f>
        <v>1.8880000000000001E-2</v>
      </c>
      <c r="H196" s="80">
        <f>옵션!$B$13</f>
        <v>100</v>
      </c>
      <c r="I196" s="80">
        <f>SUM(AJ193:AJ194)</f>
        <v>1.8879E-2</v>
      </c>
      <c r="J196" s="80"/>
      <c r="K196" s="74"/>
      <c r="L196" s="80"/>
      <c r="M196" s="80"/>
      <c r="N196" s="80"/>
      <c r="O196" s="80" t="str">
        <f>IF(I196*M196=0,"",I196*M196*(N196/100))</f>
        <v/>
      </c>
      <c r="P196" s="58"/>
      <c r="Q196" s="58"/>
      <c r="R196" s="58"/>
      <c r="S196" s="80"/>
      <c r="T196" s="80"/>
    </row>
    <row r="197" spans="2:36" ht="21.95" customHeight="1">
      <c r="B197" s="64" t="s">
        <v>573</v>
      </c>
      <c r="D197" s="158" t="s">
        <v>668</v>
      </c>
      <c r="E197" s="159"/>
      <c r="F197" s="159"/>
      <c r="G197" s="159"/>
      <c r="H197" s="159"/>
      <c r="I197" s="159"/>
      <c r="J197" s="159"/>
      <c r="K197" s="159"/>
      <c r="L197" s="159"/>
      <c r="M197" s="159"/>
      <c r="N197" s="159"/>
      <c r="O197" s="159"/>
      <c r="P197" s="159"/>
      <c r="Q197" s="159"/>
      <c r="R197" s="159"/>
      <c r="S197" s="159"/>
      <c r="T197" s="160"/>
    </row>
    <row r="198" spans="2:36" ht="21.95" customHeight="1">
      <c r="B198" s="64" t="s">
        <v>575</v>
      </c>
      <c r="C198" s="64" t="s">
        <v>346</v>
      </c>
      <c r="D198" s="74" t="s">
        <v>347</v>
      </c>
      <c r="E198" s="74" t="s">
        <v>348</v>
      </c>
      <c r="F198" s="80" t="s">
        <v>266</v>
      </c>
      <c r="G198" s="80">
        <v>1</v>
      </c>
      <c r="H198" s="80">
        <f>IF(I198&lt;&gt;0,G198-I198,"")</f>
        <v>0</v>
      </c>
      <c r="I198" s="80">
        <v>1</v>
      </c>
      <c r="J198" s="80"/>
      <c r="K198" s="74" t="s">
        <v>593</v>
      </c>
      <c r="L198" s="80" t="s">
        <v>531</v>
      </c>
      <c r="M198" s="80">
        <v>0.20399999999999999</v>
      </c>
      <c r="N198" s="80">
        <v>100</v>
      </c>
      <c r="O198" s="80">
        <f>IF(I198*M198=0,"",I198*M198*(N198/100))</f>
        <v>0.20399999999999999</v>
      </c>
      <c r="P198" s="58"/>
      <c r="Q198" s="58"/>
      <c r="R198" s="58"/>
      <c r="S198" s="80" t="s">
        <v>669</v>
      </c>
      <c r="T198" s="80"/>
      <c r="AA198" s="48">
        <f>O198</f>
        <v>0.20399999999999999</v>
      </c>
    </row>
    <row r="199" spans="2:36" ht="21.95" customHeight="1">
      <c r="B199" s="64" t="s">
        <v>575</v>
      </c>
      <c r="C199" s="64" t="s">
        <v>346</v>
      </c>
      <c r="D199" s="74"/>
      <c r="E199" s="74"/>
      <c r="F199" s="80"/>
      <c r="G199" s="80">
        <v>1</v>
      </c>
      <c r="H199" s="80">
        <f>IF(I199&lt;&gt;0,G199-I199,"")</f>
        <v>0</v>
      </c>
      <c r="I199" s="80">
        <v>1</v>
      </c>
      <c r="J199" s="80"/>
      <c r="K199" s="74" t="s">
        <v>579</v>
      </c>
      <c r="L199" s="80" t="s">
        <v>550</v>
      </c>
      <c r="M199" s="80">
        <v>0.19</v>
      </c>
      <c r="N199" s="80">
        <v>100</v>
      </c>
      <c r="O199" s="80">
        <f>IF(I199*M199=0,"",I199*M199*(N199/100))</f>
        <v>0.19</v>
      </c>
      <c r="P199" s="58"/>
      <c r="Q199" s="58"/>
      <c r="R199" s="58"/>
      <c r="S199" s="80" t="s">
        <v>669</v>
      </c>
      <c r="T199" s="80"/>
      <c r="AJ199" s="48">
        <f>O199</f>
        <v>0.19</v>
      </c>
    </row>
    <row r="200" spans="2:36" ht="21.95" customHeight="1">
      <c r="B200" s="64" t="s">
        <v>575</v>
      </c>
      <c r="C200" s="64" t="s">
        <v>529</v>
      </c>
      <c r="D200" s="74" t="s">
        <v>530</v>
      </c>
      <c r="E200" s="74" t="s">
        <v>531</v>
      </c>
      <c r="F200" s="80" t="s">
        <v>532</v>
      </c>
      <c r="G200" s="80">
        <f>IF(H200*I200/100+0.000005 &lt;1, TRUNC(H200*I200/100+0.000005, 옵션!$E$13), TRUNC(H200*I200/100+0.000005, 옵션!$E$13))</f>
        <v>0.20399999999999999</v>
      </c>
      <c r="H200" s="80">
        <f>옵션!$B$13</f>
        <v>100</v>
      </c>
      <c r="I200" s="80">
        <f>SUM(AA198:AA199)</f>
        <v>0.20399999999999999</v>
      </c>
      <c r="J200" s="80"/>
      <c r="K200" s="74"/>
      <c r="L200" s="80"/>
      <c r="M200" s="80"/>
      <c r="N200" s="80"/>
      <c r="O200" s="80" t="str">
        <f>IF(I200*M200=0,"",I200*M200*(N200/100))</f>
        <v/>
      </c>
      <c r="P200" s="58"/>
      <c r="Q200" s="58"/>
      <c r="R200" s="58"/>
      <c r="S200" s="80"/>
      <c r="T200" s="80"/>
      <c r="AA200" s="48">
        <f>SUM(AA198:AA199)</f>
        <v>0.20399999999999999</v>
      </c>
      <c r="AJ200" s="48">
        <f>SUM(AJ198:AJ199)</f>
        <v>0.19</v>
      </c>
    </row>
    <row r="201" spans="2:36" ht="21.95" customHeight="1">
      <c r="B201" s="64" t="s">
        <v>575</v>
      </c>
      <c r="C201" s="64" t="s">
        <v>549</v>
      </c>
      <c r="D201" s="74" t="s">
        <v>530</v>
      </c>
      <c r="E201" s="74" t="s">
        <v>550</v>
      </c>
      <c r="F201" s="80" t="s">
        <v>532</v>
      </c>
      <c r="G201" s="80">
        <f>IF(H201*I201/100+0.000005 &lt;1, TRUNC(H201*I201/100+0.000005, 옵션!$E$13), TRUNC(H201*I201/100+0.000005, 옵션!$E$13))</f>
        <v>0.19</v>
      </c>
      <c r="H201" s="80">
        <f>옵션!$B$13</f>
        <v>100</v>
      </c>
      <c r="I201" s="80">
        <f>SUM(AJ198:AJ199)</f>
        <v>0.19</v>
      </c>
      <c r="J201" s="80"/>
      <c r="K201" s="74"/>
      <c r="L201" s="80"/>
      <c r="M201" s="80"/>
      <c r="N201" s="80"/>
      <c r="O201" s="80" t="str">
        <f>IF(I201*M201=0,"",I201*M201*(N201/100))</f>
        <v/>
      </c>
      <c r="P201" s="58"/>
      <c r="Q201" s="58"/>
      <c r="R201" s="58"/>
      <c r="S201" s="80"/>
      <c r="T201" s="80"/>
    </row>
    <row r="202" spans="2:36" ht="21.95" customHeight="1">
      <c r="B202" s="64" t="s">
        <v>573</v>
      </c>
      <c r="D202" s="158" t="s">
        <v>670</v>
      </c>
      <c r="E202" s="159"/>
      <c r="F202" s="159"/>
      <c r="G202" s="159"/>
      <c r="H202" s="159"/>
      <c r="I202" s="159"/>
      <c r="J202" s="159"/>
      <c r="K202" s="159"/>
      <c r="L202" s="159"/>
      <c r="M202" s="159"/>
      <c r="N202" s="159"/>
      <c r="O202" s="159"/>
      <c r="P202" s="159"/>
      <c r="Q202" s="159"/>
      <c r="R202" s="159"/>
      <c r="S202" s="159"/>
      <c r="T202" s="160"/>
    </row>
    <row r="203" spans="2:36" ht="21.95" customHeight="1">
      <c r="B203" s="64" t="s">
        <v>575</v>
      </c>
      <c r="C203" s="64" t="s">
        <v>351</v>
      </c>
      <c r="D203" s="74" t="s">
        <v>352</v>
      </c>
      <c r="E203" s="74" t="s">
        <v>353</v>
      </c>
      <c r="F203" s="80" t="s">
        <v>266</v>
      </c>
      <c r="G203" s="80">
        <v>1</v>
      </c>
      <c r="H203" s="80">
        <f>IF(I203&lt;&gt;0,G203-I203,"")</f>
        <v>0</v>
      </c>
      <c r="I203" s="80">
        <v>1</v>
      </c>
      <c r="J203" s="80"/>
      <c r="K203" s="74" t="s">
        <v>593</v>
      </c>
      <c r="L203" s="80" t="s">
        <v>531</v>
      </c>
      <c r="M203" s="80">
        <v>0.183</v>
      </c>
      <c r="N203" s="80">
        <v>100</v>
      </c>
      <c r="O203" s="80">
        <f>IF(I203*M203=0,"",I203*M203*(N203/100))</f>
        <v>0.183</v>
      </c>
      <c r="P203" s="58"/>
      <c r="Q203" s="58"/>
      <c r="R203" s="58"/>
      <c r="S203" s="80" t="s">
        <v>671</v>
      </c>
      <c r="T203" s="80"/>
      <c r="AA203" s="48">
        <f>O203</f>
        <v>0.183</v>
      </c>
    </row>
    <row r="204" spans="2:36" ht="21.95" customHeight="1">
      <c r="B204" s="64" t="s">
        <v>575</v>
      </c>
      <c r="C204" s="64" t="s">
        <v>529</v>
      </c>
      <c r="D204" s="74" t="s">
        <v>530</v>
      </c>
      <c r="E204" s="74" t="s">
        <v>531</v>
      </c>
      <c r="F204" s="80" t="s">
        <v>532</v>
      </c>
      <c r="G204" s="80">
        <f>IF(H204*I204/100+0.000005 &lt;1, TRUNC(H204*I204/100+0.000005, 옵션!$E$13), TRUNC(H204*I204/100+0.000005, 옵션!$E$13))</f>
        <v>0.183</v>
      </c>
      <c r="H204" s="80">
        <f>옵션!$B$13</f>
        <v>100</v>
      </c>
      <c r="I204" s="80">
        <f>SUM(AA203:AA203)</f>
        <v>0.183</v>
      </c>
      <c r="J204" s="80"/>
      <c r="K204" s="74"/>
      <c r="L204" s="80"/>
      <c r="M204" s="80"/>
      <c r="N204" s="80"/>
      <c r="O204" s="80" t="str">
        <f>IF(I204*M204=0,"",I204*M204*(N204/100))</f>
        <v/>
      </c>
      <c r="P204" s="58"/>
      <c r="Q204" s="58"/>
      <c r="R204" s="58"/>
      <c r="S204" s="80"/>
      <c r="T204" s="80"/>
      <c r="AA204" s="48">
        <f>SUM(AA203:AA203)</f>
        <v>0.183</v>
      </c>
    </row>
    <row r="205" spans="2:36" ht="21.95" customHeight="1">
      <c r="B205" s="64" t="s">
        <v>573</v>
      </c>
      <c r="D205" s="158" t="s">
        <v>672</v>
      </c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60"/>
    </row>
    <row r="206" spans="2:36" ht="21.95" customHeight="1">
      <c r="B206" s="64" t="s">
        <v>575</v>
      </c>
      <c r="C206" s="64" t="s">
        <v>355</v>
      </c>
      <c r="D206" s="74" t="s">
        <v>356</v>
      </c>
      <c r="E206" s="74"/>
      <c r="F206" s="80" t="s">
        <v>266</v>
      </c>
      <c r="G206" s="80">
        <v>1</v>
      </c>
      <c r="H206" s="80">
        <f>IF(I206&lt;&gt;0,G206-I206,"")</f>
        <v>0</v>
      </c>
      <c r="I206" s="80">
        <v>1</v>
      </c>
      <c r="J206" s="80"/>
      <c r="K206" s="74" t="s">
        <v>593</v>
      </c>
      <c r="L206" s="80" t="s">
        <v>531</v>
      </c>
      <c r="M206" s="80">
        <v>0.20799999999999999</v>
      </c>
      <c r="N206" s="80">
        <v>100</v>
      </c>
      <c r="O206" s="80">
        <f>IF(I206*M206=0,"",I206*M206*(N206/100))</f>
        <v>0.20799999999999999</v>
      </c>
      <c r="P206" s="58"/>
      <c r="Q206" s="58"/>
      <c r="R206" s="58"/>
      <c r="S206" s="80"/>
      <c r="T206" s="80"/>
      <c r="AA206" s="48">
        <f>O206</f>
        <v>0.20799999999999999</v>
      </c>
    </row>
    <row r="207" spans="2:36" ht="21.95" customHeight="1">
      <c r="B207" s="64" t="s">
        <v>575</v>
      </c>
      <c r="C207" s="64" t="s">
        <v>529</v>
      </c>
      <c r="D207" s="74" t="s">
        <v>530</v>
      </c>
      <c r="E207" s="74" t="s">
        <v>531</v>
      </c>
      <c r="F207" s="80" t="s">
        <v>532</v>
      </c>
      <c r="G207" s="80">
        <f>IF(H207*I207/100+0.000005 &lt;1, TRUNC(H207*I207/100+0.000005, 옵션!$E$13), TRUNC(H207*I207/100+0.000005, 옵션!$E$13))</f>
        <v>0.20799999999999999</v>
      </c>
      <c r="H207" s="80">
        <f>옵션!$B$13</f>
        <v>100</v>
      </c>
      <c r="I207" s="80">
        <f>SUM(AA206:AA206)</f>
        <v>0.20799999999999999</v>
      </c>
      <c r="J207" s="80"/>
      <c r="K207" s="74"/>
      <c r="L207" s="80"/>
      <c r="M207" s="80"/>
      <c r="N207" s="80"/>
      <c r="O207" s="80" t="str">
        <f>IF(I207*M207=0,"",I207*M207*(N207/100))</f>
        <v/>
      </c>
      <c r="P207" s="58"/>
      <c r="Q207" s="58"/>
      <c r="R207" s="58"/>
      <c r="S207" s="80"/>
      <c r="T207" s="80"/>
      <c r="AA207" s="48">
        <f>SUM(AA206:AA206)</f>
        <v>0.20799999999999999</v>
      </c>
    </row>
    <row r="208" spans="2:36" ht="21.95" customHeight="1">
      <c r="B208" s="64" t="s">
        <v>573</v>
      </c>
      <c r="D208" s="158" t="s">
        <v>673</v>
      </c>
      <c r="E208" s="159"/>
      <c r="F208" s="159"/>
      <c r="G208" s="159"/>
      <c r="H208" s="159"/>
      <c r="I208" s="159"/>
      <c r="J208" s="159"/>
      <c r="K208" s="159"/>
      <c r="L208" s="159"/>
      <c r="M208" s="159"/>
      <c r="N208" s="159"/>
      <c r="O208" s="159"/>
      <c r="P208" s="159"/>
      <c r="Q208" s="159"/>
      <c r="R208" s="159"/>
      <c r="S208" s="159"/>
      <c r="T208" s="160"/>
    </row>
    <row r="209" spans="2:36" ht="21.95" customHeight="1">
      <c r="B209" s="64" t="s">
        <v>575</v>
      </c>
      <c r="C209" s="64" t="s">
        <v>358</v>
      </c>
      <c r="D209" s="74" t="s">
        <v>359</v>
      </c>
      <c r="E209" s="74" t="s">
        <v>360</v>
      </c>
      <c r="F209" s="80" t="s">
        <v>266</v>
      </c>
      <c r="G209" s="80">
        <v>1</v>
      </c>
      <c r="H209" s="80">
        <f>IF(I209&lt;&gt;0,G209-I209,"")</f>
        <v>0</v>
      </c>
      <c r="I209" s="80">
        <v>1</v>
      </c>
      <c r="J209" s="80"/>
      <c r="K209" s="74" t="s">
        <v>593</v>
      </c>
      <c r="L209" s="80" t="s">
        <v>531</v>
      </c>
      <c r="M209" s="80">
        <v>0.08</v>
      </c>
      <c r="N209" s="80">
        <v>100</v>
      </c>
      <c r="O209" s="80">
        <f>IF(I209*M209=0,"",I209*M209*(N209/100))</f>
        <v>0.08</v>
      </c>
      <c r="P209" s="58"/>
      <c r="Q209" s="58"/>
      <c r="R209" s="58"/>
      <c r="S209" s="80" t="s">
        <v>674</v>
      </c>
      <c r="T209" s="80"/>
      <c r="AA209" s="48">
        <f>O209</f>
        <v>0.08</v>
      </c>
    </row>
    <row r="210" spans="2:36" ht="21.95" customHeight="1">
      <c r="B210" s="64" t="s">
        <v>575</v>
      </c>
      <c r="C210" s="64" t="s">
        <v>358</v>
      </c>
      <c r="D210" s="74"/>
      <c r="E210" s="74"/>
      <c r="F210" s="80"/>
      <c r="G210" s="80">
        <v>1</v>
      </c>
      <c r="H210" s="80">
        <f>IF(I210&lt;&gt;0,G210-I210,"")</f>
        <v>0</v>
      </c>
      <c r="I210" s="80">
        <v>1</v>
      </c>
      <c r="J210" s="80"/>
      <c r="K210" s="74" t="s">
        <v>579</v>
      </c>
      <c r="L210" s="80" t="s">
        <v>550</v>
      </c>
      <c r="M210" s="80">
        <v>0.19</v>
      </c>
      <c r="N210" s="80">
        <v>100</v>
      </c>
      <c r="O210" s="80">
        <f>IF(I210*M210=0,"",I210*M210*(N210/100))</f>
        <v>0.19</v>
      </c>
      <c r="P210" s="58"/>
      <c r="Q210" s="58"/>
      <c r="R210" s="58"/>
      <c r="S210" s="80" t="s">
        <v>674</v>
      </c>
      <c r="T210" s="80"/>
      <c r="AJ210" s="48">
        <f>O210</f>
        <v>0.19</v>
      </c>
    </row>
    <row r="211" spans="2:36" ht="21.95" customHeight="1">
      <c r="B211" s="64" t="s">
        <v>575</v>
      </c>
      <c r="C211" s="64" t="s">
        <v>529</v>
      </c>
      <c r="D211" s="74" t="s">
        <v>530</v>
      </c>
      <c r="E211" s="74" t="s">
        <v>531</v>
      </c>
      <c r="F211" s="80" t="s">
        <v>532</v>
      </c>
      <c r="G211" s="80">
        <f>IF(H211*I211/100+0.000005 &lt;1, TRUNC(H211*I211/100+0.000005, 옵션!$E$13), TRUNC(H211*I211/100+0.000005, 옵션!$E$13))</f>
        <v>0.08</v>
      </c>
      <c r="H211" s="80">
        <f>옵션!$B$13</f>
        <v>100</v>
      </c>
      <c r="I211" s="80">
        <f>SUM(AA209:AA210)</f>
        <v>0.08</v>
      </c>
      <c r="J211" s="80"/>
      <c r="K211" s="74"/>
      <c r="L211" s="80"/>
      <c r="M211" s="80"/>
      <c r="N211" s="80"/>
      <c r="O211" s="80" t="str">
        <f>IF(I211*M211=0,"",I211*M211*(N211/100))</f>
        <v/>
      </c>
      <c r="P211" s="58"/>
      <c r="Q211" s="58"/>
      <c r="R211" s="58"/>
      <c r="S211" s="80"/>
      <c r="T211" s="80"/>
      <c r="AA211" s="48">
        <f>SUM(AA209:AA210)</f>
        <v>0.08</v>
      </c>
      <c r="AJ211" s="48">
        <f>SUM(AJ209:AJ210)</f>
        <v>0.19</v>
      </c>
    </row>
    <row r="212" spans="2:36" ht="21.95" customHeight="1">
      <c r="B212" s="64" t="s">
        <v>575</v>
      </c>
      <c r="C212" s="64" t="s">
        <v>549</v>
      </c>
      <c r="D212" s="74" t="s">
        <v>530</v>
      </c>
      <c r="E212" s="74" t="s">
        <v>550</v>
      </c>
      <c r="F212" s="80" t="s">
        <v>532</v>
      </c>
      <c r="G212" s="80">
        <f>IF(H212*I212/100+0.000005 &lt;1, TRUNC(H212*I212/100+0.000005, 옵션!$E$13), TRUNC(H212*I212/100+0.000005, 옵션!$E$13))</f>
        <v>0.19</v>
      </c>
      <c r="H212" s="80">
        <f>옵션!$B$13</f>
        <v>100</v>
      </c>
      <c r="I212" s="80">
        <f>SUM(AJ209:AJ210)</f>
        <v>0.19</v>
      </c>
      <c r="J212" s="80"/>
      <c r="K212" s="74"/>
      <c r="L212" s="80"/>
      <c r="M212" s="80"/>
      <c r="N212" s="80"/>
      <c r="O212" s="80" t="str">
        <f>IF(I212*M212=0,"",I212*M212*(N212/100))</f>
        <v/>
      </c>
      <c r="P212" s="58"/>
      <c r="Q212" s="58"/>
      <c r="R212" s="58"/>
      <c r="S212" s="80"/>
      <c r="T212" s="80"/>
    </row>
    <row r="213" spans="2:36" ht="21.95" customHeight="1">
      <c r="B213" s="64" t="s">
        <v>573</v>
      </c>
      <c r="D213" s="158" t="s">
        <v>675</v>
      </c>
      <c r="E213" s="159"/>
      <c r="F213" s="159"/>
      <c r="G213" s="159"/>
      <c r="H213" s="159"/>
      <c r="I213" s="159"/>
      <c r="J213" s="159"/>
      <c r="K213" s="159"/>
      <c r="L213" s="159"/>
      <c r="M213" s="159"/>
      <c r="N213" s="159"/>
      <c r="O213" s="159"/>
      <c r="P213" s="159"/>
      <c r="Q213" s="159"/>
      <c r="R213" s="159"/>
      <c r="S213" s="159"/>
      <c r="T213" s="160"/>
    </row>
    <row r="214" spans="2:36" ht="21.95" customHeight="1">
      <c r="B214" s="64" t="s">
        <v>575</v>
      </c>
      <c r="C214" s="64" t="s">
        <v>363</v>
      </c>
      <c r="D214" s="74" t="s">
        <v>364</v>
      </c>
      <c r="E214" s="74" t="s">
        <v>365</v>
      </c>
      <c r="F214" s="80" t="s">
        <v>266</v>
      </c>
      <c r="G214" s="80">
        <v>1</v>
      </c>
      <c r="H214" s="80">
        <f>IF(I214&lt;&gt;0,G214-I214,"")</f>
        <v>0</v>
      </c>
      <c r="I214" s="80">
        <v>1</v>
      </c>
      <c r="J214" s="80"/>
      <c r="K214" s="74" t="s">
        <v>593</v>
      </c>
      <c r="L214" s="80" t="s">
        <v>531</v>
      </c>
      <c r="M214" s="80">
        <v>0.08</v>
      </c>
      <c r="N214" s="80">
        <v>100</v>
      </c>
      <c r="O214" s="80">
        <f>IF(I214*M214=0,"",I214*M214*(N214/100))</f>
        <v>0.08</v>
      </c>
      <c r="P214" s="58"/>
      <c r="Q214" s="58"/>
      <c r="R214" s="58"/>
      <c r="S214" s="80" t="s">
        <v>674</v>
      </c>
      <c r="T214" s="80"/>
      <c r="AA214" s="48">
        <f>O214</f>
        <v>0.08</v>
      </c>
    </row>
    <row r="215" spans="2:36" ht="21.95" customHeight="1">
      <c r="B215" s="64" t="s">
        <v>575</v>
      </c>
      <c r="C215" s="64" t="s">
        <v>363</v>
      </c>
      <c r="D215" s="74"/>
      <c r="E215" s="74"/>
      <c r="F215" s="80"/>
      <c r="G215" s="80">
        <v>1</v>
      </c>
      <c r="H215" s="80">
        <f>IF(I215&lt;&gt;0,G215-I215,"")</f>
        <v>0</v>
      </c>
      <c r="I215" s="80">
        <v>1</v>
      </c>
      <c r="J215" s="80"/>
      <c r="K215" s="74" t="s">
        <v>579</v>
      </c>
      <c r="L215" s="80" t="s">
        <v>550</v>
      </c>
      <c r="M215" s="80">
        <v>0.19</v>
      </c>
      <c r="N215" s="80">
        <v>100</v>
      </c>
      <c r="O215" s="80">
        <f>IF(I215*M215=0,"",I215*M215*(N215/100))</f>
        <v>0.19</v>
      </c>
      <c r="P215" s="58"/>
      <c r="Q215" s="58"/>
      <c r="R215" s="58"/>
      <c r="S215" s="80" t="s">
        <v>674</v>
      </c>
      <c r="T215" s="80"/>
      <c r="AJ215" s="48">
        <f>O215</f>
        <v>0.19</v>
      </c>
    </row>
    <row r="216" spans="2:36" ht="21.95" customHeight="1">
      <c r="B216" s="64" t="s">
        <v>575</v>
      </c>
      <c r="C216" s="64" t="s">
        <v>529</v>
      </c>
      <c r="D216" s="74" t="s">
        <v>530</v>
      </c>
      <c r="E216" s="74" t="s">
        <v>531</v>
      </c>
      <c r="F216" s="80" t="s">
        <v>532</v>
      </c>
      <c r="G216" s="80">
        <f>IF(H216*I216/100+0.000005 &lt;1, TRUNC(H216*I216/100+0.000005, 옵션!$E$13), TRUNC(H216*I216/100+0.000005, 옵션!$E$13))</f>
        <v>0.08</v>
      </c>
      <c r="H216" s="80">
        <f>옵션!$B$13</f>
        <v>100</v>
      </c>
      <c r="I216" s="80">
        <f>SUM(AA214:AA215)</f>
        <v>0.08</v>
      </c>
      <c r="J216" s="80"/>
      <c r="K216" s="74"/>
      <c r="L216" s="80"/>
      <c r="M216" s="80"/>
      <c r="N216" s="80"/>
      <c r="O216" s="80" t="str">
        <f>IF(I216*M216=0,"",I216*M216*(N216/100))</f>
        <v/>
      </c>
      <c r="P216" s="58"/>
      <c r="Q216" s="58"/>
      <c r="R216" s="58"/>
      <c r="S216" s="80"/>
      <c r="T216" s="80"/>
      <c r="AA216" s="48">
        <f>SUM(AA214:AA215)</f>
        <v>0.08</v>
      </c>
      <c r="AJ216" s="48">
        <f>SUM(AJ214:AJ215)</f>
        <v>0.19</v>
      </c>
    </row>
    <row r="217" spans="2:36" ht="21.95" customHeight="1">
      <c r="B217" s="64" t="s">
        <v>575</v>
      </c>
      <c r="C217" s="64" t="s">
        <v>549</v>
      </c>
      <c r="D217" s="74" t="s">
        <v>530</v>
      </c>
      <c r="E217" s="74" t="s">
        <v>550</v>
      </c>
      <c r="F217" s="80" t="s">
        <v>532</v>
      </c>
      <c r="G217" s="80">
        <f>IF(H217*I217/100+0.000005 &lt;1, TRUNC(H217*I217/100+0.000005, 옵션!$E$13), TRUNC(H217*I217/100+0.000005, 옵션!$E$13))</f>
        <v>0.19</v>
      </c>
      <c r="H217" s="80">
        <f>옵션!$B$13</f>
        <v>100</v>
      </c>
      <c r="I217" s="80">
        <f>SUM(AJ214:AJ215)</f>
        <v>0.19</v>
      </c>
      <c r="J217" s="80"/>
      <c r="K217" s="74"/>
      <c r="L217" s="80"/>
      <c r="M217" s="80"/>
      <c r="N217" s="80"/>
      <c r="O217" s="80" t="str">
        <f>IF(I217*M217=0,"",I217*M217*(N217/100))</f>
        <v/>
      </c>
      <c r="P217" s="58"/>
      <c r="Q217" s="58"/>
      <c r="R217" s="58"/>
      <c r="S217" s="80"/>
      <c r="T217" s="80"/>
    </row>
    <row r="218" spans="2:36" ht="21.95" customHeight="1">
      <c r="B218" s="64" t="s">
        <v>573</v>
      </c>
      <c r="D218" s="158" t="s">
        <v>676</v>
      </c>
      <c r="E218" s="159"/>
      <c r="F218" s="159"/>
      <c r="G218" s="159"/>
      <c r="H218" s="159"/>
      <c r="I218" s="159"/>
      <c r="J218" s="159"/>
      <c r="K218" s="159"/>
      <c r="L218" s="159"/>
      <c r="M218" s="159"/>
      <c r="N218" s="159"/>
      <c r="O218" s="159"/>
      <c r="P218" s="159"/>
      <c r="Q218" s="159"/>
      <c r="R218" s="159"/>
      <c r="S218" s="159"/>
      <c r="T218" s="160"/>
    </row>
    <row r="219" spans="2:36" ht="21.95" customHeight="1">
      <c r="B219" s="64" t="s">
        <v>575</v>
      </c>
      <c r="C219" s="64" t="s">
        <v>368</v>
      </c>
      <c r="D219" s="74" t="s">
        <v>369</v>
      </c>
      <c r="E219" s="74" t="s">
        <v>370</v>
      </c>
      <c r="F219" s="80" t="s">
        <v>266</v>
      </c>
      <c r="G219" s="80">
        <v>1</v>
      </c>
      <c r="H219" s="80">
        <f>IF(I219&lt;&gt;0,G219-I219,"")</f>
        <v>0</v>
      </c>
      <c r="I219" s="80">
        <v>1</v>
      </c>
      <c r="J219" s="80"/>
      <c r="K219" s="74" t="s">
        <v>593</v>
      </c>
      <c r="L219" s="80" t="s">
        <v>531</v>
      </c>
      <c r="M219" s="80">
        <v>1.02</v>
      </c>
      <c r="N219" s="80">
        <v>100</v>
      </c>
      <c r="O219" s="80">
        <f>IF(I219*M219=0,"",I219*M219*(N219/100))</f>
        <v>1.02</v>
      </c>
      <c r="P219" s="58"/>
      <c r="Q219" s="58"/>
      <c r="R219" s="58"/>
      <c r="S219" s="80" t="s">
        <v>677</v>
      </c>
      <c r="T219" s="80"/>
      <c r="AA219" s="48">
        <f>O219</f>
        <v>1.02</v>
      </c>
    </row>
    <row r="220" spans="2:36" ht="21.95" customHeight="1">
      <c r="B220" s="64" t="s">
        <v>575</v>
      </c>
      <c r="C220" s="64" t="s">
        <v>529</v>
      </c>
      <c r="D220" s="74" t="s">
        <v>530</v>
      </c>
      <c r="E220" s="74" t="s">
        <v>531</v>
      </c>
      <c r="F220" s="80" t="s">
        <v>532</v>
      </c>
      <c r="G220" s="80">
        <f>IF(H220*I220/100+0.000005 &lt;1, TRUNC(H220*I220/100+0.000005, 옵션!$E$13), TRUNC(H220*I220/100+0.000005, 옵션!$E$13))</f>
        <v>1.02</v>
      </c>
      <c r="H220" s="80">
        <f>옵션!$B$13</f>
        <v>100</v>
      </c>
      <c r="I220" s="80">
        <f>SUM(AA219:AA219)</f>
        <v>1.02</v>
      </c>
      <c r="J220" s="80"/>
      <c r="K220" s="74"/>
      <c r="L220" s="80"/>
      <c r="M220" s="80"/>
      <c r="N220" s="80"/>
      <c r="O220" s="80" t="str">
        <f>IF(I220*M220=0,"",I220*M220*(N220/100))</f>
        <v/>
      </c>
      <c r="P220" s="58"/>
      <c r="Q220" s="58"/>
      <c r="R220" s="58"/>
      <c r="S220" s="80"/>
      <c r="T220" s="80"/>
      <c r="AA220" s="48">
        <f>SUM(AA219:AA219)</f>
        <v>1.02</v>
      </c>
    </row>
    <row r="221" spans="2:36" ht="21.95" customHeight="1">
      <c r="B221" s="64" t="s">
        <v>573</v>
      </c>
      <c r="D221" s="158" t="s">
        <v>678</v>
      </c>
      <c r="E221" s="159"/>
      <c r="F221" s="159"/>
      <c r="G221" s="159"/>
      <c r="H221" s="159"/>
      <c r="I221" s="159"/>
      <c r="J221" s="159"/>
      <c r="K221" s="159"/>
      <c r="L221" s="159"/>
      <c r="M221" s="159"/>
      <c r="N221" s="159"/>
      <c r="O221" s="159"/>
      <c r="P221" s="159"/>
      <c r="Q221" s="159"/>
      <c r="R221" s="159"/>
      <c r="S221" s="159"/>
      <c r="T221" s="160"/>
    </row>
    <row r="222" spans="2:36" ht="21.95" customHeight="1">
      <c r="B222" s="64" t="s">
        <v>575</v>
      </c>
      <c r="C222" s="64" t="s">
        <v>371</v>
      </c>
      <c r="D222" s="74" t="s">
        <v>369</v>
      </c>
      <c r="E222" s="74" t="s">
        <v>372</v>
      </c>
      <c r="F222" s="80" t="s">
        <v>266</v>
      </c>
      <c r="G222" s="80">
        <v>1</v>
      </c>
      <c r="H222" s="80">
        <f>IF(I222&lt;&gt;0,G222-I222,"")</f>
        <v>0</v>
      </c>
      <c r="I222" s="80">
        <v>1</v>
      </c>
      <c r="J222" s="80"/>
      <c r="K222" s="74" t="s">
        <v>579</v>
      </c>
      <c r="L222" s="80" t="s">
        <v>550</v>
      </c>
      <c r="M222" s="80">
        <v>6.8000000000000005E-2</v>
      </c>
      <c r="N222" s="80">
        <v>100</v>
      </c>
      <c r="O222" s="80">
        <f>IF(I222*M222=0,"",I222*M222*(N222/100))</f>
        <v>6.8000000000000005E-2</v>
      </c>
      <c r="P222" s="58"/>
      <c r="Q222" s="58"/>
      <c r="R222" s="58"/>
      <c r="S222" s="80" t="s">
        <v>677</v>
      </c>
      <c r="T222" s="80"/>
      <c r="AJ222" s="48">
        <f>O222</f>
        <v>6.8000000000000005E-2</v>
      </c>
    </row>
    <row r="223" spans="2:36" ht="21.95" customHeight="1">
      <c r="B223" s="64" t="s">
        <v>575</v>
      </c>
      <c r="C223" s="64" t="s">
        <v>549</v>
      </c>
      <c r="D223" s="74" t="s">
        <v>530</v>
      </c>
      <c r="E223" s="74" t="s">
        <v>550</v>
      </c>
      <c r="F223" s="80" t="s">
        <v>532</v>
      </c>
      <c r="G223" s="80">
        <f>IF(H223*I223/100+0.000005 &lt;1, TRUNC(H223*I223/100+0.000005, 옵션!$E$13), TRUNC(H223*I223/100+0.000005, 옵션!$E$13))</f>
        <v>6.8000000000000005E-2</v>
      </c>
      <c r="H223" s="80">
        <f>옵션!$B$13</f>
        <v>100</v>
      </c>
      <c r="I223" s="80">
        <f>SUM(AJ222:AJ222)</f>
        <v>6.8000000000000005E-2</v>
      </c>
      <c r="J223" s="80"/>
      <c r="K223" s="74"/>
      <c r="L223" s="80"/>
      <c r="M223" s="80"/>
      <c r="N223" s="80"/>
      <c r="O223" s="80" t="str">
        <f>IF(I223*M223=0,"",I223*M223*(N223/100))</f>
        <v/>
      </c>
      <c r="P223" s="58"/>
      <c r="Q223" s="58"/>
      <c r="R223" s="58"/>
      <c r="S223" s="80"/>
      <c r="T223" s="80"/>
      <c r="AJ223" s="48">
        <f>SUM(AJ222:AJ222)</f>
        <v>6.8000000000000005E-2</v>
      </c>
    </row>
    <row r="224" spans="2:36" ht="21.95" customHeight="1">
      <c r="B224" s="64" t="s">
        <v>573</v>
      </c>
      <c r="D224" s="158" t="s">
        <v>679</v>
      </c>
      <c r="E224" s="159"/>
      <c r="F224" s="159"/>
      <c r="G224" s="159"/>
      <c r="H224" s="159"/>
      <c r="I224" s="159"/>
      <c r="J224" s="159"/>
      <c r="K224" s="159"/>
      <c r="L224" s="159"/>
      <c r="M224" s="159"/>
      <c r="N224" s="159"/>
      <c r="O224" s="159"/>
      <c r="P224" s="159"/>
      <c r="Q224" s="159"/>
      <c r="R224" s="159"/>
      <c r="S224" s="159"/>
      <c r="T224" s="160"/>
    </row>
    <row r="225" spans="2:36" ht="21.95" customHeight="1">
      <c r="B225" s="64" t="s">
        <v>575</v>
      </c>
      <c r="C225" s="64" t="s">
        <v>378</v>
      </c>
      <c r="D225" s="74" t="s">
        <v>379</v>
      </c>
      <c r="E225" s="74" t="s">
        <v>380</v>
      </c>
      <c r="F225" s="80" t="s">
        <v>266</v>
      </c>
      <c r="G225" s="80">
        <v>1</v>
      </c>
      <c r="H225" s="80">
        <f>IF(I225&lt;&gt;0,G225-I225,"")</f>
        <v>0</v>
      </c>
      <c r="I225" s="80">
        <v>1</v>
      </c>
      <c r="J225" s="80"/>
      <c r="K225" s="74" t="s">
        <v>579</v>
      </c>
      <c r="L225" s="80" t="s">
        <v>550</v>
      </c>
      <c r="M225" s="80">
        <v>6.8000000000000005E-2</v>
      </c>
      <c r="N225" s="80">
        <v>100</v>
      </c>
      <c r="O225" s="80">
        <f>IF(I225*M225=0,"",I225*M225*(N225/100))</f>
        <v>6.8000000000000005E-2</v>
      </c>
      <c r="P225" s="58"/>
      <c r="Q225" s="58"/>
      <c r="R225" s="58"/>
      <c r="S225" s="80" t="s">
        <v>680</v>
      </c>
      <c r="T225" s="80"/>
      <c r="AJ225" s="48">
        <f>O225</f>
        <v>6.8000000000000005E-2</v>
      </c>
    </row>
    <row r="226" spans="2:36" ht="21.95" customHeight="1">
      <c r="B226" s="64" t="s">
        <v>575</v>
      </c>
      <c r="C226" s="64" t="s">
        <v>549</v>
      </c>
      <c r="D226" s="74" t="s">
        <v>530</v>
      </c>
      <c r="E226" s="74" t="s">
        <v>550</v>
      </c>
      <c r="F226" s="80" t="s">
        <v>532</v>
      </c>
      <c r="G226" s="80">
        <f>IF(H226*I226/100+0.000005 &lt;1, TRUNC(H226*I226/100+0.000005, 옵션!$E$13), TRUNC(H226*I226/100+0.000005, 옵션!$E$13))</f>
        <v>6.8000000000000005E-2</v>
      </c>
      <c r="H226" s="80">
        <f>옵션!$B$13</f>
        <v>100</v>
      </c>
      <c r="I226" s="80">
        <f>SUM(AJ225:AJ225)</f>
        <v>6.8000000000000005E-2</v>
      </c>
      <c r="J226" s="80"/>
      <c r="K226" s="74"/>
      <c r="L226" s="80"/>
      <c r="M226" s="80"/>
      <c r="N226" s="80"/>
      <c r="O226" s="80" t="str">
        <f>IF(I226*M226=0,"",I226*M226*(N226/100))</f>
        <v/>
      </c>
      <c r="P226" s="58"/>
      <c r="Q226" s="58"/>
      <c r="R226" s="58"/>
      <c r="S226" s="80"/>
      <c r="T226" s="80"/>
      <c r="AJ226" s="48">
        <f>SUM(AJ225:AJ225)</f>
        <v>6.8000000000000005E-2</v>
      </c>
    </row>
    <row r="227" spans="2:36" ht="21.95" customHeight="1">
      <c r="B227" s="64" t="s">
        <v>573</v>
      </c>
      <c r="D227" s="158" t="s">
        <v>681</v>
      </c>
      <c r="E227" s="159"/>
      <c r="F227" s="159"/>
      <c r="G227" s="159"/>
      <c r="H227" s="159"/>
      <c r="I227" s="159"/>
      <c r="J227" s="159"/>
      <c r="K227" s="159"/>
      <c r="L227" s="159"/>
      <c r="M227" s="159"/>
      <c r="N227" s="159"/>
      <c r="O227" s="159"/>
      <c r="P227" s="159"/>
      <c r="Q227" s="159"/>
      <c r="R227" s="159"/>
      <c r="S227" s="159"/>
      <c r="T227" s="160"/>
    </row>
    <row r="228" spans="2:36" ht="21.95" customHeight="1">
      <c r="B228" s="64" t="s">
        <v>575</v>
      </c>
      <c r="C228" s="64" t="s">
        <v>382</v>
      </c>
      <c r="D228" s="74" t="s">
        <v>383</v>
      </c>
      <c r="E228" s="74" t="s">
        <v>384</v>
      </c>
      <c r="F228" s="80" t="s">
        <v>266</v>
      </c>
      <c r="G228" s="80">
        <v>1</v>
      </c>
      <c r="H228" s="80">
        <f>IF(I228&lt;&gt;0,G228-I228,"")</f>
        <v>0</v>
      </c>
      <c r="I228" s="80">
        <v>1</v>
      </c>
      <c r="J228" s="80"/>
      <c r="K228" s="74" t="s">
        <v>593</v>
      </c>
      <c r="L228" s="80" t="s">
        <v>531</v>
      </c>
      <c r="M228" s="80">
        <v>0.31</v>
      </c>
      <c r="N228" s="80">
        <v>100</v>
      </c>
      <c r="O228" s="80">
        <f>IF(I228*M228=0,"",I228*M228*(N228/100))</f>
        <v>0.31</v>
      </c>
      <c r="P228" s="58"/>
      <c r="Q228" s="58"/>
      <c r="R228" s="58"/>
      <c r="S228" s="80" t="s">
        <v>682</v>
      </c>
      <c r="T228" s="80"/>
      <c r="AA228" s="48">
        <f>O228</f>
        <v>0.31</v>
      </c>
    </row>
    <row r="229" spans="2:36" ht="21.95" customHeight="1">
      <c r="B229" s="64" t="s">
        <v>575</v>
      </c>
      <c r="C229" s="64" t="s">
        <v>529</v>
      </c>
      <c r="D229" s="74" t="s">
        <v>530</v>
      </c>
      <c r="E229" s="74" t="s">
        <v>531</v>
      </c>
      <c r="F229" s="80" t="s">
        <v>532</v>
      </c>
      <c r="G229" s="80">
        <f>IF(H229*I229/100+0.000005 &lt;1, TRUNC(H229*I229/100+0.000005, 옵션!$E$13), TRUNC(H229*I229/100+0.000005, 옵션!$E$13))</f>
        <v>0.31</v>
      </c>
      <c r="H229" s="80">
        <f>옵션!$B$13</f>
        <v>100</v>
      </c>
      <c r="I229" s="80">
        <f>SUM(AA228:AA228)</f>
        <v>0.31</v>
      </c>
      <c r="J229" s="80"/>
      <c r="K229" s="74"/>
      <c r="L229" s="80"/>
      <c r="M229" s="80"/>
      <c r="N229" s="80"/>
      <c r="O229" s="80" t="str">
        <f>IF(I229*M229=0,"",I229*M229*(N229/100))</f>
        <v/>
      </c>
      <c r="P229" s="58"/>
      <c r="Q229" s="58"/>
      <c r="R229" s="58"/>
      <c r="S229" s="80"/>
      <c r="T229" s="80"/>
      <c r="AA229" s="48">
        <f>SUM(AA228:AA228)</f>
        <v>0.31</v>
      </c>
    </row>
    <row r="230" spans="2:36" ht="21.95" customHeight="1">
      <c r="B230" s="64" t="s">
        <v>573</v>
      </c>
      <c r="D230" s="158" t="s">
        <v>683</v>
      </c>
      <c r="E230" s="159"/>
      <c r="F230" s="159"/>
      <c r="G230" s="159"/>
      <c r="H230" s="159"/>
      <c r="I230" s="159"/>
      <c r="J230" s="159"/>
      <c r="K230" s="159"/>
      <c r="L230" s="159"/>
      <c r="M230" s="159"/>
      <c r="N230" s="159"/>
      <c r="O230" s="159"/>
      <c r="P230" s="159"/>
      <c r="Q230" s="159"/>
      <c r="R230" s="159"/>
      <c r="S230" s="159"/>
      <c r="T230" s="160"/>
    </row>
    <row r="231" spans="2:36" ht="21.95" customHeight="1">
      <c r="B231" s="64" t="s">
        <v>575</v>
      </c>
      <c r="C231" s="64" t="s">
        <v>398</v>
      </c>
      <c r="D231" s="74" t="s">
        <v>399</v>
      </c>
      <c r="E231" s="74" t="s">
        <v>400</v>
      </c>
      <c r="F231" s="80" t="s">
        <v>266</v>
      </c>
      <c r="G231" s="80">
        <v>1</v>
      </c>
      <c r="H231" s="80">
        <f>IF(I231&lt;&gt;0,G231-I231,"")</f>
        <v>0</v>
      </c>
      <c r="I231" s="80">
        <v>1</v>
      </c>
      <c r="J231" s="80"/>
      <c r="K231" s="74" t="s">
        <v>593</v>
      </c>
      <c r="L231" s="80" t="s">
        <v>531</v>
      </c>
      <c r="M231" s="80">
        <v>0.9</v>
      </c>
      <c r="N231" s="80">
        <v>100</v>
      </c>
      <c r="O231" s="80">
        <f>IF(I231*M231=0,"",I231*M231*(N231/100))</f>
        <v>0.9</v>
      </c>
      <c r="P231" s="58"/>
      <c r="Q231" s="58"/>
      <c r="R231" s="58"/>
      <c r="S231" s="80" t="s">
        <v>630</v>
      </c>
      <c r="T231" s="80"/>
      <c r="AA231" s="48">
        <f>O231</f>
        <v>0.9</v>
      </c>
    </row>
    <row r="232" spans="2:36" ht="21.95" customHeight="1">
      <c r="B232" s="64" t="s">
        <v>575</v>
      </c>
      <c r="C232" s="64" t="s">
        <v>398</v>
      </c>
      <c r="D232" s="74"/>
      <c r="E232" s="74"/>
      <c r="F232" s="80"/>
      <c r="G232" s="80">
        <v>1</v>
      </c>
      <c r="H232" s="80">
        <f>IF(I232&lt;&gt;0,G232-I232,"")</f>
        <v>0</v>
      </c>
      <c r="I232" s="80">
        <v>1</v>
      </c>
      <c r="J232" s="80"/>
      <c r="K232" s="74" t="s">
        <v>579</v>
      </c>
      <c r="L232" s="80" t="s">
        <v>550</v>
      </c>
      <c r="M232" s="80">
        <v>0.8</v>
      </c>
      <c r="N232" s="80">
        <v>100</v>
      </c>
      <c r="O232" s="80">
        <f>IF(I232*M232=0,"",I232*M232*(N232/100))</f>
        <v>0.8</v>
      </c>
      <c r="P232" s="58"/>
      <c r="Q232" s="58"/>
      <c r="R232" s="58"/>
      <c r="S232" s="80" t="s">
        <v>630</v>
      </c>
      <c r="T232" s="80"/>
      <c r="AJ232" s="48">
        <f>O232</f>
        <v>0.8</v>
      </c>
    </row>
    <row r="233" spans="2:36" ht="21.95" customHeight="1">
      <c r="B233" s="64" t="s">
        <v>575</v>
      </c>
      <c r="C233" s="64" t="s">
        <v>529</v>
      </c>
      <c r="D233" s="74" t="s">
        <v>530</v>
      </c>
      <c r="E233" s="74" t="s">
        <v>531</v>
      </c>
      <c r="F233" s="80" t="s">
        <v>532</v>
      </c>
      <c r="G233" s="80">
        <f>IF(H233*I233/100+0.000005 &lt;1, TRUNC(H233*I233/100+0.000005, 옵션!$E$13), TRUNC(H233*I233/100+0.000005, 옵션!$E$13))</f>
        <v>0.9</v>
      </c>
      <c r="H233" s="80">
        <f>옵션!$B$13</f>
        <v>100</v>
      </c>
      <c r="I233" s="80">
        <f>SUM(AA231:AA232)</f>
        <v>0.9</v>
      </c>
      <c r="J233" s="80"/>
      <c r="K233" s="74"/>
      <c r="L233" s="80"/>
      <c r="M233" s="80"/>
      <c r="N233" s="80"/>
      <c r="O233" s="80" t="str">
        <f>IF(I233*M233=0,"",I233*M233*(N233/100))</f>
        <v/>
      </c>
      <c r="P233" s="58"/>
      <c r="Q233" s="58"/>
      <c r="R233" s="58"/>
      <c r="S233" s="80"/>
      <c r="T233" s="80"/>
      <c r="AA233" s="48">
        <f>SUM(AA231:AA232)</f>
        <v>0.9</v>
      </c>
      <c r="AJ233" s="48">
        <f>SUM(AJ231:AJ232)</f>
        <v>0.8</v>
      </c>
    </row>
    <row r="234" spans="2:36" ht="21.95" customHeight="1">
      <c r="B234" s="64" t="s">
        <v>575</v>
      </c>
      <c r="C234" s="64" t="s">
        <v>549</v>
      </c>
      <c r="D234" s="74" t="s">
        <v>530</v>
      </c>
      <c r="E234" s="74" t="s">
        <v>550</v>
      </c>
      <c r="F234" s="80" t="s">
        <v>532</v>
      </c>
      <c r="G234" s="80">
        <f>IF(H234*I234/100+0.000005 &lt;1, TRUNC(H234*I234/100+0.000005, 옵션!$E$13), TRUNC(H234*I234/100+0.000005, 옵션!$E$13))</f>
        <v>0.8</v>
      </c>
      <c r="H234" s="80">
        <f>옵션!$B$13</f>
        <v>100</v>
      </c>
      <c r="I234" s="80">
        <f>SUM(AJ231:AJ232)</f>
        <v>0.8</v>
      </c>
      <c r="J234" s="80"/>
      <c r="K234" s="74"/>
      <c r="L234" s="80"/>
      <c r="M234" s="80"/>
      <c r="N234" s="80"/>
      <c r="O234" s="80" t="str">
        <f>IF(I234*M234=0,"",I234*M234*(N234/100))</f>
        <v/>
      </c>
      <c r="P234" s="58"/>
      <c r="Q234" s="58"/>
      <c r="R234" s="58"/>
      <c r="S234" s="80"/>
      <c r="T234" s="80"/>
    </row>
    <row r="235" spans="2:36" ht="21.95" customHeight="1">
      <c r="B235" s="64" t="s">
        <v>573</v>
      </c>
      <c r="D235" s="158" t="s">
        <v>684</v>
      </c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60"/>
    </row>
    <row r="236" spans="2:36" ht="21.95" customHeight="1">
      <c r="B236" s="64" t="s">
        <v>575</v>
      </c>
      <c r="C236" s="64" t="s">
        <v>403</v>
      </c>
      <c r="D236" s="74" t="s">
        <v>399</v>
      </c>
      <c r="E236" s="74" t="s">
        <v>404</v>
      </c>
      <c r="F236" s="80" t="s">
        <v>266</v>
      </c>
      <c r="G236" s="80">
        <v>1</v>
      </c>
      <c r="H236" s="80">
        <f>IF(I236&lt;&gt;0,G236-I236,"")</f>
        <v>0</v>
      </c>
      <c r="I236" s="80">
        <v>1</v>
      </c>
      <c r="J236" s="80"/>
      <c r="K236" s="74" t="s">
        <v>593</v>
      </c>
      <c r="L236" s="80" t="s">
        <v>531</v>
      </c>
      <c r="M236" s="80">
        <v>0.9</v>
      </c>
      <c r="N236" s="80">
        <v>100</v>
      </c>
      <c r="O236" s="80">
        <f>IF(I236*M236=0,"",I236*M236*(N236/100))</f>
        <v>0.9</v>
      </c>
      <c r="P236" s="58"/>
      <c r="Q236" s="58"/>
      <c r="R236" s="58"/>
      <c r="S236" s="80" t="s">
        <v>630</v>
      </c>
      <c r="T236" s="80"/>
      <c r="AA236" s="48">
        <f>O236</f>
        <v>0.9</v>
      </c>
    </row>
    <row r="237" spans="2:36" ht="21.95" customHeight="1">
      <c r="B237" s="64" t="s">
        <v>575</v>
      </c>
      <c r="C237" s="64" t="s">
        <v>403</v>
      </c>
      <c r="D237" s="74"/>
      <c r="E237" s="74"/>
      <c r="F237" s="80"/>
      <c r="G237" s="80">
        <v>1</v>
      </c>
      <c r="H237" s="80">
        <f>IF(I237&lt;&gt;0,G237-I237,"")</f>
        <v>0</v>
      </c>
      <c r="I237" s="80">
        <v>1</v>
      </c>
      <c r="J237" s="80"/>
      <c r="K237" s="74" t="s">
        <v>579</v>
      </c>
      <c r="L237" s="80" t="s">
        <v>550</v>
      </c>
      <c r="M237" s="80">
        <v>0.8</v>
      </c>
      <c r="N237" s="80">
        <v>100</v>
      </c>
      <c r="O237" s="80">
        <f>IF(I237*M237=0,"",I237*M237*(N237/100))</f>
        <v>0.8</v>
      </c>
      <c r="P237" s="58"/>
      <c r="Q237" s="58"/>
      <c r="R237" s="58"/>
      <c r="S237" s="80" t="s">
        <v>630</v>
      </c>
      <c r="T237" s="80"/>
      <c r="AJ237" s="48">
        <f>O237</f>
        <v>0.8</v>
      </c>
    </row>
    <row r="238" spans="2:36" ht="21.95" customHeight="1">
      <c r="B238" s="64" t="s">
        <v>575</v>
      </c>
      <c r="C238" s="64" t="s">
        <v>529</v>
      </c>
      <c r="D238" s="74" t="s">
        <v>530</v>
      </c>
      <c r="E238" s="74" t="s">
        <v>531</v>
      </c>
      <c r="F238" s="80" t="s">
        <v>532</v>
      </c>
      <c r="G238" s="80">
        <f>IF(H238*I238/100+0.000005 &lt;1, TRUNC(H238*I238/100+0.000005, 옵션!$E$13), TRUNC(H238*I238/100+0.000005, 옵션!$E$13))</f>
        <v>0.9</v>
      </c>
      <c r="H238" s="80">
        <f>옵션!$B$13</f>
        <v>100</v>
      </c>
      <c r="I238" s="80">
        <f>SUM(AA236:AA237)</f>
        <v>0.9</v>
      </c>
      <c r="J238" s="80"/>
      <c r="K238" s="74"/>
      <c r="L238" s="80"/>
      <c r="M238" s="80"/>
      <c r="N238" s="80"/>
      <c r="O238" s="80" t="str">
        <f>IF(I238*M238=0,"",I238*M238*(N238/100))</f>
        <v/>
      </c>
      <c r="P238" s="58"/>
      <c r="Q238" s="58"/>
      <c r="R238" s="58"/>
      <c r="S238" s="80"/>
      <c r="T238" s="80"/>
      <c r="AA238" s="48">
        <f>SUM(AA236:AA237)</f>
        <v>0.9</v>
      </c>
      <c r="AJ238" s="48">
        <f>SUM(AJ236:AJ237)</f>
        <v>0.8</v>
      </c>
    </row>
    <row r="239" spans="2:36" ht="21.95" customHeight="1">
      <c r="B239" s="64" t="s">
        <v>575</v>
      </c>
      <c r="C239" s="64" t="s">
        <v>549</v>
      </c>
      <c r="D239" s="74" t="s">
        <v>530</v>
      </c>
      <c r="E239" s="74" t="s">
        <v>550</v>
      </c>
      <c r="F239" s="80" t="s">
        <v>532</v>
      </c>
      <c r="G239" s="80">
        <f>IF(H239*I239/100+0.000005 &lt;1, TRUNC(H239*I239/100+0.000005, 옵션!$E$13), TRUNC(H239*I239/100+0.000005, 옵션!$E$13))</f>
        <v>0.8</v>
      </c>
      <c r="H239" s="80">
        <f>옵션!$B$13</f>
        <v>100</v>
      </c>
      <c r="I239" s="80">
        <f>SUM(AJ236:AJ237)</f>
        <v>0.8</v>
      </c>
      <c r="J239" s="80"/>
      <c r="K239" s="74"/>
      <c r="L239" s="80"/>
      <c r="M239" s="80"/>
      <c r="N239" s="80"/>
      <c r="O239" s="80" t="str">
        <f>IF(I239*M239=0,"",I239*M239*(N239/100))</f>
        <v/>
      </c>
      <c r="P239" s="58"/>
      <c r="Q239" s="58"/>
      <c r="R239" s="58"/>
      <c r="S239" s="80"/>
      <c r="T239" s="80"/>
    </row>
    <row r="240" spans="2:36" ht="21.95" customHeight="1">
      <c r="B240" s="64" t="s">
        <v>573</v>
      </c>
      <c r="D240" s="158" t="s">
        <v>685</v>
      </c>
      <c r="E240" s="159"/>
      <c r="F240" s="159"/>
      <c r="G240" s="159"/>
      <c r="H240" s="159"/>
      <c r="I240" s="159"/>
      <c r="J240" s="159"/>
      <c r="K240" s="159"/>
      <c r="L240" s="159"/>
      <c r="M240" s="159"/>
      <c r="N240" s="159"/>
      <c r="O240" s="159"/>
      <c r="P240" s="159"/>
      <c r="Q240" s="159"/>
      <c r="R240" s="159"/>
      <c r="S240" s="159"/>
      <c r="T240" s="160"/>
    </row>
    <row r="241" spans="2:36" ht="21.95" customHeight="1">
      <c r="B241" s="64" t="s">
        <v>575</v>
      </c>
      <c r="C241" s="64" t="s">
        <v>422</v>
      </c>
      <c r="D241" s="74" t="s">
        <v>423</v>
      </c>
      <c r="E241" s="74" t="s">
        <v>424</v>
      </c>
      <c r="F241" s="80" t="s">
        <v>266</v>
      </c>
      <c r="G241" s="80">
        <v>1</v>
      </c>
      <c r="H241" s="80">
        <f>IF(I241&lt;&gt;0,G241-I241,"")</f>
        <v>0</v>
      </c>
      <c r="I241" s="80">
        <v>1</v>
      </c>
      <c r="J241" s="80"/>
      <c r="K241" s="74" t="s">
        <v>593</v>
      </c>
      <c r="L241" s="80" t="s">
        <v>531</v>
      </c>
      <c r="M241" s="80">
        <v>0.19</v>
      </c>
      <c r="N241" s="80">
        <v>100</v>
      </c>
      <c r="O241" s="80">
        <f>IF(I241*M241=0,"",I241*M241*(N241/100))</f>
        <v>0.19</v>
      </c>
      <c r="P241" s="58"/>
      <c r="Q241" s="58"/>
      <c r="R241" s="58"/>
      <c r="S241" s="80" t="s">
        <v>686</v>
      </c>
      <c r="T241" s="80"/>
      <c r="AA241" s="48">
        <f>O241</f>
        <v>0.19</v>
      </c>
    </row>
    <row r="242" spans="2:36" ht="21.95" customHeight="1">
      <c r="B242" s="64" t="s">
        <v>575</v>
      </c>
      <c r="C242" s="64" t="s">
        <v>529</v>
      </c>
      <c r="D242" s="74" t="s">
        <v>530</v>
      </c>
      <c r="E242" s="74" t="s">
        <v>531</v>
      </c>
      <c r="F242" s="80" t="s">
        <v>532</v>
      </c>
      <c r="G242" s="80">
        <f>IF(H242*I242/100+0.000005 &lt;1, TRUNC(H242*I242/100+0.000005, 옵션!$E$13), TRUNC(H242*I242/100+0.000005, 옵션!$E$13))</f>
        <v>0.19</v>
      </c>
      <c r="H242" s="80">
        <f>옵션!$B$13</f>
        <v>100</v>
      </c>
      <c r="I242" s="80">
        <f>SUM(AA241:AA241)</f>
        <v>0.19</v>
      </c>
      <c r="J242" s="80"/>
      <c r="K242" s="74"/>
      <c r="L242" s="80"/>
      <c r="M242" s="80"/>
      <c r="N242" s="80"/>
      <c r="O242" s="80" t="str">
        <f>IF(I242*M242=0,"",I242*M242*(N242/100))</f>
        <v/>
      </c>
      <c r="P242" s="58"/>
      <c r="Q242" s="58"/>
      <c r="R242" s="58"/>
      <c r="S242" s="80"/>
      <c r="T242" s="80"/>
      <c r="AA242" s="48">
        <f>SUM(AA241:AA241)</f>
        <v>0.19</v>
      </c>
    </row>
    <row r="243" spans="2:36" ht="21.95" customHeight="1">
      <c r="B243" s="64" t="s">
        <v>573</v>
      </c>
      <c r="D243" s="158" t="s">
        <v>687</v>
      </c>
      <c r="E243" s="159"/>
      <c r="F243" s="159"/>
      <c r="G243" s="159"/>
      <c r="H243" s="159"/>
      <c r="I243" s="159"/>
      <c r="J243" s="159"/>
      <c r="K243" s="159"/>
      <c r="L243" s="159"/>
      <c r="M243" s="159"/>
      <c r="N243" s="159"/>
      <c r="O243" s="159"/>
      <c r="P243" s="159"/>
      <c r="Q243" s="159"/>
      <c r="R243" s="159"/>
      <c r="S243" s="159"/>
      <c r="T243" s="160"/>
    </row>
    <row r="244" spans="2:36" ht="21.95" customHeight="1">
      <c r="B244" s="64" t="s">
        <v>575</v>
      </c>
      <c r="C244" s="64" t="s">
        <v>439</v>
      </c>
      <c r="D244" s="74" t="s">
        <v>440</v>
      </c>
      <c r="E244" s="74"/>
      <c r="F244" s="80" t="s">
        <v>266</v>
      </c>
      <c r="G244" s="80">
        <v>1</v>
      </c>
      <c r="H244" s="80">
        <f>IF(I244&lt;&gt;0,G244-I244,"")</f>
        <v>0</v>
      </c>
      <c r="I244" s="80">
        <v>1</v>
      </c>
      <c r="J244" s="80"/>
      <c r="K244" s="74" t="s">
        <v>593</v>
      </c>
      <c r="L244" s="80" t="s">
        <v>531</v>
      </c>
      <c r="M244" s="80">
        <v>0.3</v>
      </c>
      <c r="N244" s="80">
        <v>100</v>
      </c>
      <c r="O244" s="80">
        <f>IF(I244*M244=0,"",I244*M244*(N244/100))</f>
        <v>0.3</v>
      </c>
      <c r="P244" s="58"/>
      <c r="Q244" s="58"/>
      <c r="R244" s="58"/>
      <c r="S244" s="80" t="s">
        <v>630</v>
      </c>
      <c r="T244" s="80"/>
      <c r="AA244" s="48">
        <f>O244</f>
        <v>0.3</v>
      </c>
    </row>
    <row r="245" spans="2:36" ht="21.95" customHeight="1">
      <c r="B245" s="64" t="s">
        <v>575</v>
      </c>
      <c r="C245" s="64" t="s">
        <v>439</v>
      </c>
      <c r="D245" s="74"/>
      <c r="E245" s="74"/>
      <c r="F245" s="80"/>
      <c r="G245" s="80">
        <v>1</v>
      </c>
      <c r="H245" s="80">
        <f>IF(I245&lt;&gt;0,G245-I245,"")</f>
        <v>0</v>
      </c>
      <c r="I245" s="80">
        <v>1</v>
      </c>
      <c r="J245" s="80"/>
      <c r="K245" s="74" t="s">
        <v>579</v>
      </c>
      <c r="L245" s="80" t="s">
        <v>550</v>
      </c>
      <c r="M245" s="80">
        <v>0.8</v>
      </c>
      <c r="N245" s="80">
        <v>100</v>
      </c>
      <c r="O245" s="80">
        <f>IF(I245*M245=0,"",I245*M245*(N245/100))</f>
        <v>0.8</v>
      </c>
      <c r="P245" s="58"/>
      <c r="Q245" s="58"/>
      <c r="R245" s="58"/>
      <c r="S245" s="80" t="s">
        <v>630</v>
      </c>
      <c r="T245" s="80"/>
      <c r="AJ245" s="48">
        <f>O245</f>
        <v>0.8</v>
      </c>
    </row>
    <row r="246" spans="2:36" ht="21.95" customHeight="1">
      <c r="B246" s="64" t="s">
        <v>575</v>
      </c>
      <c r="C246" s="64" t="s">
        <v>529</v>
      </c>
      <c r="D246" s="74" t="s">
        <v>530</v>
      </c>
      <c r="E246" s="74" t="s">
        <v>531</v>
      </c>
      <c r="F246" s="80" t="s">
        <v>532</v>
      </c>
      <c r="G246" s="80">
        <f>IF(H246*I246/100+0.000005 &lt;1, TRUNC(H246*I246/100+0.000005, 옵션!$E$13), TRUNC(H246*I246/100+0.000005, 옵션!$E$13))</f>
        <v>0.3</v>
      </c>
      <c r="H246" s="80">
        <f>옵션!$B$13</f>
        <v>100</v>
      </c>
      <c r="I246" s="80">
        <f>SUM(AA244:AA245)</f>
        <v>0.3</v>
      </c>
      <c r="J246" s="80"/>
      <c r="K246" s="74"/>
      <c r="L246" s="80"/>
      <c r="M246" s="80"/>
      <c r="N246" s="80"/>
      <c r="O246" s="80" t="str">
        <f>IF(I246*M246=0,"",I246*M246*(N246/100))</f>
        <v/>
      </c>
      <c r="P246" s="58"/>
      <c r="Q246" s="58"/>
      <c r="R246" s="58"/>
      <c r="S246" s="80"/>
      <c r="T246" s="80"/>
      <c r="AA246" s="48">
        <f>SUM(AA244:AA245)</f>
        <v>0.3</v>
      </c>
      <c r="AJ246" s="48">
        <f>SUM(AJ244:AJ245)</f>
        <v>0.8</v>
      </c>
    </row>
    <row r="247" spans="2:36" ht="21.95" customHeight="1">
      <c r="B247" s="64" t="s">
        <v>575</v>
      </c>
      <c r="C247" s="64" t="s">
        <v>549</v>
      </c>
      <c r="D247" s="74" t="s">
        <v>530</v>
      </c>
      <c r="E247" s="74" t="s">
        <v>550</v>
      </c>
      <c r="F247" s="80" t="s">
        <v>532</v>
      </c>
      <c r="G247" s="80">
        <f>IF(H247*I247/100+0.000005 &lt;1, TRUNC(H247*I247/100+0.000005, 옵션!$E$13), TRUNC(H247*I247/100+0.000005, 옵션!$E$13))</f>
        <v>0.8</v>
      </c>
      <c r="H247" s="80">
        <f>옵션!$B$13</f>
        <v>100</v>
      </c>
      <c r="I247" s="80">
        <f>SUM(AJ244:AJ245)</f>
        <v>0.8</v>
      </c>
      <c r="J247" s="80"/>
      <c r="K247" s="74"/>
      <c r="L247" s="80"/>
      <c r="M247" s="80"/>
      <c r="N247" s="80"/>
      <c r="O247" s="80" t="str">
        <f>IF(I247*M247=0,"",I247*M247*(N247/100))</f>
        <v/>
      </c>
      <c r="P247" s="58"/>
      <c r="Q247" s="58"/>
      <c r="R247" s="58"/>
      <c r="S247" s="80"/>
      <c r="T247" s="80"/>
    </row>
    <row r="248" spans="2:36" ht="21.95" customHeight="1">
      <c r="B248" s="64" t="s">
        <v>573</v>
      </c>
      <c r="D248" s="158" t="s">
        <v>688</v>
      </c>
      <c r="E248" s="159"/>
      <c r="F248" s="159"/>
      <c r="G248" s="159"/>
      <c r="H248" s="159"/>
      <c r="I248" s="159"/>
      <c r="J248" s="159"/>
      <c r="K248" s="159"/>
      <c r="L248" s="159"/>
      <c r="M248" s="159"/>
      <c r="N248" s="159"/>
      <c r="O248" s="159"/>
      <c r="P248" s="159"/>
      <c r="Q248" s="159"/>
      <c r="R248" s="159"/>
      <c r="S248" s="159"/>
      <c r="T248" s="160"/>
    </row>
    <row r="249" spans="2:36" ht="21.95" customHeight="1">
      <c r="B249" s="64" t="s">
        <v>575</v>
      </c>
      <c r="C249" s="64" t="s">
        <v>441</v>
      </c>
      <c r="D249" s="74" t="s">
        <v>442</v>
      </c>
      <c r="E249" s="74" t="s">
        <v>443</v>
      </c>
      <c r="F249" s="80" t="s">
        <v>266</v>
      </c>
      <c r="G249" s="80">
        <v>1</v>
      </c>
      <c r="H249" s="80">
        <f>IF(I249&lt;&gt;0,G249-I249,"")</f>
        <v>0</v>
      </c>
      <c r="I249" s="80">
        <v>1</v>
      </c>
      <c r="J249" s="80"/>
      <c r="K249" s="74" t="s">
        <v>593</v>
      </c>
      <c r="L249" s="80" t="s">
        <v>531</v>
      </c>
      <c r="M249" s="80">
        <v>1.2</v>
      </c>
      <c r="N249" s="80">
        <v>100</v>
      </c>
      <c r="O249" s="80">
        <f>IF(I249*M249=0,"",I249*M249*(N249/100))</f>
        <v>1.2</v>
      </c>
      <c r="P249" s="58"/>
      <c r="Q249" s="58"/>
      <c r="R249" s="58"/>
      <c r="S249" s="80" t="s">
        <v>630</v>
      </c>
      <c r="T249" s="80"/>
      <c r="AA249" s="48">
        <f>O249</f>
        <v>1.2</v>
      </c>
    </row>
    <row r="250" spans="2:36" ht="21.95" customHeight="1">
      <c r="B250" s="64" t="s">
        <v>575</v>
      </c>
      <c r="C250" s="64" t="s">
        <v>441</v>
      </c>
      <c r="D250" s="74"/>
      <c r="E250" s="74"/>
      <c r="F250" s="80"/>
      <c r="G250" s="80">
        <v>1</v>
      </c>
      <c r="H250" s="80">
        <f>IF(I250&lt;&gt;0,G250-I250,"")</f>
        <v>0</v>
      </c>
      <c r="I250" s="80">
        <v>1</v>
      </c>
      <c r="J250" s="80"/>
      <c r="K250" s="74" t="s">
        <v>579</v>
      </c>
      <c r="L250" s="80" t="s">
        <v>550</v>
      </c>
      <c r="M250" s="80">
        <v>0.8</v>
      </c>
      <c r="N250" s="80">
        <v>100</v>
      </c>
      <c r="O250" s="80">
        <f>IF(I250*M250=0,"",I250*M250*(N250/100))</f>
        <v>0.8</v>
      </c>
      <c r="P250" s="58"/>
      <c r="Q250" s="58"/>
      <c r="R250" s="58"/>
      <c r="S250" s="80" t="s">
        <v>630</v>
      </c>
      <c r="T250" s="80"/>
      <c r="AJ250" s="48">
        <f>O250</f>
        <v>0.8</v>
      </c>
    </row>
    <row r="251" spans="2:36" ht="21.95" customHeight="1">
      <c r="B251" s="64" t="s">
        <v>575</v>
      </c>
      <c r="C251" s="64" t="s">
        <v>529</v>
      </c>
      <c r="D251" s="74" t="s">
        <v>530</v>
      </c>
      <c r="E251" s="74" t="s">
        <v>531</v>
      </c>
      <c r="F251" s="80" t="s">
        <v>532</v>
      </c>
      <c r="G251" s="80">
        <f>IF(H251*I251/100+0.000005 &lt;1, TRUNC(H251*I251/100+0.000005, 옵션!$E$13), TRUNC(H251*I251/100+0.000005, 옵션!$E$13))</f>
        <v>1.2</v>
      </c>
      <c r="H251" s="80">
        <f>옵션!$B$13</f>
        <v>100</v>
      </c>
      <c r="I251" s="80">
        <f>SUM(AA249:AA250)</f>
        <v>1.2</v>
      </c>
      <c r="J251" s="80"/>
      <c r="K251" s="74"/>
      <c r="L251" s="80"/>
      <c r="M251" s="80"/>
      <c r="N251" s="80"/>
      <c r="O251" s="80" t="str">
        <f>IF(I251*M251=0,"",I251*M251*(N251/100))</f>
        <v/>
      </c>
      <c r="P251" s="58"/>
      <c r="Q251" s="58"/>
      <c r="R251" s="58"/>
      <c r="S251" s="80"/>
      <c r="T251" s="80"/>
      <c r="AA251" s="48">
        <f>SUM(AA249:AA250)</f>
        <v>1.2</v>
      </c>
      <c r="AJ251" s="48">
        <f>SUM(AJ249:AJ250)</f>
        <v>0.8</v>
      </c>
    </row>
    <row r="252" spans="2:36" ht="21.95" customHeight="1">
      <c r="B252" s="64" t="s">
        <v>575</v>
      </c>
      <c r="C252" s="64" t="s">
        <v>549</v>
      </c>
      <c r="D252" s="74" t="s">
        <v>530</v>
      </c>
      <c r="E252" s="74" t="s">
        <v>550</v>
      </c>
      <c r="F252" s="80" t="s">
        <v>532</v>
      </c>
      <c r="G252" s="80">
        <f>IF(H252*I252/100+0.000005 &lt;1, TRUNC(H252*I252/100+0.000005, 옵션!$E$13), TRUNC(H252*I252/100+0.000005, 옵션!$E$13))</f>
        <v>0.8</v>
      </c>
      <c r="H252" s="80">
        <f>옵션!$B$13</f>
        <v>100</v>
      </c>
      <c r="I252" s="80">
        <f>SUM(AJ249:AJ250)</f>
        <v>0.8</v>
      </c>
      <c r="J252" s="80"/>
      <c r="K252" s="74"/>
      <c r="L252" s="80"/>
      <c r="M252" s="80"/>
      <c r="N252" s="80"/>
      <c r="O252" s="80" t="str">
        <f>IF(I252*M252=0,"",I252*M252*(N252/100))</f>
        <v/>
      </c>
      <c r="P252" s="58"/>
      <c r="Q252" s="58"/>
      <c r="R252" s="58"/>
      <c r="S252" s="80"/>
      <c r="T252" s="80"/>
    </row>
    <row r="253" spans="2:36" ht="21.95" customHeight="1">
      <c r="B253" s="64" t="s">
        <v>573</v>
      </c>
      <c r="D253" s="158" t="s">
        <v>689</v>
      </c>
      <c r="E253" s="159"/>
      <c r="F253" s="159"/>
      <c r="G253" s="159"/>
      <c r="H253" s="159"/>
      <c r="I253" s="159"/>
      <c r="J253" s="159"/>
      <c r="K253" s="159"/>
      <c r="L253" s="159"/>
      <c r="M253" s="159"/>
      <c r="N253" s="159"/>
      <c r="O253" s="159"/>
      <c r="P253" s="159"/>
      <c r="Q253" s="159"/>
      <c r="R253" s="159"/>
      <c r="S253" s="159"/>
      <c r="T253" s="160"/>
    </row>
    <row r="254" spans="2:36" ht="21.95" customHeight="1">
      <c r="B254" s="64" t="s">
        <v>575</v>
      </c>
      <c r="C254" s="64" t="s">
        <v>444</v>
      </c>
      <c r="D254" s="74" t="s">
        <v>445</v>
      </c>
      <c r="E254" s="74" t="s">
        <v>446</v>
      </c>
      <c r="F254" s="80" t="s">
        <v>266</v>
      </c>
      <c r="G254" s="80">
        <v>1</v>
      </c>
      <c r="H254" s="80">
        <f>IF(I254&lt;&gt;0,G254-I254,"")</f>
        <v>0</v>
      </c>
      <c r="I254" s="80">
        <v>1</v>
      </c>
      <c r="J254" s="80"/>
      <c r="K254" s="74" t="s">
        <v>593</v>
      </c>
      <c r="L254" s="80" t="s">
        <v>531</v>
      </c>
      <c r="M254" s="80">
        <v>0.3</v>
      </c>
      <c r="N254" s="80">
        <v>100</v>
      </c>
      <c r="O254" s="80">
        <f>IF(I254*M254=0,"",I254*M254*(N254/100))</f>
        <v>0.3</v>
      </c>
      <c r="P254" s="58"/>
      <c r="Q254" s="58"/>
      <c r="R254" s="58"/>
      <c r="S254" s="80" t="s">
        <v>630</v>
      </c>
      <c r="T254" s="80"/>
      <c r="AA254" s="48">
        <f>O254</f>
        <v>0.3</v>
      </c>
    </row>
    <row r="255" spans="2:36" ht="21.95" customHeight="1">
      <c r="B255" s="64" t="s">
        <v>575</v>
      </c>
      <c r="C255" s="64" t="s">
        <v>444</v>
      </c>
      <c r="D255" s="74"/>
      <c r="E255" s="74"/>
      <c r="F255" s="80"/>
      <c r="G255" s="80">
        <v>1</v>
      </c>
      <c r="H255" s="80">
        <f>IF(I255&lt;&gt;0,G255-I255,"")</f>
        <v>0</v>
      </c>
      <c r="I255" s="80">
        <v>1</v>
      </c>
      <c r="J255" s="80"/>
      <c r="K255" s="74" t="s">
        <v>579</v>
      </c>
      <c r="L255" s="80" t="s">
        <v>550</v>
      </c>
      <c r="M255" s="80">
        <v>0.2</v>
      </c>
      <c r="N255" s="80">
        <v>100</v>
      </c>
      <c r="O255" s="80">
        <f>IF(I255*M255=0,"",I255*M255*(N255/100))</f>
        <v>0.2</v>
      </c>
      <c r="P255" s="58"/>
      <c r="Q255" s="58"/>
      <c r="R255" s="58"/>
      <c r="S255" s="80" t="s">
        <v>630</v>
      </c>
      <c r="T255" s="80"/>
      <c r="AJ255" s="48">
        <f>O255</f>
        <v>0.2</v>
      </c>
    </row>
    <row r="256" spans="2:36" ht="21.95" customHeight="1">
      <c r="B256" s="64" t="s">
        <v>575</v>
      </c>
      <c r="C256" s="64" t="s">
        <v>529</v>
      </c>
      <c r="D256" s="74" t="s">
        <v>530</v>
      </c>
      <c r="E256" s="74" t="s">
        <v>531</v>
      </c>
      <c r="F256" s="80" t="s">
        <v>532</v>
      </c>
      <c r="G256" s="80">
        <f>IF(H256*I256/100+0.000005 &lt;1, TRUNC(H256*I256/100+0.000005, 옵션!$E$13), TRUNC(H256*I256/100+0.000005, 옵션!$E$13))</f>
        <v>0.3</v>
      </c>
      <c r="H256" s="80">
        <f>옵션!$B$13</f>
        <v>100</v>
      </c>
      <c r="I256" s="80">
        <f>SUM(AA254:AA255)</f>
        <v>0.3</v>
      </c>
      <c r="J256" s="80"/>
      <c r="K256" s="74"/>
      <c r="L256" s="80"/>
      <c r="M256" s="80"/>
      <c r="N256" s="80"/>
      <c r="O256" s="80" t="str">
        <f>IF(I256*M256=0,"",I256*M256*(N256/100))</f>
        <v/>
      </c>
      <c r="P256" s="58"/>
      <c r="Q256" s="58"/>
      <c r="R256" s="58"/>
      <c r="S256" s="80"/>
      <c r="T256" s="80"/>
      <c r="AA256" s="48">
        <f>SUM(AA254:AA255)</f>
        <v>0.3</v>
      </c>
      <c r="AJ256" s="48">
        <f>SUM(AJ254:AJ255)</f>
        <v>0.2</v>
      </c>
    </row>
    <row r="257" spans="2:36" ht="21.95" customHeight="1">
      <c r="B257" s="64" t="s">
        <v>575</v>
      </c>
      <c r="C257" s="64" t="s">
        <v>549</v>
      </c>
      <c r="D257" s="74" t="s">
        <v>530</v>
      </c>
      <c r="E257" s="74" t="s">
        <v>550</v>
      </c>
      <c r="F257" s="80" t="s">
        <v>532</v>
      </c>
      <c r="G257" s="80">
        <f>IF(H257*I257/100+0.000005 &lt;1, TRUNC(H257*I257/100+0.000005, 옵션!$E$13), TRUNC(H257*I257/100+0.000005, 옵션!$E$13))</f>
        <v>0.2</v>
      </c>
      <c r="H257" s="80">
        <f>옵션!$B$13</f>
        <v>100</v>
      </c>
      <c r="I257" s="80">
        <f>SUM(AJ254:AJ255)</f>
        <v>0.2</v>
      </c>
      <c r="J257" s="80"/>
      <c r="K257" s="74"/>
      <c r="L257" s="80"/>
      <c r="M257" s="80"/>
      <c r="N257" s="80"/>
      <c r="O257" s="80" t="str">
        <f>IF(I257*M257=0,"",I257*M257*(N257/100))</f>
        <v/>
      </c>
      <c r="P257" s="58"/>
      <c r="Q257" s="58"/>
      <c r="R257" s="58"/>
      <c r="S257" s="80"/>
      <c r="T257" s="80"/>
    </row>
    <row r="258" spans="2:36" ht="21.95" customHeight="1">
      <c r="B258" s="64" t="s">
        <v>573</v>
      </c>
      <c r="D258" s="158" t="s">
        <v>690</v>
      </c>
      <c r="E258" s="159"/>
      <c r="F258" s="159"/>
      <c r="G258" s="159"/>
      <c r="H258" s="159"/>
      <c r="I258" s="159"/>
      <c r="J258" s="159"/>
      <c r="K258" s="159"/>
      <c r="L258" s="159"/>
      <c r="M258" s="159"/>
      <c r="N258" s="159"/>
      <c r="O258" s="159"/>
      <c r="P258" s="159"/>
      <c r="Q258" s="159"/>
      <c r="R258" s="159"/>
      <c r="S258" s="159"/>
      <c r="T258" s="160"/>
    </row>
    <row r="259" spans="2:36" ht="21.95" customHeight="1">
      <c r="B259" s="64" t="s">
        <v>575</v>
      </c>
      <c r="C259" s="64" t="s">
        <v>473</v>
      </c>
      <c r="D259" s="74" t="s">
        <v>474</v>
      </c>
      <c r="E259" s="74" t="s">
        <v>475</v>
      </c>
      <c r="F259" s="80" t="s">
        <v>266</v>
      </c>
      <c r="G259" s="80">
        <v>1</v>
      </c>
      <c r="H259" s="80">
        <f>IF(I259&lt;&gt;0,G259-I259,"")</f>
        <v>0</v>
      </c>
      <c r="I259" s="80">
        <v>1</v>
      </c>
      <c r="J259" s="80"/>
      <c r="K259" s="74" t="s">
        <v>593</v>
      </c>
      <c r="L259" s="80" t="s">
        <v>531</v>
      </c>
      <c r="M259" s="80">
        <v>0.98</v>
      </c>
      <c r="N259" s="80">
        <v>100</v>
      </c>
      <c r="O259" s="80">
        <f>IF(I259*M259=0,"",I259*M259*(N259/100))</f>
        <v>0.98</v>
      </c>
      <c r="P259" s="58"/>
      <c r="Q259" s="58"/>
      <c r="R259" s="58"/>
      <c r="S259" s="80" t="s">
        <v>691</v>
      </c>
      <c r="T259" s="80"/>
      <c r="AA259" s="48">
        <f>O259</f>
        <v>0.98</v>
      </c>
    </row>
    <row r="260" spans="2:36" ht="21.95" customHeight="1">
      <c r="B260" s="64" t="s">
        <v>575</v>
      </c>
      <c r="C260" s="64" t="s">
        <v>473</v>
      </c>
      <c r="D260" s="74"/>
      <c r="E260" s="74"/>
      <c r="F260" s="80"/>
      <c r="G260" s="80">
        <v>1</v>
      </c>
      <c r="H260" s="80">
        <f>IF(I260&lt;&gt;0,G260-I260,"")</f>
        <v>0</v>
      </c>
      <c r="I260" s="80">
        <v>1</v>
      </c>
      <c r="J260" s="80"/>
      <c r="K260" s="74" t="s">
        <v>579</v>
      </c>
      <c r="L260" s="80" t="s">
        <v>550</v>
      </c>
      <c r="M260" s="80">
        <v>0.75</v>
      </c>
      <c r="N260" s="80">
        <v>100</v>
      </c>
      <c r="O260" s="80">
        <f>IF(I260*M260=0,"",I260*M260*(N260/100))</f>
        <v>0.75</v>
      </c>
      <c r="P260" s="58"/>
      <c r="Q260" s="58"/>
      <c r="R260" s="58"/>
      <c r="S260" s="80" t="s">
        <v>691</v>
      </c>
      <c r="T260" s="80"/>
      <c r="AJ260" s="48">
        <f>O260</f>
        <v>0.75</v>
      </c>
    </row>
    <row r="261" spans="2:36" ht="21.95" customHeight="1">
      <c r="B261" s="64" t="s">
        <v>575</v>
      </c>
      <c r="C261" s="64" t="s">
        <v>529</v>
      </c>
      <c r="D261" s="74" t="s">
        <v>530</v>
      </c>
      <c r="E261" s="74" t="s">
        <v>531</v>
      </c>
      <c r="F261" s="80" t="s">
        <v>532</v>
      </c>
      <c r="G261" s="80">
        <f>IF(H261*I261/100+0.000005 &lt;1, TRUNC(H261*I261/100+0.000005, 옵션!$E$13), TRUNC(H261*I261/100+0.000005, 옵션!$E$13))</f>
        <v>0.98</v>
      </c>
      <c r="H261" s="80">
        <f>옵션!$B$13</f>
        <v>100</v>
      </c>
      <c r="I261" s="80">
        <f>SUM(AA259:AA260)</f>
        <v>0.98</v>
      </c>
      <c r="J261" s="80"/>
      <c r="K261" s="74"/>
      <c r="L261" s="80"/>
      <c r="M261" s="80"/>
      <c r="N261" s="80"/>
      <c r="O261" s="80" t="str">
        <f>IF(I261*M261=0,"",I261*M261*(N261/100))</f>
        <v/>
      </c>
      <c r="P261" s="58"/>
      <c r="Q261" s="58"/>
      <c r="R261" s="58"/>
      <c r="S261" s="80"/>
      <c r="T261" s="80"/>
      <c r="AA261" s="48">
        <f>SUM(AA259:AA260)</f>
        <v>0.98</v>
      </c>
      <c r="AJ261" s="48">
        <f>SUM(AJ259:AJ260)</f>
        <v>0.75</v>
      </c>
    </row>
    <row r="262" spans="2:36" ht="21.95" customHeight="1">
      <c r="B262" s="64" t="s">
        <v>575</v>
      </c>
      <c r="C262" s="64" t="s">
        <v>549</v>
      </c>
      <c r="D262" s="74" t="s">
        <v>530</v>
      </c>
      <c r="E262" s="74" t="s">
        <v>550</v>
      </c>
      <c r="F262" s="80" t="s">
        <v>532</v>
      </c>
      <c r="G262" s="80">
        <f>IF(H262*I262/100+0.000005 &lt;1, TRUNC(H262*I262/100+0.000005, 옵션!$E$13), TRUNC(H262*I262/100+0.000005, 옵션!$E$13))</f>
        <v>0.75</v>
      </c>
      <c r="H262" s="80">
        <f>옵션!$B$13</f>
        <v>100</v>
      </c>
      <c r="I262" s="80">
        <f>SUM(AJ259:AJ260)</f>
        <v>0.75</v>
      </c>
      <c r="J262" s="80"/>
      <c r="K262" s="74"/>
      <c r="L262" s="80"/>
      <c r="M262" s="80"/>
      <c r="N262" s="80"/>
      <c r="O262" s="80" t="str">
        <f>IF(I262*M262=0,"",I262*M262*(N262/100))</f>
        <v/>
      </c>
      <c r="P262" s="58"/>
      <c r="Q262" s="58"/>
      <c r="R262" s="58"/>
      <c r="S262" s="80"/>
      <c r="T262" s="80"/>
    </row>
    <row r="263" spans="2:36" ht="21.95" customHeight="1">
      <c r="B263" s="64" t="s">
        <v>573</v>
      </c>
      <c r="D263" s="158" t="s">
        <v>692</v>
      </c>
      <c r="E263" s="159"/>
      <c r="F263" s="159"/>
      <c r="G263" s="159"/>
      <c r="H263" s="159"/>
      <c r="I263" s="159"/>
      <c r="J263" s="159"/>
      <c r="K263" s="159"/>
      <c r="L263" s="159"/>
      <c r="M263" s="159"/>
      <c r="N263" s="159"/>
      <c r="O263" s="159"/>
      <c r="P263" s="159"/>
      <c r="Q263" s="159"/>
      <c r="R263" s="159"/>
      <c r="S263" s="159"/>
      <c r="T263" s="160"/>
    </row>
    <row r="264" spans="2:36" ht="21.95" customHeight="1">
      <c r="B264" s="64" t="s">
        <v>575</v>
      </c>
      <c r="C264" s="64" t="s">
        <v>476</v>
      </c>
      <c r="D264" s="74" t="s">
        <v>474</v>
      </c>
      <c r="E264" s="74" t="s">
        <v>477</v>
      </c>
      <c r="F264" s="80" t="s">
        <v>266</v>
      </c>
      <c r="G264" s="80">
        <v>1</v>
      </c>
      <c r="H264" s="80">
        <f>IF(I264&lt;&gt;0,G264-I264,"")</f>
        <v>0</v>
      </c>
      <c r="I264" s="80">
        <v>1</v>
      </c>
      <c r="J264" s="80"/>
      <c r="K264" s="74" t="s">
        <v>593</v>
      </c>
      <c r="L264" s="80" t="s">
        <v>531</v>
      </c>
      <c r="M264" s="80">
        <v>0.98</v>
      </c>
      <c r="N264" s="80">
        <v>140</v>
      </c>
      <c r="O264" s="80">
        <f>IF(I264*M264=0,"",I264*M264*(N264/100))</f>
        <v>1.3719999999999999</v>
      </c>
      <c r="P264" s="58"/>
      <c r="Q264" s="58"/>
      <c r="R264" s="58"/>
      <c r="S264" s="80" t="s">
        <v>691</v>
      </c>
      <c r="T264" s="80"/>
      <c r="AA264" s="48">
        <f>O264</f>
        <v>1.3719999999999999</v>
      </c>
    </row>
    <row r="265" spans="2:36" ht="21.95" customHeight="1">
      <c r="B265" s="64" t="s">
        <v>575</v>
      </c>
      <c r="C265" s="64" t="s">
        <v>476</v>
      </c>
      <c r="D265" s="74"/>
      <c r="E265" s="74"/>
      <c r="F265" s="80"/>
      <c r="G265" s="80">
        <v>1</v>
      </c>
      <c r="H265" s="80">
        <f>IF(I265&lt;&gt;0,G265-I265,"")</f>
        <v>0</v>
      </c>
      <c r="I265" s="80">
        <v>1</v>
      </c>
      <c r="J265" s="80"/>
      <c r="K265" s="74" t="s">
        <v>579</v>
      </c>
      <c r="L265" s="80" t="s">
        <v>550</v>
      </c>
      <c r="M265" s="80">
        <v>0.75</v>
      </c>
      <c r="N265" s="80">
        <v>140</v>
      </c>
      <c r="O265" s="80">
        <f>IF(I265*M265=0,"",I265*M265*(N265/100))</f>
        <v>1.0499999999999998</v>
      </c>
      <c r="P265" s="58"/>
      <c r="Q265" s="58"/>
      <c r="R265" s="58"/>
      <c r="S265" s="80" t="s">
        <v>691</v>
      </c>
      <c r="T265" s="80"/>
      <c r="AJ265" s="48">
        <f>O265</f>
        <v>1.0499999999999998</v>
      </c>
    </row>
    <row r="266" spans="2:36" ht="21.95" customHeight="1">
      <c r="B266" s="64" t="s">
        <v>575</v>
      </c>
      <c r="C266" s="64" t="s">
        <v>529</v>
      </c>
      <c r="D266" s="74" t="s">
        <v>530</v>
      </c>
      <c r="E266" s="74" t="s">
        <v>531</v>
      </c>
      <c r="F266" s="80" t="s">
        <v>532</v>
      </c>
      <c r="G266" s="80">
        <f>IF(H266*I266/100+0.000005 &lt;1, TRUNC(H266*I266/100+0.000005, 옵션!$E$13), TRUNC(H266*I266/100+0.000005, 옵션!$E$13))</f>
        <v>1.3720000000000001</v>
      </c>
      <c r="H266" s="80">
        <f>옵션!$B$13</f>
        <v>100</v>
      </c>
      <c r="I266" s="80">
        <f>SUM(AA264:AA265)</f>
        <v>1.3719999999999999</v>
      </c>
      <c r="J266" s="80"/>
      <c r="K266" s="74"/>
      <c r="L266" s="80"/>
      <c r="M266" s="80"/>
      <c r="N266" s="80"/>
      <c r="O266" s="80" t="str">
        <f>IF(I266*M266=0,"",I266*M266*(N266/100))</f>
        <v/>
      </c>
      <c r="P266" s="58"/>
      <c r="Q266" s="58"/>
      <c r="R266" s="58"/>
      <c r="S266" s="80"/>
      <c r="T266" s="80"/>
      <c r="AA266" s="48">
        <f>SUM(AA264:AA265)</f>
        <v>1.3719999999999999</v>
      </c>
      <c r="AJ266" s="48">
        <f>SUM(AJ264:AJ265)</f>
        <v>1.0499999999999998</v>
      </c>
    </row>
    <row r="267" spans="2:36" ht="21.95" customHeight="1">
      <c r="B267" s="64" t="s">
        <v>575</v>
      </c>
      <c r="C267" s="64" t="s">
        <v>549</v>
      </c>
      <c r="D267" s="74" t="s">
        <v>530</v>
      </c>
      <c r="E267" s="74" t="s">
        <v>550</v>
      </c>
      <c r="F267" s="80" t="s">
        <v>532</v>
      </c>
      <c r="G267" s="80">
        <f>IF(H267*I267/100+0.000005 &lt;1, TRUNC(H267*I267/100+0.000005, 옵션!$E$13), TRUNC(H267*I267/100+0.000005, 옵션!$E$13))</f>
        <v>1.05</v>
      </c>
      <c r="H267" s="80">
        <f>옵션!$B$13</f>
        <v>100</v>
      </c>
      <c r="I267" s="80">
        <f>SUM(AJ264:AJ265)</f>
        <v>1.0499999999999998</v>
      </c>
      <c r="J267" s="80"/>
      <c r="K267" s="74"/>
      <c r="L267" s="80"/>
      <c r="M267" s="80"/>
      <c r="N267" s="80"/>
      <c r="O267" s="80" t="str">
        <f>IF(I267*M267=0,"",I267*M267*(N267/100))</f>
        <v/>
      </c>
      <c r="P267" s="58"/>
      <c r="Q267" s="58"/>
      <c r="R267" s="58"/>
      <c r="S267" s="80"/>
      <c r="T267" s="80"/>
    </row>
    <row r="268" spans="2:36" ht="21.95" customHeight="1">
      <c r="B268" s="64" t="s">
        <v>573</v>
      </c>
      <c r="D268" s="158" t="s">
        <v>693</v>
      </c>
      <c r="E268" s="159"/>
      <c r="F268" s="159"/>
      <c r="G268" s="159"/>
      <c r="H268" s="159"/>
      <c r="I268" s="159"/>
      <c r="J268" s="159"/>
      <c r="K268" s="159"/>
      <c r="L268" s="159"/>
      <c r="M268" s="159"/>
      <c r="N268" s="159"/>
      <c r="O268" s="159"/>
      <c r="P268" s="159"/>
      <c r="Q268" s="159"/>
      <c r="R268" s="159"/>
      <c r="S268" s="159"/>
      <c r="T268" s="160"/>
    </row>
    <row r="269" spans="2:36" ht="21.95" customHeight="1">
      <c r="B269" s="64" t="s">
        <v>575</v>
      </c>
      <c r="C269" s="64" t="s">
        <v>478</v>
      </c>
      <c r="D269" s="74" t="s">
        <v>474</v>
      </c>
      <c r="E269" s="74" t="s">
        <v>479</v>
      </c>
      <c r="F269" s="80" t="s">
        <v>266</v>
      </c>
      <c r="G269" s="80">
        <v>1</v>
      </c>
      <c r="H269" s="80">
        <f>IF(I269&lt;&gt;0,G269-I269,"")</f>
        <v>0</v>
      </c>
      <c r="I269" s="80">
        <v>1</v>
      </c>
      <c r="J269" s="80"/>
      <c r="K269" s="74" t="s">
        <v>593</v>
      </c>
      <c r="L269" s="80" t="s">
        <v>531</v>
      </c>
      <c r="M269" s="80">
        <v>0.98</v>
      </c>
      <c r="N269" s="80">
        <v>100</v>
      </c>
      <c r="O269" s="80">
        <f>IF(I269*M269=0,"",I269*M269*(N269/100))</f>
        <v>0.98</v>
      </c>
      <c r="P269" s="58"/>
      <c r="Q269" s="58"/>
      <c r="R269" s="58"/>
      <c r="S269" s="80" t="s">
        <v>691</v>
      </c>
      <c r="T269" s="80"/>
      <c r="AA269" s="48">
        <f>O269</f>
        <v>0.98</v>
      </c>
    </row>
    <row r="270" spans="2:36" ht="21.95" customHeight="1">
      <c r="B270" s="64" t="s">
        <v>575</v>
      </c>
      <c r="C270" s="64" t="s">
        <v>478</v>
      </c>
      <c r="D270" s="74"/>
      <c r="E270" s="74"/>
      <c r="F270" s="80"/>
      <c r="G270" s="80">
        <v>1</v>
      </c>
      <c r="H270" s="80">
        <f>IF(I270&lt;&gt;0,G270-I270,"")</f>
        <v>0</v>
      </c>
      <c r="I270" s="80">
        <v>1</v>
      </c>
      <c r="J270" s="80"/>
      <c r="K270" s="74" t="s">
        <v>579</v>
      </c>
      <c r="L270" s="80" t="s">
        <v>550</v>
      </c>
      <c r="M270" s="80">
        <v>0.75</v>
      </c>
      <c r="N270" s="80">
        <v>100</v>
      </c>
      <c r="O270" s="80">
        <f>IF(I270*M270=0,"",I270*M270*(N270/100))</f>
        <v>0.75</v>
      </c>
      <c r="P270" s="58"/>
      <c r="Q270" s="58"/>
      <c r="R270" s="58"/>
      <c r="S270" s="80" t="s">
        <v>691</v>
      </c>
      <c r="T270" s="80"/>
      <c r="AJ270" s="48">
        <f>O270</f>
        <v>0.75</v>
      </c>
    </row>
    <row r="271" spans="2:36" ht="21.95" customHeight="1">
      <c r="B271" s="64" t="s">
        <v>575</v>
      </c>
      <c r="C271" s="64" t="s">
        <v>529</v>
      </c>
      <c r="D271" s="74" t="s">
        <v>530</v>
      </c>
      <c r="E271" s="74" t="s">
        <v>531</v>
      </c>
      <c r="F271" s="80" t="s">
        <v>532</v>
      </c>
      <c r="G271" s="80">
        <f>IF(H271*I271/100+0.000005 &lt;1, TRUNC(H271*I271/100+0.000005, 옵션!$E$13), TRUNC(H271*I271/100+0.000005, 옵션!$E$13))</f>
        <v>0.98</v>
      </c>
      <c r="H271" s="80">
        <f>옵션!$B$13</f>
        <v>100</v>
      </c>
      <c r="I271" s="80">
        <f>SUM(AA269:AA270)</f>
        <v>0.98</v>
      </c>
      <c r="J271" s="80"/>
      <c r="K271" s="74"/>
      <c r="L271" s="80"/>
      <c r="M271" s="80"/>
      <c r="N271" s="80"/>
      <c r="O271" s="80" t="str">
        <f>IF(I271*M271=0,"",I271*M271*(N271/100))</f>
        <v/>
      </c>
      <c r="P271" s="58"/>
      <c r="Q271" s="58"/>
      <c r="R271" s="58"/>
      <c r="S271" s="80"/>
      <c r="T271" s="80"/>
      <c r="AA271" s="48">
        <f>SUM(AA269:AA270)</f>
        <v>0.98</v>
      </c>
      <c r="AJ271" s="48">
        <f>SUM(AJ269:AJ270)</f>
        <v>0.75</v>
      </c>
    </row>
    <row r="272" spans="2:36" ht="21.95" customHeight="1">
      <c r="B272" s="64" t="s">
        <v>575</v>
      </c>
      <c r="C272" s="64" t="s">
        <v>549</v>
      </c>
      <c r="D272" s="74" t="s">
        <v>530</v>
      </c>
      <c r="E272" s="74" t="s">
        <v>550</v>
      </c>
      <c r="F272" s="80" t="s">
        <v>532</v>
      </c>
      <c r="G272" s="80">
        <f>IF(H272*I272/100+0.000005 &lt;1, TRUNC(H272*I272/100+0.000005, 옵션!$E$13), TRUNC(H272*I272/100+0.000005, 옵션!$E$13))</f>
        <v>0.75</v>
      </c>
      <c r="H272" s="80">
        <f>옵션!$B$13</f>
        <v>100</v>
      </c>
      <c r="I272" s="80">
        <f>SUM(AJ269:AJ270)</f>
        <v>0.75</v>
      </c>
      <c r="J272" s="80"/>
      <c r="K272" s="74"/>
      <c r="L272" s="80"/>
      <c r="M272" s="80"/>
      <c r="N272" s="80"/>
      <c r="O272" s="80" t="str">
        <f>IF(I272*M272=0,"",I272*M272*(N272/100))</f>
        <v/>
      </c>
      <c r="P272" s="58"/>
      <c r="Q272" s="58"/>
      <c r="R272" s="58"/>
      <c r="S272" s="80"/>
      <c r="T272" s="80"/>
    </row>
    <row r="273" spans="2:36" ht="21.95" customHeight="1">
      <c r="B273" s="64" t="s">
        <v>573</v>
      </c>
      <c r="D273" s="158" t="s">
        <v>694</v>
      </c>
      <c r="E273" s="159"/>
      <c r="F273" s="159"/>
      <c r="G273" s="159"/>
      <c r="H273" s="159"/>
      <c r="I273" s="159"/>
      <c r="J273" s="159"/>
      <c r="K273" s="159"/>
      <c r="L273" s="159"/>
      <c r="M273" s="159"/>
      <c r="N273" s="159"/>
      <c r="O273" s="159"/>
      <c r="P273" s="159"/>
      <c r="Q273" s="159"/>
      <c r="R273" s="159"/>
      <c r="S273" s="159"/>
      <c r="T273" s="160"/>
    </row>
    <row r="274" spans="2:36" ht="21.95" customHeight="1">
      <c r="B274" s="64" t="s">
        <v>575</v>
      </c>
      <c r="C274" s="64" t="s">
        <v>482</v>
      </c>
      <c r="D274" s="74" t="s">
        <v>483</v>
      </c>
      <c r="E274" s="74"/>
      <c r="F274" s="80" t="s">
        <v>266</v>
      </c>
      <c r="G274" s="80">
        <v>1</v>
      </c>
      <c r="H274" s="80">
        <f>IF(I274&lt;&gt;0,G274-I274,"")</f>
        <v>0</v>
      </c>
      <c r="I274" s="80">
        <v>1</v>
      </c>
      <c r="J274" s="80"/>
      <c r="K274" s="74" t="s">
        <v>593</v>
      </c>
      <c r="L274" s="80" t="s">
        <v>531</v>
      </c>
      <c r="M274" s="80">
        <v>0.3</v>
      </c>
      <c r="N274" s="80">
        <v>100</v>
      </c>
      <c r="O274" s="80">
        <f>IF(I274*M274=0,"",I274*M274*(N274/100))</f>
        <v>0.3</v>
      </c>
      <c r="P274" s="58"/>
      <c r="Q274" s="58"/>
      <c r="R274" s="58"/>
      <c r="S274" s="80" t="s">
        <v>691</v>
      </c>
      <c r="T274" s="80"/>
      <c r="AA274" s="48">
        <f>O274</f>
        <v>0.3</v>
      </c>
    </row>
    <row r="275" spans="2:36" ht="21.95" customHeight="1">
      <c r="B275" s="64" t="s">
        <v>575</v>
      </c>
      <c r="C275" s="64" t="s">
        <v>482</v>
      </c>
      <c r="D275" s="74"/>
      <c r="E275" s="74"/>
      <c r="F275" s="80"/>
      <c r="G275" s="80">
        <v>1</v>
      </c>
      <c r="H275" s="80">
        <f>IF(I275&lt;&gt;0,G275-I275,"")</f>
        <v>0</v>
      </c>
      <c r="I275" s="80">
        <v>1</v>
      </c>
      <c r="J275" s="80"/>
      <c r="K275" s="74" t="s">
        <v>579</v>
      </c>
      <c r="L275" s="80" t="s">
        <v>550</v>
      </c>
      <c r="M275" s="80">
        <v>0.2</v>
      </c>
      <c r="N275" s="80">
        <v>100</v>
      </c>
      <c r="O275" s="80">
        <f>IF(I275*M275=0,"",I275*M275*(N275/100))</f>
        <v>0.2</v>
      </c>
      <c r="P275" s="58"/>
      <c r="Q275" s="58"/>
      <c r="R275" s="58"/>
      <c r="S275" s="80" t="s">
        <v>691</v>
      </c>
      <c r="T275" s="80"/>
      <c r="AJ275" s="48">
        <f>O275</f>
        <v>0.2</v>
      </c>
    </row>
    <row r="276" spans="2:36" ht="21.95" customHeight="1">
      <c r="B276" s="64" t="s">
        <v>575</v>
      </c>
      <c r="C276" s="64" t="s">
        <v>529</v>
      </c>
      <c r="D276" s="74" t="s">
        <v>530</v>
      </c>
      <c r="E276" s="74" t="s">
        <v>531</v>
      </c>
      <c r="F276" s="80" t="s">
        <v>532</v>
      </c>
      <c r="G276" s="80">
        <f>IF(H276*I276/100+0.000005 &lt;1, TRUNC(H276*I276/100+0.000005, 옵션!$E$13), TRUNC(H276*I276/100+0.000005, 옵션!$E$13))</f>
        <v>0.3</v>
      </c>
      <c r="H276" s="80">
        <f>옵션!$B$13</f>
        <v>100</v>
      </c>
      <c r="I276" s="80">
        <f>SUM(AA274:AA275)</f>
        <v>0.3</v>
      </c>
      <c r="J276" s="80"/>
      <c r="K276" s="74"/>
      <c r="L276" s="80"/>
      <c r="M276" s="80"/>
      <c r="N276" s="80"/>
      <c r="O276" s="80" t="str">
        <f>IF(I276*M276=0,"",I276*M276*(N276/100))</f>
        <v/>
      </c>
      <c r="P276" s="58"/>
      <c r="Q276" s="58"/>
      <c r="R276" s="58"/>
      <c r="S276" s="80"/>
      <c r="T276" s="80"/>
      <c r="AA276" s="48">
        <f>SUM(AA274:AA275)</f>
        <v>0.3</v>
      </c>
      <c r="AJ276" s="48">
        <f>SUM(AJ274:AJ275)</f>
        <v>0.2</v>
      </c>
    </row>
    <row r="277" spans="2:36" ht="21.95" customHeight="1">
      <c r="B277" s="64" t="s">
        <v>575</v>
      </c>
      <c r="C277" s="64" t="s">
        <v>549</v>
      </c>
      <c r="D277" s="74" t="s">
        <v>530</v>
      </c>
      <c r="E277" s="74" t="s">
        <v>550</v>
      </c>
      <c r="F277" s="80" t="s">
        <v>532</v>
      </c>
      <c r="G277" s="80">
        <f>IF(H277*I277/100+0.000005 &lt;1, TRUNC(H277*I277/100+0.000005, 옵션!$E$13), TRUNC(H277*I277/100+0.000005, 옵션!$E$13))</f>
        <v>0.2</v>
      </c>
      <c r="H277" s="80">
        <f>옵션!$B$13</f>
        <v>100</v>
      </c>
      <c r="I277" s="80">
        <f>SUM(AJ274:AJ275)</f>
        <v>0.2</v>
      </c>
      <c r="J277" s="80"/>
      <c r="K277" s="74"/>
      <c r="L277" s="80"/>
      <c r="M277" s="80"/>
      <c r="N277" s="80"/>
      <c r="O277" s="80" t="str">
        <f>IF(I277*M277=0,"",I277*M277*(N277/100))</f>
        <v/>
      </c>
      <c r="P277" s="58"/>
      <c r="Q277" s="58"/>
      <c r="R277" s="58"/>
      <c r="S277" s="80"/>
      <c r="T277" s="80"/>
    </row>
    <row r="278" spans="2:36" ht="21.95" customHeight="1">
      <c r="B278" s="64" t="s">
        <v>573</v>
      </c>
      <c r="D278" s="158" t="s">
        <v>695</v>
      </c>
      <c r="E278" s="159"/>
      <c r="F278" s="159"/>
      <c r="G278" s="159"/>
      <c r="H278" s="159"/>
      <c r="I278" s="159"/>
      <c r="J278" s="159"/>
      <c r="K278" s="159"/>
      <c r="L278" s="159"/>
      <c r="M278" s="159"/>
      <c r="N278" s="159"/>
      <c r="O278" s="159"/>
      <c r="P278" s="159"/>
      <c r="Q278" s="159"/>
      <c r="R278" s="159"/>
      <c r="S278" s="159"/>
      <c r="T278" s="160"/>
    </row>
    <row r="279" spans="2:36" ht="21.95" customHeight="1">
      <c r="B279" s="64" t="s">
        <v>575</v>
      </c>
      <c r="C279" s="64" t="s">
        <v>498</v>
      </c>
      <c r="D279" s="74" t="s">
        <v>499</v>
      </c>
      <c r="E279" s="74" t="s">
        <v>500</v>
      </c>
      <c r="F279" s="80" t="s">
        <v>266</v>
      </c>
      <c r="G279" s="80">
        <v>1</v>
      </c>
      <c r="H279" s="80">
        <f>IF(I279&lt;&gt;0,G279-I279,"")</f>
        <v>0</v>
      </c>
      <c r="I279" s="80">
        <v>1</v>
      </c>
      <c r="J279" s="80"/>
      <c r="K279" s="74" t="s">
        <v>593</v>
      </c>
      <c r="L279" s="80" t="s">
        <v>531</v>
      </c>
      <c r="M279" s="80">
        <v>0.08</v>
      </c>
      <c r="N279" s="80">
        <v>100</v>
      </c>
      <c r="O279" s="80">
        <f>IF(I279*M279=0,"",I279*M279*(N279/100))</f>
        <v>0.08</v>
      </c>
      <c r="P279" s="58"/>
      <c r="Q279" s="58"/>
      <c r="R279" s="58"/>
      <c r="S279" s="80" t="s">
        <v>674</v>
      </c>
      <c r="T279" s="80"/>
      <c r="AA279" s="48">
        <f>O279</f>
        <v>0.08</v>
      </c>
    </row>
    <row r="280" spans="2:36" ht="21.95" customHeight="1">
      <c r="B280" s="64" t="s">
        <v>575</v>
      </c>
      <c r="C280" s="64" t="s">
        <v>498</v>
      </c>
      <c r="D280" s="74"/>
      <c r="E280" s="74"/>
      <c r="F280" s="80"/>
      <c r="G280" s="80">
        <v>1</v>
      </c>
      <c r="H280" s="80">
        <f>IF(I280&lt;&gt;0,G280-I280,"")</f>
        <v>0</v>
      </c>
      <c r="I280" s="80">
        <v>1</v>
      </c>
      <c r="J280" s="80"/>
      <c r="K280" s="74" t="s">
        <v>579</v>
      </c>
      <c r="L280" s="80" t="s">
        <v>550</v>
      </c>
      <c r="M280" s="80">
        <v>0.19</v>
      </c>
      <c r="N280" s="80">
        <v>100</v>
      </c>
      <c r="O280" s="80">
        <f>IF(I280*M280=0,"",I280*M280*(N280/100))</f>
        <v>0.19</v>
      </c>
      <c r="P280" s="58"/>
      <c r="Q280" s="58"/>
      <c r="R280" s="58"/>
      <c r="S280" s="80" t="s">
        <v>674</v>
      </c>
      <c r="T280" s="80"/>
      <c r="AJ280" s="48">
        <f>O280</f>
        <v>0.19</v>
      </c>
    </row>
    <row r="281" spans="2:36" ht="21.95" customHeight="1">
      <c r="B281" s="64" t="s">
        <v>575</v>
      </c>
      <c r="C281" s="64" t="s">
        <v>529</v>
      </c>
      <c r="D281" s="74" t="s">
        <v>530</v>
      </c>
      <c r="E281" s="74" t="s">
        <v>531</v>
      </c>
      <c r="F281" s="80" t="s">
        <v>532</v>
      </c>
      <c r="G281" s="80">
        <f>IF(H281*I281/100+0.000005 &lt;1, TRUNC(H281*I281/100+0.000005, 옵션!$E$13), TRUNC(H281*I281/100+0.000005, 옵션!$E$13))</f>
        <v>0.08</v>
      </c>
      <c r="H281" s="80">
        <f>옵션!$B$13</f>
        <v>100</v>
      </c>
      <c r="I281" s="80">
        <f>SUM(AA279:AA280)</f>
        <v>0.08</v>
      </c>
      <c r="J281" s="80"/>
      <c r="K281" s="74"/>
      <c r="L281" s="80"/>
      <c r="M281" s="80"/>
      <c r="N281" s="80"/>
      <c r="O281" s="80" t="str">
        <f>IF(I281*M281=0,"",I281*M281*(N281/100))</f>
        <v/>
      </c>
      <c r="P281" s="58"/>
      <c r="Q281" s="58"/>
      <c r="R281" s="58"/>
      <c r="S281" s="80"/>
      <c r="T281" s="80"/>
      <c r="AA281" s="48">
        <f>SUM(AA279:AA280)</f>
        <v>0.08</v>
      </c>
      <c r="AJ281" s="48">
        <f>SUM(AJ279:AJ280)</f>
        <v>0.19</v>
      </c>
    </row>
    <row r="282" spans="2:36" ht="21.95" customHeight="1">
      <c r="B282" s="64" t="s">
        <v>575</v>
      </c>
      <c r="C282" s="64" t="s">
        <v>549</v>
      </c>
      <c r="D282" s="74" t="s">
        <v>530</v>
      </c>
      <c r="E282" s="74" t="s">
        <v>550</v>
      </c>
      <c r="F282" s="80" t="s">
        <v>532</v>
      </c>
      <c r="G282" s="80">
        <f>IF(H282*I282/100+0.000005 &lt;1, TRUNC(H282*I282/100+0.000005, 옵션!$E$13), TRUNC(H282*I282/100+0.000005, 옵션!$E$13))</f>
        <v>0.19</v>
      </c>
      <c r="H282" s="80">
        <f>옵션!$B$13</f>
        <v>100</v>
      </c>
      <c r="I282" s="80">
        <f>SUM(AJ279:AJ280)</f>
        <v>0.19</v>
      </c>
      <c r="J282" s="80"/>
      <c r="K282" s="74"/>
      <c r="L282" s="80"/>
      <c r="M282" s="80"/>
      <c r="N282" s="80"/>
      <c r="O282" s="80" t="str">
        <f>IF(I282*M282=0,"",I282*M282*(N282/100))</f>
        <v/>
      </c>
      <c r="P282" s="58"/>
      <c r="Q282" s="58"/>
      <c r="R282" s="58"/>
      <c r="S282" s="80"/>
      <c r="T282" s="80"/>
    </row>
    <row r="283" spans="2:36" ht="21.95" customHeight="1">
      <c r="B283" s="64" t="s">
        <v>573</v>
      </c>
      <c r="D283" s="158" t="s">
        <v>696</v>
      </c>
      <c r="E283" s="159"/>
      <c r="F283" s="159"/>
      <c r="G283" s="159"/>
      <c r="H283" s="159"/>
      <c r="I283" s="159"/>
      <c r="J283" s="159"/>
      <c r="K283" s="159"/>
      <c r="L283" s="159"/>
      <c r="M283" s="159"/>
      <c r="N283" s="159"/>
      <c r="O283" s="159"/>
      <c r="P283" s="159"/>
      <c r="Q283" s="159"/>
      <c r="R283" s="159"/>
      <c r="S283" s="159"/>
      <c r="T283" s="160"/>
    </row>
    <row r="284" spans="2:36" ht="21.95" customHeight="1">
      <c r="B284" s="64" t="s">
        <v>575</v>
      </c>
      <c r="C284" s="64" t="s">
        <v>510</v>
      </c>
      <c r="D284" s="74" t="s">
        <v>511</v>
      </c>
      <c r="E284" s="74" t="s">
        <v>512</v>
      </c>
      <c r="F284" s="80" t="s">
        <v>266</v>
      </c>
      <c r="G284" s="80">
        <v>1</v>
      </c>
      <c r="H284" s="80">
        <f>IF(I284&lt;&gt;0,G284-I284,"")</f>
        <v>0</v>
      </c>
      <c r="I284" s="80">
        <v>1</v>
      </c>
      <c r="J284" s="80"/>
      <c r="K284" s="74" t="s">
        <v>593</v>
      </c>
      <c r="L284" s="80" t="s">
        <v>531</v>
      </c>
      <c r="M284" s="80">
        <v>0.17699999999999999</v>
      </c>
      <c r="N284" s="80">
        <v>100</v>
      </c>
      <c r="O284" s="80">
        <f>IF(I284*M284=0,"",I284*M284*(N284/100))</f>
        <v>0.17699999999999999</v>
      </c>
      <c r="P284" s="58"/>
      <c r="Q284" s="58"/>
      <c r="R284" s="58"/>
      <c r="S284" s="80" t="s">
        <v>652</v>
      </c>
      <c r="T284" s="80"/>
      <c r="AA284" s="48">
        <f>O284</f>
        <v>0.17699999999999999</v>
      </c>
    </row>
    <row r="285" spans="2:36" ht="21.95" customHeight="1">
      <c r="B285" s="64" t="s">
        <v>575</v>
      </c>
      <c r="C285" s="64" t="s">
        <v>510</v>
      </c>
      <c r="D285" s="74"/>
      <c r="E285" s="74"/>
      <c r="F285" s="80"/>
      <c r="G285" s="80">
        <v>1</v>
      </c>
      <c r="H285" s="80">
        <f>IF(I285&lt;&gt;0,G285-I285,"")</f>
        <v>0</v>
      </c>
      <c r="I285" s="80">
        <v>1</v>
      </c>
      <c r="J285" s="80"/>
      <c r="K285" s="74" t="s">
        <v>579</v>
      </c>
      <c r="L285" s="80" t="s">
        <v>550</v>
      </c>
      <c r="M285" s="80">
        <v>0.59199999999999997</v>
      </c>
      <c r="N285" s="80">
        <v>100</v>
      </c>
      <c r="O285" s="80">
        <f>IF(I285*M285=0,"",I285*M285*(N285/100))</f>
        <v>0.59199999999999997</v>
      </c>
      <c r="P285" s="58"/>
      <c r="Q285" s="58"/>
      <c r="R285" s="58"/>
      <c r="S285" s="80" t="s">
        <v>652</v>
      </c>
      <c r="T285" s="80"/>
      <c r="AJ285" s="48">
        <f>O285</f>
        <v>0.59199999999999997</v>
      </c>
    </row>
    <row r="286" spans="2:36" ht="21.95" customHeight="1">
      <c r="B286" s="64" t="s">
        <v>575</v>
      </c>
      <c r="C286" s="64" t="s">
        <v>529</v>
      </c>
      <c r="D286" s="74" t="s">
        <v>530</v>
      </c>
      <c r="E286" s="74" t="s">
        <v>531</v>
      </c>
      <c r="F286" s="80" t="s">
        <v>532</v>
      </c>
      <c r="G286" s="80">
        <f>IF(H286*I286/100+0.000005 &lt;1, TRUNC(H286*I286/100+0.000005, 옵션!$E$13), TRUNC(H286*I286/100+0.000005, 옵션!$E$13))</f>
        <v>0.17699999999999999</v>
      </c>
      <c r="H286" s="80">
        <f>옵션!$B$13</f>
        <v>100</v>
      </c>
      <c r="I286" s="80">
        <f>SUM(AA284:AA285)</f>
        <v>0.17699999999999999</v>
      </c>
      <c r="J286" s="80"/>
      <c r="K286" s="74"/>
      <c r="L286" s="80"/>
      <c r="M286" s="80"/>
      <c r="N286" s="80"/>
      <c r="O286" s="80" t="str">
        <f>IF(I286*M286=0,"",I286*M286*(N286/100))</f>
        <v/>
      </c>
      <c r="P286" s="58"/>
      <c r="Q286" s="58"/>
      <c r="R286" s="58"/>
      <c r="S286" s="80"/>
      <c r="T286" s="80"/>
      <c r="AA286" s="48">
        <f>SUM(AA284:AA285)</f>
        <v>0.17699999999999999</v>
      </c>
      <c r="AJ286" s="48">
        <f>SUM(AJ284:AJ285)</f>
        <v>0.59199999999999997</v>
      </c>
    </row>
    <row r="287" spans="2:36" ht="21.95" customHeight="1">
      <c r="B287" s="64" t="s">
        <v>575</v>
      </c>
      <c r="C287" s="64" t="s">
        <v>549</v>
      </c>
      <c r="D287" s="74" t="s">
        <v>530</v>
      </c>
      <c r="E287" s="74" t="s">
        <v>550</v>
      </c>
      <c r="F287" s="80" t="s">
        <v>532</v>
      </c>
      <c r="G287" s="80">
        <f>IF(H287*I287/100+0.000005 &lt;1, TRUNC(H287*I287/100+0.000005, 옵션!$E$13), TRUNC(H287*I287/100+0.000005, 옵션!$E$13))</f>
        <v>0.59199999999999997</v>
      </c>
      <c r="H287" s="80">
        <f>옵션!$B$13</f>
        <v>100</v>
      </c>
      <c r="I287" s="80">
        <f>SUM(AJ284:AJ285)</f>
        <v>0.59199999999999997</v>
      </c>
      <c r="J287" s="80"/>
      <c r="K287" s="74"/>
      <c r="L287" s="80"/>
      <c r="M287" s="80"/>
      <c r="N287" s="80"/>
      <c r="O287" s="80" t="str">
        <f>IF(I287*M287=0,"",I287*M287*(N287/100))</f>
        <v/>
      </c>
      <c r="P287" s="58"/>
      <c r="Q287" s="58"/>
      <c r="R287" s="58"/>
      <c r="S287" s="80"/>
      <c r="T287" s="80"/>
    </row>
    <row r="288" spans="2:36" ht="21.95" customHeight="1">
      <c r="D288" s="74"/>
      <c r="E288" s="74"/>
      <c r="F288" s="80"/>
      <c r="G288" s="80"/>
      <c r="H288" s="80"/>
      <c r="I288" s="80"/>
      <c r="J288" s="80"/>
      <c r="K288" s="74"/>
      <c r="L288" s="80"/>
      <c r="M288" s="80"/>
      <c r="N288" s="80"/>
      <c r="O288" s="80"/>
      <c r="P288" s="58"/>
      <c r="Q288" s="58"/>
      <c r="R288" s="58"/>
      <c r="S288" s="80"/>
      <c r="T288" s="80"/>
    </row>
    <row r="289" spans="4:20" ht="21.95" customHeight="1">
      <c r="D289" s="74"/>
      <c r="E289" s="74"/>
      <c r="F289" s="80"/>
      <c r="G289" s="80"/>
      <c r="H289" s="80"/>
      <c r="I289" s="80"/>
      <c r="J289" s="80"/>
      <c r="K289" s="74"/>
      <c r="L289" s="80"/>
      <c r="M289" s="80"/>
      <c r="N289" s="80"/>
      <c r="O289" s="80"/>
      <c r="P289" s="58"/>
      <c r="Q289" s="58"/>
      <c r="R289" s="58"/>
      <c r="S289" s="80"/>
      <c r="T289" s="80"/>
    </row>
  </sheetData>
  <mergeCells count="77">
    <mergeCell ref="D268:T268"/>
    <mergeCell ref="D273:T273"/>
    <mergeCell ref="D278:T278"/>
    <mergeCell ref="D283:T283"/>
    <mergeCell ref="D243:T243"/>
    <mergeCell ref="D248:T248"/>
    <mergeCell ref="D253:T253"/>
    <mergeCell ref="D258:T258"/>
    <mergeCell ref="D263:T263"/>
    <mergeCell ref="D224:T224"/>
    <mergeCell ref="D227:T227"/>
    <mergeCell ref="D230:T230"/>
    <mergeCell ref="D235:T235"/>
    <mergeCell ref="D240:T240"/>
    <mergeCell ref="D205:T205"/>
    <mergeCell ref="D208:T208"/>
    <mergeCell ref="D213:T213"/>
    <mergeCell ref="D218:T218"/>
    <mergeCell ref="D221:T221"/>
    <mergeCell ref="D182:T182"/>
    <mergeCell ref="D187:T187"/>
    <mergeCell ref="D192:T192"/>
    <mergeCell ref="D197:T197"/>
    <mergeCell ref="D202:T202"/>
    <mergeCell ref="D157:T157"/>
    <mergeCell ref="D162:T162"/>
    <mergeCell ref="D167:T167"/>
    <mergeCell ref="D172:T172"/>
    <mergeCell ref="D177:T177"/>
    <mergeCell ref="D128:T128"/>
    <mergeCell ref="D133:T133"/>
    <mergeCell ref="D138:T138"/>
    <mergeCell ref="D141:T141"/>
    <mergeCell ref="D146:T146"/>
    <mergeCell ref="D105:T105"/>
    <mergeCell ref="D110:T110"/>
    <mergeCell ref="D113:T113"/>
    <mergeCell ref="D116:T116"/>
    <mergeCell ref="D119:T119"/>
    <mergeCell ref="D84:T84"/>
    <mergeCell ref="D87:T87"/>
    <mergeCell ref="D92:T92"/>
    <mergeCell ref="D97:T97"/>
    <mergeCell ref="D102:T102"/>
    <mergeCell ref="D69:T69"/>
    <mergeCell ref="D72:T72"/>
    <mergeCell ref="D75:T75"/>
    <mergeCell ref="D78:T78"/>
    <mergeCell ref="D81:T81"/>
    <mergeCell ref="D44:T44"/>
    <mergeCell ref="D49:T49"/>
    <mergeCell ref="D54:T54"/>
    <mergeCell ref="D59:T59"/>
    <mergeCell ref="D64:T64"/>
    <mergeCell ref="D23:T23"/>
    <mergeCell ref="D26:T26"/>
    <mergeCell ref="D29:T29"/>
    <mergeCell ref="D34:T34"/>
    <mergeCell ref="D39:T39"/>
    <mergeCell ref="D4:T4"/>
    <mergeCell ref="D7:T7"/>
    <mergeCell ref="D12:T12"/>
    <mergeCell ref="D17:T17"/>
    <mergeCell ref="D20:T20"/>
    <mergeCell ref="A2:A3"/>
    <mergeCell ref="B2:B3"/>
    <mergeCell ref="E2:E3"/>
    <mergeCell ref="F2:F3"/>
    <mergeCell ref="C2:C3"/>
    <mergeCell ref="D2:D3"/>
    <mergeCell ref="G2:J2"/>
    <mergeCell ref="D1:T1"/>
    <mergeCell ref="S2:S3"/>
    <mergeCell ref="K2:K3"/>
    <mergeCell ref="P2:R2"/>
    <mergeCell ref="T2:T3"/>
    <mergeCell ref="L2:O2"/>
  </mergeCells>
  <phoneticPr fontId="2" type="noConversion"/>
  <printOptions horizontalCentered="1" verticalCentered="1"/>
  <pageMargins left="0.74803149606299213" right="0.35433070866141736" top="0.59055118110236227" bottom="0.59055118110236227" header="0.51181102362204722" footer="0.47244094488188981"/>
  <pageSetup paperSize="9" scale="8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AB154"/>
  <sheetViews>
    <sheetView view="pageBreakPreview" topLeftCell="D1" zoomScaleSheetLayoutView="100" workbookViewId="0">
      <pane ySplit="3" topLeftCell="A64" activePane="bottomLeft" state="frozen"/>
      <selection activeCell="A2" sqref="A2"/>
      <selection pane="bottomLeft" activeCell="G76" sqref="G76"/>
    </sheetView>
  </sheetViews>
  <sheetFormatPr defaultRowHeight="18.95" customHeight="1"/>
  <cols>
    <col min="1" max="1" width="6.21875" style="64" hidden="1" customWidth="1"/>
    <col min="2" max="2" width="10.33203125" style="64" hidden="1" customWidth="1"/>
    <col min="3" max="3" width="15.44140625" style="64" hidden="1" customWidth="1"/>
    <col min="4" max="5" width="22.77734375" style="64" customWidth="1"/>
    <col min="6" max="6" width="4.5546875" style="65" customWidth="1"/>
    <col min="7" max="7" width="11.109375" style="49" customWidth="1"/>
    <col min="8" max="8" width="9.88671875" style="75" customWidth="1"/>
    <col min="9" max="9" width="11.21875" style="76" hidden="1" customWidth="1"/>
    <col min="10" max="10" width="9.88671875" style="75" customWidth="1"/>
    <col min="11" max="11" width="5.44140625" style="77" customWidth="1"/>
    <col min="12" max="12" width="9.88671875" style="75" customWidth="1"/>
    <col min="13" max="13" width="5.44140625" style="77" customWidth="1"/>
    <col min="14" max="14" width="9.88671875" style="75" customWidth="1"/>
    <col min="15" max="15" width="5.44140625" style="77" customWidth="1"/>
    <col min="16" max="16" width="9.88671875" style="75" customWidth="1"/>
    <col min="17" max="17" width="5.44140625" style="77" customWidth="1"/>
    <col min="18" max="18" width="3" style="75" hidden="1" customWidth="1"/>
    <col min="19" max="19" width="4.88671875" style="77" hidden="1" customWidth="1"/>
    <col min="20" max="20" width="10.77734375" style="64" customWidth="1"/>
    <col min="21" max="16384" width="8.88671875" style="48"/>
  </cols>
  <sheetData>
    <row r="1" spans="1:20" ht="18.95" customHeight="1">
      <c r="A1" s="64" t="s">
        <v>566</v>
      </c>
      <c r="B1" s="64" t="s">
        <v>567</v>
      </c>
      <c r="D1" s="176" t="s">
        <v>192</v>
      </c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</row>
    <row r="2" spans="1:20" ht="18.95" customHeight="1">
      <c r="A2" s="149" t="s">
        <v>71</v>
      </c>
      <c r="B2" s="149" t="s">
        <v>30</v>
      </c>
      <c r="C2" s="149" t="s">
        <v>26</v>
      </c>
      <c r="D2" s="151" t="s">
        <v>78</v>
      </c>
      <c r="E2" s="151" t="s">
        <v>79</v>
      </c>
      <c r="F2" s="151" t="s">
        <v>27</v>
      </c>
      <c r="G2" s="153" t="s">
        <v>80</v>
      </c>
      <c r="H2" s="66" t="s">
        <v>179</v>
      </c>
      <c r="I2" s="66"/>
      <c r="J2" s="151" t="s">
        <v>175</v>
      </c>
      <c r="K2" s="151"/>
      <c r="L2" s="151" t="s">
        <v>28</v>
      </c>
      <c r="M2" s="151"/>
      <c r="N2" s="151" t="s">
        <v>565</v>
      </c>
      <c r="O2" s="151"/>
      <c r="P2" s="151" t="s">
        <v>176</v>
      </c>
      <c r="Q2" s="151"/>
      <c r="R2" s="151" t="s">
        <v>177</v>
      </c>
      <c r="S2" s="151"/>
      <c r="T2" s="151" t="s">
        <v>139</v>
      </c>
    </row>
    <row r="3" spans="1:20" ht="18.95" customHeight="1">
      <c r="A3" s="149"/>
      <c r="B3" s="149"/>
      <c r="C3" s="149"/>
      <c r="D3" s="152"/>
      <c r="E3" s="152"/>
      <c r="F3" s="152"/>
      <c r="G3" s="156"/>
      <c r="H3" s="70" t="s">
        <v>29</v>
      </c>
      <c r="I3" s="68" t="s">
        <v>25</v>
      </c>
      <c r="J3" s="70" t="s">
        <v>29</v>
      </c>
      <c r="K3" s="68" t="s">
        <v>81</v>
      </c>
      <c r="L3" s="70" t="s">
        <v>29</v>
      </c>
      <c r="M3" s="68" t="s">
        <v>82</v>
      </c>
      <c r="N3" s="70" t="s">
        <v>140</v>
      </c>
      <c r="O3" s="68" t="s">
        <v>82</v>
      </c>
      <c r="P3" s="70" t="s">
        <v>140</v>
      </c>
      <c r="Q3" s="68" t="s">
        <v>82</v>
      </c>
      <c r="R3" s="70" t="s">
        <v>140</v>
      </c>
      <c r="S3" s="68" t="s">
        <v>82</v>
      </c>
      <c r="T3" s="152"/>
    </row>
    <row r="4" spans="1:20" ht="18.95" customHeight="1">
      <c r="C4" s="64" t="s">
        <v>193</v>
      </c>
      <c r="D4" s="71" t="s">
        <v>194</v>
      </c>
      <c r="E4" s="71" t="s">
        <v>195</v>
      </c>
      <c r="F4" s="66" t="s">
        <v>196</v>
      </c>
      <c r="G4" s="89">
        <f t="shared" ref="G4:G13" si="0">MIN(H4,J4,L4,N4,P4)</f>
        <v>563</v>
      </c>
      <c r="H4" s="72"/>
      <c r="I4" s="57"/>
      <c r="J4" s="72">
        <v>563</v>
      </c>
      <c r="K4" s="73" t="s">
        <v>197</v>
      </c>
      <c r="L4" s="72">
        <v>607</v>
      </c>
      <c r="M4" s="73" t="s">
        <v>198</v>
      </c>
      <c r="N4" s="72"/>
      <c r="O4" s="73"/>
      <c r="P4" s="72"/>
      <c r="Q4" s="73"/>
      <c r="R4" s="72"/>
      <c r="S4" s="73"/>
      <c r="T4" s="74"/>
    </row>
    <row r="5" spans="1:20" ht="18.95" customHeight="1">
      <c r="C5" s="64" t="s">
        <v>199</v>
      </c>
      <c r="D5" s="71" t="s">
        <v>194</v>
      </c>
      <c r="E5" s="71" t="s">
        <v>200</v>
      </c>
      <c r="F5" s="66" t="s">
        <v>196</v>
      </c>
      <c r="G5" s="89">
        <f t="shared" si="0"/>
        <v>750</v>
      </c>
      <c r="H5" s="72"/>
      <c r="I5" s="57"/>
      <c r="J5" s="72">
        <v>750</v>
      </c>
      <c r="K5" s="73" t="s">
        <v>197</v>
      </c>
      <c r="L5" s="72">
        <v>860</v>
      </c>
      <c r="M5" s="73" t="s">
        <v>198</v>
      </c>
      <c r="N5" s="72"/>
      <c r="O5" s="73"/>
      <c r="P5" s="72"/>
      <c r="Q5" s="73"/>
      <c r="R5" s="72"/>
      <c r="S5" s="73"/>
      <c r="T5" s="74"/>
    </row>
    <row r="6" spans="1:20" ht="18.95" customHeight="1">
      <c r="C6" s="64" t="s">
        <v>201</v>
      </c>
      <c r="D6" s="74" t="s">
        <v>194</v>
      </c>
      <c r="E6" s="74" t="s">
        <v>202</v>
      </c>
      <c r="F6" s="66" t="s">
        <v>196</v>
      </c>
      <c r="G6" s="89">
        <f t="shared" si="0"/>
        <v>1239</v>
      </c>
      <c r="H6" s="72"/>
      <c r="I6" s="57"/>
      <c r="J6" s="72">
        <v>1250</v>
      </c>
      <c r="K6" s="73" t="s">
        <v>197</v>
      </c>
      <c r="L6" s="72">
        <v>1239</v>
      </c>
      <c r="M6" s="73" t="s">
        <v>198</v>
      </c>
      <c r="N6" s="72"/>
      <c r="O6" s="73"/>
      <c r="P6" s="72"/>
      <c r="Q6" s="73"/>
      <c r="R6" s="72"/>
      <c r="S6" s="73"/>
      <c r="T6" s="74"/>
    </row>
    <row r="7" spans="1:20" ht="18.95" customHeight="1">
      <c r="C7" s="64" t="s">
        <v>203</v>
      </c>
      <c r="D7" s="74" t="s">
        <v>194</v>
      </c>
      <c r="E7" s="74" t="s">
        <v>204</v>
      </c>
      <c r="F7" s="66" t="s">
        <v>196</v>
      </c>
      <c r="G7" s="89">
        <f t="shared" si="0"/>
        <v>1632</v>
      </c>
      <c r="H7" s="72"/>
      <c r="I7" s="57"/>
      <c r="J7" s="72">
        <v>1719</v>
      </c>
      <c r="K7" s="73" t="s">
        <v>197</v>
      </c>
      <c r="L7" s="72">
        <v>1632</v>
      </c>
      <c r="M7" s="73" t="s">
        <v>198</v>
      </c>
      <c r="N7" s="72"/>
      <c r="O7" s="73"/>
      <c r="P7" s="72"/>
      <c r="Q7" s="73"/>
      <c r="R7" s="72"/>
      <c r="S7" s="73"/>
      <c r="T7" s="74"/>
    </row>
    <row r="8" spans="1:20" ht="18.95" customHeight="1">
      <c r="C8" s="64" t="s">
        <v>205</v>
      </c>
      <c r="D8" s="74" t="s">
        <v>194</v>
      </c>
      <c r="E8" s="74" t="s">
        <v>206</v>
      </c>
      <c r="F8" s="66" t="s">
        <v>196</v>
      </c>
      <c r="G8" s="89">
        <f t="shared" si="0"/>
        <v>2188</v>
      </c>
      <c r="H8" s="72"/>
      <c r="I8" s="57"/>
      <c r="J8" s="72">
        <v>2188</v>
      </c>
      <c r="K8" s="73" t="s">
        <v>197</v>
      </c>
      <c r="L8" s="72">
        <v>2214</v>
      </c>
      <c r="M8" s="73" t="s">
        <v>198</v>
      </c>
      <c r="N8" s="72"/>
      <c r="O8" s="73"/>
      <c r="P8" s="72"/>
      <c r="Q8" s="73"/>
      <c r="R8" s="72"/>
      <c r="S8" s="73"/>
      <c r="T8" s="74"/>
    </row>
    <row r="9" spans="1:20" ht="18.95" customHeight="1">
      <c r="C9" s="64" t="s">
        <v>207</v>
      </c>
      <c r="D9" s="74" t="s">
        <v>194</v>
      </c>
      <c r="E9" s="74" t="s">
        <v>208</v>
      </c>
      <c r="F9" s="66" t="s">
        <v>196</v>
      </c>
      <c r="G9" s="89">
        <f t="shared" si="0"/>
        <v>563</v>
      </c>
      <c r="H9" s="72"/>
      <c r="I9" s="57"/>
      <c r="J9" s="72">
        <v>563</v>
      </c>
      <c r="K9" s="73" t="s">
        <v>197</v>
      </c>
      <c r="L9" s="72">
        <v>607</v>
      </c>
      <c r="M9" s="73" t="s">
        <v>198</v>
      </c>
      <c r="N9" s="72"/>
      <c r="O9" s="73"/>
      <c r="P9" s="72"/>
      <c r="Q9" s="73"/>
      <c r="R9" s="72"/>
      <c r="S9" s="73"/>
      <c r="T9" s="74"/>
    </row>
    <row r="10" spans="1:20" ht="18.95" customHeight="1">
      <c r="C10" s="64" t="s">
        <v>209</v>
      </c>
      <c r="D10" s="74" t="s">
        <v>194</v>
      </c>
      <c r="E10" s="74" t="s">
        <v>210</v>
      </c>
      <c r="F10" s="66" t="s">
        <v>196</v>
      </c>
      <c r="G10" s="89">
        <f t="shared" si="0"/>
        <v>750</v>
      </c>
      <c r="H10" s="72"/>
      <c r="I10" s="57"/>
      <c r="J10" s="72">
        <v>750</v>
      </c>
      <c r="K10" s="73" t="s">
        <v>197</v>
      </c>
      <c r="L10" s="72">
        <v>860</v>
      </c>
      <c r="M10" s="73" t="s">
        <v>198</v>
      </c>
      <c r="N10" s="72"/>
      <c r="O10" s="73"/>
      <c r="P10" s="72"/>
      <c r="Q10" s="73"/>
      <c r="R10" s="72"/>
      <c r="S10" s="73"/>
      <c r="T10" s="74"/>
    </row>
    <row r="11" spans="1:20" ht="18.95" customHeight="1">
      <c r="C11" s="64" t="s">
        <v>211</v>
      </c>
      <c r="D11" s="74" t="s">
        <v>212</v>
      </c>
      <c r="E11" s="74" t="s">
        <v>213</v>
      </c>
      <c r="F11" s="66" t="s">
        <v>196</v>
      </c>
      <c r="G11" s="89">
        <f t="shared" si="0"/>
        <v>27000</v>
      </c>
      <c r="H11" s="72"/>
      <c r="I11" s="57"/>
      <c r="J11" s="72">
        <v>27000</v>
      </c>
      <c r="K11" s="73" t="s">
        <v>214</v>
      </c>
      <c r="L11" s="72">
        <v>27000</v>
      </c>
      <c r="M11" s="73" t="s">
        <v>215</v>
      </c>
      <c r="N11" s="72"/>
      <c r="O11" s="73"/>
      <c r="P11" s="72"/>
      <c r="Q11" s="73"/>
      <c r="R11" s="72"/>
      <c r="S11" s="73"/>
      <c r="T11" s="74"/>
    </row>
    <row r="12" spans="1:20" ht="18.95" customHeight="1">
      <c r="C12" s="64" t="s">
        <v>216</v>
      </c>
      <c r="D12" s="74" t="s">
        <v>217</v>
      </c>
      <c r="E12" s="74" t="s">
        <v>218</v>
      </c>
      <c r="F12" s="66" t="s">
        <v>196</v>
      </c>
      <c r="G12" s="89">
        <f t="shared" si="0"/>
        <v>1612</v>
      </c>
      <c r="H12" s="72"/>
      <c r="I12" s="57"/>
      <c r="J12" s="72">
        <v>1658</v>
      </c>
      <c r="K12" s="73" t="s">
        <v>219</v>
      </c>
      <c r="L12" s="87">
        <v>1612</v>
      </c>
      <c r="M12" s="73" t="s">
        <v>220</v>
      </c>
      <c r="N12" s="72"/>
      <c r="O12" s="73"/>
      <c r="P12" s="72"/>
      <c r="Q12" s="73"/>
      <c r="R12" s="72"/>
      <c r="S12" s="73"/>
      <c r="T12" s="74"/>
    </row>
    <row r="13" spans="1:20" ht="18.95" customHeight="1">
      <c r="C13" s="64" t="s">
        <v>221</v>
      </c>
      <c r="D13" s="74" t="s">
        <v>222</v>
      </c>
      <c r="E13" s="74" t="s">
        <v>223</v>
      </c>
      <c r="F13" s="66" t="s">
        <v>196</v>
      </c>
      <c r="G13" s="105">
        <f t="shared" si="0"/>
        <v>2717</v>
      </c>
      <c r="H13" s="72"/>
      <c r="I13" s="57"/>
      <c r="J13" s="72"/>
      <c r="K13" s="73"/>
      <c r="L13" s="87">
        <v>2717</v>
      </c>
      <c r="M13" s="73" t="s">
        <v>220</v>
      </c>
      <c r="N13" s="72"/>
      <c r="O13" s="73"/>
      <c r="P13" s="72"/>
      <c r="Q13" s="73"/>
      <c r="R13" s="72"/>
      <c r="S13" s="73"/>
      <c r="T13" s="74"/>
    </row>
    <row r="14" spans="1:20" ht="18.95" customHeight="1">
      <c r="C14" s="64" t="s">
        <v>224</v>
      </c>
      <c r="D14" s="74" t="s">
        <v>222</v>
      </c>
      <c r="E14" s="74" t="s">
        <v>225</v>
      </c>
      <c r="F14" s="66" t="s">
        <v>196</v>
      </c>
      <c r="G14" s="89">
        <f t="shared" ref="G14:G41" si="1">MIN(H14,J14,L14,N14,P14)</f>
        <v>3579</v>
      </c>
      <c r="H14" s="72"/>
      <c r="I14" s="57"/>
      <c r="J14" s="72">
        <v>3579</v>
      </c>
      <c r="K14" s="73" t="s">
        <v>219</v>
      </c>
      <c r="L14" s="87">
        <v>3710</v>
      </c>
      <c r="M14" s="73" t="s">
        <v>220</v>
      </c>
      <c r="N14" s="72"/>
      <c r="O14" s="73"/>
      <c r="P14" s="72"/>
      <c r="Q14" s="73"/>
      <c r="R14" s="72"/>
      <c r="S14" s="73"/>
      <c r="T14" s="74"/>
    </row>
    <row r="15" spans="1:20" ht="18.95" customHeight="1">
      <c r="C15" s="64" t="s">
        <v>226</v>
      </c>
      <c r="D15" s="74" t="s">
        <v>227</v>
      </c>
      <c r="E15" s="74" t="s">
        <v>228</v>
      </c>
      <c r="F15" s="66" t="s">
        <v>196</v>
      </c>
      <c r="G15" s="89">
        <f t="shared" si="1"/>
        <v>1859</v>
      </c>
      <c r="H15" s="72"/>
      <c r="I15" s="57"/>
      <c r="J15" s="72">
        <v>2002</v>
      </c>
      <c r="K15" s="73" t="s">
        <v>229</v>
      </c>
      <c r="L15" s="72">
        <v>1859</v>
      </c>
      <c r="M15" s="73" t="s">
        <v>230</v>
      </c>
      <c r="N15" s="72"/>
      <c r="O15" s="73"/>
      <c r="P15" s="72"/>
      <c r="Q15" s="73"/>
      <c r="R15" s="72"/>
      <c r="S15" s="73"/>
      <c r="T15" s="74"/>
    </row>
    <row r="16" spans="1:20" ht="18.95" customHeight="1">
      <c r="C16" s="64" t="s">
        <v>231</v>
      </c>
      <c r="D16" s="74" t="s">
        <v>232</v>
      </c>
      <c r="E16" s="74" t="s">
        <v>233</v>
      </c>
      <c r="F16" s="66" t="s">
        <v>196</v>
      </c>
      <c r="G16" s="89">
        <f t="shared" si="1"/>
        <v>2907</v>
      </c>
      <c r="H16" s="72"/>
      <c r="I16" s="57"/>
      <c r="J16" s="72">
        <v>3561</v>
      </c>
      <c r="K16" s="73" t="s">
        <v>229</v>
      </c>
      <c r="L16" s="72">
        <v>2907</v>
      </c>
      <c r="M16" s="73" t="s">
        <v>234</v>
      </c>
      <c r="N16" s="72"/>
      <c r="O16" s="73"/>
      <c r="P16" s="72"/>
      <c r="Q16" s="73"/>
      <c r="R16" s="72"/>
      <c r="S16" s="73"/>
      <c r="T16" s="74"/>
    </row>
    <row r="17" spans="3:20" ht="18.95" customHeight="1">
      <c r="C17" s="64" t="s">
        <v>235</v>
      </c>
      <c r="D17" s="74" t="s">
        <v>232</v>
      </c>
      <c r="E17" s="74" t="s">
        <v>236</v>
      </c>
      <c r="F17" s="66" t="s">
        <v>196</v>
      </c>
      <c r="G17" s="89">
        <f t="shared" si="1"/>
        <v>4423</v>
      </c>
      <c r="H17" s="72"/>
      <c r="I17" s="57"/>
      <c r="J17" s="72">
        <v>5417</v>
      </c>
      <c r="K17" s="73" t="s">
        <v>229</v>
      </c>
      <c r="L17" s="72">
        <v>4423</v>
      </c>
      <c r="M17" s="73" t="s">
        <v>234</v>
      </c>
      <c r="N17" s="72"/>
      <c r="O17" s="73"/>
      <c r="P17" s="72"/>
      <c r="Q17" s="73"/>
      <c r="R17" s="72"/>
      <c r="S17" s="73"/>
      <c r="T17" s="74"/>
    </row>
    <row r="18" spans="3:20" ht="18.95" customHeight="1">
      <c r="C18" s="64" t="s">
        <v>237</v>
      </c>
      <c r="D18" s="74" t="s">
        <v>232</v>
      </c>
      <c r="E18" s="74" t="s">
        <v>238</v>
      </c>
      <c r="F18" s="66" t="s">
        <v>196</v>
      </c>
      <c r="G18" s="89">
        <f t="shared" si="1"/>
        <v>6915</v>
      </c>
      <c r="H18" s="72"/>
      <c r="I18" s="57"/>
      <c r="J18" s="72">
        <v>7689</v>
      </c>
      <c r="K18" s="73" t="s">
        <v>229</v>
      </c>
      <c r="L18" s="72">
        <v>6915</v>
      </c>
      <c r="M18" s="73" t="s">
        <v>234</v>
      </c>
      <c r="N18" s="72"/>
      <c r="O18" s="73"/>
      <c r="P18" s="72"/>
      <c r="Q18" s="73"/>
      <c r="R18" s="72"/>
      <c r="S18" s="73"/>
      <c r="T18" s="74"/>
    </row>
    <row r="19" spans="3:20" ht="18.95" customHeight="1">
      <c r="C19" s="64" t="s">
        <v>239</v>
      </c>
      <c r="D19" s="74" t="s">
        <v>232</v>
      </c>
      <c r="E19" s="74" t="s">
        <v>240</v>
      </c>
      <c r="F19" s="66" t="s">
        <v>196</v>
      </c>
      <c r="G19" s="89">
        <f t="shared" si="1"/>
        <v>10580</v>
      </c>
      <c r="H19" s="72"/>
      <c r="I19" s="57"/>
      <c r="J19" s="72">
        <v>11765</v>
      </c>
      <c r="K19" s="73" t="s">
        <v>229</v>
      </c>
      <c r="L19" s="72">
        <v>10580</v>
      </c>
      <c r="M19" s="73" t="s">
        <v>234</v>
      </c>
      <c r="N19" s="72"/>
      <c r="O19" s="73"/>
      <c r="P19" s="72"/>
      <c r="Q19" s="73"/>
      <c r="R19" s="72"/>
      <c r="S19" s="73"/>
      <c r="T19" s="74"/>
    </row>
    <row r="20" spans="3:20" ht="18.95" customHeight="1">
      <c r="C20" s="64" t="s">
        <v>241</v>
      </c>
      <c r="D20" s="74" t="s">
        <v>232</v>
      </c>
      <c r="E20" s="74" t="s">
        <v>242</v>
      </c>
      <c r="F20" s="66" t="s">
        <v>196</v>
      </c>
      <c r="G20" s="89">
        <f t="shared" si="1"/>
        <v>14046</v>
      </c>
      <c r="H20" s="72"/>
      <c r="I20" s="57"/>
      <c r="J20" s="72">
        <v>15619</v>
      </c>
      <c r="K20" s="73" t="s">
        <v>229</v>
      </c>
      <c r="L20" s="72">
        <v>14046</v>
      </c>
      <c r="M20" s="73" t="s">
        <v>234</v>
      </c>
      <c r="N20" s="72"/>
      <c r="O20" s="73"/>
      <c r="P20" s="72"/>
      <c r="Q20" s="73"/>
      <c r="R20" s="72"/>
      <c r="S20" s="73"/>
      <c r="T20" s="74"/>
    </row>
    <row r="21" spans="3:20" ht="18.95" customHeight="1">
      <c r="C21" s="64" t="s">
        <v>243</v>
      </c>
      <c r="D21" s="74" t="s">
        <v>227</v>
      </c>
      <c r="E21" s="74" t="s">
        <v>244</v>
      </c>
      <c r="F21" s="66" t="s">
        <v>196</v>
      </c>
      <c r="G21" s="89">
        <f t="shared" si="1"/>
        <v>4722</v>
      </c>
      <c r="H21" s="72"/>
      <c r="I21" s="57"/>
      <c r="J21" s="72">
        <v>5086</v>
      </c>
      <c r="K21" s="73" t="s">
        <v>229</v>
      </c>
      <c r="L21" s="72">
        <v>4722</v>
      </c>
      <c r="M21" s="73" t="s">
        <v>230</v>
      </c>
      <c r="N21" s="72"/>
      <c r="O21" s="73"/>
      <c r="P21" s="72"/>
      <c r="Q21" s="73"/>
      <c r="R21" s="72"/>
      <c r="S21" s="73"/>
      <c r="T21" s="74"/>
    </row>
    <row r="22" spans="3:20" ht="18.95" customHeight="1">
      <c r="C22" s="64" t="s">
        <v>245</v>
      </c>
      <c r="D22" s="74" t="s">
        <v>232</v>
      </c>
      <c r="E22" s="74" t="s">
        <v>246</v>
      </c>
      <c r="F22" s="66" t="s">
        <v>196</v>
      </c>
      <c r="G22" s="89">
        <f t="shared" si="1"/>
        <v>5058</v>
      </c>
      <c r="H22" s="72"/>
      <c r="I22" s="57"/>
      <c r="J22" s="72">
        <v>6193</v>
      </c>
      <c r="K22" s="73" t="s">
        <v>229</v>
      </c>
      <c r="L22" s="72">
        <v>5058</v>
      </c>
      <c r="M22" s="73" t="s">
        <v>234</v>
      </c>
      <c r="N22" s="72"/>
      <c r="O22" s="73"/>
      <c r="P22" s="72"/>
      <c r="Q22" s="73"/>
      <c r="R22" s="72"/>
      <c r="S22" s="73"/>
      <c r="T22" s="74"/>
    </row>
    <row r="23" spans="3:20" ht="18.95" customHeight="1">
      <c r="C23" s="64" t="s">
        <v>247</v>
      </c>
      <c r="D23" s="74" t="s">
        <v>232</v>
      </c>
      <c r="E23" s="74" t="s">
        <v>248</v>
      </c>
      <c r="F23" s="66" t="s">
        <v>196</v>
      </c>
      <c r="G23" s="89">
        <f t="shared" si="1"/>
        <v>8027</v>
      </c>
      <c r="H23" s="72"/>
      <c r="I23" s="57"/>
      <c r="J23" s="72">
        <v>9830</v>
      </c>
      <c r="K23" s="73" t="s">
        <v>229</v>
      </c>
      <c r="L23" s="72">
        <v>8027</v>
      </c>
      <c r="M23" s="73" t="s">
        <v>234</v>
      </c>
      <c r="N23" s="72"/>
      <c r="O23" s="73"/>
      <c r="P23" s="72"/>
      <c r="Q23" s="73"/>
      <c r="R23" s="72"/>
      <c r="S23" s="73"/>
      <c r="T23" s="74"/>
    </row>
    <row r="24" spans="3:20" ht="18.95" customHeight="1">
      <c r="C24" s="64" t="s">
        <v>249</v>
      </c>
      <c r="D24" s="74" t="s">
        <v>232</v>
      </c>
      <c r="E24" s="74" t="s">
        <v>250</v>
      </c>
      <c r="F24" s="66" t="s">
        <v>196</v>
      </c>
      <c r="G24" s="89">
        <f t="shared" si="1"/>
        <v>19933</v>
      </c>
      <c r="H24" s="72"/>
      <c r="I24" s="57"/>
      <c r="J24" s="72">
        <v>22165</v>
      </c>
      <c r="K24" s="73" t="s">
        <v>229</v>
      </c>
      <c r="L24" s="72">
        <v>19933</v>
      </c>
      <c r="M24" s="73" t="s">
        <v>234</v>
      </c>
      <c r="N24" s="72"/>
      <c r="O24" s="73"/>
      <c r="P24" s="72"/>
      <c r="Q24" s="73"/>
      <c r="R24" s="72"/>
      <c r="S24" s="73"/>
      <c r="T24" s="74"/>
    </row>
    <row r="25" spans="3:20" ht="18.95" customHeight="1">
      <c r="C25" s="64" t="s">
        <v>251</v>
      </c>
      <c r="D25" s="74" t="s">
        <v>252</v>
      </c>
      <c r="E25" s="74" t="s">
        <v>253</v>
      </c>
      <c r="F25" s="66" t="s">
        <v>196</v>
      </c>
      <c r="G25" s="89">
        <f t="shared" si="1"/>
        <v>3309</v>
      </c>
      <c r="H25" s="72"/>
      <c r="I25" s="57"/>
      <c r="J25" s="72">
        <v>3309</v>
      </c>
      <c r="K25" s="73" t="s">
        <v>254</v>
      </c>
      <c r="L25" s="72">
        <v>4340</v>
      </c>
      <c r="M25" s="73" t="s">
        <v>255</v>
      </c>
      <c r="N25" s="72"/>
      <c r="O25" s="73"/>
      <c r="P25" s="72"/>
      <c r="Q25" s="73"/>
      <c r="R25" s="72"/>
      <c r="S25" s="73"/>
      <c r="T25" s="74"/>
    </row>
    <row r="26" spans="3:20" ht="18.95" customHeight="1">
      <c r="C26" s="64" t="s">
        <v>256</v>
      </c>
      <c r="D26" s="74" t="s">
        <v>257</v>
      </c>
      <c r="E26" s="74" t="s">
        <v>258</v>
      </c>
      <c r="F26" s="66" t="s">
        <v>196</v>
      </c>
      <c r="G26" s="89">
        <f t="shared" si="1"/>
        <v>1000</v>
      </c>
      <c r="H26" s="72"/>
      <c r="I26" s="57"/>
      <c r="J26" s="72"/>
      <c r="K26" s="73"/>
      <c r="L26" s="90">
        <v>1457</v>
      </c>
      <c r="M26" s="91" t="s">
        <v>1200</v>
      </c>
      <c r="N26" s="90">
        <v>1000</v>
      </c>
      <c r="O26" s="91" t="s">
        <v>1201</v>
      </c>
      <c r="P26" s="72"/>
      <c r="Q26" s="73"/>
      <c r="R26" s="72"/>
      <c r="S26" s="73"/>
      <c r="T26" s="74"/>
    </row>
    <row r="27" spans="3:20" ht="18.95" customHeight="1">
      <c r="C27" s="64" t="s">
        <v>259</v>
      </c>
      <c r="D27" s="74" t="s">
        <v>260</v>
      </c>
      <c r="E27" s="74" t="s">
        <v>261</v>
      </c>
      <c r="F27" s="66" t="s">
        <v>262</v>
      </c>
      <c r="G27" s="89">
        <f t="shared" si="1"/>
        <v>200000</v>
      </c>
      <c r="H27" s="72"/>
      <c r="I27" s="57"/>
      <c r="J27" s="72"/>
      <c r="K27" s="73"/>
      <c r="L27" s="90">
        <v>250000</v>
      </c>
      <c r="M27" s="91" t="s">
        <v>1202</v>
      </c>
      <c r="N27" s="90">
        <v>200000</v>
      </c>
      <c r="O27" s="91" t="s">
        <v>1203</v>
      </c>
      <c r="P27" s="72"/>
      <c r="Q27" s="73"/>
      <c r="R27" s="72"/>
      <c r="S27" s="73"/>
      <c r="T27" s="74"/>
    </row>
    <row r="28" spans="3:20" ht="18.95" customHeight="1">
      <c r="C28" s="64" t="s">
        <v>263</v>
      </c>
      <c r="D28" s="74" t="s">
        <v>264</v>
      </c>
      <c r="E28" s="74" t="s">
        <v>265</v>
      </c>
      <c r="F28" s="66" t="s">
        <v>266</v>
      </c>
      <c r="G28" s="89">
        <f t="shared" si="1"/>
        <v>5780</v>
      </c>
      <c r="H28" s="72"/>
      <c r="I28" s="57"/>
      <c r="J28" s="72"/>
      <c r="K28" s="73"/>
      <c r="L28" s="90">
        <v>6500</v>
      </c>
      <c r="M28" s="91" t="s">
        <v>1204</v>
      </c>
      <c r="N28" s="90">
        <v>5780</v>
      </c>
      <c r="O28" s="91" t="s">
        <v>1205</v>
      </c>
      <c r="P28" s="72"/>
      <c r="Q28" s="73"/>
      <c r="R28" s="72"/>
      <c r="S28" s="73"/>
      <c r="T28" s="74"/>
    </row>
    <row r="29" spans="3:20" ht="18.95" customHeight="1">
      <c r="C29" s="64" t="s">
        <v>267</v>
      </c>
      <c r="D29" s="74" t="s">
        <v>268</v>
      </c>
      <c r="E29" s="74" t="s">
        <v>269</v>
      </c>
      <c r="F29" s="66" t="s">
        <v>266</v>
      </c>
      <c r="G29" s="89">
        <f t="shared" si="1"/>
        <v>500</v>
      </c>
      <c r="H29" s="72"/>
      <c r="I29" s="57"/>
      <c r="J29" s="72"/>
      <c r="K29" s="73"/>
      <c r="L29" s="90">
        <v>600</v>
      </c>
      <c r="M29" s="91" t="s">
        <v>1206</v>
      </c>
      <c r="N29" s="90">
        <v>500</v>
      </c>
      <c r="O29" s="91" t="s">
        <v>1205</v>
      </c>
      <c r="P29" s="72"/>
      <c r="Q29" s="73"/>
      <c r="R29" s="72"/>
      <c r="S29" s="73"/>
      <c r="T29" s="74"/>
    </row>
    <row r="30" spans="3:20" ht="18.95" customHeight="1">
      <c r="C30" s="64" t="s">
        <v>270</v>
      </c>
      <c r="D30" s="74" t="s">
        <v>271</v>
      </c>
      <c r="E30" s="74" t="s">
        <v>272</v>
      </c>
      <c r="F30" s="66" t="s">
        <v>196</v>
      </c>
      <c r="G30" s="89">
        <f t="shared" si="1"/>
        <v>180</v>
      </c>
      <c r="H30" s="72"/>
      <c r="I30" s="57"/>
      <c r="J30" s="72"/>
      <c r="K30" s="73"/>
      <c r="L30" s="92"/>
      <c r="M30" s="93"/>
      <c r="N30" s="92">
        <v>180</v>
      </c>
      <c r="O30" s="93" t="s">
        <v>1207</v>
      </c>
      <c r="P30" s="72"/>
      <c r="Q30" s="73"/>
      <c r="R30" s="72"/>
      <c r="S30" s="73"/>
      <c r="T30" s="74"/>
    </row>
    <row r="31" spans="3:20" ht="18.95" customHeight="1">
      <c r="C31" s="64" t="s">
        <v>273</v>
      </c>
      <c r="D31" s="74" t="s">
        <v>274</v>
      </c>
      <c r="E31" s="74" t="s">
        <v>275</v>
      </c>
      <c r="F31" s="66" t="s">
        <v>266</v>
      </c>
      <c r="G31" s="89">
        <f t="shared" si="1"/>
        <v>200</v>
      </c>
      <c r="H31" s="72"/>
      <c r="I31" s="57"/>
      <c r="J31" s="72">
        <v>200</v>
      </c>
      <c r="K31" s="73" t="s">
        <v>276</v>
      </c>
      <c r="L31" s="72">
        <v>528</v>
      </c>
      <c r="M31" s="73" t="s">
        <v>277</v>
      </c>
      <c r="N31" s="72"/>
      <c r="O31" s="73"/>
      <c r="P31" s="72"/>
      <c r="Q31" s="73"/>
      <c r="R31" s="72"/>
      <c r="S31" s="73"/>
      <c r="T31" s="74"/>
    </row>
    <row r="32" spans="3:20" ht="18.95" customHeight="1">
      <c r="C32" s="64" t="s">
        <v>278</v>
      </c>
      <c r="D32" s="74" t="s">
        <v>274</v>
      </c>
      <c r="E32" s="74" t="s">
        <v>279</v>
      </c>
      <c r="F32" s="66" t="s">
        <v>266</v>
      </c>
      <c r="G32" s="89">
        <f t="shared" si="1"/>
        <v>260</v>
      </c>
      <c r="H32" s="72"/>
      <c r="I32" s="57"/>
      <c r="J32" s="72">
        <v>260</v>
      </c>
      <c r="K32" s="73" t="s">
        <v>276</v>
      </c>
      <c r="L32" s="72">
        <v>647</v>
      </c>
      <c r="M32" s="73" t="s">
        <v>277</v>
      </c>
      <c r="N32" s="72"/>
      <c r="O32" s="73"/>
      <c r="P32" s="72"/>
      <c r="Q32" s="73"/>
      <c r="R32" s="72"/>
      <c r="S32" s="73"/>
      <c r="T32" s="74"/>
    </row>
    <row r="33" spans="3:20" ht="18.95" customHeight="1">
      <c r="C33" s="64" t="s">
        <v>280</v>
      </c>
      <c r="D33" s="74" t="s">
        <v>274</v>
      </c>
      <c r="E33" s="74" t="s">
        <v>281</v>
      </c>
      <c r="F33" s="66" t="s">
        <v>266</v>
      </c>
      <c r="G33" s="89">
        <f t="shared" si="1"/>
        <v>316</v>
      </c>
      <c r="H33" s="72"/>
      <c r="I33" s="57"/>
      <c r="J33" s="72">
        <v>316</v>
      </c>
      <c r="K33" s="73" t="s">
        <v>276</v>
      </c>
      <c r="L33" s="72">
        <v>822</v>
      </c>
      <c r="M33" s="73" t="s">
        <v>277</v>
      </c>
      <c r="N33" s="72"/>
      <c r="O33" s="73"/>
      <c r="P33" s="72"/>
      <c r="Q33" s="73"/>
      <c r="R33" s="72"/>
      <c r="S33" s="73"/>
      <c r="T33" s="74"/>
    </row>
    <row r="34" spans="3:20" ht="18.95" customHeight="1">
      <c r="C34" s="64" t="s">
        <v>282</v>
      </c>
      <c r="D34" s="74" t="s">
        <v>283</v>
      </c>
      <c r="E34" s="74" t="s">
        <v>284</v>
      </c>
      <c r="F34" s="66" t="s">
        <v>285</v>
      </c>
      <c r="G34" s="89">
        <f t="shared" si="1"/>
        <v>110000</v>
      </c>
      <c r="H34" s="72"/>
      <c r="I34" s="57"/>
      <c r="J34" s="72"/>
      <c r="K34" s="73"/>
      <c r="L34" s="72">
        <v>110000</v>
      </c>
      <c r="M34" s="73" t="s">
        <v>286</v>
      </c>
      <c r="N34" s="72"/>
      <c r="O34" s="73"/>
      <c r="P34" s="72"/>
      <c r="Q34" s="73"/>
      <c r="R34" s="72"/>
      <c r="S34" s="73"/>
      <c r="T34" s="74"/>
    </row>
    <row r="35" spans="3:20" ht="18.95" customHeight="1">
      <c r="C35" s="64" t="s">
        <v>287</v>
      </c>
      <c r="D35" s="74" t="s">
        <v>288</v>
      </c>
      <c r="E35" s="74" t="s">
        <v>289</v>
      </c>
      <c r="F35" s="66" t="s">
        <v>290</v>
      </c>
      <c r="G35" s="89">
        <f t="shared" si="1"/>
        <v>370000</v>
      </c>
      <c r="H35" s="72"/>
      <c r="I35" s="57"/>
      <c r="J35" s="72"/>
      <c r="K35" s="73"/>
      <c r="L35" s="90">
        <v>370000</v>
      </c>
      <c r="M35" s="91" t="s">
        <v>1208</v>
      </c>
      <c r="N35" s="72"/>
      <c r="O35" s="73"/>
      <c r="P35" s="72"/>
      <c r="Q35" s="73"/>
      <c r="R35" s="72"/>
      <c r="S35" s="73"/>
      <c r="T35" s="74"/>
    </row>
    <row r="36" spans="3:20" ht="18.95" customHeight="1">
      <c r="C36" s="64" t="s">
        <v>291</v>
      </c>
      <c r="D36" s="74" t="s">
        <v>292</v>
      </c>
      <c r="E36" s="74" t="s">
        <v>293</v>
      </c>
      <c r="F36" s="66" t="s">
        <v>294</v>
      </c>
      <c r="G36" s="89">
        <f t="shared" si="1"/>
        <v>1326000</v>
      </c>
      <c r="H36" s="72"/>
      <c r="I36" s="57"/>
      <c r="J36" s="72"/>
      <c r="K36" s="73"/>
      <c r="L36" s="72">
        <v>1326000</v>
      </c>
      <c r="M36" s="73"/>
      <c r="N36" s="72"/>
      <c r="O36" s="73"/>
      <c r="P36" s="72"/>
      <c r="Q36" s="73"/>
      <c r="R36" s="72"/>
      <c r="S36" s="73"/>
      <c r="T36" s="74"/>
    </row>
    <row r="37" spans="3:20" ht="18.95" customHeight="1">
      <c r="C37" s="64" t="s">
        <v>295</v>
      </c>
      <c r="D37" s="74" t="s">
        <v>296</v>
      </c>
      <c r="E37" s="74" t="s">
        <v>297</v>
      </c>
      <c r="F37" s="66" t="s">
        <v>298</v>
      </c>
      <c r="G37" s="89">
        <f t="shared" si="1"/>
        <v>10900</v>
      </c>
      <c r="H37" s="72"/>
      <c r="I37" s="57"/>
      <c r="J37" s="72"/>
      <c r="K37" s="73"/>
      <c r="L37" s="72">
        <v>10900</v>
      </c>
      <c r="M37" s="73" t="s">
        <v>299</v>
      </c>
      <c r="N37" s="72"/>
      <c r="O37" s="73"/>
      <c r="P37" s="72"/>
      <c r="Q37" s="73"/>
      <c r="R37" s="72"/>
      <c r="S37" s="73"/>
      <c r="T37" s="74"/>
    </row>
    <row r="38" spans="3:20" ht="18.95" customHeight="1">
      <c r="C38" s="64" t="s">
        <v>300</v>
      </c>
      <c r="D38" s="74" t="s">
        <v>301</v>
      </c>
      <c r="E38" s="74" t="s">
        <v>302</v>
      </c>
      <c r="F38" s="66" t="s">
        <v>294</v>
      </c>
      <c r="G38" s="89">
        <f t="shared" si="1"/>
        <v>101280</v>
      </c>
      <c r="H38" s="72"/>
      <c r="I38" s="57"/>
      <c r="J38" s="72"/>
      <c r="K38" s="73"/>
      <c r="L38" s="72"/>
      <c r="M38" s="73"/>
      <c r="N38" s="90">
        <v>101280</v>
      </c>
      <c r="O38" s="91" t="s">
        <v>1209</v>
      </c>
      <c r="P38" s="72"/>
      <c r="Q38" s="73"/>
      <c r="R38" s="72"/>
      <c r="S38" s="73"/>
      <c r="T38" s="74"/>
    </row>
    <row r="39" spans="3:20" ht="18.95" customHeight="1">
      <c r="C39" s="64" t="s">
        <v>303</v>
      </c>
      <c r="D39" s="74" t="s">
        <v>304</v>
      </c>
      <c r="E39" s="74" t="s">
        <v>305</v>
      </c>
      <c r="F39" s="66" t="s">
        <v>306</v>
      </c>
      <c r="G39" s="89">
        <f t="shared" si="1"/>
        <v>35090</v>
      </c>
      <c r="H39" s="72"/>
      <c r="I39" s="57"/>
      <c r="J39" s="72"/>
      <c r="K39" s="73"/>
      <c r="L39" s="72">
        <v>35090</v>
      </c>
      <c r="M39" s="73" t="s">
        <v>307</v>
      </c>
      <c r="N39" s="72"/>
      <c r="O39" s="73"/>
      <c r="P39" s="72"/>
      <c r="Q39" s="73"/>
      <c r="R39" s="72"/>
      <c r="S39" s="73"/>
      <c r="T39" s="74"/>
    </row>
    <row r="40" spans="3:20" ht="18.95" customHeight="1">
      <c r="C40" s="64" t="s">
        <v>308</v>
      </c>
      <c r="D40" s="74" t="s">
        <v>309</v>
      </c>
      <c r="E40" s="74"/>
      <c r="F40" s="66" t="s">
        <v>306</v>
      </c>
      <c r="G40" s="89">
        <f t="shared" si="1"/>
        <v>2424</v>
      </c>
      <c r="H40" s="72"/>
      <c r="I40" s="57"/>
      <c r="J40" s="72"/>
      <c r="K40" s="73"/>
      <c r="L40" s="72">
        <v>2424</v>
      </c>
      <c r="M40" s="73" t="s">
        <v>310</v>
      </c>
      <c r="N40" s="72"/>
      <c r="O40" s="73"/>
      <c r="P40" s="72"/>
      <c r="Q40" s="73"/>
      <c r="R40" s="72"/>
      <c r="S40" s="73"/>
      <c r="T40" s="74"/>
    </row>
    <row r="41" spans="3:20" ht="18.95" customHeight="1">
      <c r="C41" s="64" t="s">
        <v>311</v>
      </c>
      <c r="D41" s="74" t="s">
        <v>312</v>
      </c>
      <c r="E41" s="74"/>
      <c r="F41" s="66" t="s">
        <v>266</v>
      </c>
      <c r="G41" s="89">
        <f t="shared" si="1"/>
        <v>35000</v>
      </c>
      <c r="H41" s="72"/>
      <c r="I41" s="57"/>
      <c r="J41" s="72"/>
      <c r="K41" s="73"/>
      <c r="L41" s="90">
        <v>35000</v>
      </c>
      <c r="M41" s="91" t="s">
        <v>1202</v>
      </c>
      <c r="N41" s="90">
        <v>65000</v>
      </c>
      <c r="O41" s="91" t="s">
        <v>1203</v>
      </c>
      <c r="P41" s="72"/>
      <c r="Q41" s="73"/>
      <c r="R41" s="72"/>
      <c r="S41" s="73"/>
      <c r="T41" s="74"/>
    </row>
    <row r="42" spans="3:20" ht="18.95" customHeight="1">
      <c r="C42" s="64" t="s">
        <v>313</v>
      </c>
      <c r="D42" s="74" t="s">
        <v>314</v>
      </c>
      <c r="E42" s="74" t="s">
        <v>315</v>
      </c>
      <c r="F42" s="66" t="s">
        <v>316</v>
      </c>
      <c r="G42" s="105">
        <f t="shared" ref="G42:G43" si="2">MIN(H42,J42,L42,N42,P42)</f>
        <v>35000</v>
      </c>
      <c r="H42" s="72"/>
      <c r="I42" s="57"/>
      <c r="J42" s="72"/>
      <c r="K42" s="73"/>
      <c r="L42" s="87">
        <v>35000</v>
      </c>
      <c r="M42" s="88" t="s">
        <v>1224</v>
      </c>
      <c r="N42" s="72"/>
      <c r="O42" s="73"/>
      <c r="P42" s="72"/>
      <c r="Q42" s="73"/>
      <c r="R42" s="72"/>
      <c r="S42" s="73"/>
      <c r="T42" s="74"/>
    </row>
    <row r="43" spans="3:20" ht="18.95" customHeight="1">
      <c r="C43" s="64" t="s">
        <v>317</v>
      </c>
      <c r="D43" s="74" t="s">
        <v>318</v>
      </c>
      <c r="E43" s="74" t="s">
        <v>319</v>
      </c>
      <c r="F43" s="66" t="s">
        <v>266</v>
      </c>
      <c r="G43" s="89">
        <f t="shared" si="2"/>
        <v>350000</v>
      </c>
      <c r="H43" s="72"/>
      <c r="I43" s="57"/>
      <c r="J43" s="72"/>
      <c r="K43" s="73"/>
      <c r="L43" s="90">
        <v>430000</v>
      </c>
      <c r="M43" s="91" t="s">
        <v>1210</v>
      </c>
      <c r="N43" s="90">
        <v>350000</v>
      </c>
      <c r="O43" s="91" t="s">
        <v>1203</v>
      </c>
      <c r="P43" s="72"/>
      <c r="Q43" s="73"/>
      <c r="R43" s="72"/>
      <c r="S43" s="73"/>
      <c r="T43" s="74"/>
    </row>
    <row r="44" spans="3:20" ht="18.95" customHeight="1">
      <c r="C44" s="64" t="s">
        <v>320</v>
      </c>
      <c r="D44" s="74" t="s">
        <v>321</v>
      </c>
      <c r="E44" s="74" t="s">
        <v>322</v>
      </c>
      <c r="F44" s="66" t="s">
        <v>262</v>
      </c>
      <c r="G44" s="58"/>
      <c r="H44" s="72"/>
      <c r="I44" s="57"/>
      <c r="J44" s="72"/>
      <c r="K44" s="73"/>
      <c r="L44" s="72"/>
      <c r="M44" s="73"/>
      <c r="N44" s="72"/>
      <c r="O44" s="73"/>
      <c r="P44" s="72"/>
      <c r="Q44" s="73"/>
      <c r="R44" s="72"/>
      <c r="S44" s="73"/>
      <c r="T44" s="74"/>
    </row>
    <row r="45" spans="3:20" ht="18.95" customHeight="1">
      <c r="C45" s="64" t="s">
        <v>323</v>
      </c>
      <c r="D45" s="74" t="s">
        <v>324</v>
      </c>
      <c r="E45" s="74" t="s">
        <v>325</v>
      </c>
      <c r="F45" s="66" t="s">
        <v>266</v>
      </c>
      <c r="G45" s="100">
        <f t="shared" ref="G45" si="3">MIN(H45,J45,L45,N45,P45)</f>
        <v>5200000</v>
      </c>
      <c r="H45" s="72"/>
      <c r="I45" s="57"/>
      <c r="J45" s="72"/>
      <c r="K45" s="73"/>
      <c r="L45" s="101">
        <v>5200000</v>
      </c>
      <c r="M45" s="102" t="s">
        <v>1215</v>
      </c>
      <c r="N45" s="72"/>
      <c r="O45" s="73"/>
      <c r="P45" s="72"/>
      <c r="Q45" s="73"/>
      <c r="R45" s="72"/>
      <c r="S45" s="73"/>
      <c r="T45" s="74"/>
    </row>
    <row r="46" spans="3:20" ht="18.95" customHeight="1">
      <c r="C46" s="64" t="s">
        <v>326</v>
      </c>
      <c r="D46" s="74" t="s">
        <v>327</v>
      </c>
      <c r="E46" s="74" t="s">
        <v>328</v>
      </c>
      <c r="F46" s="66" t="s">
        <v>266</v>
      </c>
      <c r="G46" s="89">
        <f t="shared" ref="G46:G47" si="4">MIN(H46,J46,L46,N46,P46)</f>
        <v>370000</v>
      </c>
      <c r="H46" s="72"/>
      <c r="I46" s="57"/>
      <c r="J46" s="72"/>
      <c r="K46" s="73"/>
      <c r="L46" s="90">
        <v>370000</v>
      </c>
      <c r="M46" s="91" t="s">
        <v>1211</v>
      </c>
      <c r="N46" s="90">
        <v>500000</v>
      </c>
      <c r="O46" s="91" t="s">
        <v>1203</v>
      </c>
      <c r="P46" s="72"/>
      <c r="Q46" s="73"/>
      <c r="R46" s="72"/>
      <c r="S46" s="73"/>
      <c r="T46" s="74"/>
    </row>
    <row r="47" spans="3:20" ht="18.95" customHeight="1">
      <c r="C47" s="64" t="s">
        <v>329</v>
      </c>
      <c r="D47" s="74" t="s">
        <v>330</v>
      </c>
      <c r="E47" s="74" t="s">
        <v>331</v>
      </c>
      <c r="F47" s="66" t="s">
        <v>266</v>
      </c>
      <c r="G47" s="89">
        <f t="shared" si="4"/>
        <v>8400</v>
      </c>
      <c r="H47" s="72"/>
      <c r="I47" s="57"/>
      <c r="J47" s="72"/>
      <c r="K47" s="73"/>
      <c r="L47" s="90">
        <v>9000</v>
      </c>
      <c r="M47" s="91" t="s">
        <v>1212</v>
      </c>
      <c r="N47" s="90">
        <v>8400</v>
      </c>
      <c r="O47" s="91" t="s">
        <v>1213</v>
      </c>
      <c r="P47" s="72"/>
      <c r="Q47" s="73"/>
      <c r="R47" s="72"/>
      <c r="S47" s="73"/>
      <c r="T47" s="74"/>
    </row>
    <row r="48" spans="3:20" ht="18.95" customHeight="1">
      <c r="C48" s="64" t="s">
        <v>332</v>
      </c>
      <c r="D48" s="74" t="s">
        <v>333</v>
      </c>
      <c r="E48" s="74" t="s">
        <v>334</v>
      </c>
      <c r="F48" s="66" t="s">
        <v>196</v>
      </c>
      <c r="G48" s="58"/>
      <c r="H48" s="72"/>
      <c r="I48" s="57"/>
      <c r="J48" s="72"/>
      <c r="K48" s="73"/>
      <c r="L48" s="72"/>
      <c r="M48" s="73"/>
      <c r="N48" s="72"/>
      <c r="O48" s="73"/>
      <c r="P48" s="72"/>
      <c r="Q48" s="73"/>
      <c r="R48" s="72"/>
      <c r="S48" s="73"/>
      <c r="T48" s="74"/>
    </row>
    <row r="49" spans="3:24" ht="18.95" customHeight="1">
      <c r="C49" s="64" t="s">
        <v>332</v>
      </c>
      <c r="D49" s="74" t="s">
        <v>333</v>
      </c>
      <c r="E49" s="74" t="s">
        <v>335</v>
      </c>
      <c r="F49" s="66" t="s">
        <v>196</v>
      </c>
      <c r="G49" s="58"/>
      <c r="H49" s="72"/>
      <c r="I49" s="57"/>
      <c r="J49" s="72"/>
      <c r="K49" s="73"/>
      <c r="L49" s="72"/>
      <c r="M49" s="73"/>
      <c r="N49" s="72"/>
      <c r="O49" s="73"/>
      <c r="P49" s="72"/>
      <c r="Q49" s="73"/>
      <c r="R49" s="72"/>
      <c r="S49" s="73"/>
      <c r="T49" s="74"/>
    </row>
    <row r="50" spans="3:24" ht="18.95" customHeight="1">
      <c r="C50" s="64" t="s">
        <v>332</v>
      </c>
      <c r="D50" s="74" t="s">
        <v>333</v>
      </c>
      <c r="E50" s="74" t="s">
        <v>336</v>
      </c>
      <c r="F50" s="66" t="s">
        <v>196</v>
      </c>
      <c r="G50" s="58"/>
      <c r="H50" s="72"/>
      <c r="I50" s="57"/>
      <c r="J50" s="72"/>
      <c r="K50" s="73"/>
      <c r="L50" s="72"/>
      <c r="M50" s="73"/>
      <c r="N50" s="72"/>
      <c r="O50" s="73"/>
      <c r="P50" s="72"/>
      <c r="Q50" s="73"/>
      <c r="R50" s="72"/>
      <c r="S50" s="73"/>
      <c r="T50" s="74"/>
    </row>
    <row r="51" spans="3:24" ht="18.95" customHeight="1">
      <c r="C51" s="64" t="s">
        <v>337</v>
      </c>
      <c r="D51" s="74" t="s">
        <v>333</v>
      </c>
      <c r="E51" s="74" t="s">
        <v>338</v>
      </c>
      <c r="F51" s="66" t="s">
        <v>196</v>
      </c>
      <c r="G51" s="58"/>
      <c r="H51" s="72"/>
      <c r="I51" s="57"/>
      <c r="J51" s="72"/>
      <c r="K51" s="73"/>
      <c r="L51" s="72"/>
      <c r="M51" s="73"/>
      <c r="N51" s="72"/>
      <c r="O51" s="73"/>
      <c r="P51" s="72"/>
      <c r="Q51" s="73"/>
      <c r="R51" s="72"/>
      <c r="S51" s="73"/>
      <c r="T51" s="74"/>
    </row>
    <row r="52" spans="3:24" ht="18.95" customHeight="1">
      <c r="C52" s="64" t="s">
        <v>339</v>
      </c>
      <c r="D52" s="74" t="s">
        <v>333</v>
      </c>
      <c r="E52" s="74" t="s">
        <v>340</v>
      </c>
      <c r="F52" s="66" t="s">
        <v>196</v>
      </c>
      <c r="G52" s="58"/>
      <c r="H52" s="72"/>
      <c r="I52" s="57"/>
      <c r="J52" s="72"/>
      <c r="K52" s="73"/>
      <c r="L52" s="72"/>
      <c r="M52" s="73"/>
      <c r="N52" s="72"/>
      <c r="O52" s="73"/>
      <c r="P52" s="72"/>
      <c r="Q52" s="73"/>
      <c r="R52" s="72"/>
      <c r="S52" s="73"/>
      <c r="T52" s="74"/>
    </row>
    <row r="53" spans="3:24" ht="18.95" customHeight="1">
      <c r="C53" s="64" t="s">
        <v>341</v>
      </c>
      <c r="D53" s="74" t="s">
        <v>333</v>
      </c>
      <c r="E53" s="74" t="s">
        <v>342</v>
      </c>
      <c r="F53" s="66" t="s">
        <v>196</v>
      </c>
      <c r="G53" s="58"/>
      <c r="H53" s="72"/>
      <c r="I53" s="57"/>
      <c r="J53" s="72"/>
      <c r="K53" s="73"/>
      <c r="L53" s="72"/>
      <c r="M53" s="73"/>
      <c r="N53" s="72"/>
      <c r="O53" s="73"/>
      <c r="P53" s="72"/>
      <c r="Q53" s="73"/>
      <c r="R53" s="72"/>
      <c r="S53" s="73"/>
      <c r="T53" s="74"/>
    </row>
    <row r="54" spans="3:24" ht="18.95" customHeight="1">
      <c r="C54" s="64" t="s">
        <v>343</v>
      </c>
      <c r="D54" s="74" t="s">
        <v>333</v>
      </c>
      <c r="E54" s="74" t="s">
        <v>344</v>
      </c>
      <c r="F54" s="66" t="s">
        <v>196</v>
      </c>
      <c r="G54" s="58"/>
      <c r="H54" s="72"/>
      <c r="I54" s="57"/>
      <c r="J54" s="72"/>
      <c r="K54" s="73"/>
      <c r="L54" s="72"/>
      <c r="M54" s="73"/>
      <c r="N54" s="72"/>
      <c r="O54" s="73"/>
      <c r="P54" s="72"/>
      <c r="Q54" s="73"/>
      <c r="R54" s="72"/>
      <c r="S54" s="73"/>
      <c r="T54" s="74"/>
    </row>
    <row r="55" spans="3:24" ht="18.95" customHeight="1">
      <c r="C55" s="64" t="s">
        <v>337</v>
      </c>
      <c r="D55" s="74" t="s">
        <v>333</v>
      </c>
      <c r="E55" s="74" t="s">
        <v>345</v>
      </c>
      <c r="F55" s="66" t="s">
        <v>196</v>
      </c>
      <c r="G55" s="58"/>
      <c r="H55" s="72"/>
      <c r="I55" s="57"/>
      <c r="J55" s="72"/>
      <c r="K55" s="73"/>
      <c r="L55" s="72"/>
      <c r="M55" s="73"/>
      <c r="N55" s="72"/>
      <c r="O55" s="73"/>
      <c r="P55" s="72"/>
      <c r="Q55" s="73"/>
      <c r="R55" s="72"/>
      <c r="S55" s="73"/>
      <c r="T55" s="74"/>
    </row>
    <row r="56" spans="3:24" ht="18.95" customHeight="1">
      <c r="C56" s="64" t="s">
        <v>346</v>
      </c>
      <c r="D56" s="74" t="s">
        <v>347</v>
      </c>
      <c r="E56" s="74" t="s">
        <v>348</v>
      </c>
      <c r="F56" s="66" t="s">
        <v>266</v>
      </c>
      <c r="G56" s="89">
        <f t="shared" ref="G56:G58" si="5">MIN(H56,J56,L56,N56,P56)</f>
        <v>620000</v>
      </c>
      <c r="H56" s="72"/>
      <c r="I56" s="57"/>
      <c r="J56" s="72"/>
      <c r="K56" s="73"/>
      <c r="L56" s="72">
        <v>620000</v>
      </c>
      <c r="M56" s="73" t="s">
        <v>349</v>
      </c>
      <c r="N56" s="72">
        <v>826000</v>
      </c>
      <c r="O56" s="73" t="s">
        <v>350</v>
      </c>
      <c r="P56" s="72"/>
      <c r="Q56" s="73"/>
      <c r="R56" s="72"/>
      <c r="S56" s="73"/>
      <c r="T56" s="74"/>
    </row>
    <row r="57" spans="3:24" ht="18.95" customHeight="1">
      <c r="C57" s="64" t="s">
        <v>351</v>
      </c>
      <c r="D57" s="74" t="s">
        <v>352</v>
      </c>
      <c r="E57" s="74" t="s">
        <v>353</v>
      </c>
      <c r="F57" s="66" t="s">
        <v>266</v>
      </c>
      <c r="G57" s="89">
        <f t="shared" si="5"/>
        <v>500000</v>
      </c>
      <c r="H57" s="72"/>
      <c r="I57" s="57"/>
      <c r="J57" s="72"/>
      <c r="K57" s="73"/>
      <c r="L57" s="72">
        <v>500000</v>
      </c>
      <c r="M57" s="73" t="s">
        <v>349</v>
      </c>
      <c r="N57" s="72">
        <v>580000</v>
      </c>
      <c r="O57" s="73" t="s">
        <v>354</v>
      </c>
      <c r="P57" s="72"/>
      <c r="Q57" s="73"/>
      <c r="R57" s="72"/>
      <c r="S57" s="73"/>
      <c r="T57" s="74"/>
    </row>
    <row r="58" spans="3:24" ht="18.95" customHeight="1">
      <c r="C58" s="64" t="s">
        <v>355</v>
      </c>
      <c r="D58" s="74" t="s">
        <v>356</v>
      </c>
      <c r="E58" s="74"/>
      <c r="F58" s="66" t="s">
        <v>266</v>
      </c>
      <c r="G58" s="105">
        <f t="shared" si="5"/>
        <v>550000</v>
      </c>
      <c r="H58" s="72"/>
      <c r="I58" s="57"/>
      <c r="J58" s="72"/>
      <c r="K58" s="73"/>
      <c r="L58" s="87">
        <v>550000</v>
      </c>
      <c r="M58" s="88" t="s">
        <v>1225</v>
      </c>
      <c r="N58" s="72">
        <v>550000</v>
      </c>
      <c r="O58" s="73" t="s">
        <v>357</v>
      </c>
      <c r="P58" s="72"/>
      <c r="Q58" s="73"/>
      <c r="R58" s="72"/>
      <c r="S58" s="73"/>
      <c r="T58" s="74"/>
    </row>
    <row r="59" spans="3:24" ht="18.95" customHeight="1">
      <c r="C59" s="64" t="s">
        <v>358</v>
      </c>
      <c r="D59" s="74" t="s">
        <v>359</v>
      </c>
      <c r="E59" s="74" t="s">
        <v>360</v>
      </c>
      <c r="F59" s="66" t="s">
        <v>266</v>
      </c>
      <c r="G59" s="89">
        <f t="shared" ref="G59:G62" si="6">MIN(H59,J59,L59,N59,P59)</f>
        <v>104000</v>
      </c>
      <c r="H59" s="72"/>
      <c r="I59" s="57"/>
      <c r="J59" s="72"/>
      <c r="K59" s="73"/>
      <c r="L59" s="72">
        <v>104000</v>
      </c>
      <c r="M59" s="73" t="s">
        <v>361</v>
      </c>
      <c r="N59" s="72">
        <v>124000</v>
      </c>
      <c r="O59" s="73" t="s">
        <v>362</v>
      </c>
      <c r="P59" s="72"/>
      <c r="Q59" s="73"/>
      <c r="R59" s="72"/>
      <c r="S59" s="73"/>
      <c r="T59" s="74"/>
    </row>
    <row r="60" spans="3:24" ht="18.95" customHeight="1">
      <c r="C60" s="64" t="s">
        <v>363</v>
      </c>
      <c r="D60" s="74" t="s">
        <v>364</v>
      </c>
      <c r="E60" s="74" t="s">
        <v>365</v>
      </c>
      <c r="F60" s="66" t="s">
        <v>266</v>
      </c>
      <c r="G60" s="89">
        <f t="shared" si="6"/>
        <v>307800</v>
      </c>
      <c r="H60" s="72"/>
      <c r="I60" s="57"/>
      <c r="J60" s="72"/>
      <c r="K60" s="73"/>
      <c r="L60" s="72">
        <v>307800</v>
      </c>
      <c r="M60" s="73" t="s">
        <v>366</v>
      </c>
      <c r="N60" s="72">
        <v>378000</v>
      </c>
      <c r="O60" s="73" t="s">
        <v>367</v>
      </c>
      <c r="P60" s="72"/>
      <c r="Q60" s="73"/>
      <c r="R60" s="72"/>
      <c r="S60" s="73"/>
      <c r="T60" s="74"/>
    </row>
    <row r="61" spans="3:24" ht="18.95" customHeight="1">
      <c r="C61" s="64" t="s">
        <v>368</v>
      </c>
      <c r="D61" s="74" t="s">
        <v>369</v>
      </c>
      <c r="E61" s="74" t="s">
        <v>370</v>
      </c>
      <c r="F61" s="66" t="s">
        <v>266</v>
      </c>
      <c r="G61" s="89">
        <f t="shared" si="6"/>
        <v>6286000</v>
      </c>
      <c r="H61" s="72"/>
      <c r="I61" s="57"/>
      <c r="J61" s="99">
        <f>INT(W61*1.4)</f>
        <v>6286000</v>
      </c>
      <c r="K61" s="109" t="s">
        <v>1228</v>
      </c>
      <c r="L61" s="72"/>
      <c r="M61" s="73"/>
      <c r="N61" s="72"/>
      <c r="O61" s="73"/>
      <c r="P61" s="72"/>
      <c r="Q61" s="73"/>
      <c r="R61" s="72"/>
      <c r="S61" s="73"/>
      <c r="T61" s="74"/>
      <c r="W61" s="72">
        <v>4490000</v>
      </c>
      <c r="X61" s="73" t="s">
        <v>1229</v>
      </c>
    </row>
    <row r="62" spans="3:24" ht="18.95" customHeight="1">
      <c r="C62" s="64" t="s">
        <v>371</v>
      </c>
      <c r="D62" s="74" t="s">
        <v>369</v>
      </c>
      <c r="E62" s="74" t="s">
        <v>372</v>
      </c>
      <c r="F62" s="66" t="s">
        <v>266</v>
      </c>
      <c r="G62" s="105">
        <f t="shared" si="6"/>
        <v>6440000</v>
      </c>
      <c r="H62" s="72"/>
      <c r="I62" s="57"/>
      <c r="J62" s="99">
        <f>INT(W62*1.4)</f>
        <v>6440000</v>
      </c>
      <c r="K62" s="109" t="s">
        <v>1228</v>
      </c>
      <c r="L62" s="72"/>
      <c r="M62" s="73"/>
      <c r="N62" s="72"/>
      <c r="O62" s="73"/>
      <c r="P62" s="72"/>
      <c r="Q62" s="73"/>
      <c r="R62" s="72"/>
      <c r="S62" s="73"/>
      <c r="T62" s="74"/>
      <c r="W62" s="72">
        <v>4600000</v>
      </c>
      <c r="X62" s="73" t="s">
        <v>1227</v>
      </c>
    </row>
    <row r="63" spans="3:24" ht="18.95" customHeight="1">
      <c r="C63" s="64" t="s">
        <v>373</v>
      </c>
      <c r="D63" s="74" t="s">
        <v>374</v>
      </c>
      <c r="E63" s="74" t="s">
        <v>375</v>
      </c>
      <c r="F63" s="66" t="s">
        <v>266</v>
      </c>
      <c r="G63" s="89">
        <f t="shared" ref="G63:G65" si="7">MIN(H63,J63,L63,N63,P63)</f>
        <v>1500000</v>
      </c>
      <c r="H63" s="72"/>
      <c r="I63" s="57"/>
      <c r="J63" s="72"/>
      <c r="K63" s="73"/>
      <c r="L63" s="72">
        <v>1500000</v>
      </c>
      <c r="M63" s="73" t="s">
        <v>376</v>
      </c>
      <c r="N63" s="72">
        <v>2146000</v>
      </c>
      <c r="O63" s="73" t="s">
        <v>377</v>
      </c>
      <c r="P63" s="72"/>
      <c r="Q63" s="73"/>
      <c r="R63" s="72"/>
      <c r="S63" s="73"/>
      <c r="T63" s="74"/>
    </row>
    <row r="64" spans="3:24" ht="18.95" customHeight="1">
      <c r="C64" s="64" t="s">
        <v>378</v>
      </c>
      <c r="D64" s="74" t="s">
        <v>379</v>
      </c>
      <c r="E64" s="74" t="s">
        <v>380</v>
      </c>
      <c r="F64" s="66" t="s">
        <v>266</v>
      </c>
      <c r="G64" s="89">
        <f t="shared" si="7"/>
        <v>10000</v>
      </c>
      <c r="H64" s="72"/>
      <c r="I64" s="57"/>
      <c r="J64" s="72"/>
      <c r="K64" s="73"/>
      <c r="L64" s="72">
        <v>10000</v>
      </c>
      <c r="M64" s="73" t="s">
        <v>381</v>
      </c>
      <c r="N64" s="72"/>
      <c r="O64" s="73"/>
      <c r="P64" s="72"/>
      <c r="Q64" s="73"/>
      <c r="R64" s="72"/>
      <c r="S64" s="73"/>
      <c r="T64" s="74"/>
    </row>
    <row r="65" spans="1:20" ht="18.95" customHeight="1">
      <c r="C65" s="64" t="s">
        <v>382</v>
      </c>
      <c r="D65" s="74" t="s">
        <v>383</v>
      </c>
      <c r="E65" s="74" t="s">
        <v>384</v>
      </c>
      <c r="F65" s="66" t="s">
        <v>266</v>
      </c>
      <c r="G65" s="89">
        <f t="shared" si="7"/>
        <v>1192000</v>
      </c>
      <c r="H65" s="72"/>
      <c r="I65" s="57"/>
      <c r="J65" s="72"/>
      <c r="K65" s="73"/>
      <c r="L65" s="72">
        <v>1207000</v>
      </c>
      <c r="M65" s="73" t="s">
        <v>385</v>
      </c>
      <c r="N65" s="72">
        <v>1192000</v>
      </c>
      <c r="O65" s="73" t="s">
        <v>377</v>
      </c>
      <c r="P65" s="72"/>
      <c r="Q65" s="73"/>
      <c r="R65" s="72"/>
      <c r="S65" s="73"/>
      <c r="T65" s="74"/>
    </row>
    <row r="66" spans="1:20" ht="18.95" customHeight="1">
      <c r="C66" s="64" t="s">
        <v>398</v>
      </c>
      <c r="D66" s="74" t="s">
        <v>399</v>
      </c>
      <c r="E66" s="74" t="s">
        <v>400</v>
      </c>
      <c r="F66" s="66" t="s">
        <v>266</v>
      </c>
      <c r="G66" s="89">
        <f t="shared" ref="G66:G68" si="8">MIN(H66,J66,L66,N66,P66)</f>
        <v>360000</v>
      </c>
      <c r="H66" s="72"/>
      <c r="I66" s="57"/>
      <c r="J66" s="72"/>
      <c r="K66" s="73"/>
      <c r="L66" s="72">
        <v>570000</v>
      </c>
      <c r="M66" s="73" t="s">
        <v>401</v>
      </c>
      <c r="N66" s="72">
        <v>360000</v>
      </c>
      <c r="O66" s="73" t="s">
        <v>402</v>
      </c>
      <c r="P66" s="72"/>
      <c r="Q66" s="73"/>
      <c r="R66" s="72"/>
      <c r="S66" s="73"/>
      <c r="T66" s="74"/>
    </row>
    <row r="67" spans="1:20" ht="18.95" customHeight="1">
      <c r="C67" s="64" t="s">
        <v>403</v>
      </c>
      <c r="D67" s="74" t="s">
        <v>399</v>
      </c>
      <c r="E67" s="74" t="s">
        <v>404</v>
      </c>
      <c r="F67" s="66" t="s">
        <v>266</v>
      </c>
      <c r="G67" s="100">
        <f t="shared" si="8"/>
        <v>520000</v>
      </c>
      <c r="H67" s="72"/>
      <c r="I67" s="57"/>
      <c r="J67" s="103">
        <v>1600000</v>
      </c>
      <c r="K67" s="104" t="s">
        <v>1216</v>
      </c>
      <c r="L67" s="103">
        <v>750000</v>
      </c>
      <c r="M67" s="104" t="s">
        <v>1217</v>
      </c>
      <c r="N67" s="103">
        <v>520000</v>
      </c>
      <c r="O67" s="104" t="s">
        <v>1203</v>
      </c>
      <c r="P67" s="72"/>
      <c r="Q67" s="73"/>
      <c r="R67" s="72"/>
      <c r="S67" s="73"/>
      <c r="T67" s="74"/>
    </row>
    <row r="68" spans="1:20" ht="18.95" customHeight="1">
      <c r="C68" s="64" t="s">
        <v>405</v>
      </c>
      <c r="D68" s="74" t="s">
        <v>406</v>
      </c>
      <c r="E68" s="74"/>
      <c r="F68" s="66" t="s">
        <v>266</v>
      </c>
      <c r="G68" s="105">
        <f t="shared" si="8"/>
        <v>550000</v>
      </c>
      <c r="H68" s="72"/>
      <c r="I68" s="57"/>
      <c r="J68" s="72"/>
      <c r="K68" s="73"/>
      <c r="L68" s="87">
        <v>550000</v>
      </c>
      <c r="M68" s="88" t="s">
        <v>1225</v>
      </c>
      <c r="N68" s="72">
        <v>550000</v>
      </c>
      <c r="O68" s="73" t="s">
        <v>357</v>
      </c>
      <c r="P68" s="72"/>
      <c r="Q68" s="73"/>
      <c r="R68" s="72"/>
      <c r="S68" s="73"/>
      <c r="T68" s="74"/>
    </row>
    <row r="69" spans="1:20" ht="18.95" customHeight="1">
      <c r="C69" s="64" t="s">
        <v>422</v>
      </c>
      <c r="D69" s="74" t="s">
        <v>423</v>
      </c>
      <c r="E69" s="74" t="s">
        <v>424</v>
      </c>
      <c r="F69" s="66" t="s">
        <v>266</v>
      </c>
      <c r="G69" s="89">
        <f t="shared" ref="G69:G70" si="9">MIN(H69,J69,L69,N69,P69)</f>
        <v>55000</v>
      </c>
      <c r="H69" s="72"/>
      <c r="I69" s="57"/>
      <c r="J69" s="72"/>
      <c r="K69" s="73"/>
      <c r="L69" s="72">
        <v>55000</v>
      </c>
      <c r="M69" s="73" t="s">
        <v>425</v>
      </c>
      <c r="N69" s="72">
        <v>55000</v>
      </c>
      <c r="O69" s="73" t="s">
        <v>426</v>
      </c>
      <c r="P69" s="72"/>
      <c r="Q69" s="73"/>
      <c r="R69" s="72"/>
      <c r="S69" s="73"/>
      <c r="T69" s="74"/>
    </row>
    <row r="70" spans="1:20" ht="18.95" customHeight="1">
      <c r="C70" s="64" t="s">
        <v>427</v>
      </c>
      <c r="D70" s="74" t="s">
        <v>423</v>
      </c>
      <c r="E70" s="74" t="s">
        <v>428</v>
      </c>
      <c r="F70" s="66" t="s">
        <v>266</v>
      </c>
      <c r="G70" s="89">
        <f t="shared" si="9"/>
        <v>15000</v>
      </c>
      <c r="H70" s="72"/>
      <c r="I70" s="57"/>
      <c r="J70" s="72"/>
      <c r="K70" s="73"/>
      <c r="L70" s="72">
        <v>15000</v>
      </c>
      <c r="M70" s="73" t="s">
        <v>425</v>
      </c>
      <c r="N70" s="72">
        <v>15000</v>
      </c>
      <c r="O70" s="73" t="s">
        <v>426</v>
      </c>
      <c r="P70" s="72"/>
      <c r="Q70" s="73"/>
      <c r="R70" s="72"/>
      <c r="S70" s="73"/>
      <c r="T70" s="74"/>
    </row>
    <row r="71" spans="1:20" ht="18.95" customHeight="1">
      <c r="C71" s="64" t="s">
        <v>429</v>
      </c>
      <c r="D71" s="74" t="s">
        <v>430</v>
      </c>
      <c r="E71" s="74" t="s">
        <v>431</v>
      </c>
      <c r="F71" s="66" t="s">
        <v>432</v>
      </c>
      <c r="G71" s="94" t="s">
        <v>1222</v>
      </c>
      <c r="H71" s="95">
        <v>14230</v>
      </c>
      <c r="I71" s="96" t="s">
        <v>521</v>
      </c>
      <c r="J71" s="95">
        <v>56783</v>
      </c>
      <c r="K71" s="97" t="s">
        <v>522</v>
      </c>
      <c r="L71" s="95">
        <v>16378</v>
      </c>
      <c r="M71" s="97" t="s">
        <v>520</v>
      </c>
      <c r="N71" s="95"/>
      <c r="O71" s="97"/>
      <c r="P71" s="95"/>
      <c r="Q71" s="97"/>
      <c r="R71" s="95"/>
      <c r="S71" s="97"/>
      <c r="T71" s="98" t="s">
        <v>1214</v>
      </c>
    </row>
    <row r="72" spans="1:20" s="108" customFormat="1" ht="18.95" customHeight="1">
      <c r="A72" s="106"/>
      <c r="B72" s="106"/>
      <c r="C72" s="106"/>
      <c r="D72" s="86" t="s">
        <v>1090</v>
      </c>
      <c r="E72" s="86" t="s">
        <v>1091</v>
      </c>
      <c r="F72" s="107" t="s">
        <v>432</v>
      </c>
      <c r="G72" s="94" t="s">
        <v>1222</v>
      </c>
      <c r="H72" s="95">
        <v>15976</v>
      </c>
      <c r="I72" s="96" t="s">
        <v>521</v>
      </c>
      <c r="J72" s="95">
        <v>48663</v>
      </c>
      <c r="K72" s="97" t="s">
        <v>522</v>
      </c>
      <c r="L72" s="95">
        <v>29487</v>
      </c>
      <c r="M72" s="97" t="s">
        <v>520</v>
      </c>
      <c r="N72" s="95"/>
      <c r="O72" s="97"/>
      <c r="P72" s="95"/>
      <c r="Q72" s="97"/>
      <c r="R72" s="95"/>
      <c r="S72" s="97"/>
      <c r="T72" s="98" t="s">
        <v>1223</v>
      </c>
    </row>
    <row r="73" spans="1:20" ht="18.95" customHeight="1">
      <c r="C73" s="64" t="s">
        <v>439</v>
      </c>
      <c r="D73" s="74" t="s">
        <v>440</v>
      </c>
      <c r="E73" s="74"/>
      <c r="F73" s="66" t="s">
        <v>266</v>
      </c>
      <c r="G73" s="100">
        <f t="shared" ref="G73:G76" si="10">MIN(H73,J73,L73,N73,P73)</f>
        <v>500000</v>
      </c>
      <c r="H73" s="72"/>
      <c r="I73" s="57"/>
      <c r="J73" s="72"/>
      <c r="K73" s="73"/>
      <c r="L73" s="103">
        <v>500000</v>
      </c>
      <c r="M73" s="104" t="s">
        <v>1217</v>
      </c>
      <c r="N73" s="103">
        <v>800000</v>
      </c>
      <c r="O73" s="104" t="s">
        <v>1218</v>
      </c>
      <c r="P73" s="72"/>
      <c r="Q73" s="73"/>
      <c r="R73" s="72"/>
      <c r="S73" s="73"/>
      <c r="T73" s="74"/>
    </row>
    <row r="74" spans="1:20" ht="18.95" customHeight="1">
      <c r="C74" s="64" t="s">
        <v>441</v>
      </c>
      <c r="D74" s="74" t="s">
        <v>442</v>
      </c>
      <c r="E74" s="74" t="s">
        <v>443</v>
      </c>
      <c r="F74" s="66" t="s">
        <v>266</v>
      </c>
      <c r="G74" s="105">
        <f t="shared" si="10"/>
        <v>450000</v>
      </c>
      <c r="H74" s="72"/>
      <c r="I74" s="57"/>
      <c r="J74" s="72"/>
      <c r="K74" s="73"/>
      <c r="L74" s="87">
        <v>450000</v>
      </c>
      <c r="M74" s="104" t="s">
        <v>1217</v>
      </c>
      <c r="N74" s="72">
        <v>450000</v>
      </c>
      <c r="O74" s="73" t="s">
        <v>357</v>
      </c>
      <c r="P74" s="72"/>
      <c r="Q74" s="73"/>
      <c r="R74" s="72"/>
      <c r="S74" s="73"/>
      <c r="T74" s="74"/>
    </row>
    <row r="75" spans="1:20" ht="18.95" customHeight="1">
      <c r="C75" s="64" t="s">
        <v>444</v>
      </c>
      <c r="D75" s="74" t="s">
        <v>445</v>
      </c>
      <c r="E75" s="74" t="s">
        <v>446</v>
      </c>
      <c r="F75" s="66" t="s">
        <v>266</v>
      </c>
      <c r="G75" s="100">
        <f t="shared" ref="G75" si="11">MIN(H75,J75,L75,N75,P75)</f>
        <v>165000</v>
      </c>
      <c r="H75" s="72"/>
      <c r="I75" s="57"/>
      <c r="J75" s="72">
        <v>165000</v>
      </c>
      <c r="K75" s="73"/>
      <c r="L75" s="72">
        <v>165000</v>
      </c>
      <c r="M75" s="73"/>
      <c r="N75" s="72"/>
      <c r="O75" s="73"/>
      <c r="P75" s="72"/>
      <c r="Q75" s="73"/>
      <c r="R75" s="72"/>
      <c r="S75" s="73"/>
      <c r="T75" s="74"/>
    </row>
    <row r="76" spans="1:20" ht="18.95" customHeight="1">
      <c r="C76" s="64" t="s">
        <v>447</v>
      </c>
      <c r="D76" s="74" t="s">
        <v>448</v>
      </c>
      <c r="E76" s="74"/>
      <c r="F76" s="66" t="s">
        <v>449</v>
      </c>
      <c r="G76" s="105">
        <f t="shared" si="10"/>
        <v>23670000</v>
      </c>
      <c r="H76" s="72"/>
      <c r="I76" s="57"/>
      <c r="J76" s="72">
        <v>23670000</v>
      </c>
      <c r="K76" s="73" t="s">
        <v>1230</v>
      </c>
      <c r="L76" s="72"/>
      <c r="M76" s="73"/>
      <c r="N76" s="72"/>
      <c r="O76" s="73"/>
      <c r="P76" s="72"/>
      <c r="Q76" s="73"/>
      <c r="R76" s="72"/>
      <c r="S76" s="73"/>
      <c r="T76" s="74"/>
    </row>
    <row r="77" spans="1:20" ht="18.95" customHeight="1">
      <c r="C77" s="64" t="s">
        <v>455</v>
      </c>
      <c r="D77" s="74" t="s">
        <v>456</v>
      </c>
      <c r="E77" s="74" t="s">
        <v>457</v>
      </c>
      <c r="F77" s="66" t="s">
        <v>458</v>
      </c>
      <c r="G77" s="58"/>
      <c r="H77" s="72"/>
      <c r="I77" s="57"/>
      <c r="J77" s="72"/>
      <c r="K77" s="73"/>
      <c r="L77" s="72"/>
      <c r="M77" s="73"/>
      <c r="N77" s="72"/>
      <c r="O77" s="73"/>
      <c r="P77" s="72"/>
      <c r="Q77" s="73"/>
      <c r="R77" s="72"/>
      <c r="S77" s="73"/>
      <c r="T77" s="74"/>
    </row>
    <row r="78" spans="1:20" ht="18.95" customHeight="1">
      <c r="C78" s="64" t="s">
        <v>459</v>
      </c>
      <c r="D78" s="74" t="s">
        <v>460</v>
      </c>
      <c r="E78" s="74"/>
      <c r="F78" s="66" t="s">
        <v>266</v>
      </c>
      <c r="G78" s="100">
        <f t="shared" ref="G78:G80" si="12">MIN(H78,J78,L78,N78,P78)</f>
        <v>9000000</v>
      </c>
      <c r="H78" s="72"/>
      <c r="I78" s="57"/>
      <c r="J78" s="72"/>
      <c r="K78" s="73"/>
      <c r="L78" s="103">
        <v>9000000</v>
      </c>
      <c r="M78" s="104" t="s">
        <v>1215</v>
      </c>
      <c r="N78" s="101">
        <v>9300000</v>
      </c>
      <c r="O78" s="102" t="s">
        <v>461</v>
      </c>
      <c r="P78" s="72"/>
      <c r="Q78" s="73"/>
      <c r="R78" s="72"/>
      <c r="S78" s="73"/>
      <c r="T78" s="74"/>
    </row>
    <row r="79" spans="1:20" ht="18.95" customHeight="1">
      <c r="C79" s="64" t="s">
        <v>469</v>
      </c>
      <c r="D79" s="74" t="s">
        <v>470</v>
      </c>
      <c r="E79" s="74"/>
      <c r="F79" s="66" t="s">
        <v>266</v>
      </c>
      <c r="G79" s="105">
        <f t="shared" si="12"/>
        <v>900000</v>
      </c>
      <c r="H79" s="72"/>
      <c r="I79" s="57"/>
      <c r="J79" s="72"/>
      <c r="K79" s="73"/>
      <c r="L79" s="87">
        <v>900000</v>
      </c>
      <c r="M79" s="88" t="s">
        <v>1226</v>
      </c>
      <c r="N79" s="72"/>
      <c r="O79" s="73"/>
      <c r="P79" s="72"/>
      <c r="Q79" s="73"/>
      <c r="R79" s="72"/>
      <c r="S79" s="73"/>
      <c r="T79" s="74"/>
    </row>
    <row r="80" spans="1:20" ht="18.95" customHeight="1">
      <c r="C80" s="64" t="s">
        <v>471</v>
      </c>
      <c r="D80" s="74" t="s">
        <v>472</v>
      </c>
      <c r="E80" s="74"/>
      <c r="F80" s="66" t="s">
        <v>266</v>
      </c>
      <c r="G80" s="89">
        <f t="shared" si="12"/>
        <v>1200000</v>
      </c>
      <c r="H80" s="72"/>
      <c r="I80" s="57"/>
      <c r="J80" s="72"/>
      <c r="K80" s="73"/>
      <c r="L80" s="87">
        <v>1200000</v>
      </c>
      <c r="M80" s="88" t="s">
        <v>1226</v>
      </c>
      <c r="N80" s="72"/>
      <c r="O80" s="73"/>
      <c r="P80" s="72"/>
      <c r="Q80" s="73"/>
      <c r="R80" s="72"/>
      <c r="S80" s="73"/>
      <c r="T80" s="74"/>
    </row>
    <row r="81" spans="3:28" ht="18.95" customHeight="1">
      <c r="C81" s="64" t="s">
        <v>473</v>
      </c>
      <c r="D81" s="74" t="s">
        <v>474</v>
      </c>
      <c r="E81" s="74" t="s">
        <v>475</v>
      </c>
      <c r="F81" s="66" t="s">
        <v>266</v>
      </c>
      <c r="G81" s="89">
        <f t="shared" ref="G81:G85" si="13">MIN(H81,J81,L81,N81,P81)</f>
        <v>2000000</v>
      </c>
      <c r="H81" s="72"/>
      <c r="I81" s="57"/>
      <c r="J81" s="72"/>
      <c r="K81" s="73"/>
      <c r="L81" s="87">
        <v>2000000</v>
      </c>
      <c r="M81" s="88" t="s">
        <v>1226</v>
      </c>
      <c r="N81" s="72"/>
      <c r="O81" s="73"/>
      <c r="P81" s="72"/>
      <c r="Q81" s="73"/>
      <c r="R81" s="72"/>
      <c r="S81" s="73"/>
      <c r="T81" s="74"/>
    </row>
    <row r="82" spans="3:28" ht="18.95" customHeight="1">
      <c r="C82" s="64" t="s">
        <v>476</v>
      </c>
      <c r="D82" s="74" t="s">
        <v>474</v>
      </c>
      <c r="E82" s="74" t="s">
        <v>477</v>
      </c>
      <c r="F82" s="66" t="s">
        <v>266</v>
      </c>
      <c r="G82" s="89">
        <f t="shared" si="13"/>
        <v>2000000</v>
      </c>
      <c r="H82" s="72"/>
      <c r="I82" s="57"/>
      <c r="J82" s="72"/>
      <c r="K82" s="73"/>
      <c r="L82" s="87">
        <v>2000000</v>
      </c>
      <c r="M82" s="88" t="s">
        <v>1226</v>
      </c>
      <c r="N82" s="72"/>
      <c r="O82" s="73"/>
      <c r="P82" s="72"/>
      <c r="Q82" s="73"/>
      <c r="R82" s="72"/>
      <c r="S82" s="73"/>
      <c r="T82" s="74"/>
    </row>
    <row r="83" spans="3:28" ht="18.95" customHeight="1">
      <c r="C83" s="64" t="s">
        <v>478</v>
      </c>
      <c r="D83" s="74" t="s">
        <v>474</v>
      </c>
      <c r="E83" s="74" t="s">
        <v>479</v>
      </c>
      <c r="F83" s="66" t="s">
        <v>266</v>
      </c>
      <c r="G83" s="89">
        <f t="shared" si="13"/>
        <v>2000000</v>
      </c>
      <c r="H83" s="72"/>
      <c r="I83" s="57"/>
      <c r="J83" s="72"/>
      <c r="K83" s="73"/>
      <c r="L83" s="87">
        <v>2000000</v>
      </c>
      <c r="M83" s="88" t="s">
        <v>1226</v>
      </c>
      <c r="N83" s="72"/>
      <c r="O83" s="73"/>
      <c r="P83" s="72"/>
      <c r="Q83" s="73"/>
      <c r="R83" s="72"/>
      <c r="S83" s="73"/>
      <c r="T83" s="74"/>
    </row>
    <row r="84" spans="3:28" ht="18.95" customHeight="1">
      <c r="C84" s="64" t="s">
        <v>480</v>
      </c>
      <c r="D84" s="74" t="s">
        <v>481</v>
      </c>
      <c r="E84" s="74"/>
      <c r="F84" s="66" t="s">
        <v>266</v>
      </c>
      <c r="G84" s="100">
        <f t="shared" si="13"/>
        <v>650000</v>
      </c>
      <c r="H84" s="72"/>
      <c r="I84" s="57"/>
      <c r="J84" s="103">
        <v>650000</v>
      </c>
      <c r="K84" s="104" t="s">
        <v>1216</v>
      </c>
      <c r="L84" s="103">
        <v>650000</v>
      </c>
      <c r="M84" s="104" t="s">
        <v>1219</v>
      </c>
      <c r="N84" s="103">
        <v>900000</v>
      </c>
      <c r="O84" s="104" t="s">
        <v>1220</v>
      </c>
      <c r="P84" s="72"/>
      <c r="Q84" s="73"/>
      <c r="R84" s="72"/>
      <c r="S84" s="73"/>
      <c r="T84" s="74"/>
    </row>
    <row r="85" spans="3:28" ht="18.95" customHeight="1">
      <c r="C85" s="64" t="s">
        <v>482</v>
      </c>
      <c r="D85" s="74" t="s">
        <v>483</v>
      </c>
      <c r="E85" s="74"/>
      <c r="F85" s="66" t="s">
        <v>266</v>
      </c>
      <c r="G85" s="100">
        <f t="shared" si="13"/>
        <v>650000</v>
      </c>
      <c r="H85" s="72"/>
      <c r="I85" s="57"/>
      <c r="J85" s="72"/>
      <c r="K85" s="73"/>
      <c r="L85" s="103">
        <v>650000</v>
      </c>
      <c r="M85" s="104" t="s">
        <v>1221</v>
      </c>
      <c r="N85" s="103">
        <v>650000</v>
      </c>
      <c r="O85" s="104" t="s">
        <v>1203</v>
      </c>
      <c r="P85" s="72"/>
      <c r="Q85" s="73"/>
      <c r="R85" s="72"/>
      <c r="S85" s="73"/>
      <c r="T85" s="74"/>
    </row>
    <row r="86" spans="3:28" ht="18.95" customHeight="1">
      <c r="C86" s="64" t="s">
        <v>498</v>
      </c>
      <c r="D86" s="74" t="s">
        <v>499</v>
      </c>
      <c r="E86" s="74" t="s">
        <v>500</v>
      </c>
      <c r="F86" s="66" t="s">
        <v>266</v>
      </c>
      <c r="G86" s="89">
        <f t="shared" ref="G86:G88" si="14">MIN(H86,J86,L86,N86,P86)</f>
        <v>140000</v>
      </c>
      <c r="H86" s="72"/>
      <c r="I86" s="57"/>
      <c r="J86" s="72"/>
      <c r="K86" s="73"/>
      <c r="L86" s="72"/>
      <c r="M86" s="73"/>
      <c r="N86" s="72">
        <v>140000</v>
      </c>
      <c r="O86" s="73" t="s">
        <v>501</v>
      </c>
      <c r="P86" s="72"/>
      <c r="Q86" s="73"/>
      <c r="R86" s="72"/>
      <c r="S86" s="73"/>
      <c r="T86" s="74"/>
    </row>
    <row r="87" spans="3:28" ht="18.95" customHeight="1">
      <c r="C87" s="64" t="s">
        <v>510</v>
      </c>
      <c r="D87" s="74" t="s">
        <v>511</v>
      </c>
      <c r="E87" s="74" t="s">
        <v>512</v>
      </c>
      <c r="F87" s="66" t="s">
        <v>266</v>
      </c>
      <c r="G87" s="89">
        <f t="shared" si="14"/>
        <v>440000</v>
      </c>
      <c r="H87" s="72"/>
      <c r="I87" s="57"/>
      <c r="J87" s="72"/>
      <c r="K87" s="73"/>
      <c r="L87" s="72">
        <v>440000</v>
      </c>
      <c r="M87" s="73" t="s">
        <v>401</v>
      </c>
      <c r="N87" s="72">
        <v>440000</v>
      </c>
      <c r="O87" s="73" t="s">
        <v>357</v>
      </c>
      <c r="P87" s="72"/>
      <c r="Q87" s="73"/>
      <c r="R87" s="72"/>
      <c r="S87" s="73"/>
      <c r="T87" s="74"/>
    </row>
    <row r="88" spans="3:28" ht="18.95" customHeight="1">
      <c r="C88" s="64" t="s">
        <v>513</v>
      </c>
      <c r="D88" s="74" t="s">
        <v>514</v>
      </c>
      <c r="E88" s="74" t="s">
        <v>515</v>
      </c>
      <c r="F88" s="66" t="s">
        <v>266</v>
      </c>
      <c r="G88" s="89">
        <f t="shared" si="14"/>
        <v>280000</v>
      </c>
      <c r="H88" s="72"/>
      <c r="I88" s="57"/>
      <c r="J88" s="72"/>
      <c r="K88" s="73"/>
      <c r="L88" s="72">
        <v>280000</v>
      </c>
      <c r="M88" s="73" t="s">
        <v>516</v>
      </c>
      <c r="N88" s="72"/>
      <c r="O88" s="73"/>
      <c r="P88" s="72"/>
      <c r="Q88" s="73"/>
      <c r="R88" s="72"/>
      <c r="S88" s="73"/>
      <c r="T88" s="74"/>
    </row>
    <row r="89" spans="3:28" ht="18.95" customHeight="1">
      <c r="C89" s="64" t="s">
        <v>386</v>
      </c>
      <c r="D89" s="74" t="s">
        <v>387</v>
      </c>
      <c r="E89" s="74" t="s">
        <v>388</v>
      </c>
      <c r="F89" s="66" t="s">
        <v>266</v>
      </c>
      <c r="G89" s="58">
        <v>72520</v>
      </c>
      <c r="H89" s="72"/>
      <c r="I89" s="57"/>
      <c r="J89" s="99">
        <f>INT(W89*1.45)</f>
        <v>105154</v>
      </c>
      <c r="K89" s="73" t="s">
        <v>389</v>
      </c>
      <c r="L89" s="99">
        <f t="shared" ref="L89:L112" si="15">INT(Y89*1.45)</f>
        <v>105154</v>
      </c>
      <c r="M89" s="73" t="s">
        <v>390</v>
      </c>
      <c r="N89" s="99">
        <f t="shared" ref="N89:N112" si="16">INT(AA89*1.45)</f>
        <v>105154</v>
      </c>
      <c r="O89" s="73" t="s">
        <v>391</v>
      </c>
      <c r="P89" s="72"/>
      <c r="Q89" s="73"/>
      <c r="R89" s="72"/>
      <c r="S89" s="73"/>
      <c r="T89" s="74"/>
      <c r="W89" s="72">
        <v>72520</v>
      </c>
      <c r="X89" s="73" t="s">
        <v>389</v>
      </c>
      <c r="Y89" s="72">
        <v>72520</v>
      </c>
      <c r="Z89" s="73" t="s">
        <v>390</v>
      </c>
      <c r="AA89" s="72">
        <v>72520</v>
      </c>
      <c r="AB89" s="73" t="s">
        <v>391</v>
      </c>
    </row>
    <row r="90" spans="3:28" ht="18.95" customHeight="1">
      <c r="C90" s="64" t="s">
        <v>392</v>
      </c>
      <c r="D90" s="74" t="s">
        <v>393</v>
      </c>
      <c r="E90" s="74" t="s">
        <v>394</v>
      </c>
      <c r="F90" s="66" t="s">
        <v>266</v>
      </c>
      <c r="G90" s="58">
        <v>58260</v>
      </c>
      <c r="H90" s="72"/>
      <c r="I90" s="57"/>
      <c r="J90" s="99">
        <f t="shared" ref="J90:J112" si="17">INT(W90*1.45)</f>
        <v>84477</v>
      </c>
      <c r="K90" s="73" t="s">
        <v>389</v>
      </c>
      <c r="L90" s="99">
        <f t="shared" si="15"/>
        <v>84477</v>
      </c>
      <c r="M90" s="73" t="s">
        <v>390</v>
      </c>
      <c r="N90" s="99">
        <f t="shared" si="16"/>
        <v>95700</v>
      </c>
      <c r="O90" s="73" t="s">
        <v>391</v>
      </c>
      <c r="P90" s="72"/>
      <c r="Q90" s="73"/>
      <c r="R90" s="72"/>
      <c r="S90" s="73"/>
      <c r="T90" s="74"/>
      <c r="W90" s="72">
        <v>58260</v>
      </c>
      <c r="X90" s="73" t="s">
        <v>389</v>
      </c>
      <c r="Y90" s="72">
        <v>58260</v>
      </c>
      <c r="Z90" s="73" t="s">
        <v>390</v>
      </c>
      <c r="AA90" s="72">
        <v>66000</v>
      </c>
      <c r="AB90" s="73" t="s">
        <v>391</v>
      </c>
    </row>
    <row r="91" spans="3:28" ht="18.95" customHeight="1">
      <c r="C91" s="64" t="s">
        <v>395</v>
      </c>
      <c r="D91" s="74" t="s">
        <v>396</v>
      </c>
      <c r="E91" s="74" t="s">
        <v>397</v>
      </c>
      <c r="F91" s="66" t="s">
        <v>266</v>
      </c>
      <c r="G91" s="58">
        <v>8720</v>
      </c>
      <c r="H91" s="72"/>
      <c r="I91" s="57"/>
      <c r="J91" s="99">
        <f t="shared" si="17"/>
        <v>12644</v>
      </c>
      <c r="K91" s="73" t="s">
        <v>389</v>
      </c>
      <c r="L91" s="99">
        <f t="shared" si="15"/>
        <v>12644</v>
      </c>
      <c r="M91" s="73" t="s">
        <v>390</v>
      </c>
      <c r="N91" s="99">
        <f t="shared" si="16"/>
        <v>12644</v>
      </c>
      <c r="O91" s="73" t="s">
        <v>391</v>
      </c>
      <c r="P91" s="72"/>
      <c r="Q91" s="73"/>
      <c r="R91" s="72"/>
      <c r="S91" s="73"/>
      <c r="T91" s="74"/>
      <c r="W91" s="72">
        <v>8720</v>
      </c>
      <c r="X91" s="73" t="s">
        <v>389</v>
      </c>
      <c r="Y91" s="72">
        <v>8720</v>
      </c>
      <c r="Z91" s="73" t="s">
        <v>390</v>
      </c>
      <c r="AA91" s="72">
        <v>8720</v>
      </c>
      <c r="AB91" s="73" t="s">
        <v>391</v>
      </c>
    </row>
    <row r="92" spans="3:28" ht="18.95" customHeight="1">
      <c r="C92" s="64" t="s">
        <v>407</v>
      </c>
      <c r="D92" s="74" t="s">
        <v>408</v>
      </c>
      <c r="E92" s="74" t="s">
        <v>409</v>
      </c>
      <c r="F92" s="66" t="s">
        <v>266</v>
      </c>
      <c r="G92" s="58">
        <v>573000</v>
      </c>
      <c r="H92" s="72"/>
      <c r="I92" s="57"/>
      <c r="J92" s="99">
        <f t="shared" si="17"/>
        <v>1055600</v>
      </c>
      <c r="K92" s="73" t="s">
        <v>389</v>
      </c>
      <c r="L92" s="99">
        <f t="shared" si="15"/>
        <v>830850</v>
      </c>
      <c r="M92" s="73" t="s">
        <v>390</v>
      </c>
      <c r="N92" s="99">
        <f t="shared" si="16"/>
        <v>1055600</v>
      </c>
      <c r="O92" s="73" t="s">
        <v>391</v>
      </c>
      <c r="P92" s="72"/>
      <c r="Q92" s="73"/>
      <c r="R92" s="72"/>
      <c r="S92" s="73"/>
      <c r="T92" s="74"/>
      <c r="W92" s="72">
        <v>728000</v>
      </c>
      <c r="X92" s="73" t="s">
        <v>389</v>
      </c>
      <c r="Y92" s="72">
        <v>573000</v>
      </c>
      <c r="Z92" s="73" t="s">
        <v>390</v>
      </c>
      <c r="AA92" s="72">
        <v>728000</v>
      </c>
      <c r="AB92" s="73" t="s">
        <v>391</v>
      </c>
    </row>
    <row r="93" spans="3:28" ht="18.95" customHeight="1">
      <c r="C93" s="64" t="s">
        <v>410</v>
      </c>
      <c r="D93" s="74" t="s">
        <v>411</v>
      </c>
      <c r="E93" s="74" t="s">
        <v>412</v>
      </c>
      <c r="F93" s="66" t="s">
        <v>266</v>
      </c>
      <c r="G93" s="58">
        <v>1082000</v>
      </c>
      <c r="H93" s="72"/>
      <c r="I93" s="57"/>
      <c r="J93" s="99">
        <f t="shared" si="17"/>
        <v>1568900</v>
      </c>
      <c r="K93" s="73" t="s">
        <v>389</v>
      </c>
      <c r="L93" s="99">
        <f t="shared" si="15"/>
        <v>1568900</v>
      </c>
      <c r="M93" s="73" t="s">
        <v>390</v>
      </c>
      <c r="N93" s="99">
        <f t="shared" si="16"/>
        <v>1573250</v>
      </c>
      <c r="O93" s="73" t="s">
        <v>391</v>
      </c>
      <c r="P93" s="72"/>
      <c r="Q93" s="73"/>
      <c r="R93" s="72"/>
      <c r="S93" s="73"/>
      <c r="T93" s="74"/>
      <c r="W93" s="72">
        <v>1082000</v>
      </c>
      <c r="X93" s="73" t="s">
        <v>389</v>
      </c>
      <c r="Y93" s="72">
        <v>1082000</v>
      </c>
      <c r="Z93" s="73" t="s">
        <v>390</v>
      </c>
      <c r="AA93" s="72">
        <v>1085000</v>
      </c>
      <c r="AB93" s="73" t="s">
        <v>391</v>
      </c>
    </row>
    <row r="94" spans="3:28" ht="18.95" customHeight="1">
      <c r="C94" s="64" t="s">
        <v>413</v>
      </c>
      <c r="D94" s="74" t="s">
        <v>414</v>
      </c>
      <c r="E94" s="74" t="s">
        <v>415</v>
      </c>
      <c r="F94" s="66" t="s">
        <v>266</v>
      </c>
      <c r="G94" s="58">
        <v>890000</v>
      </c>
      <c r="H94" s="72"/>
      <c r="I94" s="57"/>
      <c r="J94" s="99">
        <f t="shared" si="17"/>
        <v>1924150</v>
      </c>
      <c r="K94" s="73" t="s">
        <v>389</v>
      </c>
      <c r="L94" s="99">
        <f t="shared" si="15"/>
        <v>1290500</v>
      </c>
      <c r="M94" s="73" t="s">
        <v>390</v>
      </c>
      <c r="N94" s="99">
        <f t="shared" si="16"/>
        <v>1812500</v>
      </c>
      <c r="O94" s="73" t="s">
        <v>391</v>
      </c>
      <c r="P94" s="72"/>
      <c r="Q94" s="73"/>
      <c r="R94" s="72"/>
      <c r="S94" s="73"/>
      <c r="T94" s="74"/>
      <c r="W94" s="72">
        <v>1327000</v>
      </c>
      <c r="X94" s="73" t="s">
        <v>389</v>
      </c>
      <c r="Y94" s="72">
        <v>890000</v>
      </c>
      <c r="Z94" s="73" t="s">
        <v>390</v>
      </c>
      <c r="AA94" s="72">
        <v>1250000</v>
      </c>
      <c r="AB94" s="73" t="s">
        <v>391</v>
      </c>
    </row>
    <row r="95" spans="3:28" ht="18.95" customHeight="1">
      <c r="C95" s="64" t="s">
        <v>416</v>
      </c>
      <c r="D95" s="74" t="s">
        <v>417</v>
      </c>
      <c r="E95" s="74" t="s">
        <v>418</v>
      </c>
      <c r="F95" s="66" t="s">
        <v>266</v>
      </c>
      <c r="G95" s="58">
        <v>2740</v>
      </c>
      <c r="H95" s="72"/>
      <c r="I95" s="57"/>
      <c r="J95" s="99">
        <f t="shared" si="17"/>
        <v>3973</v>
      </c>
      <c r="K95" s="73" t="s">
        <v>389</v>
      </c>
      <c r="L95" s="99">
        <f t="shared" si="15"/>
        <v>3973</v>
      </c>
      <c r="M95" s="73" t="s">
        <v>390</v>
      </c>
      <c r="N95" s="99">
        <f t="shared" si="16"/>
        <v>3973</v>
      </c>
      <c r="O95" s="73" t="s">
        <v>391</v>
      </c>
      <c r="P95" s="72"/>
      <c r="Q95" s="73"/>
      <c r="R95" s="72"/>
      <c r="S95" s="73"/>
      <c r="T95" s="74"/>
      <c r="W95" s="72">
        <v>2740</v>
      </c>
      <c r="X95" s="73" t="s">
        <v>389</v>
      </c>
      <c r="Y95" s="72">
        <v>2740</v>
      </c>
      <c r="Z95" s="73" t="s">
        <v>390</v>
      </c>
      <c r="AA95" s="72">
        <v>2740</v>
      </c>
      <c r="AB95" s="73" t="s">
        <v>391</v>
      </c>
    </row>
    <row r="96" spans="3:28" ht="18.95" customHeight="1">
      <c r="C96" s="64" t="s">
        <v>419</v>
      </c>
      <c r="D96" s="74" t="s">
        <v>420</v>
      </c>
      <c r="E96" s="74" t="s">
        <v>421</v>
      </c>
      <c r="F96" s="66" t="s">
        <v>266</v>
      </c>
      <c r="G96" s="58">
        <v>159000</v>
      </c>
      <c r="H96" s="72"/>
      <c r="I96" s="57"/>
      <c r="J96" s="99">
        <f t="shared" si="17"/>
        <v>346550</v>
      </c>
      <c r="K96" s="73" t="s">
        <v>389</v>
      </c>
      <c r="L96" s="99">
        <f t="shared" si="15"/>
        <v>271150</v>
      </c>
      <c r="M96" s="73" t="s">
        <v>390</v>
      </c>
      <c r="N96" s="99">
        <f t="shared" si="16"/>
        <v>230550</v>
      </c>
      <c r="O96" s="73" t="s">
        <v>391</v>
      </c>
      <c r="P96" s="72"/>
      <c r="Q96" s="73"/>
      <c r="R96" s="72"/>
      <c r="S96" s="73"/>
      <c r="T96" s="74"/>
      <c r="W96" s="72">
        <v>239000</v>
      </c>
      <c r="X96" s="73" t="s">
        <v>389</v>
      </c>
      <c r="Y96" s="72">
        <v>187000</v>
      </c>
      <c r="Z96" s="73" t="s">
        <v>390</v>
      </c>
      <c r="AA96" s="72">
        <v>159000</v>
      </c>
      <c r="AB96" s="73" t="s">
        <v>391</v>
      </c>
    </row>
    <row r="97" spans="3:28" ht="18.95" customHeight="1">
      <c r="C97" s="64" t="s">
        <v>433</v>
      </c>
      <c r="D97" s="74" t="s">
        <v>434</v>
      </c>
      <c r="E97" s="74" t="s">
        <v>435</v>
      </c>
      <c r="F97" s="66" t="s">
        <v>266</v>
      </c>
      <c r="G97" s="58">
        <v>1761000</v>
      </c>
      <c r="H97" s="72"/>
      <c r="I97" s="57"/>
      <c r="J97" s="99">
        <f t="shared" si="17"/>
        <v>3033400</v>
      </c>
      <c r="K97" s="73" t="s">
        <v>389</v>
      </c>
      <c r="L97" s="99">
        <f t="shared" si="15"/>
        <v>2553450</v>
      </c>
      <c r="M97" s="73" t="s">
        <v>390</v>
      </c>
      <c r="N97" s="99">
        <f t="shared" si="16"/>
        <v>3443750</v>
      </c>
      <c r="O97" s="73" t="s">
        <v>391</v>
      </c>
      <c r="P97" s="72"/>
      <c r="Q97" s="73"/>
      <c r="R97" s="72"/>
      <c r="S97" s="73"/>
      <c r="T97" s="74"/>
      <c r="W97" s="72">
        <v>2092000</v>
      </c>
      <c r="X97" s="73" t="s">
        <v>389</v>
      </c>
      <c r="Y97" s="72">
        <v>1761000</v>
      </c>
      <c r="Z97" s="73" t="s">
        <v>390</v>
      </c>
      <c r="AA97" s="72">
        <v>2375000</v>
      </c>
      <c r="AB97" s="73" t="s">
        <v>391</v>
      </c>
    </row>
    <row r="98" spans="3:28" ht="18.95" customHeight="1">
      <c r="C98" s="64" t="s">
        <v>436</v>
      </c>
      <c r="D98" s="74" t="s">
        <v>437</v>
      </c>
      <c r="E98" s="74" t="s">
        <v>438</v>
      </c>
      <c r="F98" s="66" t="s">
        <v>266</v>
      </c>
      <c r="G98" s="58">
        <v>4722000</v>
      </c>
      <c r="H98" s="72"/>
      <c r="I98" s="57"/>
      <c r="J98" s="99">
        <f t="shared" si="17"/>
        <v>7975000</v>
      </c>
      <c r="K98" s="73" t="s">
        <v>389</v>
      </c>
      <c r="L98" s="99">
        <f t="shared" si="15"/>
        <v>6846900</v>
      </c>
      <c r="M98" s="73" t="s">
        <v>390</v>
      </c>
      <c r="N98" s="99">
        <f t="shared" si="16"/>
        <v>7540000</v>
      </c>
      <c r="O98" s="73" t="s">
        <v>391</v>
      </c>
      <c r="P98" s="72"/>
      <c r="Q98" s="73"/>
      <c r="R98" s="72"/>
      <c r="S98" s="73"/>
      <c r="T98" s="74"/>
      <c r="W98" s="72">
        <v>5500000</v>
      </c>
      <c r="X98" s="73" t="s">
        <v>389</v>
      </c>
      <c r="Y98" s="72">
        <v>4722000</v>
      </c>
      <c r="Z98" s="73" t="s">
        <v>390</v>
      </c>
      <c r="AA98" s="72">
        <v>5200000</v>
      </c>
      <c r="AB98" s="73" t="s">
        <v>391</v>
      </c>
    </row>
    <row r="99" spans="3:28" ht="18.95" customHeight="1">
      <c r="C99" s="64" t="s">
        <v>450</v>
      </c>
      <c r="D99" s="74" t="s">
        <v>451</v>
      </c>
      <c r="E99" s="74" t="s">
        <v>452</v>
      </c>
      <c r="F99" s="66" t="s">
        <v>266</v>
      </c>
      <c r="G99" s="58">
        <v>243620</v>
      </c>
      <c r="H99" s="72"/>
      <c r="I99" s="57"/>
      <c r="J99" s="99">
        <f t="shared" si="17"/>
        <v>353249</v>
      </c>
      <c r="K99" s="73" t="s">
        <v>389</v>
      </c>
      <c r="L99" s="99">
        <f t="shared" si="15"/>
        <v>353249</v>
      </c>
      <c r="M99" s="73" t="s">
        <v>390</v>
      </c>
      <c r="N99" s="99">
        <f t="shared" si="16"/>
        <v>353249</v>
      </c>
      <c r="O99" s="73" t="s">
        <v>391</v>
      </c>
      <c r="P99" s="72"/>
      <c r="Q99" s="73"/>
      <c r="R99" s="72"/>
      <c r="S99" s="73"/>
      <c r="T99" s="74"/>
      <c r="W99" s="72">
        <v>243620</v>
      </c>
      <c r="X99" s="73" t="s">
        <v>389</v>
      </c>
      <c r="Y99" s="72">
        <v>243620</v>
      </c>
      <c r="Z99" s="73" t="s">
        <v>390</v>
      </c>
      <c r="AA99" s="72">
        <v>243620</v>
      </c>
      <c r="AB99" s="73" t="s">
        <v>391</v>
      </c>
    </row>
    <row r="100" spans="3:28" ht="18.95" customHeight="1">
      <c r="C100" s="64" t="s">
        <v>453</v>
      </c>
      <c r="D100" s="74" t="s">
        <v>451</v>
      </c>
      <c r="E100" s="74" t="s">
        <v>454</v>
      </c>
      <c r="F100" s="66" t="s">
        <v>266</v>
      </c>
      <c r="G100" s="58">
        <v>274300</v>
      </c>
      <c r="H100" s="72"/>
      <c r="I100" s="57"/>
      <c r="J100" s="99">
        <f t="shared" si="17"/>
        <v>397735</v>
      </c>
      <c r="K100" s="73" t="s">
        <v>389</v>
      </c>
      <c r="L100" s="99">
        <f t="shared" si="15"/>
        <v>397735</v>
      </c>
      <c r="M100" s="73" t="s">
        <v>390</v>
      </c>
      <c r="N100" s="99">
        <f t="shared" si="16"/>
        <v>397735</v>
      </c>
      <c r="O100" s="73" t="s">
        <v>391</v>
      </c>
      <c r="P100" s="72"/>
      <c r="Q100" s="73"/>
      <c r="R100" s="72"/>
      <c r="S100" s="73"/>
      <c r="T100" s="74"/>
      <c r="W100" s="72">
        <v>274300</v>
      </c>
      <c r="X100" s="73" t="s">
        <v>389</v>
      </c>
      <c r="Y100" s="72">
        <v>274300</v>
      </c>
      <c r="Z100" s="73" t="s">
        <v>390</v>
      </c>
      <c r="AA100" s="72">
        <v>274300</v>
      </c>
      <c r="AB100" s="73" t="s">
        <v>391</v>
      </c>
    </row>
    <row r="101" spans="3:28" ht="18.95" customHeight="1">
      <c r="C101" s="64" t="s">
        <v>462</v>
      </c>
      <c r="D101" s="74" t="s">
        <v>463</v>
      </c>
      <c r="E101" s="74" t="s">
        <v>464</v>
      </c>
      <c r="F101" s="66" t="s">
        <v>266</v>
      </c>
      <c r="G101" s="58">
        <v>215890</v>
      </c>
      <c r="H101" s="72"/>
      <c r="I101" s="57"/>
      <c r="J101" s="99">
        <f t="shared" si="17"/>
        <v>313040</v>
      </c>
      <c r="K101" s="73" t="s">
        <v>389</v>
      </c>
      <c r="L101" s="99">
        <f t="shared" si="15"/>
        <v>313040</v>
      </c>
      <c r="M101" s="73" t="s">
        <v>390</v>
      </c>
      <c r="N101" s="99">
        <f t="shared" si="16"/>
        <v>313040</v>
      </c>
      <c r="O101" s="73" t="s">
        <v>391</v>
      </c>
      <c r="P101" s="72"/>
      <c r="Q101" s="73"/>
      <c r="R101" s="72"/>
      <c r="S101" s="73"/>
      <c r="T101" s="74"/>
      <c r="W101" s="72">
        <v>215890</v>
      </c>
      <c r="X101" s="73" t="s">
        <v>389</v>
      </c>
      <c r="Y101" s="72">
        <v>215890</v>
      </c>
      <c r="Z101" s="73" t="s">
        <v>390</v>
      </c>
      <c r="AA101" s="72">
        <v>215890</v>
      </c>
      <c r="AB101" s="73" t="s">
        <v>391</v>
      </c>
    </row>
    <row r="102" spans="3:28" ht="18.95" customHeight="1">
      <c r="C102" s="64" t="s">
        <v>465</v>
      </c>
      <c r="D102" s="74" t="s">
        <v>463</v>
      </c>
      <c r="E102" s="74" t="s">
        <v>466</v>
      </c>
      <c r="F102" s="66" t="s">
        <v>266</v>
      </c>
      <c r="G102" s="58">
        <v>158460</v>
      </c>
      <c r="H102" s="72"/>
      <c r="I102" s="57"/>
      <c r="J102" s="99">
        <f t="shared" si="17"/>
        <v>229767</v>
      </c>
      <c r="K102" s="73" t="s">
        <v>389</v>
      </c>
      <c r="L102" s="99">
        <f t="shared" si="15"/>
        <v>229767</v>
      </c>
      <c r="M102" s="73" t="s">
        <v>390</v>
      </c>
      <c r="N102" s="99">
        <f t="shared" si="16"/>
        <v>229767</v>
      </c>
      <c r="O102" s="73" t="s">
        <v>391</v>
      </c>
      <c r="P102" s="72"/>
      <c r="Q102" s="73"/>
      <c r="R102" s="72"/>
      <c r="S102" s="73"/>
      <c r="T102" s="74"/>
      <c r="W102" s="72">
        <v>158460</v>
      </c>
      <c r="X102" s="73" t="s">
        <v>389</v>
      </c>
      <c r="Y102" s="72">
        <v>158460</v>
      </c>
      <c r="Z102" s="73" t="s">
        <v>390</v>
      </c>
      <c r="AA102" s="72">
        <v>158460</v>
      </c>
      <c r="AB102" s="73" t="s">
        <v>391</v>
      </c>
    </row>
    <row r="103" spans="3:28" ht="18.95" customHeight="1">
      <c r="C103" s="64" t="s">
        <v>467</v>
      </c>
      <c r="D103" s="74" t="s">
        <v>468</v>
      </c>
      <c r="E103" s="74" t="s">
        <v>414</v>
      </c>
      <c r="F103" s="66" t="s">
        <v>266</v>
      </c>
      <c r="G103" s="58">
        <v>5951000</v>
      </c>
      <c r="H103" s="72"/>
      <c r="I103" s="57"/>
      <c r="J103" s="99">
        <f t="shared" si="17"/>
        <v>178306500</v>
      </c>
      <c r="K103" s="73" t="s">
        <v>389</v>
      </c>
      <c r="L103" s="99">
        <f t="shared" si="15"/>
        <v>8628950</v>
      </c>
      <c r="M103" s="73" t="s">
        <v>390</v>
      </c>
      <c r="N103" s="99">
        <f t="shared" si="16"/>
        <v>18361350</v>
      </c>
      <c r="O103" s="73" t="s">
        <v>391</v>
      </c>
      <c r="P103" s="72"/>
      <c r="Q103" s="73"/>
      <c r="R103" s="72"/>
      <c r="S103" s="73"/>
      <c r="T103" s="74"/>
      <c r="W103" s="72">
        <v>122970000</v>
      </c>
      <c r="X103" s="73" t="s">
        <v>389</v>
      </c>
      <c r="Y103" s="72">
        <v>5951000</v>
      </c>
      <c r="Z103" s="73" t="s">
        <v>390</v>
      </c>
      <c r="AA103" s="72">
        <v>12663000</v>
      </c>
      <c r="AB103" s="73" t="s">
        <v>391</v>
      </c>
    </row>
    <row r="104" spans="3:28" ht="18.95" customHeight="1">
      <c r="C104" s="64" t="s">
        <v>484</v>
      </c>
      <c r="D104" s="74" t="s">
        <v>485</v>
      </c>
      <c r="E104" s="74" t="s">
        <v>486</v>
      </c>
      <c r="F104" s="66" t="s">
        <v>266</v>
      </c>
      <c r="G104" s="58">
        <v>4600</v>
      </c>
      <c r="H104" s="72"/>
      <c r="I104" s="57"/>
      <c r="J104" s="99">
        <f t="shared" si="17"/>
        <v>6670</v>
      </c>
      <c r="K104" s="73" t="s">
        <v>389</v>
      </c>
      <c r="L104" s="99">
        <f t="shared" si="15"/>
        <v>6670</v>
      </c>
      <c r="M104" s="73" t="s">
        <v>390</v>
      </c>
      <c r="N104" s="99">
        <f t="shared" si="16"/>
        <v>6670</v>
      </c>
      <c r="O104" s="73" t="s">
        <v>391</v>
      </c>
      <c r="P104" s="72"/>
      <c r="Q104" s="73"/>
      <c r="R104" s="72"/>
      <c r="S104" s="73"/>
      <c r="T104" s="74"/>
      <c r="W104" s="72">
        <v>4600</v>
      </c>
      <c r="X104" s="73" t="s">
        <v>389</v>
      </c>
      <c r="Y104" s="72">
        <v>4600</v>
      </c>
      <c r="Z104" s="73" t="s">
        <v>390</v>
      </c>
      <c r="AA104" s="72">
        <v>4600</v>
      </c>
      <c r="AB104" s="73" t="s">
        <v>391</v>
      </c>
    </row>
    <row r="105" spans="3:28" ht="18.95" customHeight="1">
      <c r="C105" s="64" t="s">
        <v>487</v>
      </c>
      <c r="D105" s="74" t="s">
        <v>485</v>
      </c>
      <c r="E105" s="74" t="s">
        <v>488</v>
      </c>
      <c r="F105" s="66" t="s">
        <v>266</v>
      </c>
      <c r="G105" s="58">
        <v>5580</v>
      </c>
      <c r="H105" s="72"/>
      <c r="I105" s="57"/>
      <c r="J105" s="99">
        <f t="shared" si="17"/>
        <v>8091</v>
      </c>
      <c r="K105" s="73" t="s">
        <v>389</v>
      </c>
      <c r="L105" s="99">
        <f t="shared" si="15"/>
        <v>8091</v>
      </c>
      <c r="M105" s="73" t="s">
        <v>390</v>
      </c>
      <c r="N105" s="99">
        <f t="shared" si="16"/>
        <v>8091</v>
      </c>
      <c r="O105" s="73" t="s">
        <v>391</v>
      </c>
      <c r="P105" s="72"/>
      <c r="Q105" s="73"/>
      <c r="R105" s="72"/>
      <c r="S105" s="73"/>
      <c r="T105" s="74"/>
      <c r="W105" s="72">
        <v>5580</v>
      </c>
      <c r="X105" s="73" t="s">
        <v>389</v>
      </c>
      <c r="Y105" s="72">
        <v>5580</v>
      </c>
      <c r="Z105" s="73" t="s">
        <v>390</v>
      </c>
      <c r="AA105" s="72">
        <v>5580</v>
      </c>
      <c r="AB105" s="73" t="s">
        <v>391</v>
      </c>
    </row>
    <row r="106" spans="3:28" ht="18.95" customHeight="1">
      <c r="C106" s="64" t="s">
        <v>489</v>
      </c>
      <c r="D106" s="74" t="s">
        <v>490</v>
      </c>
      <c r="E106" s="74" t="s">
        <v>491</v>
      </c>
      <c r="F106" s="66" t="s">
        <v>266</v>
      </c>
      <c r="G106" s="58">
        <v>27930</v>
      </c>
      <c r="H106" s="72"/>
      <c r="I106" s="57"/>
      <c r="J106" s="99">
        <f t="shared" si="17"/>
        <v>40498</v>
      </c>
      <c r="K106" s="73" t="s">
        <v>389</v>
      </c>
      <c r="L106" s="99">
        <f t="shared" si="15"/>
        <v>40498</v>
      </c>
      <c r="M106" s="73" t="s">
        <v>390</v>
      </c>
      <c r="N106" s="99">
        <f t="shared" si="16"/>
        <v>40498</v>
      </c>
      <c r="O106" s="73" t="s">
        <v>391</v>
      </c>
      <c r="P106" s="72"/>
      <c r="Q106" s="73"/>
      <c r="R106" s="72"/>
      <c r="S106" s="73"/>
      <c r="T106" s="74"/>
      <c r="W106" s="72">
        <v>27930</v>
      </c>
      <c r="X106" s="73" t="s">
        <v>389</v>
      </c>
      <c r="Y106" s="72">
        <v>27930</v>
      </c>
      <c r="Z106" s="73" t="s">
        <v>390</v>
      </c>
      <c r="AA106" s="72">
        <v>27930</v>
      </c>
      <c r="AB106" s="73" t="s">
        <v>391</v>
      </c>
    </row>
    <row r="107" spans="3:28" ht="18.95" customHeight="1">
      <c r="C107" s="64" t="s">
        <v>492</v>
      </c>
      <c r="D107" s="74" t="s">
        <v>490</v>
      </c>
      <c r="E107" s="74" t="s">
        <v>493</v>
      </c>
      <c r="F107" s="66" t="s">
        <v>266</v>
      </c>
      <c r="G107" s="58">
        <v>54290</v>
      </c>
      <c r="H107" s="72"/>
      <c r="I107" s="57"/>
      <c r="J107" s="99">
        <f t="shared" si="17"/>
        <v>78720</v>
      </c>
      <c r="K107" s="73" t="s">
        <v>389</v>
      </c>
      <c r="L107" s="99">
        <f t="shared" si="15"/>
        <v>78720</v>
      </c>
      <c r="M107" s="73" t="s">
        <v>390</v>
      </c>
      <c r="N107" s="99">
        <f t="shared" si="16"/>
        <v>78720</v>
      </c>
      <c r="O107" s="73" t="s">
        <v>391</v>
      </c>
      <c r="P107" s="72"/>
      <c r="Q107" s="73"/>
      <c r="R107" s="72"/>
      <c r="S107" s="73"/>
      <c r="T107" s="74"/>
      <c r="W107" s="72">
        <v>54290</v>
      </c>
      <c r="X107" s="73" t="s">
        <v>389</v>
      </c>
      <c r="Y107" s="72">
        <v>54290</v>
      </c>
      <c r="Z107" s="73" t="s">
        <v>390</v>
      </c>
      <c r="AA107" s="72">
        <v>54290</v>
      </c>
      <c r="AB107" s="73" t="s">
        <v>391</v>
      </c>
    </row>
    <row r="108" spans="3:28" ht="18.95" customHeight="1">
      <c r="C108" s="64" t="s">
        <v>494</v>
      </c>
      <c r="D108" s="74" t="s">
        <v>490</v>
      </c>
      <c r="E108" s="74" t="s">
        <v>495</v>
      </c>
      <c r="F108" s="66" t="s">
        <v>266</v>
      </c>
      <c r="G108" s="58">
        <v>124850</v>
      </c>
      <c r="H108" s="72"/>
      <c r="I108" s="57"/>
      <c r="J108" s="99">
        <f t="shared" si="17"/>
        <v>181032</v>
      </c>
      <c r="K108" s="73" t="s">
        <v>389</v>
      </c>
      <c r="L108" s="99">
        <f t="shared" si="15"/>
        <v>181032</v>
      </c>
      <c r="M108" s="73" t="s">
        <v>390</v>
      </c>
      <c r="N108" s="99">
        <f t="shared" si="16"/>
        <v>181032</v>
      </c>
      <c r="O108" s="73" t="s">
        <v>391</v>
      </c>
      <c r="P108" s="72"/>
      <c r="Q108" s="73"/>
      <c r="R108" s="72"/>
      <c r="S108" s="73"/>
      <c r="T108" s="74"/>
      <c r="W108" s="72">
        <v>124850</v>
      </c>
      <c r="X108" s="73" t="s">
        <v>389</v>
      </c>
      <c r="Y108" s="72">
        <v>124850</v>
      </c>
      <c r="Z108" s="73" t="s">
        <v>390</v>
      </c>
      <c r="AA108" s="72">
        <v>124850</v>
      </c>
      <c r="AB108" s="73" t="s">
        <v>391</v>
      </c>
    </row>
    <row r="109" spans="3:28" ht="18.95" customHeight="1">
      <c r="C109" s="64" t="s">
        <v>496</v>
      </c>
      <c r="D109" s="74" t="s">
        <v>490</v>
      </c>
      <c r="E109" s="74" t="s">
        <v>497</v>
      </c>
      <c r="F109" s="66" t="s">
        <v>266</v>
      </c>
      <c r="G109" s="58">
        <v>109760</v>
      </c>
      <c r="H109" s="72"/>
      <c r="I109" s="57"/>
      <c r="J109" s="99">
        <f t="shared" si="17"/>
        <v>159152</v>
      </c>
      <c r="K109" s="73" t="s">
        <v>389</v>
      </c>
      <c r="L109" s="99">
        <f t="shared" si="15"/>
        <v>159152</v>
      </c>
      <c r="M109" s="73" t="s">
        <v>390</v>
      </c>
      <c r="N109" s="99">
        <f t="shared" si="16"/>
        <v>159152</v>
      </c>
      <c r="O109" s="73" t="s">
        <v>391</v>
      </c>
      <c r="P109" s="72"/>
      <c r="Q109" s="73"/>
      <c r="R109" s="72"/>
      <c r="S109" s="73"/>
      <c r="T109" s="74"/>
      <c r="W109" s="72">
        <v>109760</v>
      </c>
      <c r="X109" s="73" t="s">
        <v>389</v>
      </c>
      <c r="Y109" s="72">
        <v>109760</v>
      </c>
      <c r="Z109" s="73" t="s">
        <v>390</v>
      </c>
      <c r="AA109" s="72">
        <v>109760</v>
      </c>
      <c r="AB109" s="73" t="s">
        <v>391</v>
      </c>
    </row>
    <row r="110" spans="3:28" ht="18.95" customHeight="1">
      <c r="C110" s="64" t="s">
        <v>502</v>
      </c>
      <c r="D110" s="74" t="s">
        <v>503</v>
      </c>
      <c r="E110" s="74" t="s">
        <v>504</v>
      </c>
      <c r="F110" s="66" t="s">
        <v>266</v>
      </c>
      <c r="G110" s="58">
        <v>355000</v>
      </c>
      <c r="H110" s="72"/>
      <c r="I110" s="57"/>
      <c r="J110" s="99">
        <f t="shared" si="17"/>
        <v>514750</v>
      </c>
      <c r="K110" s="73" t="s">
        <v>389</v>
      </c>
      <c r="L110" s="99">
        <f t="shared" si="15"/>
        <v>514750</v>
      </c>
      <c r="M110" s="73" t="s">
        <v>390</v>
      </c>
      <c r="N110" s="99">
        <f t="shared" si="16"/>
        <v>514750</v>
      </c>
      <c r="O110" s="73" t="s">
        <v>391</v>
      </c>
      <c r="P110" s="72"/>
      <c r="Q110" s="73"/>
      <c r="R110" s="72"/>
      <c r="S110" s="73"/>
      <c r="T110" s="74"/>
      <c r="W110" s="72">
        <v>355000</v>
      </c>
      <c r="X110" s="73" t="s">
        <v>389</v>
      </c>
      <c r="Y110" s="72">
        <v>355000</v>
      </c>
      <c r="Z110" s="73" t="s">
        <v>390</v>
      </c>
      <c r="AA110" s="72">
        <v>355000</v>
      </c>
      <c r="AB110" s="73" t="s">
        <v>391</v>
      </c>
    </row>
    <row r="111" spans="3:28" ht="18.95" customHeight="1">
      <c r="C111" s="64" t="s">
        <v>505</v>
      </c>
      <c r="D111" s="74" t="s">
        <v>506</v>
      </c>
      <c r="E111" s="74" t="s">
        <v>507</v>
      </c>
      <c r="F111" s="66" t="s">
        <v>266</v>
      </c>
      <c r="G111" s="58">
        <v>61440</v>
      </c>
      <c r="H111" s="72"/>
      <c r="I111" s="57"/>
      <c r="J111" s="99">
        <f t="shared" si="17"/>
        <v>89088</v>
      </c>
      <c r="K111" s="73" t="s">
        <v>389</v>
      </c>
      <c r="L111" s="99">
        <f t="shared" si="15"/>
        <v>89088</v>
      </c>
      <c r="M111" s="73" t="s">
        <v>390</v>
      </c>
      <c r="N111" s="99">
        <f t="shared" si="16"/>
        <v>89088</v>
      </c>
      <c r="O111" s="73" t="s">
        <v>391</v>
      </c>
      <c r="P111" s="72"/>
      <c r="Q111" s="73"/>
      <c r="R111" s="72"/>
      <c r="S111" s="73"/>
      <c r="T111" s="74"/>
      <c r="W111" s="72">
        <v>61440</v>
      </c>
      <c r="X111" s="73" t="s">
        <v>389</v>
      </c>
      <c r="Y111" s="72">
        <v>61440</v>
      </c>
      <c r="Z111" s="73" t="s">
        <v>390</v>
      </c>
      <c r="AA111" s="72">
        <v>61440</v>
      </c>
      <c r="AB111" s="73" t="s">
        <v>391</v>
      </c>
    </row>
    <row r="112" spans="3:28" ht="18.95" customHeight="1">
      <c r="C112" s="64" t="s">
        <v>508</v>
      </c>
      <c r="D112" s="74" t="s">
        <v>506</v>
      </c>
      <c r="E112" s="74" t="s">
        <v>509</v>
      </c>
      <c r="F112" s="66" t="s">
        <v>266</v>
      </c>
      <c r="G112" s="58">
        <v>107500</v>
      </c>
      <c r="H112" s="72"/>
      <c r="I112" s="57"/>
      <c r="J112" s="99">
        <f t="shared" si="17"/>
        <v>155875</v>
      </c>
      <c r="K112" s="73" t="s">
        <v>389</v>
      </c>
      <c r="L112" s="99">
        <f t="shared" si="15"/>
        <v>155875</v>
      </c>
      <c r="M112" s="73" t="s">
        <v>390</v>
      </c>
      <c r="N112" s="99">
        <f t="shared" si="16"/>
        <v>155875</v>
      </c>
      <c r="O112" s="73" t="s">
        <v>391</v>
      </c>
      <c r="P112" s="72"/>
      <c r="Q112" s="73"/>
      <c r="R112" s="72"/>
      <c r="S112" s="73"/>
      <c r="T112" s="74"/>
      <c r="W112" s="72">
        <v>107500</v>
      </c>
      <c r="X112" s="73" t="s">
        <v>389</v>
      </c>
      <c r="Y112" s="72">
        <v>107500</v>
      </c>
      <c r="Z112" s="73" t="s">
        <v>390</v>
      </c>
      <c r="AA112" s="72">
        <v>107500</v>
      </c>
      <c r="AB112" s="73" t="s">
        <v>391</v>
      </c>
    </row>
    <row r="113" spans="3:20" ht="18.95" customHeight="1">
      <c r="C113" s="64" t="s">
        <v>517</v>
      </c>
      <c r="D113" s="74" t="s">
        <v>518</v>
      </c>
      <c r="E113" s="74" t="s">
        <v>519</v>
      </c>
      <c r="F113" s="66" t="s">
        <v>294</v>
      </c>
      <c r="G113" s="58" t="s">
        <v>520</v>
      </c>
      <c r="H113" s="72">
        <v>442</v>
      </c>
      <c r="I113" s="57" t="s">
        <v>521</v>
      </c>
      <c r="J113" s="72">
        <v>1354</v>
      </c>
      <c r="K113" s="73" t="s">
        <v>522</v>
      </c>
      <c r="L113" s="72">
        <v>537</v>
      </c>
      <c r="M113" s="73" t="s">
        <v>520</v>
      </c>
      <c r="N113" s="72"/>
      <c r="O113" s="73"/>
      <c r="P113" s="72"/>
      <c r="Q113" s="73"/>
      <c r="R113" s="72"/>
      <c r="S113" s="73"/>
      <c r="T113" s="74"/>
    </row>
    <row r="114" spans="3:20" ht="18.95" customHeight="1">
      <c r="C114" s="64" t="s">
        <v>523</v>
      </c>
      <c r="D114" s="74" t="s">
        <v>524</v>
      </c>
      <c r="E114" s="74" t="s">
        <v>519</v>
      </c>
      <c r="F114" s="66" t="s">
        <v>294</v>
      </c>
      <c r="G114" s="58" t="s">
        <v>520</v>
      </c>
      <c r="H114" s="72">
        <v>442</v>
      </c>
      <c r="I114" s="57" t="s">
        <v>521</v>
      </c>
      <c r="J114" s="72">
        <v>1354</v>
      </c>
      <c r="K114" s="73" t="s">
        <v>522</v>
      </c>
      <c r="L114" s="72">
        <v>537</v>
      </c>
      <c r="M114" s="73" t="s">
        <v>520</v>
      </c>
      <c r="N114" s="72"/>
      <c r="O114" s="73"/>
      <c r="P114" s="72"/>
      <c r="Q114" s="73"/>
      <c r="R114" s="72"/>
      <c r="S114" s="73"/>
      <c r="T114" s="74"/>
    </row>
    <row r="115" spans="3:20" ht="18.95" customHeight="1">
      <c r="C115" s="64" t="s">
        <v>525</v>
      </c>
      <c r="D115" s="74" t="s">
        <v>526</v>
      </c>
      <c r="E115" s="74" t="s">
        <v>527</v>
      </c>
      <c r="F115" s="66" t="s">
        <v>528</v>
      </c>
      <c r="G115" s="58" t="s">
        <v>520</v>
      </c>
      <c r="H115" s="72">
        <v>276</v>
      </c>
      <c r="I115" s="57" t="s">
        <v>521</v>
      </c>
      <c r="J115" s="72">
        <v>984</v>
      </c>
      <c r="K115" s="73" t="s">
        <v>522</v>
      </c>
      <c r="L115" s="72">
        <v>961</v>
      </c>
      <c r="M115" s="73" t="s">
        <v>520</v>
      </c>
      <c r="N115" s="72"/>
      <c r="O115" s="73"/>
      <c r="P115" s="72"/>
      <c r="Q115" s="73"/>
      <c r="R115" s="72"/>
      <c r="S115" s="73"/>
      <c r="T115" s="74"/>
    </row>
    <row r="116" spans="3:20" ht="18.95" customHeight="1">
      <c r="C116" s="64" t="s">
        <v>529</v>
      </c>
      <c r="D116" s="74" t="s">
        <v>530</v>
      </c>
      <c r="E116" s="74" t="s">
        <v>531</v>
      </c>
      <c r="F116" s="66" t="s">
        <v>532</v>
      </c>
      <c r="G116" s="58">
        <v>273676</v>
      </c>
      <c r="H116" s="72"/>
      <c r="I116" s="57"/>
      <c r="J116" s="72"/>
      <c r="K116" s="73"/>
      <c r="L116" s="72"/>
      <c r="M116" s="73"/>
      <c r="N116" s="72"/>
      <c r="O116" s="73"/>
      <c r="P116" s="72"/>
      <c r="Q116" s="73"/>
      <c r="R116" s="72"/>
      <c r="S116" s="73"/>
      <c r="T116" s="74"/>
    </row>
    <row r="117" spans="3:20" ht="18.95" customHeight="1">
      <c r="C117" s="64" t="s">
        <v>533</v>
      </c>
      <c r="D117" s="74" t="s">
        <v>530</v>
      </c>
      <c r="E117" s="74" t="s">
        <v>534</v>
      </c>
      <c r="F117" s="66" t="s">
        <v>532</v>
      </c>
      <c r="G117" s="58">
        <v>304156</v>
      </c>
      <c r="H117" s="72"/>
      <c r="I117" s="57"/>
      <c r="J117" s="72"/>
      <c r="K117" s="73"/>
      <c r="L117" s="72"/>
      <c r="M117" s="73"/>
      <c r="N117" s="72"/>
      <c r="O117" s="73"/>
      <c r="P117" s="72"/>
      <c r="Q117" s="73"/>
      <c r="R117" s="72"/>
      <c r="S117" s="73"/>
      <c r="T117" s="74"/>
    </row>
    <row r="118" spans="3:20" ht="18.95" customHeight="1">
      <c r="C118" s="64" t="s">
        <v>535</v>
      </c>
      <c r="D118" s="74" t="s">
        <v>530</v>
      </c>
      <c r="E118" s="74" t="s">
        <v>536</v>
      </c>
      <c r="F118" s="66" t="s">
        <v>532</v>
      </c>
      <c r="G118" s="58">
        <v>440616</v>
      </c>
      <c r="H118" s="72"/>
      <c r="I118" s="57"/>
      <c r="J118" s="72"/>
      <c r="K118" s="73"/>
      <c r="L118" s="72"/>
      <c r="M118" s="73"/>
      <c r="N118" s="72"/>
      <c r="O118" s="73"/>
      <c r="P118" s="72"/>
      <c r="Q118" s="73"/>
      <c r="R118" s="72"/>
      <c r="S118" s="73"/>
      <c r="T118" s="74"/>
    </row>
    <row r="119" spans="3:20" ht="18.95" customHeight="1">
      <c r="C119" s="64" t="s">
        <v>537</v>
      </c>
      <c r="D119" s="74" t="s">
        <v>530</v>
      </c>
      <c r="E119" s="74" t="s">
        <v>538</v>
      </c>
      <c r="F119" s="66" t="s">
        <v>532</v>
      </c>
      <c r="G119" s="58">
        <v>414968</v>
      </c>
      <c r="H119" s="72"/>
      <c r="I119" s="57"/>
      <c r="J119" s="72"/>
      <c r="K119" s="73"/>
      <c r="L119" s="72"/>
      <c r="M119" s="73"/>
      <c r="N119" s="72"/>
      <c r="O119" s="73"/>
      <c r="P119" s="72"/>
      <c r="Q119" s="73"/>
      <c r="R119" s="72"/>
      <c r="S119" s="73"/>
      <c r="T119" s="74"/>
    </row>
    <row r="120" spans="3:20" ht="18.95" customHeight="1">
      <c r="C120" s="64" t="s">
        <v>539</v>
      </c>
      <c r="D120" s="74" t="s">
        <v>530</v>
      </c>
      <c r="E120" s="74" t="s">
        <v>540</v>
      </c>
      <c r="F120" s="66" t="s">
        <v>532</v>
      </c>
      <c r="G120" s="58">
        <v>436224</v>
      </c>
      <c r="H120" s="72"/>
      <c r="I120" s="57"/>
      <c r="J120" s="72"/>
      <c r="K120" s="73"/>
      <c r="L120" s="72"/>
      <c r="M120" s="73"/>
      <c r="N120" s="72"/>
      <c r="O120" s="73"/>
      <c r="P120" s="72"/>
      <c r="Q120" s="73"/>
      <c r="R120" s="72"/>
      <c r="S120" s="73"/>
      <c r="T120" s="74"/>
    </row>
    <row r="121" spans="3:20" ht="18.95" customHeight="1">
      <c r="C121" s="64" t="s">
        <v>541</v>
      </c>
      <c r="D121" s="74" t="s">
        <v>530</v>
      </c>
      <c r="E121" s="74" t="s">
        <v>542</v>
      </c>
      <c r="F121" s="66" t="s">
        <v>532</v>
      </c>
      <c r="G121" s="58">
        <v>315528</v>
      </c>
      <c r="H121" s="72"/>
      <c r="I121" s="57"/>
      <c r="J121" s="72"/>
      <c r="K121" s="73"/>
      <c r="L121" s="72"/>
      <c r="M121" s="73"/>
      <c r="N121" s="72"/>
      <c r="O121" s="73"/>
      <c r="P121" s="72"/>
      <c r="Q121" s="73"/>
      <c r="R121" s="72"/>
      <c r="S121" s="73"/>
      <c r="T121" s="74"/>
    </row>
    <row r="122" spans="3:20" ht="18.95" customHeight="1">
      <c r="C122" s="64" t="s">
        <v>543</v>
      </c>
      <c r="D122" s="74" t="s">
        <v>530</v>
      </c>
      <c r="E122" s="74" t="s">
        <v>544</v>
      </c>
      <c r="F122" s="66" t="s">
        <v>532</v>
      </c>
      <c r="G122" s="58">
        <v>408942</v>
      </c>
      <c r="H122" s="72"/>
      <c r="I122" s="57"/>
      <c r="J122" s="72"/>
      <c r="K122" s="73"/>
      <c r="L122" s="72"/>
      <c r="M122" s="73"/>
      <c r="N122" s="72"/>
      <c r="O122" s="73"/>
      <c r="P122" s="72"/>
      <c r="Q122" s="73"/>
      <c r="R122" s="72"/>
      <c r="S122" s="73"/>
      <c r="T122" s="74"/>
    </row>
    <row r="123" spans="3:20" ht="18.95" customHeight="1">
      <c r="C123" s="64" t="s">
        <v>545</v>
      </c>
      <c r="D123" s="74" t="s">
        <v>530</v>
      </c>
      <c r="E123" s="74" t="s">
        <v>546</v>
      </c>
      <c r="F123" s="66" t="s">
        <v>532</v>
      </c>
      <c r="G123" s="58">
        <v>304509</v>
      </c>
      <c r="H123" s="72"/>
      <c r="I123" s="57"/>
      <c r="J123" s="72"/>
      <c r="K123" s="73"/>
      <c r="L123" s="72"/>
      <c r="M123" s="73"/>
      <c r="N123" s="72"/>
      <c r="O123" s="73"/>
      <c r="P123" s="72"/>
      <c r="Q123" s="73"/>
      <c r="R123" s="72"/>
      <c r="S123" s="73"/>
      <c r="T123" s="74"/>
    </row>
    <row r="124" spans="3:20" ht="18.95" customHeight="1">
      <c r="C124" s="64" t="s">
        <v>547</v>
      </c>
      <c r="D124" s="74" t="s">
        <v>530</v>
      </c>
      <c r="E124" s="74" t="s">
        <v>548</v>
      </c>
      <c r="F124" s="66" t="s">
        <v>532</v>
      </c>
      <c r="G124" s="58">
        <v>471349</v>
      </c>
      <c r="H124" s="72"/>
      <c r="I124" s="57"/>
      <c r="J124" s="72"/>
      <c r="K124" s="73"/>
      <c r="L124" s="72"/>
      <c r="M124" s="73"/>
      <c r="N124" s="72"/>
      <c r="O124" s="73"/>
      <c r="P124" s="72"/>
      <c r="Q124" s="73"/>
      <c r="R124" s="72"/>
      <c r="S124" s="73"/>
      <c r="T124" s="74"/>
    </row>
    <row r="125" spans="3:20" ht="18.95" customHeight="1">
      <c r="C125" s="64" t="s">
        <v>549</v>
      </c>
      <c r="D125" s="74" t="s">
        <v>530</v>
      </c>
      <c r="E125" s="74" t="s">
        <v>550</v>
      </c>
      <c r="F125" s="66" t="s">
        <v>532</v>
      </c>
      <c r="G125" s="58">
        <v>172068</v>
      </c>
      <c r="H125" s="72"/>
      <c r="I125" s="57"/>
      <c r="J125" s="72"/>
      <c r="K125" s="73"/>
      <c r="L125" s="72"/>
      <c r="M125" s="73"/>
      <c r="N125" s="72"/>
      <c r="O125" s="73"/>
      <c r="P125" s="72"/>
      <c r="Q125" s="73"/>
      <c r="R125" s="72"/>
      <c r="S125" s="73"/>
      <c r="T125" s="74"/>
    </row>
    <row r="126" spans="3:20" ht="18.95" customHeight="1">
      <c r="C126" s="64" t="s">
        <v>551</v>
      </c>
      <c r="D126" s="74" t="s">
        <v>530</v>
      </c>
      <c r="E126" s="74" t="s">
        <v>552</v>
      </c>
      <c r="F126" s="66" t="s">
        <v>532</v>
      </c>
      <c r="G126" s="58">
        <v>226122</v>
      </c>
      <c r="H126" s="72"/>
      <c r="I126" s="57"/>
      <c r="J126" s="72"/>
      <c r="K126" s="73"/>
      <c r="L126" s="72"/>
      <c r="M126" s="73"/>
      <c r="N126" s="72"/>
      <c r="O126" s="73"/>
      <c r="P126" s="72"/>
      <c r="Q126" s="73"/>
      <c r="R126" s="72"/>
      <c r="S126" s="73"/>
      <c r="T126" s="74"/>
    </row>
    <row r="127" spans="3:20" ht="18.95" customHeight="1">
      <c r="C127" s="64" t="s">
        <v>553</v>
      </c>
      <c r="D127" s="74" t="s">
        <v>530</v>
      </c>
      <c r="E127" s="74" t="s">
        <v>554</v>
      </c>
      <c r="F127" s="66" t="s">
        <v>532</v>
      </c>
      <c r="G127" s="58">
        <v>281939</v>
      </c>
      <c r="H127" s="72"/>
      <c r="I127" s="57"/>
      <c r="J127" s="72"/>
      <c r="K127" s="73"/>
      <c r="L127" s="72"/>
      <c r="M127" s="73"/>
      <c r="N127" s="72"/>
      <c r="O127" s="73"/>
      <c r="P127" s="72"/>
      <c r="Q127" s="73"/>
      <c r="R127" s="72"/>
      <c r="S127" s="73"/>
      <c r="T127" s="74"/>
    </row>
    <row r="128" spans="3:20" ht="18.95" customHeight="1">
      <c r="C128" s="64" t="s">
        <v>555</v>
      </c>
      <c r="D128" s="74" t="s">
        <v>530</v>
      </c>
      <c r="E128" s="74" t="s">
        <v>556</v>
      </c>
      <c r="F128" s="66" t="s">
        <v>532</v>
      </c>
      <c r="G128" s="58">
        <v>275790</v>
      </c>
      <c r="H128" s="72"/>
      <c r="I128" s="57"/>
      <c r="J128" s="72"/>
      <c r="K128" s="73"/>
      <c r="L128" s="72"/>
      <c r="M128" s="73"/>
      <c r="N128" s="72"/>
      <c r="O128" s="73"/>
      <c r="P128" s="72"/>
      <c r="Q128" s="73"/>
      <c r="R128" s="72"/>
      <c r="S128" s="73"/>
      <c r="T128" s="74"/>
    </row>
    <row r="129" spans="3:20" ht="18.95" customHeight="1">
      <c r="C129" s="64" t="s">
        <v>557</v>
      </c>
      <c r="D129" s="74" t="s">
        <v>530</v>
      </c>
      <c r="E129" s="74" t="s">
        <v>558</v>
      </c>
      <c r="F129" s="66" t="s">
        <v>532</v>
      </c>
      <c r="G129" s="58">
        <v>211653</v>
      </c>
      <c r="H129" s="72"/>
      <c r="I129" s="57"/>
      <c r="J129" s="72"/>
      <c r="K129" s="73"/>
      <c r="L129" s="72"/>
      <c r="M129" s="73"/>
      <c r="N129" s="72"/>
      <c r="O129" s="73"/>
      <c r="P129" s="72"/>
      <c r="Q129" s="73"/>
      <c r="R129" s="72"/>
      <c r="S129" s="73"/>
      <c r="T129" s="74"/>
    </row>
    <row r="130" spans="3:20" ht="18.95" customHeight="1">
      <c r="C130" s="64" t="s">
        <v>559</v>
      </c>
      <c r="D130" s="74" t="s">
        <v>530</v>
      </c>
      <c r="E130" s="74" t="s">
        <v>560</v>
      </c>
      <c r="F130" s="66" t="s">
        <v>532</v>
      </c>
      <c r="G130" s="58">
        <v>273540</v>
      </c>
      <c r="H130" s="72"/>
      <c r="I130" s="57"/>
      <c r="J130" s="72"/>
      <c r="K130" s="73"/>
      <c r="L130" s="72"/>
      <c r="M130" s="73"/>
      <c r="N130" s="72"/>
      <c r="O130" s="73"/>
      <c r="P130" s="72"/>
      <c r="Q130" s="73"/>
      <c r="R130" s="72"/>
      <c r="S130" s="73"/>
      <c r="T130" s="74"/>
    </row>
    <row r="131" spans="3:20" ht="18.95" customHeight="1">
      <c r="C131" s="64" t="s">
        <v>561</v>
      </c>
      <c r="D131" s="74" t="s">
        <v>530</v>
      </c>
      <c r="E131" s="74" t="s">
        <v>562</v>
      </c>
      <c r="F131" s="66" t="s">
        <v>532</v>
      </c>
      <c r="G131" s="58">
        <v>393090</v>
      </c>
      <c r="H131" s="72"/>
      <c r="I131" s="57"/>
      <c r="J131" s="72"/>
      <c r="K131" s="73"/>
      <c r="L131" s="72"/>
      <c r="M131" s="73"/>
      <c r="N131" s="72"/>
      <c r="O131" s="73"/>
      <c r="P131" s="72"/>
      <c r="Q131" s="73"/>
      <c r="R131" s="72"/>
      <c r="S131" s="73"/>
      <c r="T131" s="74"/>
    </row>
    <row r="132" spans="3:20" ht="18.95" customHeight="1">
      <c r="C132" s="64" t="s">
        <v>563</v>
      </c>
      <c r="D132" s="74" t="s">
        <v>530</v>
      </c>
      <c r="E132" s="74" t="s">
        <v>564</v>
      </c>
      <c r="F132" s="66" t="s">
        <v>532</v>
      </c>
      <c r="G132" s="58">
        <v>215907</v>
      </c>
      <c r="H132" s="72"/>
      <c r="I132" s="57"/>
      <c r="J132" s="72"/>
      <c r="K132" s="73"/>
      <c r="L132" s="72"/>
      <c r="M132" s="73"/>
      <c r="N132" s="72"/>
      <c r="O132" s="73"/>
      <c r="P132" s="72"/>
      <c r="Q132" s="73"/>
      <c r="R132" s="72"/>
      <c r="S132" s="73"/>
      <c r="T132" s="74"/>
    </row>
    <row r="133" spans="3:20" ht="18.95" customHeight="1">
      <c r="D133" s="74"/>
      <c r="E133" s="74"/>
      <c r="F133" s="66"/>
      <c r="G133" s="58"/>
      <c r="H133" s="72"/>
      <c r="I133" s="57"/>
      <c r="J133" s="72"/>
      <c r="K133" s="73"/>
      <c r="L133" s="72"/>
      <c r="M133" s="73"/>
      <c r="N133" s="72"/>
      <c r="O133" s="73"/>
      <c r="P133" s="72"/>
      <c r="Q133" s="73"/>
      <c r="R133" s="72"/>
      <c r="S133" s="73"/>
      <c r="T133" s="74"/>
    </row>
    <row r="134" spans="3:20" ht="18.95" customHeight="1">
      <c r="D134" s="74"/>
      <c r="E134" s="74"/>
      <c r="F134" s="66"/>
      <c r="G134" s="58"/>
      <c r="H134" s="72"/>
      <c r="I134" s="57"/>
      <c r="J134" s="72"/>
      <c r="K134" s="73"/>
      <c r="L134" s="72"/>
      <c r="M134" s="73"/>
      <c r="N134" s="72"/>
      <c r="O134" s="73"/>
      <c r="P134" s="72"/>
      <c r="Q134" s="73"/>
      <c r="R134" s="72"/>
      <c r="S134" s="73"/>
      <c r="T134" s="74"/>
    </row>
    <row r="135" spans="3:20" ht="18.95" customHeight="1">
      <c r="D135" s="74"/>
      <c r="E135" s="74"/>
      <c r="F135" s="66"/>
      <c r="G135" s="58"/>
      <c r="H135" s="72"/>
      <c r="I135" s="57"/>
      <c r="J135" s="72"/>
      <c r="K135" s="73"/>
      <c r="L135" s="72"/>
      <c r="M135" s="73"/>
      <c r="N135" s="72"/>
      <c r="O135" s="73"/>
      <c r="P135" s="72"/>
      <c r="Q135" s="73"/>
      <c r="R135" s="72"/>
      <c r="S135" s="73"/>
      <c r="T135" s="74"/>
    </row>
    <row r="136" spans="3:20" ht="18.95" customHeight="1">
      <c r="D136" s="74"/>
      <c r="E136" s="74"/>
      <c r="F136" s="66"/>
      <c r="G136" s="58"/>
      <c r="H136" s="72"/>
      <c r="I136" s="57"/>
      <c r="J136" s="72"/>
      <c r="K136" s="73"/>
      <c r="L136" s="72"/>
      <c r="M136" s="73"/>
      <c r="N136" s="72"/>
      <c r="O136" s="73"/>
      <c r="P136" s="72"/>
      <c r="Q136" s="73"/>
      <c r="R136" s="72"/>
      <c r="S136" s="73"/>
      <c r="T136" s="74"/>
    </row>
    <row r="137" spans="3:20" ht="18.95" customHeight="1">
      <c r="D137" s="74"/>
      <c r="E137" s="74"/>
      <c r="F137" s="66"/>
      <c r="G137" s="58"/>
      <c r="H137" s="72"/>
      <c r="I137" s="57"/>
      <c r="J137" s="72"/>
      <c r="K137" s="73"/>
      <c r="L137" s="72"/>
      <c r="M137" s="73"/>
      <c r="N137" s="72"/>
      <c r="O137" s="73"/>
      <c r="P137" s="72"/>
      <c r="Q137" s="73"/>
      <c r="R137" s="72"/>
      <c r="S137" s="73"/>
      <c r="T137" s="74"/>
    </row>
    <row r="138" spans="3:20" ht="18.95" customHeight="1">
      <c r="D138" s="74"/>
      <c r="E138" s="74"/>
      <c r="F138" s="66"/>
      <c r="G138" s="58"/>
      <c r="H138" s="72"/>
      <c r="I138" s="57"/>
      <c r="J138" s="72"/>
      <c r="K138" s="73"/>
      <c r="L138" s="72"/>
      <c r="M138" s="73"/>
      <c r="N138" s="72"/>
      <c r="O138" s="73"/>
      <c r="P138" s="72"/>
      <c r="Q138" s="73"/>
      <c r="R138" s="72"/>
      <c r="S138" s="73"/>
      <c r="T138" s="74"/>
    </row>
    <row r="139" spans="3:20" ht="18.95" customHeight="1">
      <c r="D139" s="74"/>
      <c r="E139" s="74"/>
      <c r="F139" s="66"/>
      <c r="G139" s="58"/>
      <c r="H139" s="72"/>
      <c r="I139" s="57"/>
      <c r="J139" s="72"/>
      <c r="K139" s="73"/>
      <c r="L139" s="72"/>
      <c r="M139" s="73"/>
      <c r="N139" s="72"/>
      <c r="O139" s="73"/>
      <c r="P139" s="72"/>
      <c r="Q139" s="73"/>
      <c r="R139" s="72"/>
      <c r="S139" s="73"/>
      <c r="T139" s="74"/>
    </row>
    <row r="140" spans="3:20" ht="18.95" customHeight="1">
      <c r="D140" s="74"/>
      <c r="E140" s="74"/>
      <c r="F140" s="66"/>
      <c r="G140" s="58"/>
      <c r="H140" s="72"/>
      <c r="I140" s="57"/>
      <c r="J140" s="72"/>
      <c r="K140" s="73"/>
      <c r="L140" s="72"/>
      <c r="M140" s="73"/>
      <c r="N140" s="72"/>
      <c r="O140" s="73"/>
      <c r="P140" s="72"/>
      <c r="Q140" s="73"/>
      <c r="R140" s="72"/>
      <c r="S140" s="73"/>
      <c r="T140" s="74"/>
    </row>
    <row r="141" spans="3:20" ht="18.95" customHeight="1">
      <c r="D141" s="74"/>
      <c r="E141" s="74"/>
      <c r="F141" s="66"/>
      <c r="G141" s="58"/>
      <c r="H141" s="72"/>
      <c r="I141" s="57"/>
      <c r="J141" s="72"/>
      <c r="K141" s="73"/>
      <c r="L141" s="72"/>
      <c r="M141" s="73"/>
      <c r="N141" s="72"/>
      <c r="O141" s="73"/>
      <c r="P141" s="72"/>
      <c r="Q141" s="73"/>
      <c r="R141" s="72"/>
      <c r="S141" s="73"/>
      <c r="T141" s="74"/>
    </row>
    <row r="142" spans="3:20" ht="18.95" customHeight="1">
      <c r="D142" s="74"/>
      <c r="E142" s="74"/>
      <c r="F142" s="66"/>
      <c r="G142" s="58"/>
      <c r="H142" s="72"/>
      <c r="I142" s="57"/>
      <c r="J142" s="72"/>
      <c r="K142" s="73"/>
      <c r="L142" s="72"/>
      <c r="M142" s="73"/>
      <c r="N142" s="72"/>
      <c r="O142" s="73"/>
      <c r="P142" s="72"/>
      <c r="Q142" s="73"/>
      <c r="R142" s="72"/>
      <c r="S142" s="73"/>
      <c r="T142" s="74"/>
    </row>
    <row r="143" spans="3:20" ht="18.95" customHeight="1">
      <c r="D143" s="74"/>
      <c r="E143" s="74"/>
      <c r="F143" s="66"/>
      <c r="G143" s="58"/>
      <c r="H143" s="72"/>
      <c r="I143" s="57"/>
      <c r="J143" s="72"/>
      <c r="K143" s="73"/>
      <c r="L143" s="72"/>
      <c r="M143" s="73"/>
      <c r="N143" s="72"/>
      <c r="O143" s="73"/>
      <c r="P143" s="72"/>
      <c r="Q143" s="73"/>
      <c r="R143" s="72"/>
      <c r="S143" s="73"/>
      <c r="T143" s="74"/>
    </row>
    <row r="144" spans="3:20" ht="18.95" customHeight="1">
      <c r="D144" s="74"/>
      <c r="E144" s="74"/>
      <c r="F144" s="66"/>
      <c r="G144" s="58"/>
      <c r="H144" s="72"/>
      <c r="I144" s="57"/>
      <c r="J144" s="72"/>
      <c r="K144" s="73"/>
      <c r="L144" s="72"/>
      <c r="M144" s="73"/>
      <c r="N144" s="72"/>
      <c r="O144" s="73"/>
      <c r="P144" s="72"/>
      <c r="Q144" s="73"/>
      <c r="R144" s="72"/>
      <c r="S144" s="73"/>
      <c r="T144" s="74"/>
    </row>
    <row r="145" spans="4:20" ht="18.95" customHeight="1">
      <c r="D145" s="74"/>
      <c r="E145" s="74"/>
      <c r="F145" s="66"/>
      <c r="G145" s="58"/>
      <c r="H145" s="72"/>
      <c r="I145" s="57"/>
      <c r="J145" s="72"/>
      <c r="K145" s="73"/>
      <c r="L145" s="72"/>
      <c r="M145" s="73"/>
      <c r="N145" s="72"/>
      <c r="O145" s="73"/>
      <c r="P145" s="72"/>
      <c r="Q145" s="73"/>
      <c r="R145" s="72"/>
      <c r="S145" s="73"/>
      <c r="T145" s="74"/>
    </row>
    <row r="146" spans="4:20" ht="18.95" customHeight="1">
      <c r="D146" s="74"/>
      <c r="E146" s="74"/>
      <c r="F146" s="66"/>
      <c r="G146" s="58"/>
      <c r="H146" s="72"/>
      <c r="I146" s="57"/>
      <c r="J146" s="72"/>
      <c r="K146" s="73"/>
      <c r="L146" s="72"/>
      <c r="M146" s="73"/>
      <c r="N146" s="72"/>
      <c r="O146" s="73"/>
      <c r="P146" s="72"/>
      <c r="Q146" s="73"/>
      <c r="R146" s="72"/>
      <c r="S146" s="73"/>
      <c r="T146" s="74"/>
    </row>
    <row r="147" spans="4:20" ht="18.95" customHeight="1">
      <c r="D147" s="74"/>
      <c r="E147" s="74"/>
      <c r="F147" s="66"/>
      <c r="G147" s="58"/>
      <c r="H147" s="72"/>
      <c r="I147" s="57"/>
      <c r="J147" s="72"/>
      <c r="K147" s="73"/>
      <c r="L147" s="72"/>
      <c r="M147" s="73"/>
      <c r="N147" s="72"/>
      <c r="O147" s="73"/>
      <c r="P147" s="72"/>
      <c r="Q147" s="73"/>
      <c r="R147" s="72"/>
      <c r="S147" s="73"/>
      <c r="T147" s="74"/>
    </row>
    <row r="148" spans="4:20" ht="18.95" customHeight="1">
      <c r="D148" s="74"/>
      <c r="E148" s="74"/>
      <c r="F148" s="66"/>
      <c r="G148" s="58"/>
      <c r="H148" s="72"/>
      <c r="I148" s="57"/>
      <c r="J148" s="72"/>
      <c r="K148" s="73"/>
      <c r="L148" s="72"/>
      <c r="M148" s="73"/>
      <c r="N148" s="72"/>
      <c r="O148" s="73"/>
      <c r="P148" s="72"/>
      <c r="Q148" s="73"/>
      <c r="R148" s="72"/>
      <c r="S148" s="73"/>
      <c r="T148" s="74"/>
    </row>
    <row r="149" spans="4:20" ht="18.95" customHeight="1">
      <c r="D149" s="74"/>
      <c r="E149" s="74"/>
      <c r="F149" s="66"/>
      <c r="G149" s="58"/>
      <c r="H149" s="72"/>
      <c r="I149" s="57"/>
      <c r="J149" s="72"/>
      <c r="K149" s="73"/>
      <c r="L149" s="72"/>
      <c r="M149" s="73"/>
      <c r="N149" s="72"/>
      <c r="O149" s="73"/>
      <c r="P149" s="72"/>
      <c r="Q149" s="73"/>
      <c r="R149" s="72"/>
      <c r="S149" s="73"/>
      <c r="T149" s="74"/>
    </row>
    <row r="150" spans="4:20" ht="18.95" customHeight="1">
      <c r="D150" s="74"/>
      <c r="E150" s="74"/>
      <c r="F150" s="66"/>
      <c r="G150" s="58"/>
      <c r="H150" s="72"/>
      <c r="I150" s="57"/>
      <c r="J150" s="72"/>
      <c r="K150" s="73"/>
      <c r="L150" s="72"/>
      <c r="M150" s="73"/>
      <c r="N150" s="72"/>
      <c r="O150" s="73"/>
      <c r="P150" s="72"/>
      <c r="Q150" s="73"/>
      <c r="R150" s="72"/>
      <c r="S150" s="73"/>
      <c r="T150" s="74"/>
    </row>
    <row r="151" spans="4:20" ht="18.95" customHeight="1">
      <c r="D151" s="74"/>
      <c r="E151" s="74"/>
      <c r="F151" s="66"/>
      <c r="G151" s="58"/>
      <c r="H151" s="72"/>
      <c r="I151" s="57"/>
      <c r="J151" s="72"/>
      <c r="K151" s="73"/>
      <c r="L151" s="72"/>
      <c r="M151" s="73"/>
      <c r="N151" s="72"/>
      <c r="O151" s="73"/>
      <c r="P151" s="72"/>
      <c r="Q151" s="73"/>
      <c r="R151" s="72"/>
      <c r="S151" s="73"/>
      <c r="T151" s="74"/>
    </row>
    <row r="152" spans="4:20" ht="18.95" customHeight="1">
      <c r="D152" s="74"/>
      <c r="E152" s="74"/>
      <c r="F152" s="66"/>
      <c r="G152" s="58"/>
      <c r="H152" s="72"/>
      <c r="I152" s="57"/>
      <c r="J152" s="72"/>
      <c r="K152" s="73"/>
      <c r="L152" s="72"/>
      <c r="M152" s="73"/>
      <c r="N152" s="72"/>
      <c r="O152" s="73"/>
      <c r="P152" s="72"/>
      <c r="Q152" s="73"/>
      <c r="R152" s="72"/>
      <c r="S152" s="73"/>
      <c r="T152" s="74"/>
    </row>
    <row r="153" spans="4:20" ht="18.95" customHeight="1">
      <c r="D153" s="74"/>
      <c r="E153" s="74"/>
      <c r="F153" s="66"/>
      <c r="G153" s="58"/>
      <c r="H153" s="72"/>
      <c r="I153" s="57"/>
      <c r="J153" s="72"/>
      <c r="K153" s="73"/>
      <c r="L153" s="72"/>
      <c r="M153" s="73"/>
      <c r="N153" s="72"/>
      <c r="O153" s="73"/>
      <c r="P153" s="72"/>
      <c r="Q153" s="73"/>
      <c r="R153" s="72"/>
      <c r="S153" s="73"/>
      <c r="T153" s="74"/>
    </row>
    <row r="154" spans="4:20" ht="18.95" customHeight="1">
      <c r="D154" s="74"/>
      <c r="E154" s="74"/>
      <c r="F154" s="66"/>
      <c r="G154" s="58"/>
      <c r="H154" s="72"/>
      <c r="I154" s="57"/>
      <c r="J154" s="72"/>
      <c r="K154" s="73"/>
      <c r="L154" s="72"/>
      <c r="M154" s="73"/>
      <c r="N154" s="72"/>
      <c r="O154" s="73"/>
      <c r="P154" s="72"/>
      <c r="Q154" s="73"/>
      <c r="R154" s="72"/>
      <c r="S154" s="73"/>
      <c r="T154" s="74"/>
    </row>
  </sheetData>
  <mergeCells count="14">
    <mergeCell ref="P2:Q2"/>
    <mergeCell ref="D1:T1"/>
    <mergeCell ref="R2:S2"/>
    <mergeCell ref="T2:T3"/>
    <mergeCell ref="F2:F3"/>
    <mergeCell ref="G2:G3"/>
    <mergeCell ref="J2:K2"/>
    <mergeCell ref="N2:O2"/>
    <mergeCell ref="E2:E3"/>
    <mergeCell ref="A2:A3"/>
    <mergeCell ref="L2:M2"/>
    <mergeCell ref="B2:B3"/>
    <mergeCell ref="C2:C3"/>
    <mergeCell ref="D2:D3"/>
  </mergeCells>
  <phoneticPr fontId="2" type="noConversion"/>
  <printOptions horizontalCentered="1" verticalCentered="1"/>
  <pageMargins left="0.74803149606299213" right="0.35433070866141736" top="0.59055118110236227" bottom="0.59055118110236227" header="0.51181102362204722" footer="0.47244094488188981"/>
  <pageSetup paperSize="9" scale="80" orientation="landscape" blackAndWhite="1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"/>
  <sheetViews>
    <sheetView workbookViewId="0">
      <selection activeCell="H43" sqref="H43"/>
    </sheetView>
  </sheetViews>
  <sheetFormatPr defaultRowHeight="13.5"/>
  <sheetData/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48"/>
  <sheetViews>
    <sheetView workbookViewId="0">
      <selection activeCell="A11" sqref="A11"/>
    </sheetView>
  </sheetViews>
  <sheetFormatPr defaultRowHeight="13.5"/>
  <cols>
    <col min="1" max="1" width="36.109375" style="1" customWidth="1"/>
    <col min="2" max="2" width="15.109375" style="2" bestFit="1" customWidth="1"/>
    <col min="3" max="6" width="15.109375" style="2" customWidth="1"/>
    <col min="7" max="7" width="8.6640625" style="2" customWidth="1"/>
    <col min="8" max="8" width="8.77734375" style="2" customWidth="1"/>
    <col min="9" max="16384" width="8.88671875" style="2"/>
  </cols>
  <sheetData>
    <row r="1" spans="1:13" ht="14.25" thickBot="1">
      <c r="A1" s="33" t="s">
        <v>5</v>
      </c>
      <c r="B1" s="34" t="s">
        <v>14</v>
      </c>
      <c r="C1" s="34" t="s">
        <v>12</v>
      </c>
      <c r="D1" s="34" t="s">
        <v>13</v>
      </c>
      <c r="E1" s="34" t="s">
        <v>83</v>
      </c>
      <c r="F1" s="35" t="s">
        <v>15</v>
      </c>
      <c r="H1" s="31"/>
    </row>
    <row r="2" spans="1:13">
      <c r="A2" s="5" t="s">
        <v>16</v>
      </c>
      <c r="B2" s="29">
        <f>총괄표!I29</f>
        <v>0</v>
      </c>
      <c r="C2" s="29">
        <f>총괄표!L29</f>
        <v>0</v>
      </c>
      <c r="D2" s="29">
        <f>총괄표!N29</f>
        <v>0</v>
      </c>
      <c r="E2" s="29"/>
      <c r="F2" s="29">
        <f>SUM(B2,C2,D2)</f>
        <v>0</v>
      </c>
    </row>
    <row r="3" spans="1:13">
      <c r="A3" s="3" t="s">
        <v>138</v>
      </c>
      <c r="B3" s="30"/>
      <c r="C3" s="30"/>
      <c r="D3" s="30"/>
      <c r="E3" s="30"/>
      <c r="F3" s="29">
        <f>SUM(B3,C3,D3)</f>
        <v>0</v>
      </c>
      <c r="H3" s="272" t="s">
        <v>180</v>
      </c>
      <c r="I3" s="273"/>
      <c r="J3" s="273"/>
      <c r="K3" s="273"/>
      <c r="L3" s="273"/>
      <c r="M3" s="274"/>
    </row>
    <row r="4" spans="1:13">
      <c r="A4" s="3" t="s">
        <v>5</v>
      </c>
      <c r="B4" s="30"/>
      <c r="C4" s="30"/>
      <c r="D4" s="30"/>
      <c r="E4" s="30"/>
      <c r="F4" s="30"/>
      <c r="H4" s="275"/>
      <c r="I4" s="276"/>
      <c r="J4" s="276"/>
      <c r="K4" s="276"/>
      <c r="L4" s="276"/>
      <c r="M4" s="277"/>
    </row>
    <row r="5" spans="1:13">
      <c r="A5" s="3" t="s">
        <v>5</v>
      </c>
      <c r="B5" s="30"/>
      <c r="C5" s="30" t="s">
        <v>11</v>
      </c>
      <c r="D5" s="30"/>
      <c r="E5" s="30"/>
      <c r="F5" s="30"/>
    </row>
    <row r="6" spans="1:13">
      <c r="A6" s="3" t="s">
        <v>5</v>
      </c>
      <c r="B6" s="30"/>
      <c r="C6" s="30"/>
      <c r="D6" s="30"/>
      <c r="E6" s="30"/>
      <c r="F6" s="30"/>
      <c r="H6" s="266" t="s">
        <v>181</v>
      </c>
      <c r="I6" s="267"/>
      <c r="J6" s="267"/>
      <c r="K6" s="267"/>
      <c r="L6" s="267"/>
      <c r="M6" s="268"/>
    </row>
    <row r="7" spans="1:13">
      <c r="A7" s="3"/>
      <c r="B7" s="30"/>
      <c r="C7" s="30"/>
      <c r="D7" s="30"/>
      <c r="E7" s="30"/>
      <c r="F7" s="30"/>
      <c r="H7" s="269"/>
      <c r="I7" s="270"/>
      <c r="J7" s="270"/>
      <c r="K7" s="270"/>
      <c r="L7" s="270"/>
      <c r="M7" s="271"/>
    </row>
    <row r="8" spans="1:13">
      <c r="A8" s="3"/>
      <c r="B8" s="30"/>
      <c r="C8" s="30"/>
      <c r="D8" s="30"/>
      <c r="E8" s="30"/>
      <c r="F8" s="30"/>
    </row>
    <row r="9" spans="1:13" ht="14.25" thickBot="1">
      <c r="B9" s="37"/>
      <c r="C9" s="37"/>
      <c r="D9" s="37"/>
      <c r="E9" s="37"/>
      <c r="F9" s="37"/>
      <c r="H9" s="266" t="s">
        <v>182</v>
      </c>
      <c r="I9" s="267"/>
      <c r="J9" s="267"/>
      <c r="K9" s="267"/>
      <c r="L9" s="267"/>
      <c r="M9" s="268"/>
    </row>
    <row r="10" spans="1:13" ht="14.25" thickBot="1">
      <c r="A10" s="33"/>
      <c r="B10" s="34" t="s">
        <v>18</v>
      </c>
      <c r="C10" s="34" t="s">
        <v>20</v>
      </c>
      <c r="D10" s="34" t="s">
        <v>99</v>
      </c>
      <c r="E10" s="34" t="s">
        <v>149</v>
      </c>
      <c r="F10" s="35"/>
      <c r="H10" s="269"/>
      <c r="I10" s="270"/>
      <c r="J10" s="270"/>
      <c r="K10" s="270"/>
      <c r="L10" s="270"/>
      <c r="M10" s="271"/>
    </row>
    <row r="11" spans="1:13">
      <c r="A11" s="5" t="s">
        <v>172</v>
      </c>
      <c r="B11" s="22">
        <v>100</v>
      </c>
      <c r="C11" s="22">
        <v>1</v>
      </c>
      <c r="D11" s="22">
        <f>$B$11/100</f>
        <v>1</v>
      </c>
      <c r="E11" s="22"/>
      <c r="F11" s="22"/>
    </row>
    <row r="12" spans="1:13">
      <c r="A12" s="3" t="s">
        <v>173</v>
      </c>
      <c r="B12" s="10">
        <v>100</v>
      </c>
      <c r="C12" s="10">
        <v>1</v>
      </c>
      <c r="D12" s="22">
        <f>$B$12/100</f>
        <v>1</v>
      </c>
      <c r="E12" s="10">
        <v>2</v>
      </c>
      <c r="F12" s="10"/>
      <c r="H12" s="266" t="s">
        <v>183</v>
      </c>
      <c r="I12" s="267"/>
      <c r="J12" s="267"/>
      <c r="K12" s="267"/>
      <c r="L12" s="267"/>
      <c r="M12" s="268"/>
    </row>
    <row r="13" spans="1:13">
      <c r="A13" s="3" t="s">
        <v>174</v>
      </c>
      <c r="B13" s="10">
        <v>100</v>
      </c>
      <c r="C13" s="10">
        <v>1</v>
      </c>
      <c r="D13" s="22">
        <f>$B$13/100</f>
        <v>1</v>
      </c>
      <c r="E13" s="10">
        <v>5</v>
      </c>
      <c r="F13" s="10"/>
      <c r="H13" s="269"/>
      <c r="I13" s="270"/>
      <c r="J13" s="270"/>
      <c r="K13" s="270"/>
      <c r="L13" s="270"/>
      <c r="M13" s="271"/>
    </row>
    <row r="14" spans="1:13">
      <c r="A14" s="3"/>
      <c r="B14" s="10"/>
      <c r="C14" s="10"/>
      <c r="D14" s="10"/>
      <c r="E14" s="10"/>
      <c r="F14" s="10"/>
    </row>
    <row r="15" spans="1:13">
      <c r="A15" s="3"/>
      <c r="B15" s="10"/>
      <c r="C15" s="10"/>
      <c r="D15" s="10"/>
      <c r="E15" s="10"/>
      <c r="F15" s="10"/>
    </row>
    <row r="16" spans="1:13">
      <c r="A16" s="3"/>
      <c r="B16" s="10"/>
      <c r="C16" s="10"/>
      <c r="D16" s="10"/>
      <c r="E16" s="10"/>
      <c r="F16" s="10"/>
    </row>
    <row r="17" spans="1:6">
      <c r="A17" s="3"/>
      <c r="B17" s="10"/>
      <c r="C17" s="10"/>
      <c r="D17" s="10"/>
      <c r="E17" s="10"/>
      <c r="F17" s="10"/>
    </row>
    <row r="18" spans="1:6">
      <c r="A18" s="3" t="s">
        <v>4</v>
      </c>
      <c r="B18" s="10"/>
      <c r="C18" s="10"/>
      <c r="D18" s="10"/>
      <c r="E18" s="10"/>
      <c r="F18" s="10"/>
    </row>
    <row r="19" spans="1:6" ht="14.25" thickBot="1">
      <c r="A19" s="4" t="s">
        <v>11</v>
      </c>
      <c r="B19" s="36"/>
      <c r="C19" s="36"/>
      <c r="D19" s="36"/>
      <c r="E19" s="36"/>
      <c r="F19" s="36"/>
    </row>
    <row r="20" spans="1:6" ht="14.25" thickBot="1">
      <c r="A20" s="33" t="s">
        <v>93</v>
      </c>
      <c r="B20" s="34" t="s">
        <v>18</v>
      </c>
      <c r="C20" s="34"/>
      <c r="D20" s="34" t="s">
        <v>99</v>
      </c>
      <c r="E20" s="34"/>
      <c r="F20" s="35"/>
    </row>
    <row r="21" spans="1:6">
      <c r="A21" s="5" t="s">
        <v>94</v>
      </c>
      <c r="B21" s="22">
        <f>B11</f>
        <v>100</v>
      </c>
      <c r="C21" s="22"/>
      <c r="D21" s="22">
        <f>$B$21/100</f>
        <v>1</v>
      </c>
      <c r="E21" s="22"/>
      <c r="F21" s="22"/>
    </row>
    <row r="22" spans="1:6">
      <c r="A22" s="3" t="s">
        <v>95</v>
      </c>
      <c r="B22" s="10">
        <f>B11</f>
        <v>100</v>
      </c>
      <c r="C22" s="22"/>
      <c r="D22" s="22">
        <f>$B$22/100</f>
        <v>1</v>
      </c>
      <c r="E22" s="10"/>
      <c r="F22" s="10"/>
    </row>
    <row r="23" spans="1:6">
      <c r="A23" s="3" t="s">
        <v>98</v>
      </c>
      <c r="B23" s="10">
        <f>B11</f>
        <v>100</v>
      </c>
      <c r="C23" s="22"/>
      <c r="D23" s="22">
        <f>$B$23/100</f>
        <v>1</v>
      </c>
      <c r="E23" s="10"/>
      <c r="F23" s="10"/>
    </row>
    <row r="24" spans="1:6">
      <c r="A24" s="3" t="s">
        <v>96</v>
      </c>
      <c r="B24" s="10">
        <f>B11</f>
        <v>100</v>
      </c>
      <c r="C24" s="22"/>
      <c r="D24" s="22">
        <f>$B$24/100</f>
        <v>1</v>
      </c>
      <c r="E24" s="10"/>
      <c r="F24" s="10"/>
    </row>
    <row r="25" spans="1:6">
      <c r="A25" s="3" t="s">
        <v>97</v>
      </c>
      <c r="B25" s="10">
        <f>B11</f>
        <v>100</v>
      </c>
      <c r="C25" s="22"/>
      <c r="D25" s="22">
        <f>$B$25/100</f>
        <v>1</v>
      </c>
      <c r="E25" s="10"/>
      <c r="F25" s="10"/>
    </row>
    <row r="26" spans="1:6">
      <c r="A26" s="3"/>
      <c r="B26" s="10"/>
      <c r="C26" s="10"/>
      <c r="D26" s="10"/>
      <c r="E26" s="10"/>
      <c r="F26" s="10"/>
    </row>
    <row r="27" spans="1:6">
      <c r="A27" s="3"/>
      <c r="B27" s="10"/>
      <c r="C27" s="10"/>
      <c r="D27" s="10"/>
      <c r="E27" s="10"/>
      <c r="F27" s="10"/>
    </row>
    <row r="28" spans="1:6">
      <c r="A28" s="3"/>
      <c r="B28" s="10"/>
      <c r="C28" s="10"/>
      <c r="D28" s="10"/>
      <c r="E28" s="10"/>
      <c r="F28" s="10"/>
    </row>
    <row r="29" spans="1:6" ht="14.25" customHeight="1" thickBot="1">
      <c r="A29" s="4"/>
      <c r="B29" s="36"/>
      <c r="C29" s="36"/>
      <c r="D29" s="36"/>
      <c r="E29" s="36"/>
      <c r="F29" s="36"/>
    </row>
    <row r="30" spans="1:6" ht="14.25" customHeight="1" thickBot="1">
      <c r="A30" s="33" t="s">
        <v>142</v>
      </c>
      <c r="B30" s="34" t="s">
        <v>143</v>
      </c>
      <c r="C30" s="34" t="s">
        <v>144</v>
      </c>
      <c r="D30" s="34" t="s">
        <v>145</v>
      </c>
      <c r="E30" s="34"/>
      <c r="F30" s="35"/>
    </row>
    <row r="31" spans="1:6">
      <c r="A31" s="5" t="s">
        <v>146</v>
      </c>
      <c r="B31" s="22">
        <v>15</v>
      </c>
      <c r="C31" s="22">
        <v>15</v>
      </c>
      <c r="D31" s="22">
        <v>20</v>
      </c>
      <c r="E31" s="22"/>
      <c r="F31" s="22"/>
    </row>
    <row r="32" spans="1:6">
      <c r="A32" s="5" t="s">
        <v>141</v>
      </c>
      <c r="B32" s="10">
        <v>40</v>
      </c>
      <c r="C32" s="10">
        <v>40</v>
      </c>
      <c r="D32" s="10">
        <v>40</v>
      </c>
      <c r="E32" s="10"/>
      <c r="F32" s="10"/>
    </row>
    <row r="33" spans="1:13">
      <c r="A33" s="3" t="s">
        <v>21</v>
      </c>
      <c r="B33" s="10">
        <v>2</v>
      </c>
      <c r="C33" s="10"/>
      <c r="D33" s="10"/>
      <c r="E33" s="10"/>
      <c r="F33" s="10"/>
      <c r="H33" s="266" t="s">
        <v>1195</v>
      </c>
      <c r="I33" s="267"/>
      <c r="J33" s="267"/>
      <c r="K33" s="267"/>
      <c r="L33" s="267"/>
      <c r="M33" s="268"/>
    </row>
    <row r="34" spans="1:13">
      <c r="A34" s="3" t="s">
        <v>22</v>
      </c>
      <c r="B34" s="10"/>
      <c r="C34" s="10"/>
      <c r="D34" s="10"/>
      <c r="E34" s="10"/>
      <c r="F34" s="10"/>
      <c r="H34" s="269"/>
      <c r="I34" s="270"/>
      <c r="J34" s="270"/>
      <c r="K34" s="270"/>
      <c r="L34" s="270"/>
      <c r="M34" s="271"/>
    </row>
    <row r="35" spans="1:13">
      <c r="A35" s="3" t="s">
        <v>23</v>
      </c>
      <c r="B35" s="10">
        <v>2</v>
      </c>
      <c r="C35" s="10"/>
      <c r="D35" s="10"/>
      <c r="E35" s="10"/>
      <c r="F35" s="10"/>
    </row>
    <row r="36" spans="1:13">
      <c r="A36" s="3" t="s">
        <v>24</v>
      </c>
      <c r="B36" s="10">
        <v>3</v>
      </c>
      <c r="C36" s="10"/>
      <c r="D36" s="10"/>
      <c r="E36" s="10"/>
      <c r="F36" s="10"/>
    </row>
    <row r="37" spans="1:13">
      <c r="A37" s="3"/>
      <c r="B37" s="10"/>
      <c r="C37" s="10"/>
      <c r="D37" s="10"/>
      <c r="E37" s="10"/>
      <c r="F37" s="10"/>
    </row>
    <row r="38" spans="1:13">
      <c r="A38" s="3"/>
      <c r="B38" s="10"/>
      <c r="C38" s="10"/>
      <c r="D38" s="10"/>
      <c r="E38" s="10"/>
      <c r="F38" s="10"/>
    </row>
    <row r="39" spans="1:13" ht="14.25" thickBot="1">
      <c r="A39" s="4"/>
      <c r="B39" s="36"/>
      <c r="C39" s="36"/>
      <c r="D39" s="36"/>
      <c r="E39" s="36"/>
      <c r="F39" s="36"/>
    </row>
    <row r="40" spans="1:13" ht="14.25" thickBot="1">
      <c r="A40" s="33" t="s">
        <v>17</v>
      </c>
      <c r="B40" s="34" t="s">
        <v>18</v>
      </c>
      <c r="C40" s="34" t="s">
        <v>19</v>
      </c>
      <c r="D40" s="34"/>
      <c r="E40" s="34"/>
      <c r="F40" s="35"/>
    </row>
    <row r="41" spans="1:13">
      <c r="A41" s="1" t="s">
        <v>184</v>
      </c>
      <c r="B41" s="2">
        <v>100</v>
      </c>
      <c r="C41" s="2">
        <v>3</v>
      </c>
    </row>
    <row r="42" spans="1:13">
      <c r="A42" s="1" t="s">
        <v>185</v>
      </c>
      <c r="B42" s="2">
        <v>100</v>
      </c>
      <c r="C42" s="2">
        <v>3</v>
      </c>
    </row>
    <row r="43" spans="1:13">
      <c r="A43" s="1" t="s">
        <v>186</v>
      </c>
      <c r="B43" s="2">
        <v>100</v>
      </c>
      <c r="C43" s="2">
        <v>3</v>
      </c>
    </row>
    <row r="44" spans="1:13">
      <c r="A44" s="1" t="s">
        <v>187</v>
      </c>
      <c r="B44" s="2">
        <v>100</v>
      </c>
      <c r="C44" s="2">
        <v>3</v>
      </c>
    </row>
    <row r="45" spans="1:13">
      <c r="A45" s="1" t="s">
        <v>188</v>
      </c>
      <c r="B45" s="2">
        <v>100</v>
      </c>
      <c r="C45" s="2">
        <v>3</v>
      </c>
    </row>
    <row r="46" spans="1:13">
      <c r="A46" s="1" t="s">
        <v>189</v>
      </c>
      <c r="B46" s="2">
        <v>100</v>
      </c>
      <c r="C46" s="2">
        <v>3</v>
      </c>
    </row>
    <row r="47" spans="1:13">
      <c r="A47" s="1" t="s">
        <v>190</v>
      </c>
      <c r="B47" s="2">
        <v>100</v>
      </c>
      <c r="C47" s="2">
        <v>3</v>
      </c>
    </row>
    <row r="48" spans="1:13">
      <c r="A48" s="1" t="s">
        <v>191</v>
      </c>
      <c r="B48" s="2">
        <v>100</v>
      </c>
      <c r="C48" s="2">
        <v>3</v>
      </c>
    </row>
  </sheetData>
  <mergeCells count="5">
    <mergeCell ref="H33:M34"/>
    <mergeCell ref="H3:M4"/>
    <mergeCell ref="H6:M7"/>
    <mergeCell ref="H9:M10"/>
    <mergeCell ref="H12:M13"/>
  </mergeCells>
  <phoneticPr fontId="2" type="noConversion"/>
  <printOptions horizontalCentered="1"/>
  <pageMargins left="0.35433070866141736" right="0.35433070866141736" top="0.59055118110236227" bottom="0.59055118110236227" header="0.51181102362204722" footer="0.51181102362204722"/>
  <pageSetup paperSize="9" orientation="landscape" verticalDpi="3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34"/>
  <sheetViews>
    <sheetView workbookViewId="0"/>
  </sheetViews>
  <sheetFormatPr defaultRowHeight="18.95" customHeight="1"/>
  <cols>
    <col min="1" max="1" width="4.6640625" style="26" customWidth="1"/>
    <col min="2" max="2" width="73" customWidth="1"/>
  </cols>
  <sheetData>
    <row r="1" spans="1:2" ht="20.25">
      <c r="B1" s="25" t="s">
        <v>64</v>
      </c>
    </row>
    <row r="2" spans="1:2" ht="18.95" customHeight="1">
      <c r="A2" s="26" t="s">
        <v>62</v>
      </c>
      <c r="B2" t="s">
        <v>112</v>
      </c>
    </row>
    <row r="3" spans="1:2" ht="18.95" customHeight="1">
      <c r="B3" t="s">
        <v>113</v>
      </c>
    </row>
    <row r="4" spans="1:2" ht="18.95" customHeight="1">
      <c r="A4" s="26" t="s">
        <v>67</v>
      </c>
      <c r="B4" t="s">
        <v>114</v>
      </c>
    </row>
    <row r="5" spans="1:2" ht="18.95" customHeight="1">
      <c r="B5" t="s">
        <v>115</v>
      </c>
    </row>
    <row r="6" spans="1:2" ht="18.95" customHeight="1">
      <c r="A6" s="26" t="s">
        <v>63</v>
      </c>
      <c r="B6" t="s">
        <v>116</v>
      </c>
    </row>
    <row r="7" spans="1:2" ht="18.95" customHeight="1">
      <c r="A7" s="26" t="s">
        <v>65</v>
      </c>
      <c r="B7" t="s">
        <v>117</v>
      </c>
    </row>
    <row r="8" spans="1:2" ht="18.95" customHeight="1">
      <c r="B8" t="s">
        <v>66</v>
      </c>
    </row>
    <row r="9" spans="1:2" ht="18.95" customHeight="1">
      <c r="B9" t="s">
        <v>118</v>
      </c>
    </row>
    <row r="10" spans="1:2" ht="18.95" customHeight="1">
      <c r="B10" t="s">
        <v>119</v>
      </c>
    </row>
    <row r="11" spans="1:2" ht="18.95" customHeight="1">
      <c r="A11" s="26" t="s">
        <v>4</v>
      </c>
      <c r="B11" t="s">
        <v>120</v>
      </c>
    </row>
    <row r="12" spans="1:2" ht="18.95" customHeight="1">
      <c r="A12" s="26" t="s">
        <v>68</v>
      </c>
      <c r="B12" t="s">
        <v>121</v>
      </c>
    </row>
    <row r="13" spans="1:2" ht="18.95" customHeight="1">
      <c r="B13" t="s">
        <v>122</v>
      </c>
    </row>
    <row r="14" spans="1:2" ht="18.95" customHeight="1">
      <c r="B14" t="s">
        <v>123</v>
      </c>
    </row>
    <row r="15" spans="1:2" ht="18.95" customHeight="1">
      <c r="B15" t="s">
        <v>124</v>
      </c>
    </row>
    <row r="16" spans="1:2" ht="18.95" customHeight="1">
      <c r="B16" t="s">
        <v>70</v>
      </c>
    </row>
    <row r="17" spans="1:2" ht="18.95" customHeight="1">
      <c r="A17" s="26" t="s">
        <v>69</v>
      </c>
      <c r="B17" t="s">
        <v>125</v>
      </c>
    </row>
    <row r="18" spans="1:2" ht="18.95" customHeight="1">
      <c r="A18" s="26" t="s">
        <v>126</v>
      </c>
      <c r="B18" s="38" t="s">
        <v>127</v>
      </c>
    </row>
    <row r="19" spans="1:2" ht="18.95" customHeight="1">
      <c r="A19" s="26" t="s">
        <v>128</v>
      </c>
      <c r="B19" t="s">
        <v>129</v>
      </c>
    </row>
    <row r="20" spans="1:2" ht="18.95" customHeight="1">
      <c r="A20" s="26" t="s">
        <v>135</v>
      </c>
      <c r="B20" t="s">
        <v>136</v>
      </c>
    </row>
    <row r="21" spans="1:2" ht="18.95" customHeight="1">
      <c r="A21" s="26" t="s">
        <v>137</v>
      </c>
      <c r="B21" t="s">
        <v>130</v>
      </c>
    </row>
    <row r="33" spans="2:2" ht="18.95" customHeight="1">
      <c r="B33" t="s">
        <v>131</v>
      </c>
    </row>
    <row r="34" spans="2:2" ht="18.95" customHeight="1">
      <c r="B34" t="s">
        <v>132</v>
      </c>
    </row>
  </sheetData>
  <phoneticPr fontId="2" type="noConversion"/>
  <pageMargins left="0.75" right="0.75" top="1" bottom="1" header="0.5" footer="0.5"/>
  <pageSetup paperSize="9" orientation="portrait" verticalDpi="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47"/>
  <sheetViews>
    <sheetView workbookViewId="0">
      <selection activeCell="J20" sqref="J20"/>
    </sheetView>
  </sheetViews>
  <sheetFormatPr defaultRowHeight="13.5"/>
  <cols>
    <col min="1" max="1" width="8.88671875" style="2"/>
    <col min="2" max="2" width="3.109375" style="2" customWidth="1"/>
    <col min="3" max="6" width="8.88671875" style="2"/>
    <col min="7" max="7" width="7.77734375" style="2" customWidth="1"/>
    <col min="8" max="8" width="5.33203125" style="2" customWidth="1"/>
    <col min="9" max="9" width="9.44140625" style="2" customWidth="1"/>
    <col min="10" max="25" width="8.88671875" style="2"/>
    <col min="26" max="26" width="37.77734375" style="2" customWidth="1"/>
    <col min="27" max="16384" width="8.88671875" style="2"/>
  </cols>
  <sheetData>
    <row r="1" spans="1:26" ht="35.25">
      <c r="A1" s="280" t="str">
        <f>표지!A1</f>
        <v>見 積 書</v>
      </c>
      <c r="B1" s="280"/>
      <c r="C1" s="280"/>
      <c r="D1" s="280"/>
      <c r="E1" s="280"/>
      <c r="F1" s="280"/>
      <c r="G1" s="280"/>
      <c r="H1" s="280"/>
      <c r="I1" s="280"/>
      <c r="P1" s="2" t="s">
        <v>100</v>
      </c>
      <c r="Z1" s="6" t="s">
        <v>133</v>
      </c>
    </row>
    <row r="2" spans="1:26" ht="6" customHeight="1"/>
    <row r="3" spans="1:26" ht="8.1" customHeight="1"/>
    <row r="4" spans="1:26" ht="8.1" customHeight="1"/>
    <row r="5" spans="1:26" ht="8.1" customHeight="1"/>
    <row r="6" spans="1:26" ht="8.1" customHeight="1"/>
    <row r="7" spans="1:26" ht="8.1" customHeight="1"/>
    <row r="8" spans="1:26" ht="8.1" customHeight="1"/>
    <row r="9" spans="1:26" ht="8.1" customHeight="1"/>
    <row r="10" spans="1:26" ht="8.1" customHeight="1"/>
    <row r="11" spans="1:26" ht="8.1" customHeight="1"/>
    <row r="12" spans="1:26" ht="8.1" customHeight="1"/>
    <row r="13" spans="1:26" ht="8.1" customHeight="1"/>
    <row r="14" spans="1:26" ht="8.1" customHeight="1"/>
    <row r="15" spans="1:26" ht="8.1" customHeight="1"/>
    <row r="16" spans="1:26" ht="8.1" customHeight="1"/>
    <row r="17" spans="2:8">
      <c r="B17" s="40"/>
      <c r="C17" s="41"/>
      <c r="D17" s="41"/>
      <c r="E17" s="41"/>
      <c r="F17" s="41"/>
      <c r="G17" s="41"/>
      <c r="H17" s="42"/>
    </row>
    <row r="18" spans="2:8">
      <c r="B18" s="43"/>
      <c r="C18" s="2" t="s">
        <v>6</v>
      </c>
      <c r="D18" s="279" t="str">
        <f>표지!C13</f>
        <v>화성 청원지구 전기공사</v>
      </c>
      <c r="E18" s="279"/>
      <c r="F18" s="279"/>
      <c r="G18" s="279"/>
      <c r="H18" s="44"/>
    </row>
    <row r="19" spans="2:8">
      <c r="B19" s="43"/>
      <c r="H19" s="44"/>
    </row>
    <row r="20" spans="2:8">
      <c r="B20" s="43"/>
      <c r="C20" s="2" t="s">
        <v>59</v>
      </c>
      <c r="D20" s="279" t="str">
        <f>표지!C4</f>
        <v xml:space="preserve">             貴下</v>
      </c>
      <c r="E20" s="279"/>
      <c r="F20" s="279"/>
      <c r="G20" s="279"/>
      <c r="H20" s="44"/>
    </row>
    <row r="21" spans="2:8">
      <c r="B21" s="43"/>
      <c r="H21" s="44"/>
    </row>
    <row r="22" spans="2:8">
      <c r="B22" s="43"/>
      <c r="C22" s="2" t="s">
        <v>60</v>
      </c>
      <c r="D22" s="281" t="str">
        <f>표지!C6</f>
        <v>2026년 4월 1일</v>
      </c>
      <c r="E22" s="281"/>
      <c r="F22" s="281"/>
      <c r="G22" s="281"/>
      <c r="H22" s="44"/>
    </row>
    <row r="23" spans="2:8">
      <c r="B23" s="45"/>
      <c r="C23" s="46"/>
      <c r="D23" s="46"/>
      <c r="E23" s="46"/>
      <c r="F23" s="46"/>
      <c r="G23" s="46"/>
      <c r="H23" s="47"/>
    </row>
    <row r="24" spans="2:8" ht="7.5" customHeight="1"/>
    <row r="25" spans="2:8" ht="7.5" customHeight="1"/>
    <row r="26" spans="2:8" ht="7.5" customHeight="1"/>
    <row r="27" spans="2:8" ht="7.5" customHeight="1"/>
    <row r="28" spans="2:8" ht="7.5" customHeight="1"/>
    <row r="29" spans="2:8" ht="7.5" customHeight="1"/>
    <row r="30" spans="2:8" ht="7.5" customHeight="1"/>
    <row r="31" spans="2:8" ht="7.5" customHeight="1"/>
    <row r="32" spans="2:8" ht="7.5" customHeight="1"/>
    <row r="33" spans="3:7" ht="7.5" customHeight="1"/>
    <row r="34" spans="3:7" ht="7.5" customHeight="1"/>
    <row r="35" spans="3:7" ht="7.5" customHeight="1"/>
    <row r="36" spans="3:7" ht="22.5">
      <c r="D36" s="282" t="str">
        <f>표지!I3</f>
        <v>대 한 민 국 주 식 회 사</v>
      </c>
      <c r="E36" s="283"/>
      <c r="F36" s="283"/>
    </row>
    <row r="37" spans="3:7" ht="12" customHeight="1">
      <c r="D37" s="278" t="str">
        <f>표지!I4</f>
        <v xml:space="preserve"> </v>
      </c>
      <c r="E37" s="279"/>
      <c r="F37" s="279"/>
      <c r="G37" s="279"/>
    </row>
    <row r="38" spans="3:7" ht="12" customHeight="1">
      <c r="D38" s="278" t="str">
        <f>표지!I5</f>
        <v>ㅇ ㅇ 시 ㅇ  ㅇ  구 ㅇ  ㅇ  동</v>
      </c>
      <c r="E38" s="279"/>
      <c r="F38" s="279"/>
      <c r="G38" s="279"/>
    </row>
    <row r="39" spans="3:7" ht="12" customHeight="1">
      <c r="D39" s="278" t="str">
        <f>표지!I6</f>
        <v xml:space="preserve"> </v>
      </c>
      <c r="E39" s="279"/>
      <c r="F39" s="279"/>
      <c r="G39" s="279"/>
    </row>
    <row r="40" spans="3:7" ht="12" customHeight="1">
      <c r="D40" s="278" t="str">
        <f>표지!I7</f>
        <v>대표이사    홍      길      동</v>
      </c>
      <c r="E40" s="279"/>
      <c r="F40" s="279"/>
      <c r="G40" s="279"/>
    </row>
    <row r="41" spans="3:7" ht="12" customHeight="1">
      <c r="D41" s="278" t="str">
        <f>표지!I8</f>
        <v xml:space="preserve"> </v>
      </c>
      <c r="E41" s="279"/>
      <c r="F41" s="279"/>
      <c r="G41" s="279"/>
    </row>
    <row r="42" spans="3:7" ht="12" customHeight="1">
      <c r="D42" s="278" t="str">
        <f>표지!I9</f>
        <v>대표전화   (02) 0 0 0 - 0 0 0 0</v>
      </c>
      <c r="E42" s="279"/>
      <c r="F42" s="279"/>
      <c r="G42" s="279"/>
    </row>
    <row r="43" spans="3:7" ht="12" customHeight="1">
      <c r="D43" s="278" t="str">
        <f>표지!I10</f>
        <v xml:space="preserve"> </v>
      </c>
      <c r="E43" s="279"/>
      <c r="F43" s="279"/>
      <c r="G43" s="279"/>
    </row>
    <row r="44" spans="3:7" ht="12" customHeight="1">
      <c r="D44" s="278" t="str">
        <f>표지!I11</f>
        <v>팩    스   (02) 0 0 0 - 0 0 0 0</v>
      </c>
      <c r="E44" s="279"/>
      <c r="F44" s="279"/>
      <c r="G44" s="279"/>
    </row>
    <row r="45" spans="3:7" ht="12" customHeight="1">
      <c r="C45" s="2" t="s">
        <v>4</v>
      </c>
      <c r="D45" s="278" t="str">
        <f>표지!I12</f>
        <v xml:space="preserve"> </v>
      </c>
      <c r="E45" s="279"/>
      <c r="F45" s="279"/>
      <c r="G45" s="279"/>
    </row>
    <row r="46" spans="3:7" ht="12" customHeight="1">
      <c r="D46" s="278" t="str">
        <f>표지!I13</f>
        <v xml:space="preserve"> </v>
      </c>
      <c r="E46" s="279"/>
      <c r="F46" s="279"/>
      <c r="G46" s="279"/>
    </row>
    <row r="47" spans="3:7" ht="12" customHeight="1">
      <c r="D47" s="278"/>
      <c r="E47" s="279"/>
      <c r="F47" s="279"/>
      <c r="G47" s="279"/>
    </row>
  </sheetData>
  <mergeCells count="16">
    <mergeCell ref="A1:I1"/>
    <mergeCell ref="D18:G18"/>
    <mergeCell ref="D20:G20"/>
    <mergeCell ref="D22:G22"/>
    <mergeCell ref="D36:F36"/>
    <mergeCell ref="D47:G47"/>
    <mergeCell ref="D43:G43"/>
    <mergeCell ref="D44:G44"/>
    <mergeCell ref="D45:G45"/>
    <mergeCell ref="D46:G46"/>
    <mergeCell ref="D40:G40"/>
    <mergeCell ref="D42:G42"/>
    <mergeCell ref="D39:G39"/>
    <mergeCell ref="D41:G41"/>
    <mergeCell ref="D37:G37"/>
    <mergeCell ref="D38:G38"/>
  </mergeCells>
  <phoneticPr fontId="2" type="noConversion"/>
  <printOptions horizontalCentered="1" verticalCentered="1"/>
  <pageMargins left="0.94488188976377963" right="0.35433070866141736" top="0.59055118110236227" bottom="0.39370078740157483" header="0.51181102362204722" footer="0.51181102362204722"/>
  <pageSetup paperSize="9" orientation="landscape" verticalDpi="0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56"/>
  <sheetViews>
    <sheetView workbookViewId="0">
      <selection activeCell="J20" sqref="J20"/>
    </sheetView>
  </sheetViews>
  <sheetFormatPr defaultRowHeight="13.5"/>
  <cols>
    <col min="1" max="1" width="3.44140625" style="6" customWidth="1"/>
    <col min="2" max="2" width="8.5546875" style="6" customWidth="1"/>
    <col min="3" max="3" width="16.6640625" style="6" customWidth="1"/>
    <col min="4" max="5" width="4.33203125" style="6" customWidth="1"/>
    <col min="6" max="6" width="6.6640625" style="6" customWidth="1"/>
    <col min="7" max="7" width="15.77734375" style="6" customWidth="1"/>
    <col min="8" max="8" width="25.6640625" style="6" customWidth="1"/>
    <col min="9" max="9" width="27.6640625" style="6" customWidth="1"/>
    <col min="10" max="10" width="1.44140625" style="6" customWidth="1"/>
    <col min="11" max="11" width="3.33203125" style="6" hidden="1" customWidth="1"/>
    <col min="12" max="13" width="8.88671875" style="6"/>
    <col min="14" max="14" width="13.77734375" style="6" customWidth="1"/>
    <col min="15" max="15" width="14.6640625" style="6" customWidth="1"/>
    <col min="16" max="16" width="14.33203125" style="6" customWidth="1"/>
    <col min="17" max="16384" width="8.88671875" style="6"/>
  </cols>
  <sheetData>
    <row r="1" spans="1:14" ht="35.25">
      <c r="A1" s="310" t="s">
        <v>3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M1" s="9"/>
      <c r="N1" s="9"/>
    </row>
    <row r="2" spans="1:14" ht="3.75" customHeight="1"/>
    <row r="3" spans="1:14" ht="24.75" customHeight="1">
      <c r="H3" s="12"/>
      <c r="I3" s="20" t="s">
        <v>1146</v>
      </c>
      <c r="J3" s="20"/>
      <c r="K3" s="21"/>
    </row>
    <row r="4" spans="1:14" ht="12" customHeight="1">
      <c r="B4" s="13" t="s">
        <v>53</v>
      </c>
      <c r="C4" s="303" t="s">
        <v>1148</v>
      </c>
      <c r="D4" s="303"/>
      <c r="E4" s="303"/>
      <c r="F4" s="303"/>
      <c r="G4" s="303"/>
      <c r="H4" s="14"/>
      <c r="I4" s="302" t="s">
        <v>4</v>
      </c>
      <c r="J4" s="302"/>
      <c r="K4" s="302"/>
      <c r="N4"/>
    </row>
    <row r="5" spans="1:14" ht="11.1" customHeight="1">
      <c r="B5" s="303"/>
      <c r="C5" s="303"/>
      <c r="D5" s="303"/>
      <c r="E5" s="303"/>
      <c r="F5" s="303"/>
      <c r="G5" s="303"/>
      <c r="H5" s="15" t="s">
        <v>4</v>
      </c>
      <c r="I5" s="302" t="s">
        <v>1147</v>
      </c>
      <c r="J5" s="302"/>
      <c r="K5" s="302"/>
    </row>
    <row r="6" spans="1:14" ht="12" customHeight="1">
      <c r="B6" s="14" t="s">
        <v>54</v>
      </c>
      <c r="C6" s="302" t="s">
        <v>1149</v>
      </c>
      <c r="D6" s="302"/>
      <c r="E6" s="302"/>
      <c r="F6" s="302"/>
      <c r="G6" s="302"/>
      <c r="H6" s="14"/>
      <c r="I6" s="302" t="s">
        <v>110</v>
      </c>
      <c r="J6" s="302"/>
      <c r="K6" s="302"/>
      <c r="M6"/>
    </row>
    <row r="7" spans="1:14" ht="11.1" customHeight="1">
      <c r="B7" s="303"/>
      <c r="C7" s="303"/>
      <c r="D7" s="303"/>
      <c r="E7" s="303"/>
      <c r="F7" s="303"/>
      <c r="G7" s="303"/>
      <c r="H7" s="15" t="s">
        <v>4</v>
      </c>
      <c r="I7" s="302" t="s">
        <v>1150</v>
      </c>
      <c r="J7" s="302"/>
      <c r="K7" s="302"/>
    </row>
    <row r="8" spans="1:14" ht="12" customHeight="1">
      <c r="B8" s="303" t="s">
        <v>1145</v>
      </c>
      <c r="C8" s="303"/>
      <c r="D8" s="303"/>
      <c r="E8" s="303"/>
      <c r="F8" s="303"/>
      <c r="G8" s="303"/>
      <c r="H8" s="14"/>
      <c r="I8" s="302" t="s">
        <v>111</v>
      </c>
      <c r="J8" s="302"/>
      <c r="K8" s="302"/>
    </row>
    <row r="9" spans="1:14" ht="11.1" customHeight="1">
      <c r="B9" s="303"/>
      <c r="C9" s="303"/>
      <c r="D9" s="303"/>
      <c r="E9" s="303"/>
      <c r="F9" s="303"/>
      <c r="G9" s="303"/>
      <c r="H9" s="15" t="s">
        <v>4</v>
      </c>
      <c r="I9" s="302" t="s">
        <v>1151</v>
      </c>
      <c r="J9" s="302"/>
      <c r="K9" s="302"/>
    </row>
    <row r="10" spans="1:14" ht="11.1" customHeight="1">
      <c r="B10" s="14"/>
      <c r="C10" s="14"/>
      <c r="D10" s="14"/>
      <c r="E10" s="14"/>
      <c r="F10" s="14"/>
      <c r="G10" s="14"/>
      <c r="H10" s="14"/>
      <c r="I10" s="302" t="s">
        <v>111</v>
      </c>
      <c r="J10" s="302"/>
      <c r="K10" s="302"/>
    </row>
    <row r="11" spans="1:14" ht="11.1" customHeight="1">
      <c r="B11" s="14"/>
      <c r="C11" s="14"/>
      <c r="D11" s="14"/>
      <c r="E11" s="14"/>
      <c r="F11" s="14"/>
      <c r="G11" s="14"/>
      <c r="H11" s="15" t="s">
        <v>4</v>
      </c>
      <c r="I11" s="302" t="s">
        <v>1153</v>
      </c>
      <c r="J11" s="302"/>
      <c r="K11" s="302"/>
    </row>
    <row r="12" spans="1:14" ht="6" customHeight="1">
      <c r="B12" s="14"/>
      <c r="C12" s="14"/>
      <c r="D12" s="14"/>
      <c r="E12" s="14"/>
      <c r="F12" s="14"/>
      <c r="G12" s="14"/>
      <c r="H12" s="15"/>
      <c r="I12" s="303" t="s">
        <v>111</v>
      </c>
      <c r="J12" s="303"/>
      <c r="K12" s="303"/>
    </row>
    <row r="13" spans="1:14" ht="12" customHeight="1">
      <c r="B13" s="14" t="s">
        <v>55</v>
      </c>
      <c r="C13" s="303" t="s">
        <v>1152</v>
      </c>
      <c r="D13" s="303"/>
      <c r="E13" s="303"/>
      <c r="F13" s="303"/>
      <c r="G13" s="303"/>
      <c r="H13" s="14"/>
      <c r="I13" s="303" t="s">
        <v>61</v>
      </c>
      <c r="J13" s="303"/>
      <c r="K13" s="303"/>
    </row>
    <row r="14" spans="1:14" ht="6" customHeight="1">
      <c r="B14" s="303"/>
      <c r="C14" s="303"/>
      <c r="D14" s="303"/>
      <c r="E14" s="303"/>
      <c r="F14" s="303"/>
      <c r="G14" s="303"/>
      <c r="H14" s="303"/>
      <c r="I14" s="303"/>
      <c r="J14" s="14"/>
    </row>
    <row r="15" spans="1:14" ht="12.75" customHeight="1">
      <c r="B15" s="14" t="s">
        <v>56</v>
      </c>
      <c r="C15" s="314" t="str">
        <f>"一金"&amp;NUMBERSTRING(F40,2)&amp;"원整("&amp;DOLLAR(F40,0)&amp;")"</f>
        <v>一金零원整(₩0)</v>
      </c>
      <c r="D15" s="314"/>
      <c r="E15" s="314"/>
      <c r="F15" s="314"/>
      <c r="G15" s="314"/>
      <c r="H15" s="314"/>
      <c r="I15" s="314"/>
      <c r="J15" s="16"/>
    </row>
    <row r="16" spans="1:14" ht="7.35" customHeight="1" thickBot="1">
      <c r="B16" s="15"/>
      <c r="C16" s="17"/>
      <c r="D16" s="17"/>
      <c r="E16" s="17"/>
      <c r="F16" s="17"/>
      <c r="G16" s="17"/>
      <c r="H16" s="17"/>
      <c r="I16" s="17"/>
      <c r="J16" s="17"/>
    </row>
    <row r="17" spans="2:16" ht="16.5" customHeight="1" thickBot="1">
      <c r="B17" s="306" t="s">
        <v>0</v>
      </c>
      <c r="C17" s="307"/>
      <c r="D17" s="11" t="s">
        <v>1</v>
      </c>
      <c r="E17" s="11" t="s">
        <v>2</v>
      </c>
      <c r="F17" s="307" t="s">
        <v>57</v>
      </c>
      <c r="G17" s="307"/>
      <c r="H17" s="307" t="s">
        <v>58</v>
      </c>
      <c r="I17" s="307"/>
      <c r="J17" s="315"/>
      <c r="M17" s="19" t="s">
        <v>101</v>
      </c>
      <c r="N17" s="19" t="s">
        <v>102</v>
      </c>
      <c r="O17" s="19" t="s">
        <v>107</v>
      </c>
      <c r="P17" s="19" t="s">
        <v>108</v>
      </c>
    </row>
    <row r="18" spans="2:16" ht="12.95" customHeight="1">
      <c r="B18" s="312" t="s">
        <v>1156</v>
      </c>
      <c r="C18" s="313"/>
      <c r="D18" s="18" t="s">
        <v>1157</v>
      </c>
      <c r="E18" s="18">
        <v>1</v>
      </c>
      <c r="F18" s="308">
        <f>옵션!$B$2</f>
        <v>0</v>
      </c>
      <c r="G18" s="309"/>
      <c r="H18" s="304"/>
      <c r="I18" s="304"/>
      <c r="J18" s="305"/>
      <c r="K18" s="9"/>
      <c r="N18" s="32">
        <f t="shared" ref="N18:N39" si="0">E18*F18</f>
        <v>0</v>
      </c>
      <c r="O18" s="32"/>
      <c r="P18" s="32"/>
    </row>
    <row r="19" spans="2:16" ht="12.95" customHeight="1">
      <c r="B19" s="289" t="s">
        <v>1158</v>
      </c>
      <c r="C19" s="290"/>
      <c r="D19" s="19" t="s">
        <v>458</v>
      </c>
      <c r="E19" s="19">
        <v>1</v>
      </c>
      <c r="F19" s="291">
        <f>옵션!$C$2</f>
        <v>0</v>
      </c>
      <c r="G19" s="292"/>
      <c r="H19" s="284"/>
      <c r="I19" s="284"/>
      <c r="J19" s="285"/>
      <c r="N19" s="32">
        <f t="shared" si="0"/>
        <v>0</v>
      </c>
      <c r="O19" s="32"/>
      <c r="P19" s="32"/>
    </row>
    <row r="20" spans="2:16" ht="12.95" customHeight="1">
      <c r="B20" s="289" t="s">
        <v>1159</v>
      </c>
      <c r="C20" s="290"/>
      <c r="D20" s="19" t="s">
        <v>458</v>
      </c>
      <c r="E20" s="19">
        <v>1</v>
      </c>
      <c r="F20" s="291">
        <f>TRUNC((F19)*M20/100)</f>
        <v>0</v>
      </c>
      <c r="G20" s="292"/>
      <c r="H20" s="284" t="s">
        <v>1160</v>
      </c>
      <c r="I20" s="284"/>
      <c r="J20" s="285"/>
      <c r="M20" s="6">
        <v>15.2</v>
      </c>
      <c r="N20" s="32">
        <f t="shared" si="0"/>
        <v>0</v>
      </c>
      <c r="O20" s="32"/>
      <c r="P20" s="32"/>
    </row>
    <row r="21" spans="2:16" ht="12.95" customHeight="1">
      <c r="B21" s="289" t="s">
        <v>1161</v>
      </c>
      <c r="C21" s="290"/>
      <c r="D21" s="19"/>
      <c r="E21" s="19"/>
      <c r="F21" s="291">
        <f>SUM(F18:F20)</f>
        <v>0</v>
      </c>
      <c r="G21" s="292"/>
      <c r="H21" s="293"/>
      <c r="I21" s="293"/>
      <c r="J21" s="294"/>
      <c r="N21" s="32">
        <f t="shared" si="0"/>
        <v>0</v>
      </c>
      <c r="O21" s="32"/>
      <c r="P21" s="32"/>
    </row>
    <row r="22" spans="2:16" ht="12.95" customHeight="1">
      <c r="B22" s="289" t="s">
        <v>1162</v>
      </c>
      <c r="C22" s="290"/>
      <c r="D22" s="19" t="s">
        <v>458</v>
      </c>
      <c r="E22" s="19">
        <v>1</v>
      </c>
      <c r="F22" s="291">
        <f>옵션!$D$2</f>
        <v>0</v>
      </c>
      <c r="G22" s="292"/>
      <c r="H22" s="293"/>
      <c r="I22" s="293"/>
      <c r="J22" s="294"/>
      <c r="N22" s="32">
        <f t="shared" si="0"/>
        <v>0</v>
      </c>
      <c r="O22" s="32"/>
      <c r="P22" s="32"/>
    </row>
    <row r="23" spans="2:16" ht="12.95" customHeight="1">
      <c r="B23" s="289" t="s">
        <v>1163</v>
      </c>
      <c r="C23" s="290"/>
      <c r="D23" s="19" t="s">
        <v>458</v>
      </c>
      <c r="E23" s="19">
        <v>1</v>
      </c>
      <c r="F23" s="291">
        <f>TRUNC((F19+F20)*M23/100)</f>
        <v>0</v>
      </c>
      <c r="G23" s="292"/>
      <c r="H23" s="293" t="s">
        <v>1164</v>
      </c>
      <c r="I23" s="293"/>
      <c r="J23" s="294"/>
      <c r="M23" s="6">
        <v>3.56</v>
      </c>
      <c r="N23" s="32">
        <f t="shared" si="0"/>
        <v>0</v>
      </c>
      <c r="O23" s="32"/>
      <c r="P23" s="32"/>
    </row>
    <row r="24" spans="2:16" ht="12.95" customHeight="1">
      <c r="B24" s="289" t="s">
        <v>1165</v>
      </c>
      <c r="C24" s="290"/>
      <c r="D24" s="19" t="s">
        <v>458</v>
      </c>
      <c r="E24" s="19">
        <v>1</v>
      </c>
      <c r="F24" s="291">
        <f>TRUNC((F19+F20)*M24/100)</f>
        <v>0</v>
      </c>
      <c r="G24" s="292"/>
      <c r="H24" s="293" t="s">
        <v>1166</v>
      </c>
      <c r="I24" s="293"/>
      <c r="J24" s="294"/>
      <c r="M24" s="6">
        <v>1.01</v>
      </c>
      <c r="N24" s="32">
        <f t="shared" si="0"/>
        <v>0</v>
      </c>
      <c r="O24" s="32"/>
      <c r="P24" s="32"/>
    </row>
    <row r="25" spans="2:16" ht="12.95" customHeight="1">
      <c r="B25" s="289" t="s">
        <v>1167</v>
      </c>
      <c r="C25" s="290"/>
      <c r="D25" s="19" t="s">
        <v>458</v>
      </c>
      <c r="E25" s="19">
        <v>1</v>
      </c>
      <c r="F25" s="291">
        <f>TRUNC((F19)*M25/100)</f>
        <v>0</v>
      </c>
      <c r="G25" s="292"/>
      <c r="H25" s="295" t="s">
        <v>1169</v>
      </c>
      <c r="I25" s="284"/>
      <c r="J25" s="285"/>
      <c r="M25" s="6">
        <v>3.5950000000000002</v>
      </c>
      <c r="N25" s="32">
        <f t="shared" si="0"/>
        <v>0</v>
      </c>
      <c r="O25" s="32"/>
      <c r="P25" s="32"/>
    </row>
    <row r="26" spans="2:16" ht="12.95" customHeight="1">
      <c r="B26" s="289" t="s">
        <v>1170</v>
      </c>
      <c r="C26" s="290"/>
      <c r="D26" s="19" t="s">
        <v>458</v>
      </c>
      <c r="E26" s="19">
        <v>1</v>
      </c>
      <c r="F26" s="291">
        <f>TRUNC((F19)*M26/100)</f>
        <v>0</v>
      </c>
      <c r="G26" s="292"/>
      <c r="H26" s="295" t="s">
        <v>1172</v>
      </c>
      <c r="I26" s="284"/>
      <c r="J26" s="285"/>
      <c r="M26" s="6">
        <v>4.75</v>
      </c>
      <c r="N26" s="32">
        <f t="shared" si="0"/>
        <v>0</v>
      </c>
      <c r="O26" s="32"/>
      <c r="P26" s="32"/>
    </row>
    <row r="27" spans="2:16" ht="12.95" customHeight="1">
      <c r="B27" s="289" t="s">
        <v>1173</v>
      </c>
      <c r="C27" s="290"/>
      <c r="D27" s="19" t="s">
        <v>458</v>
      </c>
      <c r="E27" s="19">
        <v>1</v>
      </c>
      <c r="F27" s="291">
        <f>TRUNC((F19)*M27/100)</f>
        <v>0</v>
      </c>
      <c r="G27" s="292"/>
      <c r="H27" s="295" t="s">
        <v>1175</v>
      </c>
      <c r="I27" s="284"/>
      <c r="J27" s="285"/>
      <c r="M27" s="6">
        <v>2.2999999999999998</v>
      </c>
      <c r="N27" s="32">
        <f t="shared" si="0"/>
        <v>0</v>
      </c>
      <c r="O27" s="32"/>
      <c r="P27" s="32"/>
    </row>
    <row r="28" spans="2:16" ht="12.95" customHeight="1">
      <c r="B28" s="289" t="s">
        <v>1176</v>
      </c>
      <c r="C28" s="290"/>
      <c r="D28" s="19" t="s">
        <v>458</v>
      </c>
      <c r="E28" s="19">
        <v>1</v>
      </c>
      <c r="F28" s="291">
        <f>TRUNC((F18+F19+0/1.1)*M28/100)</f>
        <v>0</v>
      </c>
      <c r="G28" s="292"/>
      <c r="H28" s="293" t="s">
        <v>1177</v>
      </c>
      <c r="I28" s="293"/>
      <c r="J28" s="294"/>
      <c r="M28" s="6">
        <v>3.11</v>
      </c>
      <c r="N28" s="32">
        <f t="shared" si="0"/>
        <v>0</v>
      </c>
      <c r="O28" s="32"/>
      <c r="P28" s="32"/>
    </row>
    <row r="29" spans="2:16" ht="12.95" customHeight="1">
      <c r="B29" s="289" t="s">
        <v>1178</v>
      </c>
      <c r="C29" s="290"/>
      <c r="D29" s="19" t="s">
        <v>458</v>
      </c>
      <c r="E29" s="19">
        <v>1</v>
      </c>
      <c r="F29" s="291">
        <f>TRUNC((F21)*M29/100)</f>
        <v>0</v>
      </c>
      <c r="G29" s="292"/>
      <c r="H29" s="295" t="s">
        <v>1179</v>
      </c>
      <c r="I29" s="284"/>
      <c r="J29" s="285"/>
      <c r="M29" s="6">
        <v>4.7</v>
      </c>
      <c r="N29" s="32">
        <f t="shared" si="0"/>
        <v>0</v>
      </c>
      <c r="O29" s="32"/>
      <c r="P29" s="32"/>
    </row>
    <row r="30" spans="2:16" ht="12.95" customHeight="1">
      <c r="B30" s="289" t="s">
        <v>1180</v>
      </c>
      <c r="C30" s="290"/>
      <c r="D30" s="19" t="s">
        <v>458</v>
      </c>
      <c r="E30" s="19">
        <v>1</v>
      </c>
      <c r="F30" s="291">
        <f>TRUNC((F25)*M30/100)</f>
        <v>0</v>
      </c>
      <c r="G30" s="292"/>
      <c r="H30" s="295" t="s">
        <v>1181</v>
      </c>
      <c r="I30" s="284"/>
      <c r="J30" s="285"/>
      <c r="M30" s="6">
        <v>13.14</v>
      </c>
      <c r="N30" s="32">
        <f t="shared" si="0"/>
        <v>0</v>
      </c>
      <c r="O30" s="32"/>
      <c r="P30" s="32"/>
    </row>
    <row r="31" spans="2:16" ht="12.95" customHeight="1">
      <c r="B31" s="289" t="s">
        <v>1161</v>
      </c>
      <c r="C31" s="290"/>
      <c r="D31" s="19"/>
      <c r="E31" s="19"/>
      <c r="F31" s="291">
        <f>SUM(F22:F30)</f>
        <v>0</v>
      </c>
      <c r="G31" s="292"/>
      <c r="H31" s="293"/>
      <c r="I31" s="293"/>
      <c r="J31" s="294"/>
      <c r="N31" s="32">
        <f t="shared" si="0"/>
        <v>0</v>
      </c>
      <c r="O31"/>
      <c r="P31" s="32"/>
    </row>
    <row r="32" spans="2:16" ht="12.95" customHeight="1">
      <c r="B32" s="289" t="s">
        <v>1182</v>
      </c>
      <c r="C32" s="290"/>
      <c r="D32" s="19" t="s">
        <v>458</v>
      </c>
      <c r="E32" s="19">
        <v>1</v>
      </c>
      <c r="F32" s="291">
        <f>TRUNC((F21+F31)*M32/100)</f>
        <v>0</v>
      </c>
      <c r="G32" s="292"/>
      <c r="H32" s="293" t="s">
        <v>1183</v>
      </c>
      <c r="I32" s="293"/>
      <c r="J32" s="294"/>
      <c r="M32" s="6">
        <v>8</v>
      </c>
      <c r="N32" s="32">
        <f t="shared" si="0"/>
        <v>0</v>
      </c>
      <c r="O32" s="32"/>
      <c r="P32" s="32"/>
    </row>
    <row r="33" spans="2:16" ht="12.95" customHeight="1">
      <c r="B33" s="289" t="s">
        <v>1184</v>
      </c>
      <c r="C33" s="290"/>
      <c r="D33" s="19" t="s">
        <v>458</v>
      </c>
      <c r="E33" s="19">
        <v>1</v>
      </c>
      <c r="F33" s="291">
        <f>O33-((SUM(N18:N32)+O33-TRUNC((SUM(N18:N32)+O33)/P33)*P33))</f>
        <v>0</v>
      </c>
      <c r="G33" s="292"/>
      <c r="H33" s="293" t="s">
        <v>1185</v>
      </c>
      <c r="I33" s="293"/>
      <c r="J33" s="294"/>
      <c r="M33" s="6">
        <v>15</v>
      </c>
      <c r="N33" s="32">
        <f t="shared" si="0"/>
        <v>0</v>
      </c>
      <c r="O33" s="32">
        <f>TRUNC((F19+F20+F31+F32)*M33/100)</f>
        <v>0</v>
      </c>
      <c r="P33" s="32">
        <v>100000</v>
      </c>
    </row>
    <row r="34" spans="2:16" ht="12.95" customHeight="1">
      <c r="B34" s="289" t="s">
        <v>1186</v>
      </c>
      <c r="C34" s="290"/>
      <c r="D34" s="19"/>
      <c r="E34" s="19"/>
      <c r="F34" s="291">
        <f>SUM(N18:N33)</f>
        <v>0</v>
      </c>
      <c r="G34" s="292"/>
      <c r="H34" s="293"/>
      <c r="I34" s="293"/>
      <c r="J34" s="294"/>
      <c r="N34" s="32">
        <f t="shared" si="0"/>
        <v>0</v>
      </c>
      <c r="O34" s="32"/>
      <c r="P34" s="32"/>
    </row>
    <row r="35" spans="2:16" ht="12.95" customHeight="1">
      <c r="B35" s="289" t="s">
        <v>1187</v>
      </c>
      <c r="C35" s="290"/>
      <c r="D35" s="19" t="s">
        <v>458</v>
      </c>
      <c r="E35" s="19">
        <v>1</v>
      </c>
      <c r="F35" s="291">
        <f>TRUNC((F34)*M35/100)</f>
        <v>0</v>
      </c>
      <c r="G35" s="292"/>
      <c r="H35" s="293"/>
      <c r="I35" s="293"/>
      <c r="J35" s="294"/>
      <c r="M35" s="6">
        <v>10</v>
      </c>
      <c r="N35" s="32">
        <f t="shared" si="0"/>
        <v>0</v>
      </c>
      <c r="O35" s="32"/>
      <c r="P35" s="32"/>
    </row>
    <row r="36" spans="2:16" ht="12.95" customHeight="1">
      <c r="B36" s="289" t="s">
        <v>4</v>
      </c>
      <c r="C36" s="290"/>
      <c r="D36" s="19"/>
      <c r="E36" s="19"/>
      <c r="F36" s="291"/>
      <c r="G36" s="292"/>
      <c r="H36" s="293"/>
      <c r="I36" s="293"/>
      <c r="J36" s="294"/>
      <c r="N36" s="32">
        <f t="shared" si="0"/>
        <v>0</v>
      </c>
      <c r="O36" s="32"/>
      <c r="P36" s="32"/>
    </row>
    <row r="37" spans="2:16" ht="12.95" customHeight="1">
      <c r="B37" s="289" t="s">
        <v>4</v>
      </c>
      <c r="C37" s="290"/>
      <c r="D37" s="19"/>
      <c r="E37" s="19"/>
      <c r="F37" s="291"/>
      <c r="G37" s="292"/>
      <c r="H37" s="293"/>
      <c r="I37" s="293"/>
      <c r="J37" s="294"/>
      <c r="N37" s="32">
        <f t="shared" si="0"/>
        <v>0</v>
      </c>
      <c r="O37" s="32"/>
      <c r="P37" s="32"/>
    </row>
    <row r="38" spans="2:16" ht="12.95" hidden="1" customHeight="1">
      <c r="B38" s="289" t="s">
        <v>4</v>
      </c>
      <c r="C38" s="290"/>
      <c r="D38" s="19"/>
      <c r="E38" s="19"/>
      <c r="F38" s="291"/>
      <c r="G38" s="292"/>
      <c r="H38" s="293"/>
      <c r="I38" s="293"/>
      <c r="J38" s="294"/>
      <c r="N38" s="32">
        <f t="shared" si="0"/>
        <v>0</v>
      </c>
      <c r="O38" s="32"/>
      <c r="P38" s="32"/>
    </row>
    <row r="39" spans="2:16" ht="12" hidden="1" customHeight="1">
      <c r="B39" s="289" t="s">
        <v>4</v>
      </c>
      <c r="C39" s="290"/>
      <c r="D39" s="19"/>
      <c r="E39" s="19"/>
      <c r="F39" s="291"/>
      <c r="G39" s="292"/>
      <c r="H39" s="293"/>
      <c r="I39" s="293"/>
      <c r="J39" s="294"/>
      <c r="N39" s="32">
        <f t="shared" si="0"/>
        <v>0</v>
      </c>
      <c r="O39" s="32"/>
      <c r="P39" s="32"/>
    </row>
    <row r="40" spans="2:16" ht="12.95" customHeight="1">
      <c r="B40" s="289" t="s">
        <v>1188</v>
      </c>
      <c r="C40" s="290"/>
      <c r="D40" s="19"/>
      <c r="E40" s="19"/>
      <c r="F40" s="291">
        <f>N40</f>
        <v>0</v>
      </c>
      <c r="G40" s="292"/>
      <c r="H40" s="293"/>
      <c r="I40" s="293"/>
      <c r="J40" s="294"/>
      <c r="N40" s="32">
        <f>SUM(N18:N39)</f>
        <v>0</v>
      </c>
      <c r="O40" s="32"/>
      <c r="P40" s="32"/>
    </row>
    <row r="41" spans="2:16" ht="11.1" customHeight="1">
      <c r="B41" s="286" t="s">
        <v>1154</v>
      </c>
      <c r="C41" s="287"/>
      <c r="D41" s="287"/>
      <c r="E41" s="287"/>
      <c r="F41" s="287"/>
      <c r="G41" s="287"/>
      <c r="H41" s="287"/>
      <c r="I41" s="287"/>
      <c r="J41" s="288"/>
      <c r="N41" s="32"/>
      <c r="O41" s="32"/>
      <c r="P41" s="32"/>
    </row>
    <row r="42" spans="2:16" ht="11.1" customHeight="1">
      <c r="B42" s="296" t="s">
        <v>1155</v>
      </c>
      <c r="C42" s="297"/>
      <c r="D42" s="297"/>
      <c r="E42" s="297"/>
      <c r="F42" s="297"/>
      <c r="G42" s="297"/>
      <c r="H42" s="297"/>
      <c r="I42" s="297"/>
      <c r="J42" s="300"/>
      <c r="N42" s="32"/>
      <c r="O42" s="32"/>
      <c r="P42" s="32"/>
    </row>
    <row r="43" spans="2:16" ht="11.1" customHeight="1">
      <c r="B43" s="296" t="s">
        <v>43</v>
      </c>
      <c r="C43" s="297"/>
      <c r="D43" s="297"/>
      <c r="E43" s="297"/>
      <c r="F43" s="297"/>
      <c r="G43" s="297"/>
      <c r="H43" s="297"/>
      <c r="I43" s="297"/>
      <c r="J43" s="300"/>
      <c r="N43" s="32"/>
      <c r="O43" s="32"/>
      <c r="P43" s="32"/>
    </row>
    <row r="44" spans="2:16" ht="11.1" customHeight="1" thickBot="1">
      <c r="B44" s="298" t="s">
        <v>4</v>
      </c>
      <c r="C44" s="299"/>
      <c r="D44" s="299"/>
      <c r="E44" s="299"/>
      <c r="F44" s="299"/>
      <c r="G44" s="299"/>
      <c r="H44" s="299"/>
      <c r="I44" s="299"/>
      <c r="J44" s="301"/>
      <c r="N44" s="32"/>
      <c r="O44" s="32"/>
      <c r="P44" s="32"/>
    </row>
    <row r="45" spans="2:16">
      <c r="N45" s="32"/>
      <c r="O45" s="32"/>
      <c r="P45" s="32"/>
    </row>
    <row r="46" spans="2:16">
      <c r="N46" s="32"/>
      <c r="O46" s="32"/>
      <c r="P46" s="32"/>
    </row>
    <row r="47" spans="2:16">
      <c r="N47" s="32"/>
      <c r="O47" s="32"/>
      <c r="P47" s="32"/>
    </row>
    <row r="48" spans="2:16">
      <c r="N48" s="32"/>
      <c r="O48" s="32"/>
      <c r="P48" s="32"/>
    </row>
    <row r="49" spans="14:16">
      <c r="N49" s="32"/>
      <c r="O49" s="32"/>
      <c r="P49" s="32"/>
    </row>
    <row r="50" spans="14:16">
      <c r="N50" s="32"/>
      <c r="O50" s="32"/>
      <c r="P50" s="32"/>
    </row>
    <row r="51" spans="14:16">
      <c r="N51" s="32"/>
      <c r="O51" s="32"/>
      <c r="P51" s="32"/>
    </row>
    <row r="52" spans="14:16">
      <c r="N52" s="32"/>
      <c r="O52" s="32"/>
      <c r="P52" s="32"/>
    </row>
    <row r="53" spans="14:16">
      <c r="N53" s="32"/>
      <c r="O53" s="32"/>
      <c r="P53" s="32"/>
    </row>
    <row r="54" spans="14:16">
      <c r="N54" s="32"/>
      <c r="O54" s="32"/>
      <c r="P54" s="32"/>
    </row>
    <row r="55" spans="14:16">
      <c r="N55" s="32"/>
      <c r="O55" s="32"/>
      <c r="P55" s="32"/>
    </row>
    <row r="56" spans="14:16">
      <c r="N56" s="32"/>
    </row>
  </sheetData>
  <mergeCells count="101">
    <mergeCell ref="A1:K1"/>
    <mergeCell ref="H40:J40"/>
    <mergeCell ref="H39:J39"/>
    <mergeCell ref="I9:K9"/>
    <mergeCell ref="H25:J25"/>
    <mergeCell ref="B18:C18"/>
    <mergeCell ref="B29:C29"/>
    <mergeCell ref="B30:C30"/>
    <mergeCell ref="B28:C28"/>
    <mergeCell ref="I13:K13"/>
    <mergeCell ref="F40:G40"/>
    <mergeCell ref="I10:K10"/>
    <mergeCell ref="H14:I14"/>
    <mergeCell ref="C15:I15"/>
    <mergeCell ref="C13:G13"/>
    <mergeCell ref="I11:K11"/>
    <mergeCell ref="I12:K12"/>
    <mergeCell ref="B38:C38"/>
    <mergeCell ref="F22:G22"/>
    <mergeCell ref="I8:K8"/>
    <mergeCell ref="F28:G28"/>
    <mergeCell ref="F39:G39"/>
    <mergeCell ref="F31:G31"/>
    <mergeCell ref="H17:J17"/>
    <mergeCell ref="H38:J38"/>
    <mergeCell ref="H24:J24"/>
    <mergeCell ref="H31:J31"/>
    <mergeCell ref="H28:J28"/>
    <mergeCell ref="H30:J30"/>
    <mergeCell ref="H27:J27"/>
    <mergeCell ref="H29:J29"/>
    <mergeCell ref="F29:G29"/>
    <mergeCell ref="H32:J32"/>
    <mergeCell ref="H33:J33"/>
    <mergeCell ref="H34:J34"/>
    <mergeCell ref="H35:J35"/>
    <mergeCell ref="F21:G21"/>
    <mergeCell ref="B20:C20"/>
    <mergeCell ref="B17:C17"/>
    <mergeCell ref="F30:G30"/>
    <mergeCell ref="B9:G9"/>
    <mergeCell ref="B14:G14"/>
    <mergeCell ref="F18:G18"/>
    <mergeCell ref="F17:G17"/>
    <mergeCell ref="B42:G42"/>
    <mergeCell ref="F32:G32"/>
    <mergeCell ref="B33:C33"/>
    <mergeCell ref="F33:G33"/>
    <mergeCell ref="B34:C34"/>
    <mergeCell ref="F34:G34"/>
    <mergeCell ref="B35:C35"/>
    <mergeCell ref="F35:G35"/>
    <mergeCell ref="F38:G38"/>
    <mergeCell ref="B43:G43"/>
    <mergeCell ref="B44:G44"/>
    <mergeCell ref="H42:J42"/>
    <mergeCell ref="H43:J43"/>
    <mergeCell ref="H44:J44"/>
    <mergeCell ref="B39:C39"/>
    <mergeCell ref="I4:K4"/>
    <mergeCell ref="I5:K5"/>
    <mergeCell ref="I6:K6"/>
    <mergeCell ref="I7:K7"/>
    <mergeCell ref="C4:G4"/>
    <mergeCell ref="C6:G6"/>
    <mergeCell ref="B8:G8"/>
    <mergeCell ref="H18:J18"/>
    <mergeCell ref="B5:G5"/>
    <mergeCell ref="B7:G7"/>
    <mergeCell ref="B25:C25"/>
    <mergeCell ref="F19:G19"/>
    <mergeCell ref="F23:G23"/>
    <mergeCell ref="F24:G24"/>
    <mergeCell ref="F25:G25"/>
    <mergeCell ref="B21:C21"/>
    <mergeCell ref="B22:C22"/>
    <mergeCell ref="B32:C32"/>
    <mergeCell ref="H19:J19"/>
    <mergeCell ref="H20:J20"/>
    <mergeCell ref="B41:G41"/>
    <mergeCell ref="H41:J41"/>
    <mergeCell ref="B26:C26"/>
    <mergeCell ref="B27:C27"/>
    <mergeCell ref="F26:G26"/>
    <mergeCell ref="F27:G27"/>
    <mergeCell ref="F20:G20"/>
    <mergeCell ref="B40:C40"/>
    <mergeCell ref="B23:C23"/>
    <mergeCell ref="B19:C19"/>
    <mergeCell ref="B31:C31"/>
    <mergeCell ref="H21:J21"/>
    <mergeCell ref="H22:J22"/>
    <mergeCell ref="H23:J23"/>
    <mergeCell ref="B24:C24"/>
    <mergeCell ref="H26:J26"/>
    <mergeCell ref="B36:C36"/>
    <mergeCell ref="F36:G36"/>
    <mergeCell ref="H36:J36"/>
    <mergeCell ref="B37:C37"/>
    <mergeCell ref="F37:G37"/>
    <mergeCell ref="H37:J37"/>
  </mergeCells>
  <phoneticPr fontId="2" type="noConversion"/>
  <printOptions horizontalCentered="1" verticalCentered="1"/>
  <pageMargins left="0.74803149606299213" right="0.35433070866141736" top="0.19685039370078741" bottom="0.39370078740157483" header="0.51181102362204722" footer="0.39370078740157483"/>
  <pageSetup paperSize="9" orientation="landscape" verticalDpi="300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33"/>
  <sheetViews>
    <sheetView topLeftCell="C1" workbookViewId="0">
      <pane ySplit="3" topLeftCell="A73" activePane="bottomLeft" state="frozen"/>
      <selection activeCell="C1" sqref="C1"/>
      <selection pane="bottomLeft" activeCell="H85" sqref="H85"/>
    </sheetView>
  </sheetViews>
  <sheetFormatPr defaultRowHeight="21.6" customHeight="1"/>
  <cols>
    <col min="1" max="1" width="5.21875" style="27" hidden="1" customWidth="1"/>
    <col min="2" max="2" width="8.77734375" style="8" hidden="1" customWidth="1"/>
    <col min="3" max="3" width="16.77734375" style="8" customWidth="1"/>
    <col min="4" max="4" width="24.33203125" style="8" customWidth="1"/>
    <col min="5" max="5" width="25.33203125" style="8" customWidth="1"/>
    <col min="6" max="6" width="4.77734375" style="23" customWidth="1"/>
    <col min="7" max="7" width="11.21875" style="2" customWidth="1"/>
    <col min="8" max="8" width="13.88671875" style="28" customWidth="1"/>
    <col min="9" max="9" width="11.6640625" style="28" customWidth="1"/>
    <col min="10" max="10" width="10" style="28" customWidth="1"/>
    <col min="11" max="11" width="7" style="28" customWidth="1"/>
    <col min="12" max="12" width="10.77734375" style="28" customWidth="1"/>
    <col min="13" max="13" width="10.77734375" style="2" customWidth="1"/>
    <col min="14" max="16384" width="8.88671875" style="2"/>
  </cols>
  <sheetData>
    <row r="1" spans="1:13" ht="21.6" customHeight="1">
      <c r="A1" s="27" t="s">
        <v>566</v>
      </c>
      <c r="B1" s="8" t="s">
        <v>571</v>
      </c>
      <c r="C1" s="318" t="s">
        <v>568</v>
      </c>
      <c r="D1" s="318"/>
      <c r="E1" s="318"/>
      <c r="F1" s="318"/>
      <c r="G1" s="318"/>
      <c r="H1" s="318"/>
      <c r="I1" s="318"/>
      <c r="J1" s="318"/>
      <c r="K1" s="318"/>
      <c r="L1" s="318"/>
      <c r="M1" s="318"/>
    </row>
    <row r="2" spans="1:13" s="6" customFormat="1" ht="21.6" customHeight="1">
      <c r="A2" s="9" t="s">
        <v>72</v>
      </c>
      <c r="B2" s="39" t="s">
        <v>75</v>
      </c>
      <c r="C2" s="320" t="s">
        <v>25</v>
      </c>
      <c r="D2" s="320" t="s">
        <v>78</v>
      </c>
      <c r="E2" s="320" t="s">
        <v>79</v>
      </c>
      <c r="F2" s="319" t="s">
        <v>1</v>
      </c>
      <c r="G2" s="319" t="s">
        <v>2</v>
      </c>
      <c r="H2" s="316" t="s">
        <v>32</v>
      </c>
      <c r="I2" s="316" t="s">
        <v>33</v>
      </c>
      <c r="J2" s="316" t="s">
        <v>34</v>
      </c>
      <c r="K2" s="316" t="s">
        <v>35</v>
      </c>
      <c r="L2" s="316" t="s">
        <v>15</v>
      </c>
      <c r="M2" s="319" t="s">
        <v>76</v>
      </c>
    </row>
    <row r="3" spans="1:13" ht="21.6" customHeight="1">
      <c r="C3" s="321"/>
      <c r="D3" s="321"/>
      <c r="E3" s="321"/>
      <c r="F3" s="322"/>
      <c r="G3" s="317"/>
      <c r="H3" s="317"/>
      <c r="I3" s="317"/>
      <c r="J3" s="317"/>
      <c r="K3" s="317"/>
      <c r="L3" s="317"/>
      <c r="M3" s="317"/>
    </row>
    <row r="4" spans="1:13" ht="21.6" customHeight="1">
      <c r="C4" s="7" t="s">
        <v>193</v>
      </c>
      <c r="D4" s="7" t="s">
        <v>194</v>
      </c>
      <c r="E4" s="7" t="s">
        <v>195</v>
      </c>
      <c r="F4" s="24" t="s">
        <v>196</v>
      </c>
      <c r="G4" s="10">
        <v>4049.96</v>
      </c>
      <c r="H4" s="30">
        <f>TRUNC(단가조사!G4*옵션!$D$11)</f>
        <v>563</v>
      </c>
      <c r="I4" s="30"/>
      <c r="J4" s="30"/>
      <c r="K4" s="30"/>
      <c r="L4" s="30">
        <f t="shared" ref="L4:L35" si="0">SUM(H4,I4,J4)</f>
        <v>563</v>
      </c>
      <c r="M4" s="10"/>
    </row>
    <row r="5" spans="1:13" ht="21.6" customHeight="1">
      <c r="C5" s="7" t="s">
        <v>199</v>
      </c>
      <c r="D5" s="7" t="s">
        <v>194</v>
      </c>
      <c r="E5" s="7" t="s">
        <v>200</v>
      </c>
      <c r="F5" s="24" t="s">
        <v>196</v>
      </c>
      <c r="G5" s="10">
        <v>306.94</v>
      </c>
      <c r="H5" s="30">
        <f>TRUNC(단가조사!G5*옵션!$D$11)</f>
        <v>750</v>
      </c>
      <c r="I5" s="30"/>
      <c r="J5" s="30"/>
      <c r="K5" s="30"/>
      <c r="L5" s="30">
        <f t="shared" si="0"/>
        <v>750</v>
      </c>
      <c r="M5" s="10"/>
    </row>
    <row r="6" spans="1:13" ht="21.6" customHeight="1">
      <c r="C6" s="7" t="s">
        <v>201</v>
      </c>
      <c r="D6" s="7" t="s">
        <v>194</v>
      </c>
      <c r="E6" s="7" t="s">
        <v>202</v>
      </c>
      <c r="F6" s="24" t="s">
        <v>196</v>
      </c>
      <c r="G6" s="10">
        <v>11.33</v>
      </c>
      <c r="H6" s="30">
        <f>TRUNC(단가조사!G6*옵션!$D$11)</f>
        <v>1239</v>
      </c>
      <c r="I6" s="30"/>
      <c r="J6" s="30"/>
      <c r="K6" s="30"/>
      <c r="L6" s="30">
        <f t="shared" si="0"/>
        <v>1239</v>
      </c>
      <c r="M6" s="10"/>
    </row>
    <row r="7" spans="1:13" ht="21.6" customHeight="1">
      <c r="C7" s="7" t="s">
        <v>203</v>
      </c>
      <c r="D7" s="7" t="s">
        <v>194</v>
      </c>
      <c r="E7" s="7" t="s">
        <v>204</v>
      </c>
      <c r="F7" s="24" t="s">
        <v>196</v>
      </c>
      <c r="G7" s="10">
        <v>28.84</v>
      </c>
      <c r="H7" s="30">
        <f>TRUNC(단가조사!G7*옵션!$D$11)</f>
        <v>1632</v>
      </c>
      <c r="I7" s="30"/>
      <c r="J7" s="30"/>
      <c r="K7" s="30"/>
      <c r="L7" s="30">
        <f t="shared" si="0"/>
        <v>1632</v>
      </c>
      <c r="M7" s="10"/>
    </row>
    <row r="8" spans="1:13" ht="21.6" customHeight="1">
      <c r="C8" s="7" t="s">
        <v>205</v>
      </c>
      <c r="D8" s="7" t="s">
        <v>194</v>
      </c>
      <c r="E8" s="7" t="s">
        <v>206</v>
      </c>
      <c r="F8" s="24" t="s">
        <v>196</v>
      </c>
      <c r="G8" s="10">
        <v>179.22</v>
      </c>
      <c r="H8" s="30">
        <f>TRUNC(단가조사!G8*옵션!$D$11)</f>
        <v>2188</v>
      </c>
      <c r="I8" s="30"/>
      <c r="J8" s="30"/>
      <c r="K8" s="30"/>
      <c r="L8" s="30">
        <f t="shared" si="0"/>
        <v>2188</v>
      </c>
      <c r="M8" s="10"/>
    </row>
    <row r="9" spans="1:13" ht="21.6" customHeight="1">
      <c r="C9" s="7" t="s">
        <v>207</v>
      </c>
      <c r="D9" s="7" t="s">
        <v>194</v>
      </c>
      <c r="E9" s="7" t="s">
        <v>208</v>
      </c>
      <c r="F9" s="24" t="s">
        <v>196</v>
      </c>
      <c r="G9" s="10">
        <v>140.08000000000001</v>
      </c>
      <c r="H9" s="30">
        <f>TRUNC(단가조사!G9*옵션!$D$11)</f>
        <v>563</v>
      </c>
      <c r="I9" s="30"/>
      <c r="J9" s="30"/>
      <c r="K9" s="30"/>
      <c r="L9" s="30">
        <f t="shared" si="0"/>
        <v>563</v>
      </c>
      <c r="M9" s="10"/>
    </row>
    <row r="10" spans="1:13" ht="21.6" customHeight="1">
      <c r="C10" s="7" t="s">
        <v>209</v>
      </c>
      <c r="D10" s="7" t="s">
        <v>194</v>
      </c>
      <c r="E10" s="7" t="s">
        <v>210</v>
      </c>
      <c r="F10" s="24" t="s">
        <v>196</v>
      </c>
      <c r="G10" s="10">
        <v>140.08000000000001</v>
      </c>
      <c r="H10" s="30">
        <f>TRUNC(단가조사!G10*옵션!$D$11)</f>
        <v>750</v>
      </c>
      <c r="I10" s="30"/>
      <c r="J10" s="30"/>
      <c r="K10" s="30"/>
      <c r="L10" s="30">
        <f t="shared" si="0"/>
        <v>750</v>
      </c>
      <c r="M10" s="10"/>
    </row>
    <row r="11" spans="1:13" ht="21.6" customHeight="1">
      <c r="C11" s="7" t="s">
        <v>211</v>
      </c>
      <c r="D11" s="7" t="s">
        <v>212</v>
      </c>
      <c r="E11" s="7" t="s">
        <v>213</v>
      </c>
      <c r="F11" s="24" t="s">
        <v>196</v>
      </c>
      <c r="G11" s="10">
        <v>484</v>
      </c>
      <c r="H11" s="30">
        <f>TRUNC(단가조사!G11*옵션!$D$11)</f>
        <v>27000</v>
      </c>
      <c r="I11" s="30"/>
      <c r="J11" s="30"/>
      <c r="K11" s="30"/>
      <c r="L11" s="30">
        <f t="shared" si="0"/>
        <v>27000</v>
      </c>
      <c r="M11" s="10"/>
    </row>
    <row r="12" spans="1:13" ht="21.6" customHeight="1">
      <c r="C12" s="7" t="s">
        <v>216</v>
      </c>
      <c r="D12" s="7" t="s">
        <v>217</v>
      </c>
      <c r="E12" s="7" t="s">
        <v>218</v>
      </c>
      <c r="F12" s="24" t="s">
        <v>196</v>
      </c>
      <c r="G12" s="10">
        <v>841.5</v>
      </c>
      <c r="H12" s="30">
        <f>TRUNC(단가조사!G12*옵션!$D$11)</f>
        <v>1612</v>
      </c>
      <c r="I12" s="30"/>
      <c r="J12" s="30"/>
      <c r="K12" s="30"/>
      <c r="L12" s="30">
        <f t="shared" si="0"/>
        <v>1612</v>
      </c>
      <c r="M12" s="10"/>
    </row>
    <row r="13" spans="1:13" ht="21.6" customHeight="1">
      <c r="C13" s="7" t="s">
        <v>221</v>
      </c>
      <c r="D13" s="7" t="s">
        <v>222</v>
      </c>
      <c r="E13" s="7" t="s">
        <v>223</v>
      </c>
      <c r="F13" s="24" t="s">
        <v>196</v>
      </c>
      <c r="G13" s="10">
        <v>3903.9</v>
      </c>
      <c r="H13" s="30">
        <f>TRUNC(단가조사!G13*옵션!$D$11)</f>
        <v>2717</v>
      </c>
      <c r="I13" s="30"/>
      <c r="J13" s="30"/>
      <c r="K13" s="30"/>
      <c r="L13" s="30">
        <f t="shared" si="0"/>
        <v>2717</v>
      </c>
      <c r="M13" s="10"/>
    </row>
    <row r="14" spans="1:13" ht="21.6" customHeight="1">
      <c r="C14" s="7" t="s">
        <v>224</v>
      </c>
      <c r="D14" s="7" t="s">
        <v>222</v>
      </c>
      <c r="E14" s="7" t="s">
        <v>225</v>
      </c>
      <c r="F14" s="24" t="s">
        <v>196</v>
      </c>
      <c r="G14" s="10">
        <v>105.6</v>
      </c>
      <c r="H14" s="30">
        <f>TRUNC(단가조사!G14*옵션!$D$11)</f>
        <v>3579</v>
      </c>
      <c r="I14" s="30"/>
      <c r="J14" s="30"/>
      <c r="K14" s="30"/>
      <c r="L14" s="30">
        <f t="shared" si="0"/>
        <v>3579</v>
      </c>
      <c r="M14" s="10"/>
    </row>
    <row r="15" spans="1:13" ht="21.6" customHeight="1">
      <c r="C15" s="7" t="s">
        <v>226</v>
      </c>
      <c r="D15" s="7" t="s">
        <v>227</v>
      </c>
      <c r="E15" s="7" t="s">
        <v>228</v>
      </c>
      <c r="F15" s="24" t="s">
        <v>196</v>
      </c>
      <c r="G15" s="10">
        <v>1500.45</v>
      </c>
      <c r="H15" s="30">
        <f>TRUNC(단가조사!G15*옵션!$D$11)</f>
        <v>1859</v>
      </c>
      <c r="I15" s="30"/>
      <c r="J15" s="30"/>
      <c r="K15" s="30"/>
      <c r="L15" s="30">
        <f t="shared" si="0"/>
        <v>1859</v>
      </c>
      <c r="M15" s="10"/>
    </row>
    <row r="16" spans="1:13" ht="21.6" customHeight="1">
      <c r="C16" s="7" t="s">
        <v>231</v>
      </c>
      <c r="D16" s="7" t="s">
        <v>232</v>
      </c>
      <c r="E16" s="7" t="s">
        <v>233</v>
      </c>
      <c r="F16" s="24" t="s">
        <v>196</v>
      </c>
      <c r="G16" s="10">
        <v>281</v>
      </c>
      <c r="H16" s="30">
        <f>TRUNC(단가조사!G16*옵션!$D$11)</f>
        <v>2907</v>
      </c>
      <c r="I16" s="30"/>
      <c r="J16" s="30"/>
      <c r="K16" s="30"/>
      <c r="L16" s="30">
        <f t="shared" si="0"/>
        <v>2907</v>
      </c>
      <c r="M16" s="10"/>
    </row>
    <row r="17" spans="3:13" ht="21.6" customHeight="1">
      <c r="C17" s="7" t="s">
        <v>235</v>
      </c>
      <c r="D17" s="7" t="s">
        <v>232</v>
      </c>
      <c r="E17" s="7" t="s">
        <v>236</v>
      </c>
      <c r="F17" s="24" t="s">
        <v>196</v>
      </c>
      <c r="G17" s="10">
        <v>750</v>
      </c>
      <c r="H17" s="30">
        <f>TRUNC(단가조사!G17*옵션!$D$11)</f>
        <v>4423</v>
      </c>
      <c r="I17" s="30"/>
      <c r="J17" s="30"/>
      <c r="K17" s="30"/>
      <c r="L17" s="30">
        <f t="shared" si="0"/>
        <v>4423</v>
      </c>
      <c r="M17" s="10"/>
    </row>
    <row r="18" spans="3:13" ht="21.6" customHeight="1">
      <c r="C18" s="7" t="s">
        <v>237</v>
      </c>
      <c r="D18" s="7" t="s">
        <v>232</v>
      </c>
      <c r="E18" s="7" t="s">
        <v>238</v>
      </c>
      <c r="F18" s="24" t="s">
        <v>196</v>
      </c>
      <c r="G18" s="10">
        <v>105</v>
      </c>
      <c r="H18" s="30">
        <f>TRUNC(단가조사!G18*옵션!$D$11)</f>
        <v>6915</v>
      </c>
      <c r="I18" s="30"/>
      <c r="J18" s="30"/>
      <c r="K18" s="30"/>
      <c r="L18" s="30">
        <f t="shared" si="0"/>
        <v>6915</v>
      </c>
      <c r="M18" s="10"/>
    </row>
    <row r="19" spans="3:13" ht="21.6" customHeight="1">
      <c r="C19" s="7" t="s">
        <v>239</v>
      </c>
      <c r="D19" s="7" t="s">
        <v>232</v>
      </c>
      <c r="E19" s="7" t="s">
        <v>240</v>
      </c>
      <c r="F19" s="24" t="s">
        <v>196</v>
      </c>
      <c r="G19" s="10">
        <v>105</v>
      </c>
      <c r="H19" s="30">
        <f>TRUNC(단가조사!G19*옵션!$D$11)</f>
        <v>10580</v>
      </c>
      <c r="I19" s="30"/>
      <c r="J19" s="30"/>
      <c r="K19" s="30"/>
      <c r="L19" s="30">
        <f t="shared" si="0"/>
        <v>10580</v>
      </c>
      <c r="M19" s="10"/>
    </row>
    <row r="20" spans="3:13" ht="21.6" customHeight="1">
      <c r="C20" s="7" t="s">
        <v>241</v>
      </c>
      <c r="D20" s="7" t="s">
        <v>232</v>
      </c>
      <c r="E20" s="7" t="s">
        <v>242</v>
      </c>
      <c r="F20" s="24" t="s">
        <v>196</v>
      </c>
      <c r="G20" s="10">
        <v>52</v>
      </c>
      <c r="H20" s="30">
        <f>TRUNC(단가조사!G20*옵션!$D$11)</f>
        <v>14046</v>
      </c>
      <c r="I20" s="30"/>
      <c r="J20" s="30"/>
      <c r="K20" s="30"/>
      <c r="L20" s="30">
        <f t="shared" si="0"/>
        <v>14046</v>
      </c>
      <c r="M20" s="10"/>
    </row>
    <row r="21" spans="3:13" ht="21.6" customHeight="1">
      <c r="C21" s="7" t="s">
        <v>243</v>
      </c>
      <c r="D21" s="7" t="s">
        <v>227</v>
      </c>
      <c r="E21" s="7" t="s">
        <v>244</v>
      </c>
      <c r="F21" s="24" t="s">
        <v>196</v>
      </c>
      <c r="G21" s="10">
        <v>145.94999999999999</v>
      </c>
      <c r="H21" s="30">
        <f>TRUNC(단가조사!G21*옵션!$D$11)</f>
        <v>4722</v>
      </c>
      <c r="I21" s="30"/>
      <c r="J21" s="30"/>
      <c r="K21" s="30"/>
      <c r="L21" s="30">
        <f t="shared" si="0"/>
        <v>4722</v>
      </c>
      <c r="M21" s="10"/>
    </row>
    <row r="22" spans="3:13" ht="21.6" customHeight="1">
      <c r="C22" s="7" t="s">
        <v>245</v>
      </c>
      <c r="D22" s="7" t="s">
        <v>232</v>
      </c>
      <c r="E22" s="7" t="s">
        <v>246</v>
      </c>
      <c r="F22" s="24" t="s">
        <v>196</v>
      </c>
      <c r="G22" s="10">
        <v>387</v>
      </c>
      <c r="H22" s="30">
        <f>TRUNC(단가조사!G22*옵션!$D$11)</f>
        <v>5058</v>
      </c>
      <c r="I22" s="30"/>
      <c r="J22" s="30"/>
      <c r="K22" s="30"/>
      <c r="L22" s="30">
        <f t="shared" si="0"/>
        <v>5058</v>
      </c>
      <c r="M22" s="10"/>
    </row>
    <row r="23" spans="3:13" ht="21.6" customHeight="1">
      <c r="C23" s="7" t="s">
        <v>247</v>
      </c>
      <c r="D23" s="7" t="s">
        <v>232</v>
      </c>
      <c r="E23" s="7" t="s">
        <v>248</v>
      </c>
      <c r="F23" s="24" t="s">
        <v>196</v>
      </c>
      <c r="G23" s="10">
        <v>2621</v>
      </c>
      <c r="H23" s="30">
        <f>TRUNC(단가조사!G23*옵션!$D$11)</f>
        <v>8027</v>
      </c>
      <c r="I23" s="30"/>
      <c r="J23" s="30"/>
      <c r="K23" s="30"/>
      <c r="L23" s="30">
        <f t="shared" si="0"/>
        <v>8027</v>
      </c>
      <c r="M23" s="10"/>
    </row>
    <row r="24" spans="3:13" ht="21.6" customHeight="1">
      <c r="C24" s="7" t="s">
        <v>249</v>
      </c>
      <c r="D24" s="7" t="s">
        <v>232</v>
      </c>
      <c r="E24" s="7" t="s">
        <v>250</v>
      </c>
      <c r="F24" s="24" t="s">
        <v>196</v>
      </c>
      <c r="G24" s="10">
        <v>105</v>
      </c>
      <c r="H24" s="30">
        <f>TRUNC(단가조사!G24*옵션!$D$11)</f>
        <v>19933</v>
      </c>
      <c r="I24" s="30"/>
      <c r="J24" s="30"/>
      <c r="K24" s="30"/>
      <c r="L24" s="30">
        <f t="shared" si="0"/>
        <v>19933</v>
      </c>
      <c r="M24" s="10"/>
    </row>
    <row r="25" spans="3:13" ht="21.6" customHeight="1">
      <c r="C25" s="7" t="s">
        <v>251</v>
      </c>
      <c r="D25" s="7" t="s">
        <v>252</v>
      </c>
      <c r="E25" s="7" t="s">
        <v>253</v>
      </c>
      <c r="F25" s="24" t="s">
        <v>196</v>
      </c>
      <c r="G25" s="10">
        <v>472.5</v>
      </c>
      <c r="H25" s="30">
        <f>TRUNC(단가조사!G25*옵션!$D$11)</f>
        <v>3309</v>
      </c>
      <c r="I25" s="30"/>
      <c r="J25" s="30"/>
      <c r="K25" s="30"/>
      <c r="L25" s="30">
        <f t="shared" si="0"/>
        <v>3309</v>
      </c>
      <c r="M25" s="10"/>
    </row>
    <row r="26" spans="3:13" ht="21.6" customHeight="1">
      <c r="C26" s="7" t="s">
        <v>256</v>
      </c>
      <c r="D26" s="7" t="s">
        <v>257</v>
      </c>
      <c r="E26" s="7" t="s">
        <v>258</v>
      </c>
      <c r="F26" s="24" t="s">
        <v>196</v>
      </c>
      <c r="G26" s="10">
        <v>564.44000000000005</v>
      </c>
      <c r="H26" s="30">
        <f>TRUNC(단가조사!G26*옵션!$D$11)</f>
        <v>1000</v>
      </c>
      <c r="I26" s="30"/>
      <c r="J26" s="30"/>
      <c r="K26" s="30"/>
      <c r="L26" s="30">
        <f t="shared" si="0"/>
        <v>1000</v>
      </c>
      <c r="M26" s="10"/>
    </row>
    <row r="27" spans="3:13" ht="21.6" customHeight="1">
      <c r="C27" s="7" t="s">
        <v>259</v>
      </c>
      <c r="D27" s="7" t="s">
        <v>260</v>
      </c>
      <c r="E27" s="7" t="s">
        <v>261</v>
      </c>
      <c r="F27" s="24" t="s">
        <v>262</v>
      </c>
      <c r="G27" s="10">
        <v>2</v>
      </c>
      <c r="H27" s="30">
        <f>TRUNC(단가조사!G27*옵션!$D$11)</f>
        <v>200000</v>
      </c>
      <c r="I27" s="30"/>
      <c r="J27" s="30"/>
      <c r="K27" s="30"/>
      <c r="L27" s="30">
        <f t="shared" si="0"/>
        <v>200000</v>
      </c>
      <c r="M27" s="10"/>
    </row>
    <row r="28" spans="3:13" ht="21.6" customHeight="1">
      <c r="C28" s="7" t="s">
        <v>263</v>
      </c>
      <c r="D28" s="7" t="s">
        <v>264</v>
      </c>
      <c r="E28" s="7" t="s">
        <v>265</v>
      </c>
      <c r="F28" s="24" t="s">
        <v>266</v>
      </c>
      <c r="G28" s="10">
        <v>63</v>
      </c>
      <c r="H28" s="30">
        <f>TRUNC(단가조사!G28*옵션!$D$11)</f>
        <v>5780</v>
      </c>
      <c r="I28" s="30"/>
      <c r="J28" s="30"/>
      <c r="K28" s="30"/>
      <c r="L28" s="30">
        <f t="shared" si="0"/>
        <v>5780</v>
      </c>
      <c r="M28" s="10"/>
    </row>
    <row r="29" spans="3:13" ht="21.6" customHeight="1">
      <c r="C29" s="7" t="s">
        <v>267</v>
      </c>
      <c r="D29" s="7" t="s">
        <v>268</v>
      </c>
      <c r="E29" s="7" t="s">
        <v>269</v>
      </c>
      <c r="F29" s="24" t="s">
        <v>266</v>
      </c>
      <c r="G29" s="10">
        <v>40</v>
      </c>
      <c r="H29" s="30">
        <f>TRUNC(단가조사!G29*옵션!$D$11)</f>
        <v>500</v>
      </c>
      <c r="I29" s="30"/>
      <c r="J29" s="30"/>
      <c r="K29" s="30"/>
      <c r="L29" s="30">
        <f t="shared" si="0"/>
        <v>500</v>
      </c>
      <c r="M29" s="10"/>
    </row>
    <row r="30" spans="3:13" ht="21.6" customHeight="1">
      <c r="C30" s="7" t="s">
        <v>270</v>
      </c>
      <c r="D30" s="7" t="s">
        <v>271</v>
      </c>
      <c r="E30" s="7" t="s">
        <v>272</v>
      </c>
      <c r="F30" s="24" t="s">
        <v>196</v>
      </c>
      <c r="G30" s="10">
        <v>4673</v>
      </c>
      <c r="H30" s="30">
        <f>TRUNC(단가조사!G30*옵션!$D$11)</f>
        <v>180</v>
      </c>
      <c r="I30" s="30"/>
      <c r="J30" s="30"/>
      <c r="K30" s="30"/>
      <c r="L30" s="30">
        <f t="shared" si="0"/>
        <v>180</v>
      </c>
      <c r="M30" s="10"/>
    </row>
    <row r="31" spans="3:13" ht="21.6" customHeight="1">
      <c r="C31" s="7" t="s">
        <v>273</v>
      </c>
      <c r="D31" s="7" t="s">
        <v>274</v>
      </c>
      <c r="E31" s="7" t="s">
        <v>275</v>
      </c>
      <c r="F31" s="24" t="s">
        <v>266</v>
      </c>
      <c r="G31" s="10">
        <v>4</v>
      </c>
      <c r="H31" s="30">
        <f>TRUNC(단가조사!G31*옵션!$D$11)</f>
        <v>200</v>
      </c>
      <c r="I31" s="30"/>
      <c r="J31" s="30"/>
      <c r="K31" s="30"/>
      <c r="L31" s="30">
        <f t="shared" si="0"/>
        <v>200</v>
      </c>
      <c r="M31" s="10"/>
    </row>
    <row r="32" spans="3:13" ht="21.6" customHeight="1">
      <c r="C32" s="7" t="s">
        <v>278</v>
      </c>
      <c r="D32" s="7" t="s">
        <v>274</v>
      </c>
      <c r="E32" s="7" t="s">
        <v>279</v>
      </c>
      <c r="F32" s="24" t="s">
        <v>266</v>
      </c>
      <c r="G32" s="10">
        <v>28</v>
      </c>
      <c r="H32" s="30">
        <f>TRUNC(단가조사!G32*옵션!$D$11)</f>
        <v>260</v>
      </c>
      <c r="I32" s="30"/>
      <c r="J32" s="30"/>
      <c r="K32" s="30"/>
      <c r="L32" s="30">
        <f t="shared" si="0"/>
        <v>260</v>
      </c>
      <c r="M32" s="10"/>
    </row>
    <row r="33" spans="3:13" ht="21.6" customHeight="1">
      <c r="C33" s="7" t="s">
        <v>280</v>
      </c>
      <c r="D33" s="7" t="s">
        <v>274</v>
      </c>
      <c r="E33" s="7" t="s">
        <v>281</v>
      </c>
      <c r="F33" s="24" t="s">
        <v>266</v>
      </c>
      <c r="G33" s="10">
        <v>4</v>
      </c>
      <c r="H33" s="30">
        <f>TRUNC(단가조사!G33*옵션!$D$11)</f>
        <v>316</v>
      </c>
      <c r="I33" s="30"/>
      <c r="J33" s="30"/>
      <c r="K33" s="30"/>
      <c r="L33" s="30">
        <f t="shared" si="0"/>
        <v>316</v>
      </c>
      <c r="M33" s="10"/>
    </row>
    <row r="34" spans="3:13" ht="21.6" customHeight="1">
      <c r="C34" s="7" t="s">
        <v>282</v>
      </c>
      <c r="D34" s="7" t="s">
        <v>283</v>
      </c>
      <c r="E34" s="7" t="s">
        <v>284</v>
      </c>
      <c r="F34" s="24" t="s">
        <v>285</v>
      </c>
      <c r="G34" s="10">
        <v>6</v>
      </c>
      <c r="H34" s="30">
        <f>TRUNC(단가조사!G34*옵션!$D$11)</f>
        <v>110000</v>
      </c>
      <c r="I34" s="30"/>
      <c r="J34" s="30"/>
      <c r="K34" s="30"/>
      <c r="L34" s="30">
        <f t="shared" si="0"/>
        <v>110000</v>
      </c>
      <c r="M34" s="10"/>
    </row>
    <row r="35" spans="3:13" ht="21.6" customHeight="1">
      <c r="C35" s="7" t="s">
        <v>287</v>
      </c>
      <c r="D35" s="7" t="s">
        <v>288</v>
      </c>
      <c r="E35" s="7" t="s">
        <v>289</v>
      </c>
      <c r="F35" s="24" t="s">
        <v>290</v>
      </c>
      <c r="G35" s="10">
        <v>6</v>
      </c>
      <c r="H35" s="30">
        <f>TRUNC(단가조사!G35*옵션!$D$11)</f>
        <v>370000</v>
      </c>
      <c r="I35" s="30"/>
      <c r="J35" s="30"/>
      <c r="K35" s="30"/>
      <c r="L35" s="30">
        <f t="shared" si="0"/>
        <v>370000</v>
      </c>
      <c r="M35" s="10"/>
    </row>
    <row r="36" spans="3:13" ht="21.6" customHeight="1">
      <c r="C36" s="7" t="s">
        <v>291</v>
      </c>
      <c r="D36" s="7" t="s">
        <v>292</v>
      </c>
      <c r="E36" s="7" t="s">
        <v>293</v>
      </c>
      <c r="F36" s="24" t="s">
        <v>294</v>
      </c>
      <c r="G36" s="10">
        <v>0.63360000000000005</v>
      </c>
      <c r="H36" s="30">
        <f>TRUNC(단가조사!G36*옵션!$D$11)</f>
        <v>1326000</v>
      </c>
      <c r="I36" s="30"/>
      <c r="J36" s="30"/>
      <c r="K36" s="30"/>
      <c r="L36" s="30">
        <f t="shared" ref="L36:L67" si="1">SUM(H36,I36,J36)</f>
        <v>1326000</v>
      </c>
      <c r="M36" s="10"/>
    </row>
    <row r="37" spans="3:13" ht="21.6" customHeight="1">
      <c r="C37" s="7" t="s">
        <v>295</v>
      </c>
      <c r="D37" s="7" t="s">
        <v>296</v>
      </c>
      <c r="E37" s="7" t="s">
        <v>297</v>
      </c>
      <c r="F37" s="24" t="s">
        <v>298</v>
      </c>
      <c r="G37" s="10">
        <v>17.221599999999999</v>
      </c>
      <c r="H37" s="30">
        <f>TRUNC(단가조사!G37*옵션!$D$11)</f>
        <v>10900</v>
      </c>
      <c r="I37" s="30"/>
      <c r="J37" s="30"/>
      <c r="K37" s="30"/>
      <c r="L37" s="30">
        <f t="shared" si="1"/>
        <v>10900</v>
      </c>
      <c r="M37" s="10"/>
    </row>
    <row r="38" spans="3:13" ht="21.6" customHeight="1">
      <c r="C38" s="7" t="s">
        <v>300</v>
      </c>
      <c r="D38" s="7" t="s">
        <v>301</v>
      </c>
      <c r="E38" s="7" t="s">
        <v>302</v>
      </c>
      <c r="F38" s="24" t="s">
        <v>294</v>
      </c>
      <c r="G38" s="10">
        <v>11.881</v>
      </c>
      <c r="H38" s="30">
        <f>TRUNC(단가조사!G38*옵션!$D$11)</f>
        <v>101280</v>
      </c>
      <c r="I38" s="30"/>
      <c r="J38" s="30"/>
      <c r="K38" s="30"/>
      <c r="L38" s="30">
        <f t="shared" si="1"/>
        <v>101280</v>
      </c>
      <c r="M38" s="10"/>
    </row>
    <row r="39" spans="3:13" ht="21.6" customHeight="1">
      <c r="C39" s="7" t="s">
        <v>303</v>
      </c>
      <c r="D39" s="7" t="s">
        <v>304</v>
      </c>
      <c r="E39" s="7" t="s">
        <v>305</v>
      </c>
      <c r="F39" s="24" t="s">
        <v>306</v>
      </c>
      <c r="G39" s="10">
        <v>7</v>
      </c>
      <c r="H39" s="30">
        <f>TRUNC(단가조사!G39*옵션!$D$11)</f>
        <v>35090</v>
      </c>
      <c r="I39" s="30"/>
      <c r="J39" s="30"/>
      <c r="K39" s="30"/>
      <c r="L39" s="30">
        <f t="shared" si="1"/>
        <v>35090</v>
      </c>
      <c r="M39" s="10"/>
    </row>
    <row r="40" spans="3:13" ht="21.6" customHeight="1">
      <c r="C40" s="7" t="s">
        <v>308</v>
      </c>
      <c r="D40" s="7" t="s">
        <v>309</v>
      </c>
      <c r="E40" s="7"/>
      <c r="F40" s="24" t="s">
        <v>306</v>
      </c>
      <c r="G40" s="10">
        <v>21</v>
      </c>
      <c r="H40" s="30">
        <f>TRUNC(단가조사!G40*옵션!$D$11)</f>
        <v>2424</v>
      </c>
      <c r="I40" s="30"/>
      <c r="J40" s="30"/>
      <c r="K40" s="30"/>
      <c r="L40" s="30">
        <f t="shared" si="1"/>
        <v>2424</v>
      </c>
      <c r="M40" s="10"/>
    </row>
    <row r="41" spans="3:13" ht="21.6" customHeight="1">
      <c r="C41" s="7" t="s">
        <v>311</v>
      </c>
      <c r="D41" s="7" t="s">
        <v>312</v>
      </c>
      <c r="E41" s="7"/>
      <c r="F41" s="24" t="s">
        <v>266</v>
      </c>
      <c r="G41" s="10">
        <v>12</v>
      </c>
      <c r="H41" s="30">
        <f>TRUNC(단가조사!G41*옵션!$D$11)</f>
        <v>35000</v>
      </c>
      <c r="I41" s="30"/>
      <c r="J41" s="30"/>
      <c r="K41" s="30"/>
      <c r="L41" s="30">
        <f t="shared" si="1"/>
        <v>35000</v>
      </c>
      <c r="M41" s="10"/>
    </row>
    <row r="42" spans="3:13" ht="21.6" customHeight="1">
      <c r="C42" s="7" t="s">
        <v>313</v>
      </c>
      <c r="D42" s="7" t="s">
        <v>314</v>
      </c>
      <c r="E42" s="7" t="s">
        <v>315</v>
      </c>
      <c r="F42" s="24" t="s">
        <v>316</v>
      </c>
      <c r="G42" s="10">
        <v>2</v>
      </c>
      <c r="H42" s="30">
        <f>TRUNC(단가조사!G42*옵션!$D$11)</f>
        <v>35000</v>
      </c>
      <c r="I42" s="30"/>
      <c r="J42" s="30"/>
      <c r="K42" s="30"/>
      <c r="L42" s="30">
        <f t="shared" si="1"/>
        <v>35000</v>
      </c>
      <c r="M42" s="10"/>
    </row>
    <row r="43" spans="3:13" ht="21.6" customHeight="1">
      <c r="C43" s="7" t="s">
        <v>317</v>
      </c>
      <c r="D43" s="7" t="s">
        <v>318</v>
      </c>
      <c r="E43" s="7" t="s">
        <v>319</v>
      </c>
      <c r="F43" s="24" t="s">
        <v>266</v>
      </c>
      <c r="G43" s="10">
        <v>3</v>
      </c>
      <c r="H43" s="30">
        <f>TRUNC(단가조사!G43*옵션!$D$11)</f>
        <v>350000</v>
      </c>
      <c r="I43" s="30"/>
      <c r="J43" s="30"/>
      <c r="K43" s="30"/>
      <c r="L43" s="30">
        <f t="shared" si="1"/>
        <v>350000</v>
      </c>
      <c r="M43" s="10"/>
    </row>
    <row r="44" spans="3:13" ht="21.6" customHeight="1">
      <c r="C44" s="7" t="s">
        <v>320</v>
      </c>
      <c r="D44" s="7" t="s">
        <v>321</v>
      </c>
      <c r="E44" s="7" t="s">
        <v>322</v>
      </c>
      <c r="F44" s="24" t="s">
        <v>262</v>
      </c>
      <c r="G44" s="10">
        <v>1</v>
      </c>
      <c r="H44" s="30">
        <f>TRUNC(단가조사!G44*옵션!$D$11)</f>
        <v>0</v>
      </c>
      <c r="I44" s="30"/>
      <c r="J44" s="30"/>
      <c r="K44" s="30"/>
      <c r="L44" s="30">
        <f t="shared" si="1"/>
        <v>0</v>
      </c>
      <c r="M44" s="10"/>
    </row>
    <row r="45" spans="3:13" ht="21.6" customHeight="1">
      <c r="C45" s="7" t="s">
        <v>323</v>
      </c>
      <c r="D45" s="7" t="s">
        <v>324</v>
      </c>
      <c r="E45" s="7" t="s">
        <v>325</v>
      </c>
      <c r="F45" s="24" t="s">
        <v>266</v>
      </c>
      <c r="G45" s="10">
        <v>1</v>
      </c>
      <c r="H45" s="30">
        <f>TRUNC(단가조사!G45*옵션!$D$11)</f>
        <v>5200000</v>
      </c>
      <c r="I45" s="30"/>
      <c r="J45" s="30"/>
      <c r="K45" s="30"/>
      <c r="L45" s="30">
        <f t="shared" si="1"/>
        <v>5200000</v>
      </c>
      <c r="M45" s="10"/>
    </row>
    <row r="46" spans="3:13" ht="21.6" customHeight="1">
      <c r="C46" s="7" t="s">
        <v>326</v>
      </c>
      <c r="D46" s="7" t="s">
        <v>327</v>
      </c>
      <c r="E46" s="7" t="s">
        <v>328</v>
      </c>
      <c r="F46" s="24" t="s">
        <v>266</v>
      </c>
      <c r="G46" s="10">
        <v>5</v>
      </c>
      <c r="H46" s="30">
        <f>TRUNC(단가조사!G46*옵션!$D$11)</f>
        <v>370000</v>
      </c>
      <c r="I46" s="30"/>
      <c r="J46" s="30"/>
      <c r="K46" s="30"/>
      <c r="L46" s="30">
        <f t="shared" si="1"/>
        <v>370000</v>
      </c>
      <c r="M46" s="10"/>
    </row>
    <row r="47" spans="3:13" ht="21.6" customHeight="1">
      <c r="C47" s="7" t="s">
        <v>329</v>
      </c>
      <c r="D47" s="7" t="s">
        <v>330</v>
      </c>
      <c r="E47" s="7" t="s">
        <v>331</v>
      </c>
      <c r="F47" s="24" t="s">
        <v>266</v>
      </c>
      <c r="G47" s="10">
        <v>6</v>
      </c>
      <c r="H47" s="30">
        <f>TRUNC(단가조사!G47*옵션!$D$11)</f>
        <v>8400</v>
      </c>
      <c r="I47" s="30"/>
      <c r="J47" s="30"/>
      <c r="K47" s="30"/>
      <c r="L47" s="30">
        <f t="shared" si="1"/>
        <v>8400</v>
      </c>
      <c r="M47" s="10"/>
    </row>
    <row r="48" spans="3:13" ht="21.6" customHeight="1">
      <c r="C48" s="7" t="s">
        <v>332</v>
      </c>
      <c r="D48" s="7" t="s">
        <v>333</v>
      </c>
      <c r="E48" s="7" t="s">
        <v>334</v>
      </c>
      <c r="F48" s="24" t="s">
        <v>196</v>
      </c>
      <c r="G48" s="10">
        <v>274</v>
      </c>
      <c r="H48" s="30">
        <f>TRUNC(단가조사!G48*옵션!$D$11)</f>
        <v>0</v>
      </c>
      <c r="I48" s="30"/>
      <c r="J48" s="30"/>
      <c r="K48" s="30"/>
      <c r="L48" s="30">
        <f t="shared" si="1"/>
        <v>0</v>
      </c>
      <c r="M48" s="10"/>
    </row>
    <row r="49" spans="3:13" ht="21.6" customHeight="1">
      <c r="C49" s="7" t="s">
        <v>332</v>
      </c>
      <c r="D49" s="7" t="s">
        <v>333</v>
      </c>
      <c r="E49" s="7" t="s">
        <v>335</v>
      </c>
      <c r="F49" s="24" t="s">
        <v>196</v>
      </c>
      <c r="G49" s="10">
        <v>729</v>
      </c>
      <c r="H49" s="30">
        <f>TRUNC(단가조사!G49*옵션!$D$11)</f>
        <v>0</v>
      </c>
      <c r="I49" s="30"/>
      <c r="J49" s="30"/>
      <c r="K49" s="30"/>
      <c r="L49" s="30">
        <f t="shared" si="1"/>
        <v>0</v>
      </c>
      <c r="M49" s="10"/>
    </row>
    <row r="50" spans="3:13" ht="21.6" customHeight="1">
      <c r="C50" s="7" t="s">
        <v>332</v>
      </c>
      <c r="D50" s="7" t="s">
        <v>333</v>
      </c>
      <c r="E50" s="7" t="s">
        <v>336</v>
      </c>
      <c r="F50" s="24" t="s">
        <v>196</v>
      </c>
      <c r="G50" s="10">
        <v>114</v>
      </c>
      <c r="H50" s="30">
        <f>TRUNC(단가조사!G50*옵션!$D$11)</f>
        <v>0</v>
      </c>
      <c r="I50" s="30"/>
      <c r="J50" s="30"/>
      <c r="K50" s="30"/>
      <c r="L50" s="30">
        <f t="shared" si="1"/>
        <v>0</v>
      </c>
      <c r="M50" s="10"/>
    </row>
    <row r="51" spans="3:13" ht="21.6" customHeight="1">
      <c r="C51" s="7" t="s">
        <v>337</v>
      </c>
      <c r="D51" s="7" t="s">
        <v>333</v>
      </c>
      <c r="E51" s="7" t="s">
        <v>338</v>
      </c>
      <c r="F51" s="24" t="s">
        <v>196</v>
      </c>
      <c r="G51" s="10">
        <v>114</v>
      </c>
      <c r="H51" s="30">
        <f>TRUNC(단가조사!G51*옵션!$D$11)</f>
        <v>0</v>
      </c>
      <c r="I51" s="30"/>
      <c r="J51" s="30"/>
      <c r="K51" s="30"/>
      <c r="L51" s="30">
        <f t="shared" si="1"/>
        <v>0</v>
      </c>
      <c r="M51" s="10"/>
    </row>
    <row r="52" spans="3:13" ht="21.6" customHeight="1">
      <c r="C52" s="7" t="s">
        <v>339</v>
      </c>
      <c r="D52" s="7" t="s">
        <v>333</v>
      </c>
      <c r="E52" s="7" t="s">
        <v>340</v>
      </c>
      <c r="F52" s="24" t="s">
        <v>196</v>
      </c>
      <c r="G52" s="10">
        <v>57</v>
      </c>
      <c r="H52" s="30">
        <f>TRUNC(단가조사!G52*옵션!$D$11)</f>
        <v>0</v>
      </c>
      <c r="I52" s="30"/>
      <c r="J52" s="30"/>
      <c r="K52" s="30"/>
      <c r="L52" s="30">
        <f t="shared" si="1"/>
        <v>0</v>
      </c>
      <c r="M52" s="10"/>
    </row>
    <row r="53" spans="3:13" ht="21.6" customHeight="1">
      <c r="C53" s="7" t="s">
        <v>341</v>
      </c>
      <c r="D53" s="7" t="s">
        <v>333</v>
      </c>
      <c r="E53" s="7" t="s">
        <v>342</v>
      </c>
      <c r="F53" s="24" t="s">
        <v>196</v>
      </c>
      <c r="G53" s="10">
        <v>376</v>
      </c>
      <c r="H53" s="30">
        <f>TRUNC(단가조사!G53*옵션!$D$11)</f>
        <v>0</v>
      </c>
      <c r="I53" s="30"/>
      <c r="J53" s="30"/>
      <c r="K53" s="30"/>
      <c r="L53" s="30">
        <f t="shared" si="1"/>
        <v>0</v>
      </c>
      <c r="M53" s="10"/>
    </row>
    <row r="54" spans="3:13" ht="21.6" customHeight="1">
      <c r="C54" s="7" t="s">
        <v>343</v>
      </c>
      <c r="D54" s="7" t="s">
        <v>333</v>
      </c>
      <c r="E54" s="7" t="s">
        <v>344</v>
      </c>
      <c r="F54" s="24" t="s">
        <v>196</v>
      </c>
      <c r="G54" s="10">
        <v>2546</v>
      </c>
      <c r="H54" s="30">
        <f>TRUNC(단가조사!G54*옵션!$D$11)</f>
        <v>0</v>
      </c>
      <c r="I54" s="30"/>
      <c r="J54" s="30"/>
      <c r="K54" s="30"/>
      <c r="L54" s="30">
        <f t="shared" si="1"/>
        <v>0</v>
      </c>
      <c r="M54" s="10"/>
    </row>
    <row r="55" spans="3:13" ht="21.6" customHeight="1">
      <c r="C55" s="7" t="s">
        <v>337</v>
      </c>
      <c r="D55" s="7" t="s">
        <v>333</v>
      </c>
      <c r="E55" s="7" t="s">
        <v>345</v>
      </c>
      <c r="F55" s="24" t="s">
        <v>196</v>
      </c>
      <c r="G55" s="10">
        <v>102</v>
      </c>
      <c r="H55" s="30">
        <f>TRUNC(단가조사!G55*옵션!$D$11)</f>
        <v>0</v>
      </c>
      <c r="I55" s="30"/>
      <c r="J55" s="30"/>
      <c r="K55" s="30"/>
      <c r="L55" s="30">
        <f t="shared" si="1"/>
        <v>0</v>
      </c>
      <c r="M55" s="10"/>
    </row>
    <row r="56" spans="3:13" ht="21.6" customHeight="1">
      <c r="C56" s="7" t="s">
        <v>346</v>
      </c>
      <c r="D56" s="7" t="s">
        <v>347</v>
      </c>
      <c r="E56" s="7" t="s">
        <v>348</v>
      </c>
      <c r="F56" s="24" t="s">
        <v>266</v>
      </c>
      <c r="G56" s="10">
        <v>72</v>
      </c>
      <c r="H56" s="30">
        <f>TRUNC(단가조사!G56*옵션!$D$11)</f>
        <v>620000</v>
      </c>
      <c r="I56" s="30"/>
      <c r="J56" s="30"/>
      <c r="K56" s="30"/>
      <c r="L56" s="30">
        <f t="shared" si="1"/>
        <v>620000</v>
      </c>
      <c r="M56" s="10"/>
    </row>
    <row r="57" spans="3:13" ht="21.6" customHeight="1">
      <c r="C57" s="7" t="s">
        <v>351</v>
      </c>
      <c r="D57" s="7" t="s">
        <v>352</v>
      </c>
      <c r="E57" s="7" t="s">
        <v>353</v>
      </c>
      <c r="F57" s="24" t="s">
        <v>266</v>
      </c>
      <c r="G57" s="10">
        <v>23</v>
      </c>
      <c r="H57" s="30">
        <f>TRUNC(단가조사!G57*옵션!$D$11)</f>
        <v>500000</v>
      </c>
      <c r="I57" s="30"/>
      <c r="J57" s="30"/>
      <c r="K57" s="30"/>
      <c r="L57" s="30">
        <f t="shared" si="1"/>
        <v>500000</v>
      </c>
      <c r="M57" s="10"/>
    </row>
    <row r="58" spans="3:13" ht="21.6" customHeight="1">
      <c r="C58" s="7" t="s">
        <v>355</v>
      </c>
      <c r="D58" s="7" t="s">
        <v>356</v>
      </c>
      <c r="E58" s="7"/>
      <c r="F58" s="24" t="s">
        <v>266</v>
      </c>
      <c r="G58" s="10">
        <v>1</v>
      </c>
      <c r="H58" s="30">
        <f>TRUNC(단가조사!G58*옵션!$D$11)</f>
        <v>550000</v>
      </c>
      <c r="I58" s="30"/>
      <c r="J58" s="30"/>
      <c r="K58" s="30"/>
      <c r="L58" s="30">
        <f t="shared" si="1"/>
        <v>550000</v>
      </c>
      <c r="M58" s="10"/>
    </row>
    <row r="59" spans="3:13" ht="21.6" customHeight="1">
      <c r="C59" s="7" t="s">
        <v>358</v>
      </c>
      <c r="D59" s="7" t="s">
        <v>359</v>
      </c>
      <c r="E59" s="7" t="s">
        <v>360</v>
      </c>
      <c r="F59" s="24" t="s">
        <v>266</v>
      </c>
      <c r="G59" s="10">
        <v>26</v>
      </c>
      <c r="H59" s="30">
        <f>TRUNC(단가조사!G59*옵션!$D$11)</f>
        <v>104000</v>
      </c>
      <c r="I59" s="30"/>
      <c r="J59" s="30"/>
      <c r="K59" s="30"/>
      <c r="L59" s="30">
        <f t="shared" si="1"/>
        <v>104000</v>
      </c>
      <c r="M59" s="10"/>
    </row>
    <row r="60" spans="3:13" ht="21.6" customHeight="1">
      <c r="C60" s="7" t="s">
        <v>363</v>
      </c>
      <c r="D60" s="7" t="s">
        <v>364</v>
      </c>
      <c r="E60" s="7" t="s">
        <v>365</v>
      </c>
      <c r="F60" s="24" t="s">
        <v>266</v>
      </c>
      <c r="G60" s="10">
        <v>93</v>
      </c>
      <c r="H60" s="30">
        <f>TRUNC(단가조사!G60*옵션!$D$11)</f>
        <v>307800</v>
      </c>
      <c r="I60" s="30"/>
      <c r="J60" s="30"/>
      <c r="K60" s="30"/>
      <c r="L60" s="30">
        <f t="shared" si="1"/>
        <v>307800</v>
      </c>
      <c r="M60" s="10"/>
    </row>
    <row r="61" spans="3:13" ht="21.6" customHeight="1">
      <c r="C61" s="7" t="s">
        <v>368</v>
      </c>
      <c r="D61" s="7" t="s">
        <v>369</v>
      </c>
      <c r="E61" s="7" t="s">
        <v>370</v>
      </c>
      <c r="F61" s="24" t="s">
        <v>266</v>
      </c>
      <c r="G61" s="10">
        <v>4</v>
      </c>
      <c r="H61" s="30">
        <f>TRUNC(단가조사!G61*옵션!$D$11)</f>
        <v>6286000</v>
      </c>
      <c r="I61" s="30"/>
      <c r="J61" s="30"/>
      <c r="K61" s="30"/>
      <c r="L61" s="30">
        <f t="shared" si="1"/>
        <v>6286000</v>
      </c>
      <c r="M61" s="10"/>
    </row>
    <row r="62" spans="3:13" ht="21.6" customHeight="1">
      <c r="C62" s="7" t="s">
        <v>371</v>
      </c>
      <c r="D62" s="7" t="s">
        <v>369</v>
      </c>
      <c r="E62" s="7" t="s">
        <v>372</v>
      </c>
      <c r="F62" s="24" t="s">
        <v>266</v>
      </c>
      <c r="G62" s="10">
        <v>1</v>
      </c>
      <c r="H62" s="30">
        <f>TRUNC(단가조사!G62*옵션!$D$11)</f>
        <v>6440000</v>
      </c>
      <c r="I62" s="30"/>
      <c r="J62" s="30"/>
      <c r="K62" s="30"/>
      <c r="L62" s="30">
        <f t="shared" si="1"/>
        <v>6440000</v>
      </c>
      <c r="M62" s="10"/>
    </row>
    <row r="63" spans="3:13" ht="21.6" customHeight="1">
      <c r="C63" s="7" t="s">
        <v>373</v>
      </c>
      <c r="D63" s="7" t="s">
        <v>374</v>
      </c>
      <c r="E63" s="7" t="s">
        <v>375</v>
      </c>
      <c r="F63" s="24" t="s">
        <v>266</v>
      </c>
      <c r="G63" s="10">
        <v>72</v>
      </c>
      <c r="H63" s="30">
        <f>TRUNC(단가조사!G63*옵션!$D$11)</f>
        <v>1500000</v>
      </c>
      <c r="I63" s="30"/>
      <c r="J63" s="30"/>
      <c r="K63" s="30"/>
      <c r="L63" s="30">
        <f t="shared" si="1"/>
        <v>1500000</v>
      </c>
      <c r="M63" s="10"/>
    </row>
    <row r="64" spans="3:13" ht="21.6" customHeight="1">
      <c r="C64" s="7" t="s">
        <v>378</v>
      </c>
      <c r="D64" s="7" t="s">
        <v>379</v>
      </c>
      <c r="E64" s="7" t="s">
        <v>380</v>
      </c>
      <c r="F64" s="24" t="s">
        <v>266</v>
      </c>
      <c r="G64" s="10">
        <v>95</v>
      </c>
      <c r="H64" s="30">
        <f>TRUNC(단가조사!G64*옵션!$D$11)</f>
        <v>10000</v>
      </c>
      <c r="I64" s="30"/>
      <c r="J64" s="30"/>
      <c r="K64" s="30"/>
      <c r="L64" s="30">
        <f t="shared" si="1"/>
        <v>10000</v>
      </c>
      <c r="M64" s="10"/>
    </row>
    <row r="65" spans="3:13" ht="21.6" customHeight="1">
      <c r="C65" s="7" t="s">
        <v>382</v>
      </c>
      <c r="D65" s="7" t="s">
        <v>383</v>
      </c>
      <c r="E65" s="7" t="s">
        <v>384</v>
      </c>
      <c r="F65" s="24" t="s">
        <v>266</v>
      </c>
      <c r="G65" s="10">
        <v>23</v>
      </c>
      <c r="H65" s="30">
        <f>TRUNC(단가조사!G65*옵션!$D$11)</f>
        <v>1192000</v>
      </c>
      <c r="I65" s="30"/>
      <c r="J65" s="30"/>
      <c r="K65" s="30"/>
      <c r="L65" s="30">
        <f t="shared" si="1"/>
        <v>1192000</v>
      </c>
      <c r="M65" s="10"/>
    </row>
    <row r="66" spans="3:13" ht="21.6" customHeight="1">
      <c r="C66" s="7" t="s">
        <v>386</v>
      </c>
      <c r="D66" s="7" t="s">
        <v>387</v>
      </c>
      <c r="E66" s="7" t="s">
        <v>388</v>
      </c>
      <c r="F66" s="24" t="s">
        <v>266</v>
      </c>
      <c r="G66" s="10">
        <v>2</v>
      </c>
      <c r="H66" s="30">
        <f>TRUNC(단가조사!G89*옵션!$D$11)</f>
        <v>72520</v>
      </c>
      <c r="I66" s="30"/>
      <c r="J66" s="30"/>
      <c r="K66" s="30"/>
      <c r="L66" s="30">
        <f t="shared" si="1"/>
        <v>72520</v>
      </c>
      <c r="M66" s="10"/>
    </row>
    <row r="67" spans="3:13" ht="21.6" customHeight="1">
      <c r="C67" s="7" t="s">
        <v>392</v>
      </c>
      <c r="D67" s="7" t="s">
        <v>393</v>
      </c>
      <c r="E67" s="7" t="s">
        <v>394</v>
      </c>
      <c r="F67" s="24" t="s">
        <v>266</v>
      </c>
      <c r="G67" s="10">
        <v>2</v>
      </c>
      <c r="H67" s="30">
        <f>TRUNC(단가조사!G90*옵션!$D$11)</f>
        <v>58260</v>
      </c>
      <c r="I67" s="30"/>
      <c r="J67" s="30"/>
      <c r="K67" s="30"/>
      <c r="L67" s="30">
        <f t="shared" si="1"/>
        <v>58260</v>
      </c>
      <c r="M67" s="10"/>
    </row>
    <row r="68" spans="3:13" ht="21.6" customHeight="1">
      <c r="C68" s="7" t="s">
        <v>395</v>
      </c>
      <c r="D68" s="7" t="s">
        <v>396</v>
      </c>
      <c r="E68" s="7" t="s">
        <v>397</v>
      </c>
      <c r="F68" s="24" t="s">
        <v>266</v>
      </c>
      <c r="G68" s="10">
        <v>20</v>
      </c>
      <c r="H68" s="30">
        <f>TRUNC(단가조사!G91*옵션!$D$11)</f>
        <v>8720</v>
      </c>
      <c r="I68" s="30"/>
      <c r="J68" s="30"/>
      <c r="K68" s="30"/>
      <c r="L68" s="30">
        <f t="shared" ref="L68:L99" si="2">SUM(H68,I68,J68)</f>
        <v>8720</v>
      </c>
      <c r="M68" s="10"/>
    </row>
    <row r="69" spans="3:13" ht="21.6" customHeight="1">
      <c r="C69" s="7" t="s">
        <v>398</v>
      </c>
      <c r="D69" s="7" t="s">
        <v>399</v>
      </c>
      <c r="E69" s="7" t="s">
        <v>400</v>
      </c>
      <c r="F69" s="24" t="s">
        <v>266</v>
      </c>
      <c r="G69" s="10">
        <v>10</v>
      </c>
      <c r="H69" s="30">
        <f>TRUNC(단가조사!G66*옵션!$D$11)</f>
        <v>360000</v>
      </c>
      <c r="I69" s="30"/>
      <c r="J69" s="30"/>
      <c r="K69" s="30"/>
      <c r="L69" s="30">
        <f t="shared" si="2"/>
        <v>360000</v>
      </c>
      <c r="M69" s="10"/>
    </row>
    <row r="70" spans="3:13" ht="21.6" customHeight="1">
      <c r="C70" s="7" t="s">
        <v>403</v>
      </c>
      <c r="D70" s="7" t="s">
        <v>399</v>
      </c>
      <c r="E70" s="7" t="s">
        <v>404</v>
      </c>
      <c r="F70" s="24" t="s">
        <v>266</v>
      </c>
      <c r="G70" s="10">
        <v>2</v>
      </c>
      <c r="H70" s="30">
        <f>TRUNC(단가조사!G67*옵션!$D$11)</f>
        <v>520000</v>
      </c>
      <c r="I70" s="30"/>
      <c r="J70" s="30"/>
      <c r="K70" s="30"/>
      <c r="L70" s="30">
        <f t="shared" si="2"/>
        <v>520000</v>
      </c>
      <c r="M70" s="10"/>
    </row>
    <row r="71" spans="3:13" ht="21.6" customHeight="1">
      <c r="C71" s="7" t="s">
        <v>405</v>
      </c>
      <c r="D71" s="7" t="s">
        <v>406</v>
      </c>
      <c r="E71" s="7"/>
      <c r="F71" s="24" t="s">
        <v>266</v>
      </c>
      <c r="G71" s="10">
        <v>1</v>
      </c>
      <c r="H71" s="30">
        <f>TRUNC(단가조사!G68*옵션!$D$11)</f>
        <v>550000</v>
      </c>
      <c r="I71" s="30"/>
      <c r="J71" s="30"/>
      <c r="K71" s="30"/>
      <c r="L71" s="30">
        <f t="shared" si="2"/>
        <v>550000</v>
      </c>
      <c r="M71" s="10"/>
    </row>
    <row r="72" spans="3:13" ht="21.6" customHeight="1">
      <c r="C72" s="7" t="s">
        <v>407</v>
      </c>
      <c r="D72" s="7" t="s">
        <v>408</v>
      </c>
      <c r="E72" s="7" t="s">
        <v>409</v>
      </c>
      <c r="F72" s="24" t="s">
        <v>266</v>
      </c>
      <c r="G72" s="10">
        <v>3</v>
      </c>
      <c r="H72" s="30">
        <f>TRUNC(단가조사!G92*옵션!$D$11)</f>
        <v>573000</v>
      </c>
      <c r="I72" s="30"/>
      <c r="J72" s="30"/>
      <c r="K72" s="30"/>
      <c r="L72" s="30">
        <f t="shared" si="2"/>
        <v>573000</v>
      </c>
      <c r="M72" s="10"/>
    </row>
    <row r="73" spans="3:13" ht="21.6" customHeight="1">
      <c r="C73" s="7" t="s">
        <v>410</v>
      </c>
      <c r="D73" s="7" t="s">
        <v>411</v>
      </c>
      <c r="E73" s="7" t="s">
        <v>412</v>
      </c>
      <c r="F73" s="24" t="s">
        <v>266</v>
      </c>
      <c r="G73" s="10">
        <v>3</v>
      </c>
      <c r="H73" s="30">
        <f>TRUNC(단가조사!G93*옵션!$D$11)</f>
        <v>1082000</v>
      </c>
      <c r="I73" s="30"/>
      <c r="J73" s="30"/>
      <c r="K73" s="30"/>
      <c r="L73" s="30">
        <f t="shared" si="2"/>
        <v>1082000</v>
      </c>
      <c r="M73" s="10"/>
    </row>
    <row r="74" spans="3:13" ht="21.6" customHeight="1">
      <c r="C74" s="7" t="s">
        <v>413</v>
      </c>
      <c r="D74" s="7" t="s">
        <v>414</v>
      </c>
      <c r="E74" s="7" t="s">
        <v>415</v>
      </c>
      <c r="F74" s="24" t="s">
        <v>266</v>
      </c>
      <c r="G74" s="10">
        <v>3</v>
      </c>
      <c r="H74" s="30">
        <f>TRUNC(단가조사!G94*옵션!$D$11)</f>
        <v>890000</v>
      </c>
      <c r="I74" s="30"/>
      <c r="J74" s="30"/>
      <c r="K74" s="30"/>
      <c r="L74" s="30">
        <f t="shared" si="2"/>
        <v>890000</v>
      </c>
      <c r="M74" s="10"/>
    </row>
    <row r="75" spans="3:13" ht="21.6" customHeight="1">
      <c r="C75" s="7" t="s">
        <v>416</v>
      </c>
      <c r="D75" s="7" t="s">
        <v>417</v>
      </c>
      <c r="E75" s="7" t="s">
        <v>418</v>
      </c>
      <c r="F75" s="24" t="s">
        <v>266</v>
      </c>
      <c r="G75" s="10">
        <v>90</v>
      </c>
      <c r="H75" s="30">
        <f>TRUNC(단가조사!G95*옵션!$D$11)</f>
        <v>2740</v>
      </c>
      <c r="I75" s="30"/>
      <c r="J75" s="30"/>
      <c r="K75" s="30"/>
      <c r="L75" s="30">
        <f t="shared" si="2"/>
        <v>2740</v>
      </c>
      <c r="M75" s="10"/>
    </row>
    <row r="76" spans="3:13" ht="21.6" customHeight="1">
      <c r="C76" s="7" t="s">
        <v>419</v>
      </c>
      <c r="D76" s="7" t="s">
        <v>420</v>
      </c>
      <c r="E76" s="7" t="s">
        <v>421</v>
      </c>
      <c r="F76" s="24" t="s">
        <v>266</v>
      </c>
      <c r="G76" s="10">
        <v>3</v>
      </c>
      <c r="H76" s="30">
        <f>TRUNC(단가조사!G96*옵션!$D$11)</f>
        <v>159000</v>
      </c>
      <c r="I76" s="30"/>
      <c r="J76" s="30"/>
      <c r="K76" s="30"/>
      <c r="L76" s="30">
        <f t="shared" si="2"/>
        <v>159000</v>
      </c>
      <c r="M76" s="10"/>
    </row>
    <row r="77" spans="3:13" ht="21.6" customHeight="1">
      <c r="C77" s="7" t="s">
        <v>422</v>
      </c>
      <c r="D77" s="7" t="s">
        <v>423</v>
      </c>
      <c r="E77" s="7" t="s">
        <v>424</v>
      </c>
      <c r="F77" s="24" t="s">
        <v>266</v>
      </c>
      <c r="G77" s="10">
        <v>95</v>
      </c>
      <c r="H77" s="30">
        <f>TRUNC(단가조사!G69*옵션!$D$11)</f>
        <v>55000</v>
      </c>
      <c r="I77" s="30"/>
      <c r="J77" s="30"/>
      <c r="K77" s="30"/>
      <c r="L77" s="30">
        <f t="shared" si="2"/>
        <v>55000</v>
      </c>
      <c r="M77" s="10"/>
    </row>
    <row r="78" spans="3:13" ht="21.6" customHeight="1">
      <c r="C78" s="7" t="s">
        <v>427</v>
      </c>
      <c r="D78" s="7" t="s">
        <v>423</v>
      </c>
      <c r="E78" s="7" t="s">
        <v>428</v>
      </c>
      <c r="F78" s="24" t="s">
        <v>266</v>
      </c>
      <c r="G78" s="10">
        <v>89</v>
      </c>
      <c r="H78" s="30">
        <f>TRUNC(단가조사!G70*옵션!$D$11)</f>
        <v>15000</v>
      </c>
      <c r="I78" s="30"/>
      <c r="J78" s="30"/>
      <c r="K78" s="30"/>
      <c r="L78" s="30">
        <f t="shared" si="2"/>
        <v>15000</v>
      </c>
      <c r="M78" s="10"/>
    </row>
    <row r="79" spans="3:13" ht="21.6" customHeight="1">
      <c r="C79" s="7" t="s">
        <v>429</v>
      </c>
      <c r="D79" s="7" t="s">
        <v>430</v>
      </c>
      <c r="E79" s="7" t="s">
        <v>431</v>
      </c>
      <c r="F79" s="24" t="s">
        <v>432</v>
      </c>
      <c r="G79" s="10">
        <v>53</v>
      </c>
      <c r="H79" s="30" t="e">
        <f>TRUNC(단가조사!G71*옵션!$D$11)</f>
        <v>#VALUE!</v>
      </c>
      <c r="I79" s="30"/>
      <c r="J79" s="30"/>
      <c r="K79" s="30"/>
      <c r="L79" s="30" t="e">
        <f t="shared" si="2"/>
        <v>#VALUE!</v>
      </c>
      <c r="M79" s="10"/>
    </row>
    <row r="80" spans="3:13" ht="21.6" customHeight="1">
      <c r="C80" s="7" t="s">
        <v>433</v>
      </c>
      <c r="D80" s="7" t="s">
        <v>434</v>
      </c>
      <c r="E80" s="7" t="s">
        <v>435</v>
      </c>
      <c r="F80" s="24" t="s">
        <v>266</v>
      </c>
      <c r="G80" s="10">
        <v>5</v>
      </c>
      <c r="H80" s="30">
        <f>TRUNC(단가조사!G97*옵션!$D$11)</f>
        <v>1761000</v>
      </c>
      <c r="I80" s="30"/>
      <c r="J80" s="30"/>
      <c r="K80" s="30"/>
      <c r="L80" s="30">
        <f t="shared" si="2"/>
        <v>1761000</v>
      </c>
      <c r="M80" s="10"/>
    </row>
    <row r="81" spans="3:13" ht="21.6" customHeight="1">
      <c r="C81" s="7" t="s">
        <v>436</v>
      </c>
      <c r="D81" s="7" t="s">
        <v>437</v>
      </c>
      <c r="E81" s="7" t="s">
        <v>438</v>
      </c>
      <c r="F81" s="24" t="s">
        <v>266</v>
      </c>
      <c r="G81" s="10">
        <v>3</v>
      </c>
      <c r="H81" s="30">
        <f>TRUNC(단가조사!G98*옵션!$D$11)</f>
        <v>4722000</v>
      </c>
      <c r="I81" s="30"/>
      <c r="J81" s="30"/>
      <c r="K81" s="30"/>
      <c r="L81" s="30">
        <f t="shared" si="2"/>
        <v>4722000</v>
      </c>
      <c r="M81" s="10"/>
    </row>
    <row r="82" spans="3:13" ht="21.6" customHeight="1">
      <c r="C82" s="7" t="s">
        <v>439</v>
      </c>
      <c r="D82" s="7" t="s">
        <v>440</v>
      </c>
      <c r="E82" s="7"/>
      <c r="F82" s="24" t="s">
        <v>266</v>
      </c>
      <c r="G82" s="10">
        <v>2</v>
      </c>
      <c r="H82" s="30">
        <f>TRUNC(단가조사!G73*옵션!$D$11)</f>
        <v>500000</v>
      </c>
      <c r="I82" s="30"/>
      <c r="J82" s="30"/>
      <c r="K82" s="30"/>
      <c r="L82" s="30">
        <f t="shared" si="2"/>
        <v>500000</v>
      </c>
      <c r="M82" s="10"/>
    </row>
    <row r="83" spans="3:13" ht="21.6" customHeight="1">
      <c r="C83" s="7" t="s">
        <v>441</v>
      </c>
      <c r="D83" s="7" t="s">
        <v>442</v>
      </c>
      <c r="E83" s="7" t="s">
        <v>443</v>
      </c>
      <c r="F83" s="24" t="s">
        <v>266</v>
      </c>
      <c r="G83" s="10">
        <v>2</v>
      </c>
      <c r="H83" s="30">
        <f>TRUNC(단가조사!G74*옵션!$D$11)</f>
        <v>450000</v>
      </c>
      <c r="I83" s="30"/>
      <c r="J83" s="30"/>
      <c r="K83" s="30"/>
      <c r="L83" s="30">
        <f t="shared" si="2"/>
        <v>450000</v>
      </c>
      <c r="M83" s="10"/>
    </row>
    <row r="84" spans="3:13" ht="21.6" customHeight="1">
      <c r="C84" s="7" t="s">
        <v>444</v>
      </c>
      <c r="D84" s="7" t="s">
        <v>445</v>
      </c>
      <c r="E84" s="7" t="s">
        <v>446</v>
      </c>
      <c r="F84" s="24" t="s">
        <v>266</v>
      </c>
      <c r="G84" s="10">
        <v>2</v>
      </c>
      <c r="H84" s="30">
        <f>TRUNC(단가조사!G75*옵션!$D$11)</f>
        <v>165000</v>
      </c>
      <c r="I84" s="30"/>
      <c r="J84" s="30"/>
      <c r="K84" s="30"/>
      <c r="L84" s="30">
        <f t="shared" si="2"/>
        <v>165000</v>
      </c>
      <c r="M84" s="10"/>
    </row>
    <row r="85" spans="3:13" ht="21.6" customHeight="1">
      <c r="C85" s="7" t="s">
        <v>447</v>
      </c>
      <c r="D85" s="7" t="s">
        <v>448</v>
      </c>
      <c r="E85" s="7"/>
      <c r="F85" s="24" t="s">
        <v>449</v>
      </c>
      <c r="G85" s="10">
        <v>2</v>
      </c>
      <c r="H85" s="30">
        <f>TRUNC(단가조사!G76*옵션!$D$11)</f>
        <v>23670000</v>
      </c>
      <c r="I85" s="30"/>
      <c r="J85" s="30"/>
      <c r="K85" s="30"/>
      <c r="L85" s="30">
        <f t="shared" si="2"/>
        <v>23670000</v>
      </c>
      <c r="M85" s="10"/>
    </row>
    <row r="86" spans="3:13" ht="21.6" customHeight="1">
      <c r="C86" s="7" t="s">
        <v>450</v>
      </c>
      <c r="D86" s="7" t="s">
        <v>451</v>
      </c>
      <c r="E86" s="7" t="s">
        <v>452</v>
      </c>
      <c r="F86" s="24" t="s">
        <v>266</v>
      </c>
      <c r="G86" s="10">
        <v>9</v>
      </c>
      <c r="H86" s="30">
        <f>TRUNC(단가조사!G99*옵션!$D$11)</f>
        <v>243620</v>
      </c>
      <c r="I86" s="30"/>
      <c r="J86" s="30"/>
      <c r="K86" s="30"/>
      <c r="L86" s="30">
        <f t="shared" si="2"/>
        <v>243620</v>
      </c>
      <c r="M86" s="10"/>
    </row>
    <row r="87" spans="3:13" ht="21.6" customHeight="1">
      <c r="C87" s="7" t="s">
        <v>453</v>
      </c>
      <c r="D87" s="7" t="s">
        <v>451</v>
      </c>
      <c r="E87" s="7" t="s">
        <v>454</v>
      </c>
      <c r="F87" s="24" t="s">
        <v>266</v>
      </c>
      <c r="G87" s="10">
        <v>3</v>
      </c>
      <c r="H87" s="30">
        <f>TRUNC(단가조사!G100*옵션!$D$11)</f>
        <v>274300</v>
      </c>
      <c r="I87" s="30"/>
      <c r="J87" s="30"/>
      <c r="K87" s="30"/>
      <c r="L87" s="30">
        <f t="shared" si="2"/>
        <v>274300</v>
      </c>
      <c r="M87" s="10"/>
    </row>
    <row r="88" spans="3:13" ht="21.6" customHeight="1">
      <c r="C88" s="7" t="s">
        <v>455</v>
      </c>
      <c r="D88" s="7" t="s">
        <v>456</v>
      </c>
      <c r="E88" s="7" t="s">
        <v>457</v>
      </c>
      <c r="F88" s="24" t="s">
        <v>458</v>
      </c>
      <c r="G88" s="10">
        <v>44</v>
      </c>
      <c r="H88" s="30">
        <f>TRUNC(단가조사!G77*옵션!$D$11)</f>
        <v>0</v>
      </c>
      <c r="I88" s="30"/>
      <c r="J88" s="30"/>
      <c r="K88" s="30"/>
      <c r="L88" s="30">
        <f t="shared" si="2"/>
        <v>0</v>
      </c>
      <c r="M88" s="10"/>
    </row>
    <row r="89" spans="3:13" ht="21.6" customHeight="1">
      <c r="C89" s="7" t="s">
        <v>459</v>
      </c>
      <c r="D89" s="7" t="s">
        <v>460</v>
      </c>
      <c r="E89" s="7"/>
      <c r="F89" s="24" t="s">
        <v>266</v>
      </c>
      <c r="G89" s="10">
        <v>1</v>
      </c>
      <c r="H89" s="30">
        <f>TRUNC(단가조사!G78*옵션!$D$11)</f>
        <v>9000000</v>
      </c>
      <c r="I89" s="30"/>
      <c r="J89" s="30"/>
      <c r="K89" s="30"/>
      <c r="L89" s="30">
        <f t="shared" si="2"/>
        <v>9000000</v>
      </c>
      <c r="M89" s="10"/>
    </row>
    <row r="90" spans="3:13" ht="21.6" customHeight="1">
      <c r="C90" s="7" t="s">
        <v>462</v>
      </c>
      <c r="D90" s="7" t="s">
        <v>463</v>
      </c>
      <c r="E90" s="7" t="s">
        <v>464</v>
      </c>
      <c r="F90" s="24" t="s">
        <v>266</v>
      </c>
      <c r="G90" s="10">
        <v>3</v>
      </c>
      <c r="H90" s="30">
        <f>TRUNC(단가조사!G101*옵션!$D$11)</f>
        <v>215890</v>
      </c>
      <c r="I90" s="30"/>
      <c r="J90" s="30"/>
      <c r="K90" s="30"/>
      <c r="L90" s="30">
        <f t="shared" si="2"/>
        <v>215890</v>
      </c>
      <c r="M90" s="10"/>
    </row>
    <row r="91" spans="3:13" ht="21.6" customHeight="1">
      <c r="C91" s="7" t="s">
        <v>465</v>
      </c>
      <c r="D91" s="7" t="s">
        <v>463</v>
      </c>
      <c r="E91" s="7" t="s">
        <v>466</v>
      </c>
      <c r="F91" s="24" t="s">
        <v>266</v>
      </c>
      <c r="G91" s="10">
        <v>3</v>
      </c>
      <c r="H91" s="30">
        <f>TRUNC(단가조사!G102*옵션!$D$11)</f>
        <v>158460</v>
      </c>
      <c r="I91" s="30"/>
      <c r="J91" s="30"/>
      <c r="K91" s="30"/>
      <c r="L91" s="30">
        <f t="shared" si="2"/>
        <v>158460</v>
      </c>
      <c r="M91" s="10"/>
    </row>
    <row r="92" spans="3:13" ht="21.6" customHeight="1">
      <c r="C92" s="7" t="s">
        <v>467</v>
      </c>
      <c r="D92" s="7" t="s">
        <v>468</v>
      </c>
      <c r="E92" s="7" t="s">
        <v>414</v>
      </c>
      <c r="F92" s="24" t="s">
        <v>266</v>
      </c>
      <c r="G92" s="10">
        <v>1</v>
      </c>
      <c r="H92" s="30">
        <f>TRUNC(단가조사!G103*옵션!$D$11)</f>
        <v>5951000</v>
      </c>
      <c r="I92" s="30"/>
      <c r="J92" s="30"/>
      <c r="K92" s="30"/>
      <c r="L92" s="30">
        <f t="shared" si="2"/>
        <v>5951000</v>
      </c>
      <c r="M92" s="10"/>
    </row>
    <row r="93" spans="3:13" ht="21.6" customHeight="1">
      <c r="C93" s="7" t="s">
        <v>469</v>
      </c>
      <c r="D93" s="7" t="s">
        <v>470</v>
      </c>
      <c r="E93" s="7"/>
      <c r="F93" s="24" t="s">
        <v>266</v>
      </c>
      <c r="G93" s="10">
        <v>6</v>
      </c>
      <c r="H93" s="30">
        <f>TRUNC(단가조사!G79*옵션!$D$11)</f>
        <v>900000</v>
      </c>
      <c r="I93" s="30"/>
      <c r="J93" s="30"/>
      <c r="K93" s="30"/>
      <c r="L93" s="30">
        <f t="shared" si="2"/>
        <v>900000</v>
      </c>
      <c r="M93" s="10"/>
    </row>
    <row r="94" spans="3:13" ht="21.6" customHeight="1">
      <c r="C94" s="7" t="s">
        <v>471</v>
      </c>
      <c r="D94" s="7" t="s">
        <v>472</v>
      </c>
      <c r="E94" s="7"/>
      <c r="F94" s="24" t="s">
        <v>266</v>
      </c>
      <c r="G94" s="10">
        <v>2</v>
      </c>
      <c r="H94" s="30">
        <f>TRUNC(단가조사!G80*옵션!$D$11)</f>
        <v>1200000</v>
      </c>
      <c r="I94" s="30"/>
      <c r="J94" s="30"/>
      <c r="K94" s="30"/>
      <c r="L94" s="30">
        <f t="shared" si="2"/>
        <v>1200000</v>
      </c>
      <c r="M94" s="10"/>
    </row>
    <row r="95" spans="3:13" ht="21.6" customHeight="1">
      <c r="C95" s="7" t="s">
        <v>473</v>
      </c>
      <c r="D95" s="7" t="s">
        <v>474</v>
      </c>
      <c r="E95" s="7" t="s">
        <v>475</v>
      </c>
      <c r="F95" s="24" t="s">
        <v>266</v>
      </c>
      <c r="G95" s="10">
        <v>1</v>
      </c>
      <c r="H95" s="30">
        <f>TRUNC(단가조사!G81*옵션!$D$11)</f>
        <v>2000000</v>
      </c>
      <c r="I95" s="30"/>
      <c r="J95" s="30"/>
      <c r="K95" s="30"/>
      <c r="L95" s="30">
        <f t="shared" si="2"/>
        <v>2000000</v>
      </c>
      <c r="M95" s="10"/>
    </row>
    <row r="96" spans="3:13" ht="21.6" customHeight="1">
      <c r="C96" s="7" t="s">
        <v>476</v>
      </c>
      <c r="D96" s="7" t="s">
        <v>474</v>
      </c>
      <c r="E96" s="7" t="s">
        <v>477</v>
      </c>
      <c r="F96" s="24" t="s">
        <v>266</v>
      </c>
      <c r="G96" s="10">
        <v>3</v>
      </c>
      <c r="H96" s="30">
        <f>TRUNC(단가조사!G82*옵션!$D$11)</f>
        <v>2000000</v>
      </c>
      <c r="I96" s="30"/>
      <c r="J96" s="30"/>
      <c r="K96" s="30"/>
      <c r="L96" s="30">
        <f t="shared" si="2"/>
        <v>2000000</v>
      </c>
      <c r="M96" s="10"/>
    </row>
    <row r="97" spans="3:13" ht="21.6" customHeight="1">
      <c r="C97" s="7" t="s">
        <v>478</v>
      </c>
      <c r="D97" s="7" t="s">
        <v>474</v>
      </c>
      <c r="E97" s="7" t="s">
        <v>479</v>
      </c>
      <c r="F97" s="24" t="s">
        <v>266</v>
      </c>
      <c r="G97" s="10">
        <v>1</v>
      </c>
      <c r="H97" s="30">
        <f>TRUNC(단가조사!G83*옵션!$D$11)</f>
        <v>2000000</v>
      </c>
      <c r="I97" s="30"/>
      <c r="J97" s="30"/>
      <c r="K97" s="30"/>
      <c r="L97" s="30">
        <f t="shared" si="2"/>
        <v>2000000</v>
      </c>
      <c r="M97" s="10"/>
    </row>
    <row r="98" spans="3:13" ht="21.6" customHeight="1">
      <c r="C98" s="7" t="s">
        <v>480</v>
      </c>
      <c r="D98" s="7" t="s">
        <v>481</v>
      </c>
      <c r="E98" s="7"/>
      <c r="F98" s="24" t="s">
        <v>266</v>
      </c>
      <c r="G98" s="10">
        <v>1</v>
      </c>
      <c r="H98" s="30">
        <f>TRUNC(단가조사!G84*옵션!$D$11)</f>
        <v>650000</v>
      </c>
      <c r="I98" s="30"/>
      <c r="J98" s="30"/>
      <c r="K98" s="30"/>
      <c r="L98" s="30">
        <f t="shared" si="2"/>
        <v>650000</v>
      </c>
      <c r="M98" s="10"/>
    </row>
    <row r="99" spans="3:13" ht="21.6" customHeight="1">
      <c r="C99" s="7" t="s">
        <v>482</v>
      </c>
      <c r="D99" s="7" t="s">
        <v>483</v>
      </c>
      <c r="E99" s="7"/>
      <c r="F99" s="24" t="s">
        <v>266</v>
      </c>
      <c r="G99" s="10">
        <v>2</v>
      </c>
      <c r="H99" s="30">
        <f>TRUNC(단가조사!G85*옵션!$D$11)</f>
        <v>650000</v>
      </c>
      <c r="I99" s="30"/>
      <c r="J99" s="30"/>
      <c r="K99" s="30"/>
      <c r="L99" s="30">
        <f t="shared" si="2"/>
        <v>650000</v>
      </c>
      <c r="M99" s="10"/>
    </row>
    <row r="100" spans="3:13" ht="21.6" customHeight="1">
      <c r="C100" s="7" t="s">
        <v>484</v>
      </c>
      <c r="D100" s="7" t="s">
        <v>485</v>
      </c>
      <c r="E100" s="7" t="s">
        <v>486</v>
      </c>
      <c r="F100" s="24" t="s">
        <v>266</v>
      </c>
      <c r="G100" s="10">
        <v>30</v>
      </c>
      <c r="H100" s="30">
        <f>TRUNC(단가조사!G104*옵션!$D$11)</f>
        <v>4600</v>
      </c>
      <c r="I100" s="30"/>
      <c r="J100" s="30"/>
      <c r="K100" s="30"/>
      <c r="L100" s="30">
        <f t="shared" ref="L100:L133" si="3">SUM(H100,I100,J100)</f>
        <v>4600</v>
      </c>
      <c r="M100" s="10"/>
    </row>
    <row r="101" spans="3:13" ht="21.6" customHeight="1">
      <c r="C101" s="7" t="s">
        <v>487</v>
      </c>
      <c r="D101" s="7" t="s">
        <v>485</v>
      </c>
      <c r="E101" s="7" t="s">
        <v>488</v>
      </c>
      <c r="F101" s="24" t="s">
        <v>266</v>
      </c>
      <c r="G101" s="10">
        <v>30</v>
      </c>
      <c r="H101" s="30">
        <f>TRUNC(단가조사!G105*옵션!$D$11)</f>
        <v>5580</v>
      </c>
      <c r="I101" s="30"/>
      <c r="J101" s="30"/>
      <c r="K101" s="30"/>
      <c r="L101" s="30">
        <f t="shared" si="3"/>
        <v>5580</v>
      </c>
      <c r="M101" s="10"/>
    </row>
    <row r="102" spans="3:13" ht="21.6" customHeight="1">
      <c r="C102" s="7" t="s">
        <v>489</v>
      </c>
      <c r="D102" s="7" t="s">
        <v>490</v>
      </c>
      <c r="E102" s="7" t="s">
        <v>491</v>
      </c>
      <c r="F102" s="24" t="s">
        <v>266</v>
      </c>
      <c r="G102" s="10">
        <v>16</v>
      </c>
      <c r="H102" s="30">
        <f>TRUNC(단가조사!G106*옵션!$D$11)</f>
        <v>27930</v>
      </c>
      <c r="I102" s="30"/>
      <c r="J102" s="30"/>
      <c r="K102" s="30"/>
      <c r="L102" s="30">
        <f t="shared" si="3"/>
        <v>27930</v>
      </c>
      <c r="M102" s="10"/>
    </row>
    <row r="103" spans="3:13" ht="21.6" customHeight="1">
      <c r="C103" s="7" t="s">
        <v>492</v>
      </c>
      <c r="D103" s="7" t="s">
        <v>490</v>
      </c>
      <c r="E103" s="7" t="s">
        <v>493</v>
      </c>
      <c r="F103" s="24" t="s">
        <v>266</v>
      </c>
      <c r="G103" s="10">
        <v>12</v>
      </c>
      <c r="H103" s="30">
        <f>TRUNC(단가조사!G107*옵션!$D$11)</f>
        <v>54290</v>
      </c>
      <c r="I103" s="30"/>
      <c r="J103" s="30"/>
      <c r="K103" s="30"/>
      <c r="L103" s="30">
        <f t="shared" si="3"/>
        <v>54290</v>
      </c>
      <c r="M103" s="10"/>
    </row>
    <row r="104" spans="3:13" ht="21.6" customHeight="1">
      <c r="C104" s="7" t="s">
        <v>494</v>
      </c>
      <c r="D104" s="7" t="s">
        <v>490</v>
      </c>
      <c r="E104" s="7" t="s">
        <v>495</v>
      </c>
      <c r="F104" s="24" t="s">
        <v>266</v>
      </c>
      <c r="G104" s="10">
        <v>9</v>
      </c>
      <c r="H104" s="30">
        <f>TRUNC(단가조사!G108*옵션!$D$11)</f>
        <v>124850</v>
      </c>
      <c r="I104" s="30"/>
      <c r="J104" s="30"/>
      <c r="K104" s="30"/>
      <c r="L104" s="30">
        <f t="shared" si="3"/>
        <v>124850</v>
      </c>
      <c r="M104" s="10"/>
    </row>
    <row r="105" spans="3:13" ht="21.6" customHeight="1">
      <c r="C105" s="7" t="s">
        <v>496</v>
      </c>
      <c r="D105" s="7" t="s">
        <v>490</v>
      </c>
      <c r="E105" s="7" t="s">
        <v>497</v>
      </c>
      <c r="F105" s="24" t="s">
        <v>266</v>
      </c>
      <c r="G105" s="10">
        <v>3</v>
      </c>
      <c r="H105" s="30">
        <f>TRUNC(단가조사!G109*옵션!$D$11)</f>
        <v>109760</v>
      </c>
      <c r="I105" s="30"/>
      <c r="J105" s="30"/>
      <c r="K105" s="30"/>
      <c r="L105" s="30">
        <f t="shared" si="3"/>
        <v>109760</v>
      </c>
      <c r="M105" s="10"/>
    </row>
    <row r="106" spans="3:13" ht="21.6" customHeight="1">
      <c r="C106" s="7" t="s">
        <v>498</v>
      </c>
      <c r="D106" s="7" t="s">
        <v>499</v>
      </c>
      <c r="E106" s="7" t="s">
        <v>500</v>
      </c>
      <c r="F106" s="24" t="s">
        <v>266</v>
      </c>
      <c r="G106" s="10">
        <v>5</v>
      </c>
      <c r="H106" s="30">
        <f>TRUNC(단가조사!G86*옵션!$D$11)</f>
        <v>140000</v>
      </c>
      <c r="I106" s="30"/>
      <c r="J106" s="30"/>
      <c r="K106" s="30"/>
      <c r="L106" s="30">
        <f t="shared" si="3"/>
        <v>140000</v>
      </c>
      <c r="M106" s="10"/>
    </row>
    <row r="107" spans="3:13" ht="21.6" customHeight="1">
      <c r="C107" s="7" t="s">
        <v>502</v>
      </c>
      <c r="D107" s="7" t="s">
        <v>503</v>
      </c>
      <c r="E107" s="7" t="s">
        <v>504</v>
      </c>
      <c r="F107" s="24" t="s">
        <v>266</v>
      </c>
      <c r="G107" s="10">
        <v>9</v>
      </c>
      <c r="H107" s="30">
        <f>TRUNC(단가조사!G110*옵션!$D$11)</f>
        <v>355000</v>
      </c>
      <c r="I107" s="30"/>
      <c r="J107" s="30"/>
      <c r="K107" s="30"/>
      <c r="L107" s="30">
        <f t="shared" si="3"/>
        <v>355000</v>
      </c>
      <c r="M107" s="10"/>
    </row>
    <row r="108" spans="3:13" ht="21.6" customHeight="1">
      <c r="C108" s="7" t="s">
        <v>505</v>
      </c>
      <c r="D108" s="7" t="s">
        <v>506</v>
      </c>
      <c r="E108" s="7" t="s">
        <v>507</v>
      </c>
      <c r="F108" s="24" t="s">
        <v>266</v>
      </c>
      <c r="G108" s="10">
        <v>6</v>
      </c>
      <c r="H108" s="30">
        <f>TRUNC(단가조사!G111*옵션!$D$11)</f>
        <v>61440</v>
      </c>
      <c r="I108" s="30"/>
      <c r="J108" s="30"/>
      <c r="K108" s="30"/>
      <c r="L108" s="30">
        <f t="shared" si="3"/>
        <v>61440</v>
      </c>
      <c r="M108" s="10"/>
    </row>
    <row r="109" spans="3:13" ht="21.6" customHeight="1">
      <c r="C109" s="7" t="s">
        <v>508</v>
      </c>
      <c r="D109" s="7" t="s">
        <v>506</v>
      </c>
      <c r="E109" s="7" t="s">
        <v>509</v>
      </c>
      <c r="F109" s="24" t="s">
        <v>266</v>
      </c>
      <c r="G109" s="10">
        <v>3</v>
      </c>
      <c r="H109" s="30">
        <f>TRUNC(단가조사!G112*옵션!$D$11)</f>
        <v>107500</v>
      </c>
      <c r="I109" s="30"/>
      <c r="J109" s="30"/>
      <c r="K109" s="30"/>
      <c r="L109" s="30">
        <f t="shared" si="3"/>
        <v>107500</v>
      </c>
      <c r="M109" s="10"/>
    </row>
    <row r="110" spans="3:13" ht="21.6" customHeight="1">
      <c r="C110" s="7" t="s">
        <v>510</v>
      </c>
      <c r="D110" s="7" t="s">
        <v>511</v>
      </c>
      <c r="E110" s="7" t="s">
        <v>512</v>
      </c>
      <c r="F110" s="24" t="s">
        <v>266</v>
      </c>
      <c r="G110" s="10">
        <v>11</v>
      </c>
      <c r="H110" s="30">
        <f>TRUNC(단가조사!G87*옵션!$D$11)</f>
        <v>440000</v>
      </c>
      <c r="I110" s="30"/>
      <c r="J110" s="30"/>
      <c r="K110" s="30"/>
      <c r="L110" s="30">
        <f t="shared" si="3"/>
        <v>440000</v>
      </c>
      <c r="M110" s="10"/>
    </row>
    <row r="111" spans="3:13" ht="21.6" customHeight="1">
      <c r="C111" s="7" t="s">
        <v>513</v>
      </c>
      <c r="D111" s="7" t="s">
        <v>514</v>
      </c>
      <c r="E111" s="7" t="s">
        <v>515</v>
      </c>
      <c r="F111" s="24" t="s">
        <v>266</v>
      </c>
      <c r="G111" s="10">
        <v>11</v>
      </c>
      <c r="H111" s="30">
        <f>TRUNC(단가조사!G88*옵션!$D$11)</f>
        <v>280000</v>
      </c>
      <c r="I111" s="30"/>
      <c r="J111" s="30"/>
      <c r="K111" s="30"/>
      <c r="L111" s="30">
        <f t="shared" si="3"/>
        <v>280000</v>
      </c>
      <c r="M111" s="10"/>
    </row>
    <row r="112" spans="3:13" ht="21.6" customHeight="1">
      <c r="C112" s="7" t="s">
        <v>517</v>
      </c>
      <c r="D112" s="7" t="s">
        <v>518</v>
      </c>
      <c r="E112" s="7" t="s">
        <v>519</v>
      </c>
      <c r="F112" s="24" t="s">
        <v>294</v>
      </c>
      <c r="G112" s="10">
        <v>1757.6703</v>
      </c>
      <c r="H112" s="30">
        <f>단가조사!H113</f>
        <v>442</v>
      </c>
      <c r="I112" s="30">
        <f>단가조사!J113</f>
        <v>1354</v>
      </c>
      <c r="J112" s="30">
        <f>단가조사!L113</f>
        <v>537</v>
      </c>
      <c r="K112" s="30"/>
      <c r="L112" s="30">
        <f t="shared" si="3"/>
        <v>2333</v>
      </c>
      <c r="M112" s="10" t="s">
        <v>569</v>
      </c>
    </row>
    <row r="113" spans="3:13" ht="21.6" customHeight="1">
      <c r="C113" s="7" t="s">
        <v>523</v>
      </c>
      <c r="D113" s="7" t="s">
        <v>524</v>
      </c>
      <c r="E113" s="7" t="s">
        <v>519</v>
      </c>
      <c r="F113" s="24" t="s">
        <v>294</v>
      </c>
      <c r="G113" s="10">
        <v>1684.2555</v>
      </c>
      <c r="H113" s="30">
        <f>단가조사!H114</f>
        <v>442</v>
      </c>
      <c r="I113" s="30">
        <f>단가조사!J114</f>
        <v>1354</v>
      </c>
      <c r="J113" s="30">
        <f>단가조사!L114</f>
        <v>537</v>
      </c>
      <c r="K113" s="30"/>
      <c r="L113" s="30">
        <f t="shared" si="3"/>
        <v>2333</v>
      </c>
      <c r="M113" s="10" t="s">
        <v>569</v>
      </c>
    </row>
    <row r="114" spans="3:13" ht="21.6" customHeight="1">
      <c r="C114" s="7" t="s">
        <v>525</v>
      </c>
      <c r="D114" s="7" t="s">
        <v>526</v>
      </c>
      <c r="E114" s="7" t="s">
        <v>527</v>
      </c>
      <c r="F114" s="24" t="s">
        <v>528</v>
      </c>
      <c r="G114" s="10">
        <v>3567</v>
      </c>
      <c r="H114" s="30">
        <f>단가조사!H115</f>
        <v>276</v>
      </c>
      <c r="I114" s="30">
        <f>단가조사!J115</f>
        <v>984</v>
      </c>
      <c r="J114" s="30">
        <f>단가조사!L115</f>
        <v>961</v>
      </c>
      <c r="K114" s="30"/>
      <c r="L114" s="30">
        <f t="shared" si="3"/>
        <v>2221</v>
      </c>
      <c r="M114" s="10" t="s">
        <v>570</v>
      </c>
    </row>
    <row r="115" spans="3:13" ht="21.6" customHeight="1">
      <c r="C115" s="7" t="s">
        <v>529</v>
      </c>
      <c r="D115" s="7" t="s">
        <v>530</v>
      </c>
      <c r="E115" s="7" t="s">
        <v>531</v>
      </c>
      <c r="F115" s="24" t="s">
        <v>532</v>
      </c>
      <c r="G115" s="10">
        <v>168.613</v>
      </c>
      <c r="H115" s="30"/>
      <c r="I115" s="30">
        <f>TRUNC(단가조사!G116)</f>
        <v>273676</v>
      </c>
      <c r="J115" s="30"/>
      <c r="K115" s="30"/>
      <c r="L115" s="30">
        <f t="shared" si="3"/>
        <v>273676</v>
      </c>
      <c r="M115" s="10"/>
    </row>
    <row r="116" spans="3:13" ht="21.6" customHeight="1">
      <c r="C116" s="7" t="s">
        <v>533</v>
      </c>
      <c r="D116" s="7" t="s">
        <v>530</v>
      </c>
      <c r="E116" s="7" t="s">
        <v>534</v>
      </c>
      <c r="F116" s="24" t="s">
        <v>532</v>
      </c>
      <c r="G116" s="10">
        <v>100.04089999999999</v>
      </c>
      <c r="H116" s="30"/>
      <c r="I116" s="30">
        <f>TRUNC(단가조사!G117)</f>
        <v>304156</v>
      </c>
      <c r="J116" s="30"/>
      <c r="K116" s="30"/>
      <c r="L116" s="30">
        <f t="shared" si="3"/>
        <v>304156</v>
      </c>
      <c r="M116" s="10"/>
    </row>
    <row r="117" spans="3:13" ht="21.6" customHeight="1">
      <c r="C117" s="7" t="s">
        <v>535</v>
      </c>
      <c r="D117" s="7" t="s">
        <v>530</v>
      </c>
      <c r="E117" s="7" t="s">
        <v>536</v>
      </c>
      <c r="F117" s="24" t="s">
        <v>532</v>
      </c>
      <c r="G117" s="10">
        <v>2.3365</v>
      </c>
      <c r="H117" s="30"/>
      <c r="I117" s="30">
        <f>TRUNC(단가조사!G118)</f>
        <v>440616</v>
      </c>
      <c r="J117" s="30"/>
      <c r="K117" s="30"/>
      <c r="L117" s="30">
        <f t="shared" si="3"/>
        <v>440616</v>
      </c>
      <c r="M117" s="10"/>
    </row>
    <row r="118" spans="3:13" ht="21.6" customHeight="1">
      <c r="C118" s="7" t="s">
        <v>537</v>
      </c>
      <c r="D118" s="7" t="s">
        <v>530</v>
      </c>
      <c r="E118" s="7" t="s">
        <v>538</v>
      </c>
      <c r="F118" s="24" t="s">
        <v>532</v>
      </c>
      <c r="G118" s="10">
        <v>51.517499999999998</v>
      </c>
      <c r="H118" s="30"/>
      <c r="I118" s="30">
        <f>TRUNC(단가조사!G119)</f>
        <v>414968</v>
      </c>
      <c r="J118" s="30"/>
      <c r="K118" s="30"/>
      <c r="L118" s="30">
        <f t="shared" si="3"/>
        <v>414968</v>
      </c>
      <c r="M118" s="10"/>
    </row>
    <row r="119" spans="3:13" ht="21.6" customHeight="1">
      <c r="C119" s="7" t="s">
        <v>539</v>
      </c>
      <c r="D119" s="7" t="s">
        <v>530</v>
      </c>
      <c r="E119" s="7" t="s">
        <v>540</v>
      </c>
      <c r="F119" s="24" t="s">
        <v>532</v>
      </c>
      <c r="G119" s="10">
        <v>0.53600000000000003</v>
      </c>
      <c r="H119" s="30"/>
      <c r="I119" s="30">
        <f>TRUNC(단가조사!G120)</f>
        <v>436224</v>
      </c>
      <c r="J119" s="30"/>
      <c r="K119" s="30"/>
      <c r="L119" s="30">
        <f t="shared" si="3"/>
        <v>436224</v>
      </c>
      <c r="M119" s="10"/>
    </row>
    <row r="120" spans="3:13" ht="21.6" customHeight="1">
      <c r="C120" s="7" t="s">
        <v>541</v>
      </c>
      <c r="D120" s="7" t="s">
        <v>530</v>
      </c>
      <c r="E120" s="7" t="s">
        <v>542</v>
      </c>
      <c r="F120" s="24" t="s">
        <v>532</v>
      </c>
      <c r="G120" s="10">
        <v>0.16</v>
      </c>
      <c r="H120" s="30"/>
      <c r="I120" s="30">
        <f>TRUNC(단가조사!G121)</f>
        <v>315528</v>
      </c>
      <c r="J120" s="30"/>
      <c r="K120" s="30"/>
      <c r="L120" s="30">
        <f t="shared" si="3"/>
        <v>315528</v>
      </c>
      <c r="M120" s="10"/>
    </row>
    <row r="121" spans="3:13" ht="21.6" customHeight="1">
      <c r="C121" s="7" t="s">
        <v>543</v>
      </c>
      <c r="D121" s="7" t="s">
        <v>530</v>
      </c>
      <c r="E121" s="7" t="s">
        <v>544</v>
      </c>
      <c r="F121" s="24" t="s">
        <v>532</v>
      </c>
      <c r="G121" s="10">
        <v>11.932</v>
      </c>
      <c r="H121" s="30"/>
      <c r="I121" s="30">
        <f>TRUNC(단가조사!G122)</f>
        <v>408942</v>
      </c>
      <c r="J121" s="30"/>
      <c r="K121" s="30"/>
      <c r="L121" s="30">
        <f t="shared" si="3"/>
        <v>408942</v>
      </c>
      <c r="M121" s="10"/>
    </row>
    <row r="122" spans="3:13" ht="21.6" customHeight="1">
      <c r="C122" s="7" t="s">
        <v>545</v>
      </c>
      <c r="D122" s="7" t="s">
        <v>530</v>
      </c>
      <c r="E122" s="7" t="s">
        <v>546</v>
      </c>
      <c r="F122" s="24" t="s">
        <v>532</v>
      </c>
      <c r="G122" s="10">
        <v>0.65600000000000003</v>
      </c>
      <c r="H122" s="30"/>
      <c r="I122" s="30">
        <f>TRUNC(단가조사!G123)</f>
        <v>304509</v>
      </c>
      <c r="J122" s="30"/>
      <c r="K122" s="30"/>
      <c r="L122" s="30">
        <f t="shared" si="3"/>
        <v>304509</v>
      </c>
      <c r="M122" s="10"/>
    </row>
    <row r="123" spans="3:13" ht="21.6" customHeight="1">
      <c r="C123" s="7" t="s">
        <v>547</v>
      </c>
      <c r="D123" s="7" t="s">
        <v>530</v>
      </c>
      <c r="E123" s="7" t="s">
        <v>548</v>
      </c>
      <c r="F123" s="24" t="s">
        <v>532</v>
      </c>
      <c r="G123" s="10">
        <v>5.0415999999999999</v>
      </c>
      <c r="H123" s="30"/>
      <c r="I123" s="30">
        <f>TRUNC(단가조사!G124)</f>
        <v>471349</v>
      </c>
      <c r="J123" s="30"/>
      <c r="K123" s="30"/>
      <c r="L123" s="30">
        <f t="shared" si="3"/>
        <v>471349</v>
      </c>
      <c r="M123" s="10"/>
    </row>
    <row r="124" spans="3:13" ht="21.6" customHeight="1">
      <c r="C124" s="7" t="s">
        <v>549</v>
      </c>
      <c r="D124" s="7" t="s">
        <v>530</v>
      </c>
      <c r="E124" s="7" t="s">
        <v>550</v>
      </c>
      <c r="F124" s="24" t="s">
        <v>532</v>
      </c>
      <c r="G124" s="10">
        <v>352.85329999999999</v>
      </c>
      <c r="H124" s="30"/>
      <c r="I124" s="30">
        <f>TRUNC(단가조사!G125)</f>
        <v>172068</v>
      </c>
      <c r="J124" s="30"/>
      <c r="K124" s="30"/>
      <c r="L124" s="30">
        <f t="shared" si="3"/>
        <v>172068</v>
      </c>
      <c r="M124" s="10"/>
    </row>
    <row r="125" spans="3:13" ht="21.6" customHeight="1">
      <c r="C125" s="7" t="s">
        <v>551</v>
      </c>
      <c r="D125" s="7" t="s">
        <v>530</v>
      </c>
      <c r="E125" s="7" t="s">
        <v>552</v>
      </c>
      <c r="F125" s="24" t="s">
        <v>532</v>
      </c>
      <c r="G125" s="10">
        <v>7.3208000000000002</v>
      </c>
      <c r="H125" s="30"/>
      <c r="I125" s="30">
        <f>TRUNC(단가조사!G126)</f>
        <v>226122</v>
      </c>
      <c r="J125" s="30"/>
      <c r="K125" s="30"/>
      <c r="L125" s="30">
        <f t="shared" si="3"/>
        <v>226122</v>
      </c>
      <c r="M125" s="10"/>
    </row>
    <row r="126" spans="3:13" ht="21.6" customHeight="1">
      <c r="C126" s="7" t="s">
        <v>553</v>
      </c>
      <c r="D126" s="7" t="s">
        <v>530</v>
      </c>
      <c r="E126" s="7" t="s">
        <v>554</v>
      </c>
      <c r="F126" s="24" t="s">
        <v>532</v>
      </c>
      <c r="G126" s="10">
        <v>3.18</v>
      </c>
      <c r="H126" s="30"/>
      <c r="I126" s="30">
        <f>TRUNC(단가조사!G127)</f>
        <v>281939</v>
      </c>
      <c r="J126" s="30"/>
      <c r="K126" s="30"/>
      <c r="L126" s="30">
        <f t="shared" si="3"/>
        <v>281939</v>
      </c>
      <c r="M126" s="10"/>
    </row>
    <row r="127" spans="3:13" ht="21.6" customHeight="1">
      <c r="C127" s="7" t="s">
        <v>555</v>
      </c>
      <c r="D127" s="7" t="s">
        <v>530</v>
      </c>
      <c r="E127" s="7" t="s">
        <v>556</v>
      </c>
      <c r="F127" s="24" t="s">
        <v>532</v>
      </c>
      <c r="G127" s="10">
        <v>4.84</v>
      </c>
      <c r="H127" s="30"/>
      <c r="I127" s="30">
        <f>TRUNC(단가조사!G128)</f>
        <v>275790</v>
      </c>
      <c r="J127" s="30"/>
      <c r="K127" s="30"/>
      <c r="L127" s="30">
        <f t="shared" si="3"/>
        <v>275790</v>
      </c>
      <c r="M127" s="10"/>
    </row>
    <row r="128" spans="3:13" ht="21.6" customHeight="1">
      <c r="C128" s="7" t="s">
        <v>557</v>
      </c>
      <c r="D128" s="7" t="s">
        <v>530</v>
      </c>
      <c r="E128" s="7" t="s">
        <v>558</v>
      </c>
      <c r="F128" s="24" t="s">
        <v>532</v>
      </c>
      <c r="G128" s="10">
        <v>0.18</v>
      </c>
      <c r="H128" s="30"/>
      <c r="I128" s="30">
        <f>TRUNC(단가조사!G129)</f>
        <v>211653</v>
      </c>
      <c r="J128" s="30"/>
      <c r="K128" s="30"/>
      <c r="L128" s="30">
        <f t="shared" si="3"/>
        <v>211653</v>
      </c>
      <c r="M128" s="10"/>
    </row>
    <row r="129" spans="3:13" ht="21.6" customHeight="1">
      <c r="C129" s="7" t="s">
        <v>559</v>
      </c>
      <c r="D129" s="7" t="s">
        <v>530</v>
      </c>
      <c r="E129" s="7" t="s">
        <v>560</v>
      </c>
      <c r="F129" s="24" t="s">
        <v>532</v>
      </c>
      <c r="G129" s="10">
        <v>1.4257</v>
      </c>
      <c r="H129" s="30"/>
      <c r="I129" s="30">
        <f>TRUNC(단가조사!G130)</f>
        <v>273540</v>
      </c>
      <c r="J129" s="30"/>
      <c r="K129" s="30"/>
      <c r="L129" s="30">
        <f t="shared" si="3"/>
        <v>273540</v>
      </c>
      <c r="M129" s="10"/>
    </row>
    <row r="130" spans="3:13" ht="21.6" customHeight="1">
      <c r="C130" s="7" t="s">
        <v>561</v>
      </c>
      <c r="D130" s="7" t="s">
        <v>530</v>
      </c>
      <c r="E130" s="7" t="s">
        <v>562</v>
      </c>
      <c r="F130" s="24" t="s">
        <v>532</v>
      </c>
      <c r="G130" s="10">
        <v>0.04</v>
      </c>
      <c r="H130" s="30"/>
      <c r="I130" s="30">
        <f>TRUNC(단가조사!G131)</f>
        <v>393090</v>
      </c>
      <c r="J130" s="30"/>
      <c r="K130" s="30"/>
      <c r="L130" s="30">
        <f t="shared" si="3"/>
        <v>393090</v>
      </c>
      <c r="M130" s="10"/>
    </row>
    <row r="131" spans="3:13" ht="21.6" customHeight="1">
      <c r="C131" s="7" t="s">
        <v>563</v>
      </c>
      <c r="D131" s="7" t="s">
        <v>530</v>
      </c>
      <c r="E131" s="7" t="s">
        <v>564</v>
      </c>
      <c r="F131" s="24" t="s">
        <v>532</v>
      </c>
      <c r="G131" s="10">
        <v>1.68</v>
      </c>
      <c r="H131" s="30"/>
      <c r="I131" s="30">
        <f>TRUNC(단가조사!G132)</f>
        <v>215907</v>
      </c>
      <c r="J131" s="30"/>
      <c r="K131" s="30"/>
      <c r="L131" s="30">
        <f t="shared" si="3"/>
        <v>215907</v>
      </c>
      <c r="M131" s="10"/>
    </row>
    <row r="132" spans="3:13" ht="21.6" customHeight="1">
      <c r="C132" s="7"/>
      <c r="D132" s="7"/>
      <c r="E132" s="7"/>
      <c r="F132" s="24"/>
      <c r="G132" s="10"/>
      <c r="H132" s="30"/>
      <c r="I132" s="30"/>
      <c r="J132" s="30"/>
      <c r="K132" s="30"/>
      <c r="L132" s="30">
        <f t="shared" si="3"/>
        <v>0</v>
      </c>
      <c r="M132" s="10"/>
    </row>
    <row r="133" spans="3:13" ht="21.6" customHeight="1">
      <c r="C133" s="7"/>
      <c r="D133" s="7"/>
      <c r="E133" s="7"/>
      <c r="F133" s="24"/>
      <c r="G133" s="10"/>
      <c r="H133" s="30"/>
      <c r="I133" s="30"/>
      <c r="J133" s="30"/>
      <c r="K133" s="30"/>
      <c r="L133" s="30">
        <f t="shared" si="3"/>
        <v>0</v>
      </c>
      <c r="M133" s="10"/>
    </row>
  </sheetData>
  <mergeCells count="12">
    <mergeCell ref="H2:H3"/>
    <mergeCell ref="C1:M1"/>
    <mergeCell ref="L2:L3"/>
    <mergeCell ref="M2:M3"/>
    <mergeCell ref="K2:K3"/>
    <mergeCell ref="I2:I3"/>
    <mergeCell ref="J2:J3"/>
    <mergeCell ref="C2:C3"/>
    <mergeCell ref="D2:D3"/>
    <mergeCell ref="E2:E3"/>
    <mergeCell ref="F2:F3"/>
    <mergeCell ref="G2:G3"/>
  </mergeCells>
  <phoneticPr fontId="2" type="noConversion"/>
  <printOptions horizontalCentered="1" verticalCentered="1"/>
  <pageMargins left="0.74803149606299213" right="0.35433070866141736" top="0.59055118110236227" bottom="0.59055118110236227" header="0.51181102362204722" footer="0.47244094488188981"/>
  <pageSetup paperSize="9" scale="8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 지정된 범위</vt:lpstr>
      </vt:variant>
      <vt:variant>
        <vt:i4>17</vt:i4>
      </vt:variant>
    </vt:vector>
  </HeadingPairs>
  <TitlesOfParts>
    <vt:vector size="32" baseType="lpstr">
      <vt:lpstr>원가</vt:lpstr>
      <vt:lpstr>총괄표</vt:lpstr>
      <vt:lpstr>내역서</vt:lpstr>
      <vt:lpstr>한전인입공사비 (지구내)</vt:lpstr>
      <vt:lpstr>사용전검사비 (지구내)</vt:lpstr>
      <vt:lpstr>일대목차</vt:lpstr>
      <vt:lpstr>일위대가</vt:lpstr>
      <vt:lpstr>일위노임</vt:lpstr>
      <vt:lpstr>단가조사</vt:lpstr>
      <vt:lpstr>이후출력안함</vt:lpstr>
      <vt:lpstr>옵션</vt:lpstr>
      <vt:lpstr>사용설명</vt:lpstr>
      <vt:lpstr>겉표지</vt:lpstr>
      <vt:lpstr>표지</vt:lpstr>
      <vt:lpstr>합산자재</vt:lpstr>
      <vt:lpstr>겉표지!Print_Area</vt:lpstr>
      <vt:lpstr>내역서!Print_Area</vt:lpstr>
      <vt:lpstr>단가조사!Print_Area</vt:lpstr>
      <vt:lpstr>'사용전검사비 (지구내)'!Print_Area</vt:lpstr>
      <vt:lpstr>원가!Print_Area</vt:lpstr>
      <vt:lpstr>일위노임!Print_Area</vt:lpstr>
      <vt:lpstr>일위대가!Print_Area</vt:lpstr>
      <vt:lpstr>총괄표!Print_Area</vt:lpstr>
      <vt:lpstr>표지!Print_Area</vt:lpstr>
      <vt:lpstr>'한전인입공사비 (지구내)'!Print_Area</vt:lpstr>
      <vt:lpstr>내역서!Print_Titles</vt:lpstr>
      <vt:lpstr>단가조사!Print_Titles</vt:lpstr>
      <vt:lpstr>일대목차!Print_Titles</vt:lpstr>
      <vt:lpstr>일위노임!Print_Titles</vt:lpstr>
      <vt:lpstr>일위대가!Print_Titles</vt:lpstr>
      <vt:lpstr>총괄표!Print_Titles</vt:lpstr>
      <vt:lpstr>합산자재!Print_Titles</vt:lpstr>
    </vt:vector>
  </TitlesOfParts>
  <Company>이지테크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이지테크</dc:creator>
  <cp:lastModifiedBy>김찬식 초록마을</cp:lastModifiedBy>
  <cp:lastPrinted>2026-04-20T08:45:44Z</cp:lastPrinted>
  <dcterms:created xsi:type="dcterms:W3CDTF">2002-09-09T02:35:17Z</dcterms:created>
  <dcterms:modified xsi:type="dcterms:W3CDTF">2026-06-18T06:44:15Z</dcterms:modified>
</cp:coreProperties>
</file>