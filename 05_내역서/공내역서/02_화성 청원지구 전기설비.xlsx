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d251688e3d9c1650/Cursor/청원산단(화성)/05_내역서/공내역서/"/>
    </mc:Choice>
  </mc:AlternateContent>
  <xr:revisionPtr revIDLastSave="6" documentId="11_24FC8AF50F0371DC2E1C448FDD7FD854A3699AF2" xr6:coauthVersionLast="47" xr6:coauthVersionMax="47" xr10:uidLastSave="{BDFFEC66-3154-4A00-99C2-A7CDEC84E8BA}"/>
  <bookViews>
    <workbookView xWindow="38280" yWindow="-120" windowWidth="38640" windowHeight="21120" tabRatio="724" xr2:uid="{00000000-000D-0000-FFFF-FFFF00000000}"/>
  </bookViews>
  <sheets>
    <sheet name="원가" sheetId="3" r:id="rId1"/>
    <sheet name="총괄표" sheetId="11" r:id="rId2"/>
    <sheet name="내역서" sheetId="10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" hidden="1">[1]Sheet3!#REF!</definedName>
    <definedName name="_________ju8" hidden="1">{"'광피스표'!$A$3:$N$54"}</definedName>
    <definedName name="_________LGT2" hidden="1">{#N/A,#N/A,FALSE,"3가";#N/A,#N/A,FALSE,"3나";#N/A,#N/A,FALSE,"3다"}</definedName>
    <definedName name="_______ju8" hidden="1">{"'광피스표'!$A$3:$N$54"}</definedName>
    <definedName name="_______LGT2" hidden="1">{#N/A,#N/A,FALSE,"3가";#N/A,#N/A,FALSE,"3나";#N/A,#N/A,FALSE,"3다"}</definedName>
    <definedName name="_______SW2" hidden="1">{#N/A,#N/A,FALSE,"전력간선"}</definedName>
    <definedName name="______ju8" hidden="1">{"'광피스표'!$A$3:$N$54"}</definedName>
    <definedName name="______LGT2" hidden="1">{#N/A,#N/A,FALSE,"3가";#N/A,#N/A,FALSE,"3나";#N/A,#N/A,FALSE,"3다"}</definedName>
    <definedName name="______SW2" hidden="1">{#N/A,#N/A,FALSE,"전력간선"}</definedName>
    <definedName name="_____ju8" hidden="1">{"'광피스표'!$A$3:$N$54"}</definedName>
    <definedName name="_____LGT2" hidden="1">{#N/A,#N/A,FALSE,"3가";#N/A,#N/A,FALSE,"3나";#N/A,#N/A,FALSE,"3다"}</definedName>
    <definedName name="_____SW2" hidden="1">{#N/A,#N/A,FALSE,"전력간선"}</definedName>
    <definedName name="____SW2" hidden="1">{#N/A,#N/A,FALSE,"전력간선"}</definedName>
    <definedName name="___ju8" hidden="1">{"'광피스표'!$A$3:$N$54"}</definedName>
    <definedName name="___LGT2" hidden="1">{#N/A,#N/A,FALSE,"3가";#N/A,#N/A,FALSE,"3나";#N/A,#N/A,FALSE,"3다"}</definedName>
    <definedName name="___SW2" hidden="1">{#N/A,#N/A,FALSE,"전력간선"}</definedName>
    <definedName name="__123Graph_A" hidden="1">'[2]1TL종점(1)'!#REF!</definedName>
    <definedName name="__123Graph_X" hidden="1">'[2]1TL종점(1)'!#REF!</definedName>
    <definedName name="__IntlFixup" hidden="1">TRUE</definedName>
    <definedName name="_1S" hidden="1">'[3]6PILE  (돌출)'!#REF!</definedName>
    <definedName name="_2_0_S" hidden="1">'[3]6PILE  (돌출)'!#REF!</definedName>
    <definedName name="_Dist_Bin" hidden="1">#REF!</definedName>
    <definedName name="_Dist_Values" hidden="1">#REF!</definedName>
    <definedName name="_EE1" hidden="1">{#N/A,#N/A,FALSE,"단가표지"}</definedName>
    <definedName name="_Fill" hidden="1">#REF!</definedName>
    <definedName name="_xlnm._FilterDatabase" hidden="1">#REF!</definedName>
    <definedName name="_ju8" hidden="1">{"'광피스표'!$A$3:$N$54"}</definedName>
    <definedName name="_KD2" hidden="1">#REF!</definedName>
    <definedName name="_KD3" hidden="1">#REF!</definedName>
    <definedName name="_Key1" hidden="1">#REF!</definedName>
    <definedName name="_Key2" hidden="1">#REF!</definedName>
    <definedName name="_KK2" hidden="1">#REF!</definedName>
    <definedName name="_KK3" hidden="1">#REF!</definedName>
    <definedName name="_LGT2" hidden="1">{#N/A,#N/A,FALSE,"3가";#N/A,#N/A,FALSE,"3나";#N/A,#N/A,FALSE,"3다"}</definedName>
    <definedName name="_MatInverse_In" hidden="1">#REF!</definedName>
    <definedName name="_MatMult_A" hidden="1">#REF!</definedName>
    <definedName name="_MatMult_AxB" hidden="1">#REF!</definedName>
    <definedName name="_MatMult_B" hidden="1">#REF!</definedName>
    <definedName name="_Order1" hidden="1">255</definedName>
    <definedName name="_Order2" hidden="1">255</definedName>
    <definedName name="_Parse_Out" hidden="1">#REF!</definedName>
    <definedName name="_QQ1" hidden="1">{#N/A,#N/A,FALSE,"단가표지"}</definedName>
    <definedName name="_QW1" hidden="1">{#N/A,#N/A,FALSE,"단가표지"}</definedName>
    <definedName name="_Regression_Int" hidden="1">1</definedName>
    <definedName name="_Sort" hidden="1">#REF!</definedName>
    <definedName name="_SS1" hidden="1">{#N/A,#N/A,FALSE,"운반시간"}</definedName>
    <definedName name="_SW2" hidden="1">{#N/A,#N/A,FALSE,"전력간선"}</definedName>
    <definedName name="_Table1_In1" hidden="1">#REF!</definedName>
    <definedName name="_Table1_Out" hidden="1">#REF!</definedName>
    <definedName name="abc" hidden="1">{"'자리배치도'!$AG$1:$CI$28"}</definedName>
    <definedName name="abcd" hidden="1">{"'자리배치도'!$AG$1:$CI$28"}</definedName>
    <definedName name="Access_Button" hidden="1">"KT과금거리_지역좌표_970827_거리계산표_List"</definedName>
    <definedName name="AccessDatabase" hidden="1">"E:\내 문서\요금\KT과금거리 지역좌표_970827.mdb"</definedName>
    <definedName name="AJH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KT" hidden="1">{#N/A,#N/A,FALSE,"3가";#N/A,#N/A,FALSE,"3나";#N/A,#N/A,FALSE,"3다"}</definedName>
    <definedName name="anscount" hidden="1">1</definedName>
    <definedName name="as" hidden="1">#REF!</definedName>
    <definedName name="BG" hidden="1">{"'광피스표'!$A$3:$N$54"}</definedName>
    <definedName name="CCC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CTV" hidden="1">{#N/A,#N/A,FALSE,"전력간선"}</definedName>
    <definedName name="CF요인" hidden="1">#REF!</definedName>
    <definedName name="CV" hidden="1">{"'광피스표'!$A$3:$N$54"}</definedName>
    <definedName name="DCGRE" hidden="1">{#N/A,#N/A,TRUE,"토적및재료집계";#N/A,#N/A,TRUE,"토적및재료집계";#N/A,#N/A,TRUE,"단위량"}</definedName>
    <definedName name="ddddd" hidden="1">#REF!</definedName>
    <definedName name="DDFR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dfd" hidden="1">{#N/A,#N/A,FALSE,"운반시간"}</definedName>
    <definedName name="dfghfghjhjky" hidden="1">#N/A</definedName>
    <definedName name="dfgjkyufdts" hidden="1">'[3]6PILE  (돌출)'!#REF!</definedName>
    <definedName name="DFS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ghb" hidden="1">'[3]6PILE  (돌출)'!#REF!</definedName>
    <definedName name="dn" hidden="1">{#N/A,#N/A,FALSE,"혼합골재"}</definedName>
    <definedName name="dsfsd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DWD" hidden="1">{#N/A,#N/A,FALSE,"전력간선"}</definedName>
    <definedName name="ee" hidden="1">{#N/A,#N/A,FALSE,"단가표지"}</definedName>
    <definedName name="EE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ee.송운" hidden="1">{#N/A,#N/A,FALSE,"운반시간"}</definedName>
    <definedName name="eeeeeee" hidden="1">{"'자리배치도'!$AG$1:$CI$28"}</definedName>
    <definedName name="ENJ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trt" hidden="1">{#N/A,#N/A,FALSE,"부대1"}</definedName>
    <definedName name="ewrertr4" hidden="1">{"'자리배치도'!$AG$1:$CI$28"}</definedName>
    <definedName name="f" hidden="1">[4]BID!#REF!</definedName>
    <definedName name="fff" hidden="1">{#N/A,#N/A,FALSE,"3가";#N/A,#N/A,FALSE,"3나";#N/A,#N/A,FALSE,"3다"}</definedName>
    <definedName name="fffff" hidden="1">#REF!</definedName>
    <definedName name="fg" hidden="1">{"'광피스표'!$A$3:$N$54"}</definedName>
    <definedName name="fgbvh" hidden="1">'[3]6PILE  (돌출)'!#REF!</definedName>
    <definedName name="fgf" hidden="1">{#N/A,#N/A,FALSE,"부대1"}</definedName>
    <definedName name="fghh" hidden="1">{#N/A,#N/A,FALSE,"부대2"}</definedName>
    <definedName name="fv" hidden="1">{#N/A,#N/A,FALSE,"전력간선"}</definedName>
    <definedName name="GEMCO" hidden="1">#REF!</definedName>
    <definedName name="gfgdfg" hidden="1">[4]BID!#REF!</definedName>
    <definedName name="gfhgdtdjgh" hidden="1">'[3]6PILE  (돌출)'!#REF!</definedName>
    <definedName name="gg" hidden="1">{#N/A,#N/A,FALSE,"운반시간"}</definedName>
    <definedName name="GG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T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JJ" hidden="1">{"'광피스표'!$A$3:$N$54"}</definedName>
    <definedName name="ghtjs" hidden="1">{"'자리배치도'!$AG$1:$CI$28"}</definedName>
    <definedName name="gkkhlgy" hidden="1">'[3]6PILE  (돌출)'!#REF!</definedName>
    <definedName name="grew" hidden="1">[4]BID!$C$1:$H$533</definedName>
    <definedName name="gukgkf" hidden="1">'[3]6PILE  (돌출)'!#REF!</definedName>
    <definedName name="han" hidden="1">[4]BID!$A$1:$A$1714</definedName>
    <definedName name="hardwar" hidden="1">#REF!</definedName>
    <definedName name="HGHV" hidden="1">{#N/A,#N/A,TRUE,"토적및재료집계";#N/A,#N/A,TRUE,"토적및재료집계";#N/A,#N/A,TRUE,"단위량"}</definedName>
    <definedName name="hgjghhj" hidden="1">'[3]6PILE  (돌출)'!#REF!</definedName>
    <definedName name="hgjnjgh" hidden="1">'[3]6PILE  (돌출)'!#REF!</definedName>
    <definedName name="HHHH" hidden="1">{#N/A,#N/A,FALSE,"CCTV"}</definedName>
    <definedName name="hj" hidden="1">{#N/A,#N/A,FALSE,"구조1"}</definedName>
    <definedName name="HTML_CodePage" hidden="1">949</definedName>
    <definedName name="HTML_Control" hidden="1">{"'자리배치도'!$AG$1:$CI$28"}</definedName>
    <definedName name="HTML_Description" hidden="1">""</definedName>
    <definedName name="HTML_Email" hidden="1">""</definedName>
    <definedName name="HTML_Header" hidden="1">"자리배치도"</definedName>
    <definedName name="HTML_LastUpdate" hidden="1">"98-04-21"</definedName>
    <definedName name="HTML_LineAfter" hidden="1">FALSE</definedName>
    <definedName name="HTML_LineBefore" hidden="1">FALSE</definedName>
    <definedName name="HTML_Name" hidden="1">"김회진"</definedName>
    <definedName name="HTML_OBDlg2" hidden="1">TRUE</definedName>
    <definedName name="HTML_OBDlg4" hidden="1">TRUE</definedName>
    <definedName name="HTML_OS" hidden="1">0</definedName>
    <definedName name="HTML_PathFile" hidden="1">"E:\업무분장\DESK.htm"</definedName>
    <definedName name="HTML_Title" hidden="1">"좌석배치"</definedName>
    <definedName name="hyhk" hidden="1">{#N/A,#N/A,FALSE,"배수1"}</definedName>
    <definedName name="iiiii" hidden="1">{"'자리배치도'!$AG$1:$CI$28"}</definedName>
    <definedName name="IIJELLS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J" hidden="1">{"'광피스표'!$A$3:$N$54"}</definedName>
    <definedName name="j" hidden="1">[4]BID!$A$1:$A$734</definedName>
    <definedName name="JH" hidden="1">{"'광피스표'!$A$3:$N$54"}</definedName>
    <definedName name="jj" hidden="1">'[3]6PILE  (돌출)'!#REF!</definedName>
    <definedName name="JJFOR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JJ" hidden="1">[4]BID!$A$1:$A$524</definedName>
    <definedName name="jjk" hidden="1">{#N/A,#N/A,FALSE,"구조2"}</definedName>
    <definedName name="JJSU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uy" hidden="1">{"'광피스표'!$A$3:$N$54"}</definedName>
    <definedName name="KB" hidden="1">{"'광피스표'!$A$3:$N$54"}</definedName>
    <definedName name="kfgfhf" hidden="1">'[3]6PILE  (돌출)'!#REF!</definedName>
    <definedName name="kgjf" hidden="1">{#N/A,#N/A,FALSE,"이정표"}</definedName>
    <definedName name="kk" hidden="1">{#N/A,#N/A,FALSE,"3가";#N/A,#N/A,FALSE,"3나";#N/A,#N/A,FALSE,"3다"}</definedName>
    <definedName name="KK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o" hidden="1">{"'광피스표'!$A$3:$N$54"}</definedName>
    <definedName name="mm" hidden="1">{#N/A,#N/A,TRUE,"토적및재료집계";#N/A,#N/A,TRUE,"토적및재료집계";#N/A,#N/A,TRUE,"단위량"}</definedName>
    <definedName name="MMM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" hidden="1">[4]BID!$A$1:$A$4</definedName>
    <definedName name="nego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WNAME" hidden="1">{#N/A,#N/A,FALSE,"CCTV"}</definedName>
    <definedName name="nn" hidden="1">{#N/A,#N/A,FALSE,"구조2"}</definedName>
    <definedName name="ocf" hidden="1">#REF!</definedName>
    <definedName name="ONP" hidden="1">'[5]전체내역 (2)'!#REF!</definedName>
    <definedName name="OO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oooooo" hidden="1">{"'자리배치도'!$AG$1:$CI$28"}</definedName>
    <definedName name="opo" hidden="1">{#N/A,#N/A,FALSE,"지침";#N/A,#N/A,FALSE,"환경분석";#N/A,#N/A,FALSE,"Sheet16"}</definedName>
    <definedName name="order2" hidden="1">0</definedName>
    <definedName name="pico검토" hidden="1">{#N/A,#N/A,FALSE,"3가";#N/A,#N/A,FALSE,"3나";#N/A,#N/A,FALSE,"3다"}</definedName>
    <definedName name="PP" hidden="1">{#N/A,#N/A,TRUE,"토적및재료집계";#N/A,#N/A,TRUE,"토적및재료집계";#N/A,#N/A,TRUE,"단위량"}</definedName>
    <definedName name="PPP" hidden="1">{#N/A,#N/A,TRUE,"토적및재료집계";#N/A,#N/A,TRUE,"토적및재료집계";#N/A,#N/A,TRUE,"단위량"}</definedName>
    <definedName name="ppppp" hidden="1">{"'자리배치도'!$AG$1:$CI$28"}</definedName>
    <definedName name="_xlnm.Print_Area" localSheetId="2">내역서!$A$1:$Q$341</definedName>
    <definedName name="_xlnm.Print_Area" localSheetId="0">원가!$A$1:$E$35</definedName>
    <definedName name="_xlnm.Print_Area" localSheetId="1">총괄표!$A$1:$Q$81</definedName>
    <definedName name="_xlnm.Print_Titles" localSheetId="2">내역서!$1:$3</definedName>
    <definedName name="_xlnm.Print_Titles" localSheetId="1">총괄표!$1:$3</definedName>
    <definedName name="q" hidden="1">[4]BID!$C$1:$H$533</definedName>
    <definedName name="qk" hidden="1">{"'자리배치도'!$AG$1:$CI$28"}</definedName>
    <definedName name="qor" hidden="1">[4]BID!$A$1:$A$4</definedName>
    <definedName name="qq" hidden="1">{#N/A,#N/A,FALSE,"단가표지"}</definedName>
    <definedName name="qqq" hidden="1">#REF!</definedName>
    <definedName name="qw" hidden="1">{#N/A,#N/A,FALSE,"단가표지"}</definedName>
    <definedName name="QWS" hidden="1">#REF!</definedName>
    <definedName name="RR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rrrrr" hidden="1">{"'자리배치도'!$AG$1:$CI$28"}</definedName>
    <definedName name="SDA" hidden="1">{"'광피스표'!$A$3:$N$54"}</definedName>
    <definedName name="sdg" hidden="1">[4]BID!$A$1:$A$1714</definedName>
    <definedName name="sdsd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SHEET100" hidden="1">#REF!</definedName>
    <definedName name="SKT" hidden="1">{#N/A,#N/A,FALSE,"3가";#N/A,#N/A,FALSE,"3나";#N/A,#N/A,FALSE,"3다"}</definedName>
    <definedName name="soc투자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sss" hidden="1">{#N/A,#N/A,FALSE,"전력간선"}</definedName>
    <definedName name="SSSS" hidden="1">{#N/A,#N/A,FALSE,"전력간선"}</definedName>
    <definedName name="tbv" hidden="1">{#N/A,#N/A,FALSE,"구조1"}</definedName>
    <definedName name="tr" hidden="1">[4]BID!$A$1:$A$1714</definedName>
    <definedName name="TREV" hidden="1">{#N/A,#N/A,TRUE,"토적및재료집계";#N/A,#N/A,TRUE,"토적및재료집계";#N/A,#N/A,TRUE,"단위량"}</definedName>
    <definedName name="tt" hidden="1">{#N/A,#N/A,FALSE,"전력간선"}</definedName>
    <definedName name="ttt" hidden="1">{#N/A,#N/A,FALSE,"혼합골재"}</definedName>
    <definedName name="ttttt" hidden="1">{#N/A,#N/A,FALSE,"지침";#N/A,#N/A,FALSE,"환경분석";#N/A,#N/A,FALSE,"Sheet16"}</definedName>
    <definedName name="tttttt" hidden="1">{"'자리배치도'!$AG$1:$CI$28"}</definedName>
    <definedName name="ty" hidden="1">{#N/A,#N/A,FALSE,"부대2"}</definedName>
    <definedName name="uity" hidden="1">{#N/A,#N/A,FALSE,"전력간선"}</definedName>
    <definedName name="up" hidden="1">{#N/A,#N/A,FALSE,"지침";#N/A,#N/A,FALSE,"환경분석";#N/A,#N/A,FALSE,"Sheet16"}</definedName>
    <definedName name="uuuu" hidden="1">{#N/A,#N/A,FALSE,"단가표지"}</definedName>
    <definedName name="uuuuuu" hidden="1">{"'자리배치도'!$AG$1:$CI$28"}</definedName>
    <definedName name="VV" hidden="1">{"'자리배치도'!$AG$1:$CI$28"}</definedName>
    <definedName name="W" hidden="1">{#N/A,#N/A,TRUE,"토적및재료집계";#N/A,#N/A,TRUE,"토적및재료집계";#N/A,#N/A,TRUE,"단위량"}</definedName>
    <definedName name="w2e3" hidden="1">{"'광피스표'!$A$3:$N$54"}</definedName>
    <definedName name="WER" hidden="1">{"'광피스표'!$A$3:$N$54"}</definedName>
    <definedName name="WIS단가비교" hidden="1">{#N/A,#N/A,TRUE,"토적및재료집계";#N/A,#N/A,TRUE,"토적및재료집계";#N/A,#N/A,TRUE,"단위량"}</definedName>
    <definedName name="wlqrp" hidden="1">0</definedName>
    <definedName name="wm.조골재1" hidden="1">{#N/A,#N/A,FALSE,"조골재"}</definedName>
    <definedName name="wr" hidden="1">{#N/A,#N/A,FALSE,"전력간선"}</definedName>
    <definedName name="WRITE" hidden="1">{#N/A,#N/A,FALSE,"CCTV"}</definedName>
    <definedName name="wrn.2번." hidden="1">{#N/A,#N/A,FALSE,"2~8번"}</definedName>
    <definedName name="wrn.97." hidden="1">{#N/A,#N/A,FALSE,"지침";#N/A,#N/A,FALSE,"환경분석";#N/A,#N/A,FALSE,"Sheet16"}</definedName>
    <definedName name="wrn.97년._.사업계획._.및._.예산지침." hidden="1">{#N/A,#N/A,TRUE,"1";#N/A,#N/A,TRUE,"2";#N/A,#N/A,TRUE,"3";#N/A,#N/A,TRUE,"4";#N/A,#N/A,TRUE,"5";#N/A,#N/A,TRUE,"6";#N/A,#N/A,TRUE,"7"}</definedName>
    <definedName name="WRN.98." hidden="1">{#N/A,#N/A,FALSE,"지침";#N/A,#N/A,FALSE,"환경분석";#N/A,#N/A,FALSE,"Sheet16"}</definedName>
    <definedName name="wrn.BM." hidden="1">{#N/A,#N/A,FALSE,"CCTV"}</definedName>
    <definedName name="wrn.COSA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TEST." hidden="1">{#N/A,#N/A,FALSE,"3가";#N/A,#N/A,FALSE,"3나";#N/A,#N/A,FALSE,"3다"}</definedName>
    <definedName name="wrn.간단한세무조정계산서.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골재소요량." hidden="1">{#N/A,#N/A,FALSE,"골재소요량";#N/A,#N/A,FALSE,"골재소요량"}</definedName>
    <definedName name="wrn.교대수량." hidden="1">{#N/A,#N/A,FALSE,"집계";#N/A,#N/A,FALSE,"철근";#N/A,#N/A,FALSE,"보천3교(교대A1-녹동방향)";#N/A,#N/A,FALSE,"보천3교(교대A1-고흥방향)";#N/A,#N/A,FALSE,"보천3교(교대A2-녹동방향)";#N/A,#N/A,FALSE,"보천3교(교대A2-고흥방향)"}</definedName>
    <definedName name="wrn.교육청." hidden="1">{#N/A,#N/A,FALSE,"전력간선"}</definedName>
    <definedName name="wrn.구조2." hidden="1">{#N/A,#N/A,FALSE,"구조2"}</definedName>
    <definedName name="wrn.단가표지." hidden="1">{#N/A,#N/A,FALSE,"단가표지"}</definedName>
    <definedName name="wrn.배수1." hidden="1">{#N/A,#N/A,FALSE,"배수1"}</definedName>
    <definedName name="wrn.배수2." hidden="1">{#N/A,#N/A,FALSE,"배수2"}</definedName>
    <definedName name="wrn.부대1." hidden="1">{#N/A,#N/A,FALSE,"부대1"}</definedName>
    <definedName name="wrn.부대2." hidden="1">{#N/A,#N/A,FALSE,"부대2"}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세무조정계산서.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속도." hidden="1">{#N/A,#N/A,FALSE,"속도"}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신용찬." hidden="1">{#N/A,#N/A,TRUE,"토적및재료집계";#N/A,#N/A,TRUE,"토적및재료집계";#N/A,#N/A,TRUE,"단위량"}</definedName>
    <definedName name="wrn.옹벽." hidden="1">{#N/A,#N/A,FALSE,"유전1교-집계";#N/A,#N/A,FALSE,"유전1교-철근";#N/A,#N/A,FALSE,"유전1교";#N/A,#N/A,FALSE,"유전2교-집계";#N/A,#N/A,FALSE,"유전3교-집계";#N/A,#N/A,FALSE,"덕흥육교-집계";#N/A,#N/A,FALSE,"덕흥1교-집계";#N/A,#N/A,FALSE,"덕흥1교-철근";#N/A,#N/A,FALSE,"덕흥1교";#N/A,#N/A,FALSE,"덕흥2교-집계";#N/A,#N/A,FALSE,"덕흥3교-집계";#N/A,#N/A,FALSE,"외봉교-집계";#N/A,#N/A,FALSE,"외봉교-철근";#N/A,#N/A,FALSE,"외봉교";#N/A,#N/A,FALSE,"신양육교-집계";#N/A,#N/A,FALSE,"신양교-집계";#N/A,#N/A,FALSE,"신양교-철근";#N/A,#N/A,FALSE,"신양교"}</definedName>
    <definedName name="wrn.운반시간." hidden="1">{#N/A,#N/A,FALSE,"운반시간"}</definedName>
    <definedName name="wrn.이정표." hidden="1">{#N/A,#N/A,FALSE,"이정표"}</definedName>
    <definedName name="wrn.조골재." hidden="1">{#N/A,#N/A,FALSE,"조골재"}</definedName>
    <definedName name="wrn.토공1." hidden="1">{#N/A,#N/A,FALSE,"구조1"}</definedName>
    <definedName name="wrn.토공2." hidden="1">{#N/A,#N/A,FALSE,"토공2"}</definedName>
    <definedName name="wrn.포장1." hidden="1">{#N/A,#N/A,FALSE,"포장1";#N/A,#N/A,FALSE,"포장1"}</definedName>
    <definedName name="wrn.포장2." hidden="1">{#N/A,#N/A,FALSE,"포장2"}</definedName>
    <definedName name="wrn.표지." hidden="1">{#N/A,#N/A,FALSE,"표지"}</definedName>
    <definedName name="wrn.표지목차." hidden="1">{#N/A,#N/A,FALSE,"표지목차"}</definedName>
    <definedName name="wrn.현장._.NCR._.분석." hidden="1">{#N/A,#N/A,FALSE,"현장 NCR 분석";#N/A,#N/A,FALSE,"현장품질감사";#N/A,#N/A,FALSE,"현장품질감사"}</definedName>
    <definedName name="wrn.혼합골재." hidden="1">{#N/A,#N/A,FALSE,"혼합골재"}</definedName>
    <definedName name="ww" hidden="1">{#N/A,#N/A,FALSE,"3가";#N/A,#N/A,FALSE,"3나";#N/A,#N/A,FALSE,"3다"}</definedName>
    <definedName name="wwww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wwwww" hidden="1">{"'자리배치도'!$AG$1:$CI$28"}</definedName>
    <definedName name="XC" hidden="1">{"'광피스표'!$A$3:$N$54"}</definedName>
    <definedName name="XCCFD" hidden="1">{"'광피스표'!$A$3:$N$54"}</definedName>
    <definedName name="xmrrlwhrjs" hidden="1">{#N/A,#N/A,FALSE,"현장 NCR 분석";#N/A,#N/A,FALSE,"현장품질감사";#N/A,#N/A,FALSE,"현장품질감사"}</definedName>
    <definedName name="YY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yyyyy" hidden="1">{"'자리배치도'!$AG$1:$CI$28"}</definedName>
    <definedName name="ZA" hidden="1">{"'광피스표'!$A$3:$N$54"}</definedName>
    <definedName name="ZZZ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" hidden="1">{#N/A,#N/A,TRUE,"토적및재료집계";#N/A,#N/A,TRUE,"토적및재료집계";#N/A,#N/A,TRUE,"단위량"}</definedName>
    <definedName name="ㄱㄱㄱ" hidden="1">{#N/A,#N/A,FALSE,"표지목차"}</definedName>
    <definedName name="ㄱㄱㄱㄱ" hidden="1">{#N/A,#N/A,FALSE,"지침";#N/A,#N/A,FALSE,"환경분석";#N/A,#N/A,FALSE,"Sheet16"}</definedName>
    <definedName name="ㄱ송ㄹ호" hidden="1">'[3]6PILE  (돌출)'!#REF!</definedName>
    <definedName name="ㄱㅈㅎ" hidden="1">[4]BID!$A$1:$A$1714</definedName>
    <definedName name="가" hidden="1">{"'자리배치도'!$AG$1:$CI$28"}</definedName>
    <definedName name="가나다" hidden="1">{#N/A,#N/A,FALSE,"3가";#N/A,#N/A,FALSE,"3나";#N/A,#N/A,FALSE,"3다"}</definedName>
    <definedName name="가입자" hidden="1">{#N/A,#N/A,FALSE,"3가";#N/A,#N/A,FALSE,"3나";#N/A,#N/A,FALSE,"3다"}</definedName>
    <definedName name="가입자광" hidden="1">{#N/A,#N/A,FALSE,"3가";#N/A,#N/A,FALSE,"3나";#N/A,#N/A,FALSE,"3다"}</definedName>
    <definedName name="각" hidden="1">{#N/A,#N/A,FALSE,"부대2"}</definedName>
    <definedName name="감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감리상주" hidden="1">{#N/A,#N/A,FALSE,"지침";#N/A,#N/A,FALSE,"환경분석";#N/A,#N/A,FALSE,"Sheet16"}</definedName>
    <definedName name="강" hidden="1">{#N/A,#N/A,FALSE,"부대2"}</definedName>
    <definedName name="거" hidden="1">{"'자리배치도'!$AG$1:$CI$28"}</definedName>
    <definedName name="건축" hidden="1">{#N/A,#N/A,TRUE,"토적및재료집계";#N/A,#N/A,TRUE,"토적및재료집계";#N/A,#N/A,TRUE,"단위량"}</definedName>
    <definedName name="건축팀별" hidden="1">{#N/A,#N/A,FALSE,"지침";#N/A,#N/A,FALSE,"환경분석";#N/A,#N/A,FALSE,"Sheet16"}</definedName>
    <definedName name="게" hidden="1">{#N/A,#N/A,TRUE,"토적및재료집계";#N/A,#N/A,TRUE,"토적및재료집계";#N/A,#N/A,TRUE,"단위량"}</definedName>
    <definedName name="겨" hidden="1">{#N/A,#N/A,FALSE,"부대2"}</definedName>
    <definedName name="계수" hidden="1">{#N/A,#N/A,FALSE,"지침";#N/A,#N/A,FALSE,"환경분석";#N/A,#N/A,FALSE,"Sheet16"}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사원가계산서" hidden="1">{#N/A,#N/A,TRUE,"토적및재료집계";#N/A,#N/A,TRUE,"토적및재료집계";#N/A,#N/A,TRUE,"단위량"}</definedName>
    <definedName name="곸" hidden="1">{#N/A,#N/A,FALSE,"현장 NCR 분석";#N/A,#N/A,FALSE,"현장품질감사";#N/A,#N/A,FALSE,"현장품질감사"}</definedName>
    <definedName name="관로" hidden="1">{#N/A,#N/A,TRUE,"토적및재료집계";#N/A,#N/A,TRUE,"토적및재료집계";#N/A,#N/A,TRUE,"단위량"}</definedName>
    <definedName name="관로공정집계표" hidden="1">{#N/A,#N/A,TRUE,"토적및재료집계";#N/A,#N/A,TRUE,"토적및재료집계";#N/A,#N/A,TRUE,"단위량"}</definedName>
    <definedName name="관산" hidden="1">{"'광피스표'!$A$3:$N$54"}</definedName>
    <definedName name="광" hidden="1">{#N/A,#N/A,TRUE,"토적및재료집계";#N/A,#N/A,TRUE,"토적및재료집계";#N/A,#N/A,TRUE,"단위량"}</definedName>
    <definedName name="교" hidden="1">{#N/A,#N/A,FALSE,"현장 NCR 분석";#N/A,#N/A,FALSE,"현장품질감사";#N/A,#N/A,FALSE,"현장품질감사"}</definedName>
    <definedName name="굑ㄷ" hidden="1">{#N/A,#N/A,FALSE,"이정표"}</definedName>
    <definedName name="굡" hidden="1">{#N/A,#N/A,FALSE,"현장 NCR 분석";#N/A,#N/A,FALSE,"현장품질감사";#N/A,#N/A,FALSE,"현장품질감사"}</definedName>
    <definedName name="굥" hidden="1">{#N/A,#N/A,FALSE,"현장 NCR 분석";#N/A,#N/A,FALSE,"현장품질감사";#N/A,#N/A,FALSE,"현장품질감사"}</definedName>
    <definedName name="구" hidden="1">{#N/A,#N/A,FALSE,"부대2"}</definedName>
    <definedName name="구산갑지" hidden="1">'[6]전 기'!#REF!</definedName>
    <definedName name="궁" hidden="1">{#N/A,#N/A,FALSE,"현장 NCR 분석";#N/A,#N/A,FALSE,"현장품질감사";#N/A,#N/A,FALSE,"현장품질감사"}</definedName>
    <definedName name="규" hidden="1">{#N/A,#N/A,FALSE,"전력간선"}</definedName>
    <definedName name="귱" hidden="1">{#N/A,#N/A,FALSE,"현장 NCR 분석";#N/A,#N/A,FALSE,"현장품질감사";#N/A,#N/A,FALSE,"현장품질감사"}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입" hidden="1">{#N/A,#N/A,FALSE,"3가";#N/A,#N/A,FALSE,"3나";#N/A,#N/A,FALSE,"3다"}</definedName>
    <definedName name="기타경비1" hidden="1">{#N/A,#N/A,TRUE,"토적및재료집계";#N/A,#N/A,TRUE,"토적및재료집계";#N/A,#N/A,TRUE,"단위량"}</definedName>
    <definedName name="긴급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긴급전화" hidden="1">{#N/A,#N/A,TRUE,"토적및재료집계";#N/A,#N/A,TRUE,"토적및재료집계";#N/A,#N/A,TRUE,"단위량"}</definedName>
    <definedName name="깡" hidden="1">{#N/A,#N/A,FALSE,"현장 NCR 분석";#N/A,#N/A,FALSE,"현장품질감사";#N/A,#N/A,FALSE,"현장품질감사"}</definedName>
    <definedName name="ㄳㄱ" hidden="1">{#N/A,#N/A,FALSE,"배수2"}</definedName>
    <definedName name="ㄴㄱㄹ" hidden="1">[4]BID!$A$1:$A$734</definedName>
    <definedName name="ㄴㄺㄷ" hidden="1">{#N/A,#N/A,FALSE,"현장 NCR 분석";#N/A,#N/A,FALSE,"현장품질감사";#N/A,#N/A,FALSE,"현장품질감사"}</definedName>
    <definedName name="ㄴㅁ" hidden="1">[4]BID!$A$1:$A$4</definedName>
    <definedName name="ㄴㅇㄹ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ㄴㅇㅁㄴㅇ" hidden="1">{#N/A,#N/A,TRUE,"토적및재료집계";#N/A,#N/A,TRUE,"토적및재료집계";#N/A,#N/A,TRUE,"단위량"}</definedName>
    <definedName name="ㄴㅇㅎㅇㅎ" hidden="1">{#N/A,#N/A,FALSE,"구조2"}</definedName>
    <definedName name="나" hidden="1">{"'자리배치도'!$AG$1:$CI$28"}</definedName>
    <definedName name="나다가" hidden="1">{#N/A,#N/A,FALSE,"3가";#N/A,#N/A,FALSE,"3나";#N/A,#N/A,FALSE,"3다"}</definedName>
    <definedName name="나ㅏㅓ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남남" hidden="1">#REF!</definedName>
    <definedName name="낭" hidden="1">{#N/A,#N/A,FALSE,"현장 NCR 분석";#N/A,#N/A,FALSE,"현장품질감사";#N/A,#N/A,FALSE,"현장품질감사"}</definedName>
    <definedName name="내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" hidden="1">{"'자리배치도'!$AG$1:$CI$28"}</definedName>
    <definedName name="넝" hidden="1">{#N/A,#N/A,FALSE,"현장 NCR 분석";#N/A,#N/A,FALSE,"현장품질감사";#N/A,#N/A,FALSE,"현장품질감사"}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" hidden="1">{#N/A,#N/A,TRUE,"토적및재료집계";#N/A,#N/A,TRUE,"토적및재료집계";#N/A,#N/A,TRUE,"단위량"}</definedName>
    <definedName name="ㄷ5ㅅ" hidden="1">{#N/A,#N/A,FALSE,"현장 NCR 분석";#N/A,#N/A,FALSE,"현장품질감사";#N/A,#N/A,FALSE,"현장품질감사"}</definedName>
    <definedName name="ㄷㄱㄷ" hidden="1">{#N/A,#N/A,FALSE,"전력간선"}</definedName>
    <definedName name="ㄷㄱ슢" hidden="1">{#N/A,#N/A,FALSE,"지침";#N/A,#N/A,FALSE,"환경분석";#N/A,#N/A,FALSE,"Sheet16"}</definedName>
    <definedName name="ㄷㄳㄱㄷㅅㄱㄷ" hidden="1">'[3]6PILE  (돌출)'!#REF!</definedName>
    <definedName name="ㄷㄳㄳ" hidden="1">'[3]6PILE  (돌출)'!#REF!</definedName>
    <definedName name="ㄷㄷㄷㄷ" hidden="1">{#N/A,#N/A,FALSE,"구조2"}</definedName>
    <definedName name="다" hidden="1">{"'자리배치도'!$AG$1:$CI$28"}</definedName>
    <definedName name="다라" hidden="1">{#N/A,#N/A,FALSE,"표지목차"}</definedName>
    <definedName name="단ㄱ" hidden="1">{#N/A,#N/A,FALSE,"전력간선"}</definedName>
    <definedName name="단가조사자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당" hidden="1">{#N/A,#N/A,FALSE,"현장 NCR 분석";#N/A,#N/A,FALSE,"현장품질감사";#N/A,#N/A,FALSE,"현장품질감사"}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댜" hidden="1">{#N/A,#N/A,FALSE,"토공2"}</definedName>
    <definedName name="더" hidden="1">{"'자리배치도'!$AG$1:$CI$28"}</definedName>
    <definedName name="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" hidden="1">{#N/A,#N/A,FALSE,"구조2"}</definedName>
    <definedName name="ㄹ" hidden="1">{#N/A,#N/A,TRUE,"토적및재료집계";#N/A,#N/A,TRUE,"토적및재료집계";#N/A,#N/A,TRUE,"단위량"}</definedName>
    <definedName name="ㄹㄴㅇㄹㄴㅇㄹㄴㄱㄴㅇ" hidden="1">{#N/A,#N/A,FALSE,"지침";#N/A,#N/A,FALSE,"환경분석";#N/A,#N/A,FALSE,"Sheet16"}</definedName>
    <definedName name="ㄹㄹ" hidden="1">{#N/A,#N/A,TRUE,"토적및재료집계";#N/A,#N/A,TRUE,"토적및재료집계";#N/A,#N/A,TRUE,"단위량"}</definedName>
    <definedName name="ㄹㄹ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ㄹㄹ" hidden="1">{#N/A,#N/A,FALSE,"단가표지"}</definedName>
    <definedName name="ㄹㄹㅇㄴ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ㄶ" hidden="1">#REF!</definedName>
    <definedName name="ㄹ호" hidden="1">[4]BID!$C$1:$H$533</definedName>
    <definedName name="ㄹ훑ㅍㅊㅌㅊ" hidden="1">#N/A</definedName>
    <definedName name="라" hidden="1">{"'자리배치도'!$AG$1:$CI$28"}</definedName>
    <definedName name="라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러" hidden="1">{"'자리배치도'!$AG$1:$CI$28"}</definedName>
    <definedName name="려ㅛ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로ㅛ" hidden="1">{#N/A,#N/A,FALSE,"현장 NCR 분석";#N/A,#N/A,FALSE,"현장품질감사";#N/A,#N/A,FALSE,"현장품질감사"}</definedName>
    <definedName name="ㄻ" hidden="1">'[7]5사남'!#REF!</definedName>
    <definedName name="ㅁ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ㅁㄴ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ㅁㄴㅇ" hidden="1">{#N/A,#N/A,FALSE,"포장1";#N/A,#N/A,FALSE,"포장1"}</definedName>
    <definedName name="ㅁㄴㅇㄴ" hidden="1">{#N/A,#N/A,TRUE,"토적및재료집계";#N/A,#N/A,TRUE,"토적및재료집계";#N/A,#N/A,TRUE,"단위량"}</definedName>
    <definedName name="ㅁㄴㅇㄹ" hidden="1">{#N/A,#N/A,TRUE,"토적및재료집계";#N/A,#N/A,TRUE,"토적및재료집계";#N/A,#N/A,TRUE,"단위량"}</definedName>
    <definedName name="ㅁㄴㅌㄴ" hidden="1">{"'자리배치도'!$AG$1:$CI$28"}</definedName>
    <definedName name="ㅁㅁ" hidden="1">{#N/A,#N/A,TRUE,"토적및재료집계";#N/A,#N/A,TRUE,"토적및재료집계";#N/A,#N/A,TRUE,"단위량"}</definedName>
    <definedName name="ㅁㅁㅁ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ㅁㅁㅁㅁㅁㅁ" hidden="1">[4]BID!$A$1:$A$2353</definedName>
    <definedName name="ㅁㅅㅅㅁㄱ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ㅎ" hidden="1">{#N/A,#N/A,FALSE,"부대2"}</definedName>
    <definedName name="만" hidden="1">{"'자리배치도'!$AG$1:$CI$28"}</definedName>
    <definedName name="망" hidden="1">{#N/A,#N/A,FALSE,"부대2"}</definedName>
    <definedName name="머" hidden="1">{"'자리배치도'!$AG$1:$CI$28"}</definedName>
    <definedName name="물가변동내역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뭐지" hidden="1">{#N/A,#N/A,FALSE,"CCTV"}</definedName>
    <definedName name="뮻" hidden="1">{"'자리배치도'!$AG$1:$CI$28"}</definedName>
    <definedName name="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" hidden="1">{"'자리배치도'!$AG$1:$CI$28"}</definedName>
    <definedName name="ㅂㅂ" hidden="1">#REF!</definedName>
    <definedName name="ㅂㅂㅂ" hidden="1">{#N/A,#N/A,TRUE,"토적및재료집계";#N/A,#N/A,TRUE,"토적및재료집계";#N/A,#N/A,TRUE,"단위량"}</definedName>
    <definedName name="ㅂㅂㅂㅂ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바" hidden="1">{"'자리배치도'!$AG$1:$CI$28"}</definedName>
    <definedName name="바붕" hidden="1">{#N/A,#N/A,FALSE,"전력간선"}</definedName>
    <definedName name="배관및굴착" hidden="1">{"'자리배치도'!$AG$1:$CI$28"}</definedName>
    <definedName name="변경내역" hidden="1">{#N/A,#N/A,FALSE,"3가";#N/A,#N/A,FALSE,"3나";#N/A,#N/A,FALSE,"3다"}</definedName>
    <definedName name="병" hidden="1">{#N/A,#N/A,FALSE,"이정표"}</definedName>
    <definedName name="보" hidden="1">{#N/A,#N/A,FALSE,"3가";#N/A,#N/A,FALSE,"3나";#N/A,#N/A,FALSE,"3다"}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증일반환산" hidden="1">[8]수리결과!#REF!</definedName>
    <definedName name="뵹" hidden="1">{#N/A,#N/A,FALSE,"구조1"}</definedName>
    <definedName name="부" hidden="1">{#N/A,#N/A,FALSE,"부대2"}</definedName>
    <definedName name="부대구조" hidden="1">{#N/A,#N/A,FALSE,"골재소요량";#N/A,#N/A,FALSE,"골재소요량"}</definedName>
    <definedName name="부대방안" hidden="1">{#N/A,#N/A,FALSE,"단가표지"}</definedName>
    <definedName name="부대원본" hidden="1">{#N/A,#N/A,FALSE,"토공2"}</definedName>
    <definedName name="부대토공2" hidden="1">{#N/A,#N/A,FALSE,"구조2"}</definedName>
    <definedName name="부산주경기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손익" hidden="1">{#N/A,#N/A,FALSE,"현장 NCR 분석";#N/A,#N/A,FALSE,"현장품질감사";#N/A,#N/A,FALSE,"현장품질감사"}</definedName>
    <definedName name="부실확정자산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분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붕" hidden="1">{#N/A,#N/A,FALSE,"현장 NCR 분석";#N/A,#N/A,FALSE,"현장품질감사";#N/A,#N/A,FALSE,"현장품질감사"}</definedName>
    <definedName name="빔제작단가개정표준도적용" hidden="1">{"'자리배치도'!$AG$1:$CI$28"}</definedName>
    <definedName name="뿅" hidden="1">{#N/A,#N/A,FALSE,"구조1"}</definedName>
    <definedName name="쁑" hidden="1">{#N/A,#N/A,FALSE,"배수1"}</definedName>
    <definedName name="ㅅ" hidden="1">{#N/A,#N/A,TRUE,"토적및재료집계";#N/A,#N/A,TRUE,"토적및재료집계";#N/A,#N/A,TRUE,"단위량"}</definedName>
    <definedName name="ㅅㄱ" hidden="1">{#N/A,#N/A,FALSE,"부대2"}</definedName>
    <definedName name="ㅅㄱㄱ" hidden="1">{#N/A,#N/A,FALSE,"현장 NCR 분석";#N/A,#N/A,FALSE,"현장품질감사";#N/A,#N/A,FALSE,"현장품질감사"}</definedName>
    <definedName name="ㅅㄷㄱ" hidden="1">{#N/A,#N/A,FALSE,"현장 NCR 분석";#N/A,#N/A,FALSE,"현장품질감사";#N/A,#N/A,FALSE,"현장품질감사"}</definedName>
    <definedName name="ㅅㅅ" hidden="1">{#N/A,#N/A,TRUE,"토적및재료집계";#N/A,#N/A,TRUE,"토적및재료집계";#N/A,#N/A,TRUE,"단위량"}</definedName>
    <definedName name="사" hidden="1">{"'자리배치도'!$AG$1:$CI$28"}</definedName>
    <definedName name="사1" hidden="1">{#N/A,#N/A,FALSE,"지침";#N/A,#N/A,FALSE,"환경분석";#N/A,#N/A,FALSE,"Sheet16"}</definedName>
    <definedName name="사진대지1" hidden="1">#REF!</definedName>
    <definedName name="상주" hidden="1">{#N/A,#N/A,FALSE,"지침";#N/A,#N/A,FALSE,"환경분석";#N/A,#N/A,FALSE,"Sheet16"}</definedName>
    <definedName name="상주감리" hidden="1">{#N/A,#N/A,FALSE,"지침";#N/A,#N/A,FALSE,"환경분석";#N/A,#N/A,FALSE,"Sheet16"}</definedName>
    <definedName name="석" hidden="1">{#N/A,#N/A,FALSE,"지침";#N/A,#N/A,FALSE,"환경분석";#N/A,#N/A,FALSE,"Sheet16"}</definedName>
    <definedName name="석재받은의뢰업체" hidden="1">255</definedName>
    <definedName name="설문지" hidden="1">#REF!</definedName>
    <definedName name="설비" hidden="1">{#N/A,#N/A,TRUE,"토적및재료집계";#N/A,#N/A,TRUE,"토적및재료집계";#N/A,#N/A,TRUE,"단위량"}</definedName>
    <definedName name="세부내역서_박" hidden="1">{"'자리배치도'!$AG$1:$CI$28"}</definedName>
    <definedName name="세전익익" hidden="1">{#N/A,#N/A,FALSE,"지침";#N/A,#N/A,FALSE,"환경분석";#N/A,#N/A,FALSE,"Sheet16"}</definedName>
    <definedName name="셩" hidden="1">{#N/A,#N/A,FALSE,"구조1"}</definedName>
    <definedName name="소" hidden="1">{#N/A,#N/A,FALSE,"현장 NCR 분석";#N/A,#N/A,FALSE,"현장품질감사";#N/A,#N/A,FALSE,"현장품질감사"}</definedName>
    <definedName name="손익변경" hidden="1">{#N/A,#N/A,FALSE,"지침";#N/A,#N/A,FALSE,"환경분석";#N/A,#N/A,FALSE,"Sheet16"}</definedName>
    <definedName name="손익추정목표" hidden="1">{#N/A,#N/A,FALSE,"전력간선"}</definedName>
    <definedName name="송" hidden="1">{#N/A,#N/A,FALSE,"부대1"}</definedName>
    <definedName name="쇼" hidden="1">{#N/A,#N/A,FALSE,"단가표지"}</definedName>
    <definedName name="쇽" hidden="1">{#N/A,#N/A,FALSE,"구조1"}</definedName>
    <definedName name="수2" hidden="1">{#N/A,#N/A,TRUE,"토적및재료집계";#N/A,#N/A,TRUE,"토적및재료집계";#N/A,#N/A,TRUE,"단위량"}</definedName>
    <definedName name="수3" hidden="1">{#N/A,#N/A,TRUE,"토적및재료집계";#N/A,#N/A,TRUE,"토적및재료집계";#N/A,#N/A,TRUE,"단위량"}</definedName>
    <definedName name="수금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수량산출" hidden="1">#REF!</definedName>
    <definedName name="수량총합" hidden="1">{#N/A,#N/A,TRUE,"토적및재료집계";#N/A,#N/A,TRUE,"토적및재료집계";#N/A,#N/A,TRUE,"단위량"}</definedName>
    <definedName name="순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승" hidden="1">{#N/A,#N/A,FALSE,"지침";#N/A,#N/A,FALSE,"환경분석";#N/A,#N/A,FALSE,"Sheet16"}</definedName>
    <definedName name="시" hidden="1">{#N/A,#N/A,FALSE,"조골재"}</definedName>
    <definedName name="시시싯" hidden="1">{#N/A,#N/A,TRUE,"토적및재료집계";#N/A,#N/A,TRUE,"토적및재료집계";#N/A,#N/A,TRUE,"단위량"}</definedName>
    <definedName name="신설리스트" hidden="1">{#N/A,#N/A,FALSE,"3가";#N/A,#N/A,FALSE,"3나";#N/A,#N/A,FALSE,"3다"}</definedName>
    <definedName name="신설추가" hidden="1">{#N/A,#N/A,FALSE,"3가";#N/A,#N/A,FALSE,"3나";#N/A,#N/A,FALSE,"3다"}</definedName>
    <definedName name="ㅇㄴㅁ" hidden="1">[4]BID!$A$1:$A$4</definedName>
    <definedName name="ㅇㄴㅇ" hidden="1">{"'자리배치도'!$AG$1:$CI$28"}</definedName>
    <definedName name="ㅇㄹㅇㄴ" hidden="1">{#N/A,#N/A,FALSE,"3가";#N/A,#N/A,FALSE,"3나";#N/A,#N/A,FALSE,"3다"}</definedName>
    <definedName name="ㅇㄹ호ㅠㅜㅠ" hidden="1">'[3]6PILE  (돌출)'!#REF!</definedName>
    <definedName name="ㅇㄹ혻소" hidden="1">'[3]6PILE  (돌출)'!#REF!</definedName>
    <definedName name="ㅇ라ㅓㅏ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ㅀㅇㅁㄹ" hidden="1">{#N/A,#N/A,FALSE,"3가";#N/A,#N/A,FALSE,"3나";#N/A,#N/A,FALSE,"3다"}</definedName>
    <definedName name="ㅇㅁㄴㄹ" hidden="1">{#N/A,#N/A,TRUE,"토적및재료집계";#N/A,#N/A,TRUE,"토적및재료집계";#N/A,#N/A,TRUE,"단위량"}</definedName>
    <definedName name="ㅇㅇㄹ" hidden="1">{#N/A,#N/A,TRUE,"토적및재료집계";#N/A,#N/A,TRUE,"토적및재료집계";#N/A,#N/A,TRUE,"단위량"}</definedName>
    <definedName name="ㅇㅇㅇ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ㅇㅇㅇㅂㅈㄷㄱ" hidden="1">{#N/A,#N/A,FALSE,"3가";#N/A,#N/A,FALSE,"3나";#N/A,#N/A,FALSE,"3다"}</definedName>
    <definedName name="ㅇㅇㅇㅇ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ㅇㅇㅇㅇㅇㅇ" hidden="1">{#N/A,#N/A,FALSE,"지침";#N/A,#N/A,FALSE,"환경분석";#N/A,#N/A,FALSE,"Sheet16"}</definedName>
    <definedName name="ㅇㅎㅅ" hidden="1">{#N/A,#N/A,FALSE,"포장1";#N/A,#N/A,FALSE,"포장1"}</definedName>
    <definedName name="아" hidden="1">{"'자리배치도'!$AG$1:$CI$28"}</definedName>
    <definedName name="아ㅏㅓ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앙" hidden="1">{#N/A,#N/A,FALSE,"부대2"}</definedName>
    <definedName name="앙아앙ㅇ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야간" hidden="1">{#N/A,#N/A,FALSE,"지침";#N/A,#N/A,FALSE,"환경분석";#N/A,#N/A,FALSE,"Sheet16"}</definedName>
    <definedName name="양식" hidden="1">{#N/A,#N/A,FALSE,"전력간선"}</definedName>
    <definedName name="어" hidden="1">{#N/A,#N/A,FALSE,"3가";#N/A,#N/A,FALSE,"3나";#N/A,#N/A,FALSE,"3다"}</definedName>
    <definedName name="어떤거죠" hidden="1">#REF!</definedName>
    <definedName name="어ㅓ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억이상" hidden="1">{#N/A,#N/A,FALSE,"2~8번"}</definedName>
    <definedName name="업체" hidden="1">[4]BID!$A$1:$A$734</definedName>
    <definedName name="엉" hidden="1">{#N/A,#N/A,FALSE,"부대2"}</definedName>
    <definedName name="연습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영업" hidden="1">{#N/A,#N/A,FALSE,"지침";#N/A,#N/A,FALSE,"환경분석";#N/A,#N/A,FALSE,"Sheet16"}</definedName>
    <definedName name="영업현금" hidden="1">{#N/A,#N/A,FALSE,"지침";#N/A,#N/A,FALSE,"환경분석";#N/A,#N/A,FALSE,"Sheet16"}</definedName>
    <definedName name="오" hidden="1">[4]BID!$A$1:$A$4</definedName>
    <definedName name="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용" hidden="1">{#N/A,#N/A,FALSE,"구조1"}</definedName>
    <definedName name="우리" hidden="1">{#N/A,#N/A,FALSE,"3가";#N/A,#N/A,FALSE,"3나";#N/A,#N/A,FALSE,"3다"}</definedName>
    <definedName name="원가" hidden="1">{#N/A,#N/A,FALSE,"운반시간"}</definedName>
    <definedName name="원가계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남내역" hidden="1">[4]BID!$A$1:$A$4</definedName>
    <definedName name="월별투입" hidden="1">{#N/A,#N/A,FALSE,"지침";#N/A,#N/A,FALSE,"환경분석";#N/A,#N/A,FALSE,"Sheet16"}</definedName>
    <definedName name="융" hidden="1">{#N/A,#N/A,FALSE,"현장 NCR 분석";#N/A,#N/A,FALSE,"현장품질감사";#N/A,#N/A,FALSE,"현장품질감사"}</definedName>
    <definedName name="의" hidden="1">{#N/A,#N/A,FALSE,"운반시간"}</definedName>
    <definedName name="이" hidden="1">{#N/A,#N/A,TRUE,"토적및재료집계";#N/A,#N/A,TRUE,"토적및재료집계";#N/A,#N/A,TRUE,"단위량"}</definedName>
    <definedName name="이슈" hidden="1">{#N/A,#N/A,FALSE,"지침";#N/A,#N/A,FALSE,"환경분석";#N/A,#N/A,FALSE,"Sheet16"}</definedName>
    <definedName name="이천순복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일" hidden="1">[4]BID!$A$1:$A$4</definedName>
    <definedName name="일정97" hidden="1">#REF!</definedName>
    <definedName name="입찰금액안" hidden="1">[4]BID!#REF!</definedName>
    <definedName name="ㅈ" hidden="1">{#N/A,#N/A,TRUE,"토적및재료집계";#N/A,#N/A,TRUE,"토적및재료집계";#N/A,#N/A,TRUE,"단위량"}</definedName>
    <definedName name="ㅈ4" hidden="1">{#N/A,#N/A,FALSE,"현장 NCR 분석";#N/A,#N/A,FALSE,"현장품질감사";#N/A,#N/A,FALSE,"현장품질감사"}</definedName>
    <definedName name="ㅈㄷㄱ" hidden="1">{#N/A,#N/A,FALSE,"2~8번"}</definedName>
    <definedName name="ㅈㅂㄱㄷㅈ" hidden="1">{#N/A,#N/A,FALSE,"단가표지"}</definedName>
    <definedName name="ㅈㅈㅈ" hidden="1">{#N/A,#N/A,TRUE,"토적및재료집계";#N/A,#N/A,TRUE,"토적및재료집계";#N/A,#N/A,TRUE,"단위량"}</definedName>
    <definedName name="자" hidden="1">{"'자리배치도'!$AG$1:$CI$28"}</definedName>
    <definedName name="쟝" hidden="1">{#N/A,#N/A,FALSE,"이정표"}</definedName>
    <definedName name="전원" hidden="1">{#N/A,#N/A,TRUE,"토적및재료집계";#N/A,#N/A,TRUE,"토적및재료집계";#N/A,#N/A,TRUE,"단위량"}</definedName>
    <definedName name="전원케이블피스표" hidden="1">{#N/A,#N/A,TRUE,"토적및재료집계";#N/A,#N/A,TRUE,"토적및재료집계";#N/A,#N/A,TRUE,"단위량"}</definedName>
    <definedName name="전자CF" hidden="1">{#N/A,#N/A,FALSE,"지침";#N/A,#N/A,FALSE,"환경분석";#N/A,#N/A,FALSE,"Sheet16"}</definedName>
    <definedName name="정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정웅하" hidden="1">{"'광피스표'!$A$3:$N$54"}</definedName>
    <definedName name="제조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주추가종합수정안" hidden="1">{#N/A,#N/A,FALSE,"3가";#N/A,#N/A,FALSE,"3나";#N/A,#N/A,FALSE,"3다"}</definedName>
    <definedName name="졍" hidden="1">{#N/A,#N/A,FALSE,"구조1"}</definedName>
    <definedName name="조사가" hidden="1">[9]입찰안!#REF!</definedName>
    <definedName name="종" hidden="1">{#N/A,#N/A,FALSE,"현장 NCR 분석";#N/A,#N/A,FALSE,"현장품질감사";#N/A,#N/A,FALSE,"현장품질감사"}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쥽" hidden="1">{#N/A,#N/A,FALSE,"부대1"}</definedName>
    <definedName name="즁" hidden="1">{#N/A,#N/A,FALSE,"구조1"}</definedName>
    <definedName name="직매54P" hidden="1">{#N/A,#N/A,TRUE,"토적및재료집계";#N/A,#N/A,TRUE,"토적및재료집계";#N/A,#N/A,TRUE,"단위량"}</definedName>
    <definedName name="진짜원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짱" hidden="1">{#N/A,#N/A,FALSE,"이정표"}</definedName>
    <definedName name="ㅊㅊ" hidden="1">{#N/A,#N/A,FALSE,"유전1교-집계";#N/A,#N/A,FALSE,"유전1교-철근";#N/A,#N/A,FALSE,"유전1교";#N/A,#N/A,FALSE,"유전2교-집계";#N/A,#N/A,FALSE,"유전3교-집계";#N/A,#N/A,FALSE,"덕흥육교-집계";#N/A,#N/A,FALSE,"덕흥1교-집계";#N/A,#N/A,FALSE,"덕흥1교-철근";#N/A,#N/A,FALSE,"덕흥1교";#N/A,#N/A,FALSE,"덕흥2교-집계";#N/A,#N/A,FALSE,"덕흥3교-집계";#N/A,#N/A,FALSE,"외봉교-집계";#N/A,#N/A,FALSE,"외봉교-철근";#N/A,#N/A,FALSE,"외봉교";#N/A,#N/A,FALSE,"신양육교-집계";#N/A,#N/A,FALSE,"신양교-집계";#N/A,#N/A,FALSE,"신양교-철근";#N/A,#N/A,FALSE,"신양교"}</definedName>
    <definedName name="ㅊㅊㅊㅊ" hidden="1">{#N/A,#N/A,FALSE,"단가표지"}</definedName>
    <definedName name="차" hidden="1">{"'자리배치도'!$AG$1:$CI$28"}</definedName>
    <definedName name="참석자" hidden="1">{#N/A,#N/A,FALSE,"현장 NCR 분석";#N/A,#N/A,FALSE,"현장품질감사";#N/A,#N/A,FALSE,"현장품질감사"}</definedName>
    <definedName name="철근자료" hidden="1">#REF!</definedName>
    <definedName name="총공" hidden="1">{#N/A,#N/A,FALSE,"운반시간"}</definedName>
    <definedName name="출판" hidden="1">{#N/A,#N/A,FALSE,"지침";#N/A,#N/A,FALSE,"환경분석";#N/A,#N/A,FALSE,"Sheet16"}</definedName>
    <definedName name="ㅋ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ㅋㅋㅋ" hidden="1">{#N/A,#N/A,FALSE,"전력간선"}</definedName>
    <definedName name="카" hidden="1">{"'자리배치도'!$AG$1:$CI$28"}</definedName>
    <definedName name="카메라" hidden="1">{#N/A,#N/A,FALSE,"지침";#N/A,#N/A,FALSE,"환경분석";#N/A,#N/A,FALSE,"Sheet16"}</definedName>
    <definedName name="카메라11" hidden="1">{#N/A,#N/A,FALSE,"지침";#N/A,#N/A,FALSE,"환경분석";#N/A,#N/A,FALSE,"Sheet16"}</definedName>
    <definedName name="카메라1212" hidden="1">{#N/A,#N/A,FALSE,"지침";#N/A,#N/A,FALSE,"환경분석";#N/A,#N/A,FALSE,"Sheet16"}</definedName>
    <definedName name="캐쉬" hidden="1">{#N/A,#N/A,FALSE,"지침";#N/A,#N/A,FALSE,"환경분석";#N/A,#N/A,FALSE,"Sheet16"}</definedName>
    <definedName name="케이블간지" hidden="1">{#N/A,#N/A,TRUE,"토적및재료집계";#N/A,#N/A,TRUE,"토적및재료집계";#N/A,#N/A,TRUE,"단위량"}</definedName>
    <definedName name="콩" hidden="1">{#N/A,#N/A,FALSE,"구조1"}</definedName>
    <definedName name="쿙" hidden="1">{#N/A,#N/A,FALSE,"현장 NCR 분석";#N/A,#N/A,FALSE,"현장품질감사";#N/A,#N/A,FALSE,"현장품질감사"}</definedName>
    <definedName name="큥" hidden="1">{#N/A,#N/A,FALSE,"현장 NCR 분석";#N/A,#N/A,FALSE,"현장품질감사";#N/A,#N/A,FALSE,"현장품질감사"}</definedName>
    <definedName name="ㅌㅊ" hidden="1">'[7]5사남'!#REF!</definedName>
    <definedName name="ㅌㅌ" hidden="1">{#N/A,#N/A,FALSE,"단가표지"}</definedName>
    <definedName name="타" hidden="1">{"'자리배치도'!$AG$1:$CI$28"}</definedName>
    <definedName name="토" hidden="1">{#N/A,#N/A,TRUE,"토적및재료집계";#N/A,#N/A,TRUE,"토적및재료집계";#N/A,#N/A,TRUE,"단위량"}</definedName>
    <definedName name="토목견적" hidden="1">{#N/A,#N/A,FALSE,"골재소요량";#N/A,#N/A,FALSE,"골재소요량"}</definedName>
    <definedName name="토목설계" hidden="1">{#N/A,#N/A,FALSE,"골재소요량";#N/A,#N/A,FALSE,"골재소요량"}</definedName>
    <definedName name="토목실행" hidden="1">{#N/A,#N/A,FALSE,"골재소요량";#N/A,#N/A,FALSE,"골재소요량"}</definedName>
    <definedName name="토적" hidden="1">{#N/A,#N/A,TRUE,"토적및재료집계";#N/A,#N/A,TRUE,"토적및재료집계";#N/A,#N/A,TRUE,"단위량"}</definedName>
    <definedName name="토적집계1" hidden="1">{#N/A,#N/A,TRUE,"토적및재료집계";#N/A,#N/A,TRUE,"토적및재료집계";#N/A,#N/A,TRUE,"단위량"}</definedName>
    <definedName name="ㅍ" hidden="1">{#N/A,#N/A,FALSE,"골재소요량";#N/A,#N/A,FALSE,"골재소요량"}</definedName>
    <definedName name="ㅍㅍ" hidden="1">{#N/A,#N/A,TRUE,"토적및재료집계";#N/A,#N/A,TRUE,"토적및재료집계";#N/A,#N/A,TRUE,"단위량"}</definedName>
    <definedName name="파" hidden="1">{"'자리배치도'!$AG$1:$CI$28"}</definedName>
    <definedName name="팔" hidden="1">[4]BID!$A$1:$A$1714</definedName>
    <definedName name="포" hidden="1">{#N/A,#N/A,FALSE,"부대2"}</definedName>
    <definedName name="포장2월ocf" hidden="1">{#N/A,#N/A,FALSE,"지침";#N/A,#N/A,FALSE,"환경분석";#N/A,#N/A,FALSE,"Sheet16"}</definedName>
    <definedName name="포장ocf" hidden="1">{#N/A,#N/A,FALSE,"지침";#N/A,#N/A,FALSE,"환경분석";#N/A,#N/A,FALSE,"Sheet16"}</definedName>
    <definedName name="표지" hidden="1">#REF!</definedName>
    <definedName name="표지2" hidden="1">#REF!</definedName>
    <definedName name="푸" hidden="1">{#N/A,#N/A,FALSE,"전력간선"}</definedName>
    <definedName name="퓨" hidden="1">{#N/A,#N/A,FALSE,"현장 NCR 분석";#N/A,#N/A,FALSE,"현장품질감사";#N/A,#N/A,FALSE,"현장품질감사"}</definedName>
    <definedName name="ㅎㄹ오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ㅅㄱ" hidden="1">{#N/A,#N/A,FALSE,"지침";#N/A,#N/A,FALSE,"환경분석";#N/A,#N/A,FALSE,"Sheet16"}</definedName>
    <definedName name="ㅎㅅㄺ" hidden="1">{#N/A,#N/A,FALSE,"속도"}</definedName>
    <definedName name="ㅎㅎ" hidden="1">'[7]5사남'!#REF!</definedName>
    <definedName name="ㅎㅎㅎ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ㅎ" hidden="1">{#N/A,#N/A,TRUE,"토적및재료집계";#N/A,#N/A,TRUE,"토적및재료집계";#N/A,#N/A,TRUE,"단위량"}</definedName>
    <definedName name="하" hidden="1">{"'자리배치도'!$AG$1:$CI$28"}</definedName>
    <definedName name="하늘1" hidden="1">{#N/A,#N/A,FALSE,"전력간선"}</definedName>
    <definedName name="하도대상" hidden="1">{#N/A,#N/A,FALSE,"골재소요량";#N/A,#N/A,FALSE,"골재소요량"}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한글" hidden="1">{#N/A,#N/A,FALSE,"3가";#N/A,#N/A,FALSE,"3나";#N/A,#N/A,FALSE,"3다"}</definedName>
    <definedName name="항" hidden="1">{#N/A,#N/A,FALSE,"현장 NCR 분석";#N/A,#N/A,FALSE,"현장품질감사";#N/A,#N/A,FALSE,"현장품질감사"}</definedName>
    <definedName name="햐ㅓㅈ바허ㅏㅣ농하ㅗㅎ" hidden="1">{#N/A,#N/A,FALSE,"CCTV"}</definedName>
    <definedName name="현장설명" hidden="1">{#N/A,#N/A,FALSE,"현장 NCR 분석";#N/A,#N/A,FALSE,"현장품질감사";#N/A,#N/A,FALSE,"현장품질감사"}</definedName>
    <definedName name="현장설명2" hidden="1">{#N/A,#N/A,FALSE,"현장 NCR 분석";#N/A,#N/A,FALSE,"현장품질감사";#N/A,#N/A,FALSE,"현장품질감사"}</definedName>
    <definedName name="호선" hidden="1">{"'자리배치도'!$AG$1:$CI$28"}</definedName>
    <definedName name="호ㅓㅕㅏ6ㅅ서ㅛㅓ" hidden="1">[4]BID!#REF!</definedName>
    <definedName name="홍ㄹㄴ" hidden="1">{#N/A,#N/A,FALSE,"부대2"}</definedName>
    <definedName name="효" hidden="1">{#N/A,#N/A,FALSE,"현장 NCR 분석";#N/A,#N/A,FALSE,"현장품질감사";#N/A,#N/A,FALSE,"현장품질감사"}</definedName>
    <definedName name="ㅏ" hidden="1">{#N/A,#N/A,FALSE,"현장 NCR 분석";#N/A,#N/A,FALSE,"현장품질감사";#N/A,#N/A,FALSE,"현장품질감사"}</definedName>
    <definedName name="ㅏ1" hidden="1">#REF!</definedName>
    <definedName name="ㅏㅏ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ㅕ" hidden="1">{#N/A,#N/A,FALSE,"포장1";#N/A,#N/A,FALSE,"포장1"}</definedName>
    <definedName name="ㅐㅐㅐ" hidden="1">{#N/A,#N/A,FALSE,"지침";#N/A,#N/A,FALSE,"환경분석";#N/A,#N/A,FALSE,"Sheet16"}</definedName>
    <definedName name="ㅑㅑ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ㅕㅑ" hidden="1">{#N/A,#N/A,FALSE,"전력간선"}</definedName>
    <definedName name="ㅓㄴㄱ" hidden="1">[4]BID!$A$1:$A$4</definedName>
    <definedName name="ㅓ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ㄹㄹ" hidden="1">{#N/A,#N/A,FALSE,"현장 NCR 분석";#N/A,#N/A,FALSE,"현장품질감사";#N/A,#N/A,FALSE,"현장품질감사"}</definedName>
    <definedName name="ㅓㅏㅕㅓ" hidden="1">{#N/A,#N/A,FALSE,"지침";#N/A,#N/A,FALSE,"환경분석";#N/A,#N/A,FALSE,"Sheet16"}</definedName>
    <definedName name="ㅓ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" hidden="1">{#N/A,#N/A,FALSE,"전력간선"}</definedName>
    <definedName name="ㅓㅓ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ㅔㅔ" hidden="1">[4]BID!#REF!</definedName>
    <definedName name="ㅔㅔㅔ" hidden="1">{#N/A,#N/A,TRUE,"토적및재료집계";#N/A,#N/A,TRUE,"토적및재료집계";#N/A,#N/A,TRUE,"단위량"}</definedName>
    <definedName name="ㅕㅅ" hidden="1">'[7]5사남'!#REF!</definedName>
    <definedName name="ㅕㅛ" hidden="1">{#N/A,#N/A,FALSE,"골재소요량";#N/A,#N/A,FALSE,"골재소요량"}</definedName>
    <definedName name="ㅗ마ㅓ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ㅅ" hidden="1">{#N/A,#N/A,FALSE,"현장 NCR 분석";#N/A,#N/A,FALSE,"현장품질감사";#N/A,#N/A,FALSE,"현장품질감사"}</definedName>
    <definedName name="ㅗㅅㄱ" hidden="1">{#N/A,#N/A,TRUE,"토적및재료집계";#N/A,#N/A,TRUE,"토적및재료집계";#N/A,#N/A,TRUE,"단위량"}</definedName>
    <definedName name="ㅗ하ㅣㄴ어ㅗ뢔ㅑㅇㅈ" hidden="1">{#N/A,#N/A,FALSE,"CCTV"}</definedName>
    <definedName name="ㅗㅓ" hidden="1">{#N/A,#N/A,FALSE,"부대2"}</definedName>
    <definedName name="ㅗㅗ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" hidden="1">{#N/A,#N/A,TRUE,"토적및재료집계";#N/A,#N/A,TRUE,"토적및재료집계";#N/A,#N/A,TRUE,"단위량"}</definedName>
    <definedName name="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ㅠㅍ" hidden="1">{#N/A,#N/A,FALSE,"전력간선"}</definedName>
    <definedName name="ㅠㄳ" hidden="1">{#N/A,#N/A,FALSE,"현장 NCR 분석";#N/A,#N/A,FALSE,"현장품질감사";#N/A,#N/A,FALSE,"현장품질감사"}</definedName>
    <definedName name="ㅠㅠㅠ" hidden="1">{#N/A,#N/A,FALSE,"지침";#N/A,#N/A,FALSE,"환경분석";#N/A,#N/A,FALSE,"Sheet16"}</definedName>
    <definedName name="ㅡㅓㅛ" hidden="1">{#N/A,#N/A,FALSE,"현장 NCR 분석";#N/A,#N/A,FALSE,"현장품질감사";#N/A,#N/A,FALSE,"현장품질감사"}</definedName>
    <definedName name="ㅣㅏ아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ㅑㅑ" hidden="1">{#N/A,#N/A,FALSE,"단가표지"}</definedName>
    <definedName name="ㅣㅣ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1" i="3" l="1"/>
  <c r="M241" i="10" l="1"/>
  <c r="K241" i="10"/>
  <c r="H241" i="10"/>
  <c r="I7" i="11" l="1"/>
  <c r="L7" i="11"/>
  <c r="N7" i="11"/>
  <c r="P7" i="11"/>
  <c r="I8" i="11"/>
  <c r="L8" i="11"/>
  <c r="N8" i="11"/>
  <c r="I9" i="11"/>
  <c r="L9" i="11"/>
  <c r="N9" i="11"/>
  <c r="P9" i="11" s="1"/>
  <c r="I10" i="11"/>
  <c r="L10" i="11"/>
  <c r="N10" i="11"/>
  <c r="I11" i="11"/>
  <c r="L11" i="11"/>
  <c r="N11" i="11"/>
  <c r="I12" i="11"/>
  <c r="L12" i="11"/>
  <c r="N12" i="11"/>
  <c r="I13" i="11"/>
  <c r="L13" i="11"/>
  <c r="N13" i="11"/>
  <c r="P13" i="11"/>
  <c r="I14" i="11"/>
  <c r="L14" i="11"/>
  <c r="N14" i="11"/>
  <c r="P14" i="11"/>
  <c r="I15" i="11"/>
  <c r="L15" i="11"/>
  <c r="N15" i="11"/>
  <c r="I16" i="11"/>
  <c r="L16" i="11"/>
  <c r="N16" i="11"/>
  <c r="I17" i="11"/>
  <c r="P17" i="11" s="1"/>
  <c r="L17" i="11"/>
  <c r="N17" i="11"/>
  <c r="I18" i="11"/>
  <c r="L18" i="11"/>
  <c r="N18" i="11"/>
  <c r="P18" i="11"/>
  <c r="I19" i="11"/>
  <c r="L19" i="11"/>
  <c r="N19" i="11"/>
  <c r="I20" i="11"/>
  <c r="L20" i="11"/>
  <c r="N20" i="11"/>
  <c r="I21" i="11"/>
  <c r="L21" i="11"/>
  <c r="N21" i="11"/>
  <c r="P21" i="11" s="1"/>
  <c r="I22" i="11"/>
  <c r="L22" i="11"/>
  <c r="N22" i="11"/>
  <c r="P22" i="11"/>
  <c r="I23" i="11"/>
  <c r="L23" i="11"/>
  <c r="N23" i="11"/>
  <c r="I24" i="11"/>
  <c r="L24" i="11"/>
  <c r="N24" i="11"/>
  <c r="I25" i="11"/>
  <c r="L25" i="11"/>
  <c r="N25" i="11"/>
  <c r="I26" i="11"/>
  <c r="L26" i="11"/>
  <c r="N26" i="11"/>
  <c r="P26" i="11"/>
  <c r="I27" i="11"/>
  <c r="L27" i="11"/>
  <c r="N27" i="11"/>
  <c r="I28" i="11"/>
  <c r="L28" i="11"/>
  <c r="N28" i="11"/>
  <c r="I36" i="11"/>
  <c r="L36" i="11"/>
  <c r="N36" i="11"/>
  <c r="I37" i="11"/>
  <c r="L37" i="11"/>
  <c r="N37" i="11"/>
  <c r="I38" i="11"/>
  <c r="L38" i="11"/>
  <c r="N38" i="11"/>
  <c r="P38" i="11"/>
  <c r="I39" i="11"/>
  <c r="L39" i="11"/>
  <c r="N39" i="11"/>
  <c r="I40" i="11"/>
  <c r="L40" i="11"/>
  <c r="N40" i="11"/>
  <c r="I41" i="11"/>
  <c r="L41" i="11"/>
  <c r="N41" i="11"/>
  <c r="P41" i="11"/>
  <c r="I42" i="11"/>
  <c r="P42" i="11" s="1"/>
  <c r="L42" i="11"/>
  <c r="N42" i="11"/>
  <c r="I43" i="11"/>
  <c r="L43" i="11"/>
  <c r="N43" i="11"/>
  <c r="I44" i="11"/>
  <c r="L44" i="11"/>
  <c r="N44" i="11"/>
  <c r="I45" i="11"/>
  <c r="L45" i="11"/>
  <c r="N45" i="11"/>
  <c r="I46" i="11"/>
  <c r="P46" i="11" s="1"/>
  <c r="L46" i="11"/>
  <c r="N46" i="11"/>
  <c r="I47" i="11"/>
  <c r="L47" i="11"/>
  <c r="N47" i="11"/>
  <c r="I48" i="11"/>
  <c r="L48" i="11"/>
  <c r="N48" i="11"/>
  <c r="P48" i="11"/>
  <c r="I49" i="11"/>
  <c r="L49" i="11"/>
  <c r="N49" i="11"/>
  <c r="I50" i="11"/>
  <c r="L50" i="11"/>
  <c r="N50" i="11"/>
  <c r="I51" i="11"/>
  <c r="L51" i="11"/>
  <c r="N51" i="11"/>
  <c r="I52" i="11"/>
  <c r="L52" i="11"/>
  <c r="N52" i="11"/>
  <c r="P52" i="11"/>
  <c r="I53" i="11"/>
  <c r="L53" i="11"/>
  <c r="N53" i="11"/>
  <c r="I54" i="11"/>
  <c r="L54" i="11"/>
  <c r="N54" i="11"/>
  <c r="P54" i="11" s="1"/>
  <c r="I60" i="11"/>
  <c r="L60" i="11"/>
  <c r="N60" i="11"/>
  <c r="I61" i="11"/>
  <c r="L61" i="11"/>
  <c r="N61" i="11"/>
  <c r="I62" i="11"/>
  <c r="P62" i="11" s="1"/>
  <c r="L62" i="11"/>
  <c r="N62" i="11"/>
  <c r="I63" i="11"/>
  <c r="L63" i="11"/>
  <c r="N63" i="11"/>
  <c r="I64" i="11"/>
  <c r="L64" i="11"/>
  <c r="N64" i="11"/>
  <c r="I65" i="11"/>
  <c r="L65" i="11"/>
  <c r="N65" i="11"/>
  <c r="I66" i="11"/>
  <c r="L66" i="11"/>
  <c r="N66" i="11"/>
  <c r="I67" i="11"/>
  <c r="L67" i="11"/>
  <c r="N67" i="11"/>
  <c r="I68" i="11"/>
  <c r="L68" i="11"/>
  <c r="N68" i="11"/>
  <c r="I69" i="11"/>
  <c r="L69" i="11"/>
  <c r="N69" i="11"/>
  <c r="P69" i="11"/>
  <c r="I70" i="11"/>
  <c r="L70" i="11"/>
  <c r="N70" i="11"/>
  <c r="I71" i="11"/>
  <c r="L71" i="11"/>
  <c r="N71" i="11"/>
  <c r="I72" i="11"/>
  <c r="L72" i="11"/>
  <c r="N72" i="11"/>
  <c r="I73" i="11"/>
  <c r="P73" i="11" s="1"/>
  <c r="L73" i="11"/>
  <c r="N73" i="11"/>
  <c r="I74" i="11"/>
  <c r="L74" i="11"/>
  <c r="N74" i="11"/>
  <c r="I75" i="11"/>
  <c r="L75" i="11"/>
  <c r="N75" i="11"/>
  <c r="I76" i="11"/>
  <c r="L76" i="11"/>
  <c r="N76" i="11"/>
  <c r="I77" i="11"/>
  <c r="P77" i="11" s="1"/>
  <c r="L77" i="11"/>
  <c r="N77" i="11"/>
  <c r="I78" i="11"/>
  <c r="L78" i="11"/>
  <c r="N78" i="11"/>
  <c r="I79" i="11"/>
  <c r="L79" i="11"/>
  <c r="N79" i="11"/>
  <c r="I80" i="11"/>
  <c r="L80" i="11"/>
  <c r="N80" i="11"/>
  <c r="AE318" i="10"/>
  <c r="AE302" i="10"/>
  <c r="AE245" i="10"/>
  <c r="AE188" i="10"/>
  <c r="AE178" i="10"/>
  <c r="AE133" i="10"/>
  <c r="AE89" i="10"/>
  <c r="AE44" i="10"/>
  <c r="I188" i="10"/>
  <c r="L188" i="10"/>
  <c r="N188" i="10"/>
  <c r="I189" i="10"/>
  <c r="L189" i="10"/>
  <c r="P189" i="10" s="1"/>
  <c r="N189" i="10"/>
  <c r="I190" i="10"/>
  <c r="L190" i="10"/>
  <c r="N190" i="10"/>
  <c r="P190" i="10" s="1"/>
  <c r="I191" i="10"/>
  <c r="L191" i="10"/>
  <c r="N191" i="10"/>
  <c r="I192" i="10"/>
  <c r="P192" i="10" s="1"/>
  <c r="L192" i="10"/>
  <c r="N192" i="10"/>
  <c r="I193" i="10"/>
  <c r="L193" i="10"/>
  <c r="N193" i="10"/>
  <c r="I194" i="10"/>
  <c r="L194" i="10"/>
  <c r="N194" i="10"/>
  <c r="I195" i="10"/>
  <c r="L195" i="10"/>
  <c r="N195" i="10"/>
  <c r="I196" i="10"/>
  <c r="L196" i="10"/>
  <c r="N196" i="10"/>
  <c r="I197" i="10"/>
  <c r="L197" i="10"/>
  <c r="N197" i="10"/>
  <c r="I198" i="10"/>
  <c r="L198" i="10"/>
  <c r="N198" i="10"/>
  <c r="I199" i="10"/>
  <c r="L199" i="10"/>
  <c r="N199" i="10"/>
  <c r="I200" i="10"/>
  <c r="L200" i="10"/>
  <c r="N200" i="10"/>
  <c r="P200" i="10" s="1"/>
  <c r="I201" i="10"/>
  <c r="L201" i="10"/>
  <c r="N201" i="10"/>
  <c r="P201" i="10"/>
  <c r="I202" i="10"/>
  <c r="L202" i="10"/>
  <c r="N202" i="10"/>
  <c r="I203" i="10"/>
  <c r="L203" i="10"/>
  <c r="N203" i="10"/>
  <c r="I204" i="10"/>
  <c r="P204" i="10" s="1"/>
  <c r="L204" i="10"/>
  <c r="N204" i="10"/>
  <c r="I205" i="10"/>
  <c r="L205" i="10"/>
  <c r="N205" i="10"/>
  <c r="P205" i="10"/>
  <c r="I206" i="10"/>
  <c r="L206" i="10"/>
  <c r="N206" i="10"/>
  <c r="I207" i="10"/>
  <c r="L207" i="10"/>
  <c r="N207" i="10"/>
  <c r="I208" i="10"/>
  <c r="P208" i="10" s="1"/>
  <c r="L208" i="10"/>
  <c r="N208" i="10"/>
  <c r="I209" i="10"/>
  <c r="L209" i="10"/>
  <c r="N209" i="10"/>
  <c r="I210" i="10"/>
  <c r="L210" i="10"/>
  <c r="N210" i="10"/>
  <c r="K218" i="10"/>
  <c r="L218" i="10" s="1"/>
  <c r="M218" i="10"/>
  <c r="N218" i="10" s="1"/>
  <c r="K219" i="10"/>
  <c r="L219" i="10" s="1"/>
  <c r="M219" i="10"/>
  <c r="N219" i="10" s="1"/>
  <c r="K220" i="10"/>
  <c r="L220" i="10" s="1"/>
  <c r="M220" i="10"/>
  <c r="N220" i="10" s="1"/>
  <c r="K230" i="10"/>
  <c r="L230" i="10" s="1"/>
  <c r="M230" i="10"/>
  <c r="N230" i="10" s="1"/>
  <c r="K237" i="10"/>
  <c r="L237" i="10" s="1"/>
  <c r="M237" i="10"/>
  <c r="N237" i="10" s="1"/>
  <c r="K240" i="10"/>
  <c r="L240" i="10" s="1"/>
  <c r="M240" i="10"/>
  <c r="N240" i="10" s="1"/>
  <c r="L241" i="10"/>
  <c r="N241" i="10"/>
  <c r="K244" i="10"/>
  <c r="L244" i="10" s="1"/>
  <c r="M244" i="10"/>
  <c r="N244" i="10" s="1"/>
  <c r="I245" i="10"/>
  <c r="L245" i="10"/>
  <c r="N245" i="10"/>
  <c r="I246" i="10"/>
  <c r="L246" i="10"/>
  <c r="N246" i="10"/>
  <c r="I247" i="10"/>
  <c r="L247" i="10"/>
  <c r="N247" i="10"/>
  <c r="I248" i="10"/>
  <c r="L248" i="10"/>
  <c r="N248" i="10"/>
  <c r="I249" i="10"/>
  <c r="L249" i="10"/>
  <c r="N249" i="10"/>
  <c r="I250" i="10"/>
  <c r="L250" i="10"/>
  <c r="P250" i="10" s="1"/>
  <c r="N250" i="10"/>
  <c r="I251" i="10"/>
  <c r="L251" i="10"/>
  <c r="N251" i="10"/>
  <c r="I252" i="10"/>
  <c r="L252" i="10"/>
  <c r="N252" i="10"/>
  <c r="I253" i="10"/>
  <c r="L253" i="10"/>
  <c r="N253" i="10"/>
  <c r="I254" i="10"/>
  <c r="L254" i="10"/>
  <c r="N254" i="10"/>
  <c r="I255" i="10"/>
  <c r="L255" i="10"/>
  <c r="N255" i="10"/>
  <c r="I256" i="10"/>
  <c r="L256" i="10"/>
  <c r="N256" i="10"/>
  <c r="I257" i="10"/>
  <c r="L257" i="10"/>
  <c r="N257" i="10"/>
  <c r="I258" i="10"/>
  <c r="L258" i="10"/>
  <c r="N258" i="10"/>
  <c r="I259" i="10"/>
  <c r="L259" i="10"/>
  <c r="N259" i="10"/>
  <c r="I260" i="10"/>
  <c r="L260" i="10"/>
  <c r="N260" i="10"/>
  <c r="I261" i="10"/>
  <c r="L261" i="10"/>
  <c r="N261" i="10"/>
  <c r="P261" i="10" s="1"/>
  <c r="I262" i="10"/>
  <c r="L262" i="10"/>
  <c r="N262" i="10"/>
  <c r="K270" i="10"/>
  <c r="L270" i="10"/>
  <c r="M270" i="10"/>
  <c r="N270" i="10" s="1"/>
  <c r="K274" i="10"/>
  <c r="L274" i="10" s="1"/>
  <c r="M274" i="10"/>
  <c r="N274" i="10" s="1"/>
  <c r="K280" i="10"/>
  <c r="L280" i="10" s="1"/>
  <c r="M280" i="10"/>
  <c r="N280" i="10" s="1"/>
  <c r="K284" i="10"/>
  <c r="L284" i="10"/>
  <c r="M284" i="10"/>
  <c r="N284" i="10" s="1"/>
  <c r="K285" i="10"/>
  <c r="L285" i="10" s="1"/>
  <c r="M285" i="10"/>
  <c r="N285" i="10" s="1"/>
  <c r="K290" i="10"/>
  <c r="L290" i="10" s="1"/>
  <c r="M290" i="10"/>
  <c r="N290" i="10" s="1"/>
  <c r="K294" i="10"/>
  <c r="L294" i="10" s="1"/>
  <c r="M294" i="10"/>
  <c r="N294" i="10" s="1"/>
  <c r="K295" i="10"/>
  <c r="L295" i="10" s="1"/>
  <c r="M295" i="10"/>
  <c r="N295" i="10" s="1"/>
  <c r="K296" i="10"/>
  <c r="L296" i="10" s="1"/>
  <c r="M296" i="10"/>
  <c r="N296" i="10" s="1"/>
  <c r="K299" i="10"/>
  <c r="L299" i="10"/>
  <c r="M299" i="10"/>
  <c r="N299" i="10" s="1"/>
  <c r="I301" i="10"/>
  <c r="L301" i="10"/>
  <c r="N301" i="10"/>
  <c r="I302" i="10"/>
  <c r="L302" i="10"/>
  <c r="N302" i="10"/>
  <c r="I303" i="10"/>
  <c r="L303" i="10"/>
  <c r="N303" i="10"/>
  <c r="I304" i="10"/>
  <c r="L304" i="10"/>
  <c r="N304" i="10"/>
  <c r="I305" i="10"/>
  <c r="L305" i="10"/>
  <c r="N305" i="10"/>
  <c r="I306" i="10"/>
  <c r="L306" i="10"/>
  <c r="N306" i="10"/>
  <c r="I307" i="10"/>
  <c r="L307" i="10"/>
  <c r="N307" i="10"/>
  <c r="I308" i="10"/>
  <c r="L308" i="10"/>
  <c r="N308" i="10"/>
  <c r="I309" i="10"/>
  <c r="L309" i="10"/>
  <c r="N309" i="10"/>
  <c r="I310" i="10"/>
  <c r="L310" i="10"/>
  <c r="N310" i="10"/>
  <c r="I311" i="10"/>
  <c r="L311" i="10"/>
  <c r="N311" i="10"/>
  <c r="I312" i="10"/>
  <c r="L312" i="10"/>
  <c r="N312" i="10"/>
  <c r="I313" i="10"/>
  <c r="L313" i="10"/>
  <c r="N313" i="10"/>
  <c r="I314" i="10"/>
  <c r="L314" i="10"/>
  <c r="N314" i="10"/>
  <c r="K317" i="10"/>
  <c r="L317" i="10"/>
  <c r="M317" i="10"/>
  <c r="N317" i="10" s="1"/>
  <c r="I318" i="10"/>
  <c r="L318" i="10"/>
  <c r="N318" i="10"/>
  <c r="I319" i="10"/>
  <c r="P319" i="10" s="1"/>
  <c r="L319" i="10"/>
  <c r="N319" i="10"/>
  <c r="I320" i="10"/>
  <c r="L320" i="10"/>
  <c r="N320" i="10"/>
  <c r="I321" i="10"/>
  <c r="L321" i="10"/>
  <c r="N321" i="10"/>
  <c r="I322" i="10"/>
  <c r="L322" i="10"/>
  <c r="N322" i="10"/>
  <c r="I323" i="10"/>
  <c r="L323" i="10"/>
  <c r="N323" i="10"/>
  <c r="I324" i="10"/>
  <c r="L324" i="10"/>
  <c r="N324" i="10"/>
  <c r="I325" i="10"/>
  <c r="L325" i="10"/>
  <c r="N325" i="10"/>
  <c r="I326" i="10"/>
  <c r="L326" i="10"/>
  <c r="N326" i="10"/>
  <c r="I327" i="10"/>
  <c r="L327" i="10"/>
  <c r="N327" i="10"/>
  <c r="I328" i="10"/>
  <c r="L328" i="10"/>
  <c r="N328" i="10"/>
  <c r="I329" i="10"/>
  <c r="L329" i="10"/>
  <c r="N329" i="10"/>
  <c r="I330" i="10"/>
  <c r="L330" i="10"/>
  <c r="N330" i="10"/>
  <c r="I331" i="10"/>
  <c r="L331" i="10"/>
  <c r="N331" i="10"/>
  <c r="I332" i="10"/>
  <c r="L332" i="10"/>
  <c r="N332" i="10"/>
  <c r="I333" i="10"/>
  <c r="L333" i="10"/>
  <c r="N333" i="10"/>
  <c r="I334" i="10"/>
  <c r="L334" i="10"/>
  <c r="N334" i="10"/>
  <c r="I335" i="10"/>
  <c r="L335" i="10"/>
  <c r="N335" i="10"/>
  <c r="I336" i="10"/>
  <c r="L336" i="10"/>
  <c r="N336" i="10"/>
  <c r="I337" i="10"/>
  <c r="L337" i="10"/>
  <c r="N337" i="10"/>
  <c r="I338" i="10"/>
  <c r="L338" i="10"/>
  <c r="N338" i="10"/>
  <c r="I339" i="10"/>
  <c r="P339" i="10" s="1"/>
  <c r="L339" i="10"/>
  <c r="N339" i="10"/>
  <c r="I340" i="10"/>
  <c r="L340" i="10"/>
  <c r="N340" i="10"/>
  <c r="H219" i="10"/>
  <c r="AE3" i="10"/>
  <c r="AD3" i="10"/>
  <c r="K6" i="3"/>
  <c r="K22" i="3"/>
  <c r="K23" i="3"/>
  <c r="K24" i="3"/>
  <c r="K32" i="3"/>
  <c r="K33" i="3"/>
  <c r="K34" i="3"/>
  <c r="P307" i="10" l="1"/>
  <c r="P310" i="10"/>
  <c r="P302" i="10"/>
  <c r="P330" i="10"/>
  <c r="P254" i="10"/>
  <c r="P262" i="10"/>
  <c r="P253" i="10"/>
  <c r="P193" i="10"/>
  <c r="P337" i="10"/>
  <c r="P323" i="10"/>
  <c r="P65" i="11"/>
  <c r="P27" i="11"/>
  <c r="P249" i="10"/>
  <c r="P333" i="10"/>
  <c r="P322" i="10"/>
  <c r="P203" i="10"/>
  <c r="P191" i="10"/>
  <c r="P188" i="10"/>
  <c r="P37" i="11"/>
  <c r="P247" i="10"/>
  <c r="P194" i="10"/>
  <c r="P311" i="10"/>
  <c r="P246" i="10"/>
  <c r="P50" i="11"/>
  <c r="P11" i="11"/>
  <c r="P10" i="11"/>
  <c r="P257" i="10"/>
  <c r="P197" i="10"/>
  <c r="P321" i="10"/>
  <c r="P202" i="10"/>
  <c r="P331" i="10"/>
  <c r="P326" i="10"/>
  <c r="P196" i="10"/>
  <c r="P314" i="10"/>
  <c r="P36" i="11"/>
  <c r="P24" i="11"/>
  <c r="P325" i="10"/>
  <c r="P45" i="11"/>
  <c r="P23" i="11"/>
  <c r="H284" i="10"/>
  <c r="I284" i="10" s="1"/>
  <c r="P284" i="10" s="1"/>
  <c r="P245" i="10"/>
  <c r="P28" i="11"/>
  <c r="H294" i="10"/>
  <c r="I294" i="10" s="1"/>
  <c r="P294" i="10" s="1"/>
  <c r="P209" i="10"/>
  <c r="H290" i="10"/>
  <c r="I290" i="10" s="1"/>
  <c r="P290" i="10" s="1"/>
  <c r="P8" i="11"/>
  <c r="P258" i="10"/>
  <c r="P198" i="10"/>
  <c r="P61" i="11"/>
  <c r="H299" i="10"/>
  <c r="I299" i="10" s="1"/>
  <c r="P299" i="10" s="1"/>
  <c r="P25" i="11"/>
  <c r="P79" i="11"/>
  <c r="P75" i="11"/>
  <c r="P80" i="11"/>
  <c r="P70" i="11"/>
  <c r="P74" i="11"/>
  <c r="P63" i="11"/>
  <c r="P76" i="11"/>
  <c r="P66" i="11"/>
  <c r="P251" i="10"/>
  <c r="P312" i="10"/>
  <c r="P306" i="10"/>
  <c r="P334" i="10"/>
  <c r="P329" i="10"/>
  <c r="P338" i="10"/>
  <c r="P308" i="10"/>
  <c r="P255" i="10"/>
  <c r="P320" i="10"/>
  <c r="H280" i="10"/>
  <c r="I280" i="10" s="1"/>
  <c r="P280" i="10" s="1"/>
  <c r="AC219" i="10"/>
  <c r="I219" i="10"/>
  <c r="P219" i="10" s="1"/>
  <c r="H274" i="10"/>
  <c r="I274" i="10" s="1"/>
  <c r="P274" i="10" s="1"/>
  <c r="AC62" i="10"/>
  <c r="H295" i="10"/>
  <c r="I295" i="10" s="1"/>
  <c r="P295" i="10" s="1"/>
  <c r="H285" i="10"/>
  <c r="I285" i="10" s="1"/>
  <c r="P285" i="10" s="1"/>
  <c r="H317" i="10"/>
  <c r="I317" i="10" s="1"/>
  <c r="H296" i="10"/>
  <c r="I296" i="10" s="1"/>
  <c r="P296" i="10" s="1"/>
  <c r="H244" i="10"/>
  <c r="I244" i="10" s="1"/>
  <c r="P244" i="10" s="1"/>
  <c r="P53" i="11"/>
  <c r="P328" i="10"/>
  <c r="N341" i="10"/>
  <c r="M59" i="11" s="1"/>
  <c r="N59" i="11" s="1"/>
  <c r="P303" i="10"/>
  <c r="H220" i="10"/>
  <c r="AC63" i="10"/>
  <c r="P44" i="11"/>
  <c r="P195" i="10"/>
  <c r="P324" i="10"/>
  <c r="H240" i="10"/>
  <c r="I240" i="10" s="1"/>
  <c r="P240" i="10" s="1"/>
  <c r="P206" i="10"/>
  <c r="P12" i="11"/>
  <c r="I241" i="10"/>
  <c r="P241" i="10" s="1"/>
  <c r="H237" i="10"/>
  <c r="I237" i="10" s="1"/>
  <c r="P237" i="10" s="1"/>
  <c r="P336" i="10"/>
  <c r="H218" i="10"/>
  <c r="P78" i="11"/>
  <c r="P309" i="10"/>
  <c r="P248" i="10"/>
  <c r="H230" i="10"/>
  <c r="I230" i="10" s="1"/>
  <c r="P230" i="10" s="1"/>
  <c r="AC14" i="10"/>
  <c r="H270" i="10"/>
  <c r="L341" i="10"/>
  <c r="K59" i="11" s="1"/>
  <c r="L59" i="11" s="1"/>
  <c r="P318" i="10"/>
  <c r="P49" i="11"/>
  <c r="P40" i="11"/>
  <c r="P15" i="11"/>
  <c r="P335" i="10"/>
  <c r="P259" i="10"/>
  <c r="P199" i="10"/>
  <c r="P71" i="11"/>
  <c r="P327" i="10"/>
  <c r="P19" i="11"/>
  <c r="P252" i="10"/>
  <c r="P210" i="10"/>
  <c r="P256" i="10"/>
  <c r="N211" i="10"/>
  <c r="M35" i="11" s="1"/>
  <c r="N35" i="11" s="1"/>
  <c r="P260" i="10"/>
  <c r="L211" i="10"/>
  <c r="K35" i="11" s="1"/>
  <c r="L35" i="11" s="1"/>
  <c r="P332" i="10"/>
  <c r="P301" i="10"/>
  <c r="P207" i="10"/>
  <c r="P340" i="10"/>
  <c r="P305" i="10"/>
  <c r="P16" i="11"/>
  <c r="P313" i="10"/>
  <c r="P304" i="10"/>
  <c r="P67" i="11"/>
  <c r="P20" i="11"/>
  <c r="P60" i="11"/>
  <c r="P39" i="11"/>
  <c r="P64" i="11"/>
  <c r="P43" i="11"/>
  <c r="P68" i="11"/>
  <c r="P47" i="11"/>
  <c r="P72" i="11"/>
  <c r="P51" i="11"/>
  <c r="AC220" i="10" l="1"/>
  <c r="I220" i="10"/>
  <c r="P220" i="10" s="1"/>
  <c r="AC12" i="10"/>
  <c r="M289" i="10"/>
  <c r="N289" i="10" s="1"/>
  <c r="P211" i="10"/>
  <c r="I211" i="10"/>
  <c r="H35" i="11" s="1"/>
  <c r="I35" i="11" s="1"/>
  <c r="P35" i="11" s="1"/>
  <c r="I341" i="10"/>
  <c r="H59" i="11" s="1"/>
  <c r="I59" i="11" s="1"/>
  <c r="P59" i="11" s="1"/>
  <c r="P317" i="10"/>
  <c r="P341" i="10" s="1"/>
  <c r="M287" i="10"/>
  <c r="N287" i="10" s="1"/>
  <c r="M293" i="10"/>
  <c r="N293" i="10" s="1"/>
  <c r="AC113" i="10"/>
  <c r="AC11" i="10"/>
  <c r="M282" i="10"/>
  <c r="N282" i="10" s="1"/>
  <c r="M291" i="10"/>
  <c r="N291" i="10" s="1"/>
  <c r="M236" i="10"/>
  <c r="N236" i="10" s="1"/>
  <c r="AC61" i="10"/>
  <c r="AC13" i="10"/>
  <c r="AC270" i="10"/>
  <c r="I270" i="10"/>
  <c r="P270" i="10" s="1"/>
  <c r="AC218" i="10"/>
  <c r="I218" i="10"/>
  <c r="P218" i="10" s="1"/>
  <c r="M277" i="10"/>
  <c r="N277" i="10" s="1"/>
  <c r="M228" i="10"/>
  <c r="N228" i="10" s="1"/>
  <c r="M271" i="10" l="1"/>
  <c r="N271" i="10" s="1"/>
  <c r="M266" i="10"/>
  <c r="N266" i="10" s="1"/>
  <c r="M300" i="10"/>
  <c r="N300" i="10" s="1"/>
  <c r="K289" i="10"/>
  <c r="L289" i="10" s="1"/>
  <c r="K291" i="10"/>
  <c r="L291" i="10" s="1"/>
  <c r="M279" i="10"/>
  <c r="N279" i="10" s="1"/>
  <c r="M242" i="10"/>
  <c r="N242" i="10" s="1"/>
  <c r="M298" i="10"/>
  <c r="N298" i="10" s="1"/>
  <c r="M265" i="10"/>
  <c r="N265" i="10" s="1"/>
  <c r="M238" i="10"/>
  <c r="N238" i="10" s="1"/>
  <c r="K266" i="10"/>
  <c r="L266" i="10" s="1"/>
  <c r="M232" i="10"/>
  <c r="N232" i="10" s="1"/>
  <c r="M217" i="10"/>
  <c r="N217" i="10" s="1"/>
  <c r="M214" i="10"/>
  <c r="N214" i="10" s="1"/>
  <c r="M269" i="10"/>
  <c r="N269" i="10" s="1"/>
  <c r="K293" i="10"/>
  <c r="L293" i="10" s="1"/>
  <c r="K232" i="10"/>
  <c r="L232" i="10" s="1"/>
  <c r="M221" i="10"/>
  <c r="N221" i="10" s="1"/>
  <c r="M272" i="10"/>
  <c r="N272" i="10" s="1"/>
  <c r="M224" i="10"/>
  <c r="N224" i="10" s="1"/>
  <c r="K287" i="10"/>
  <c r="L287" i="10" s="1"/>
  <c r="K282" i="10"/>
  <c r="L282" i="10" s="1"/>
  <c r="K300" i="10"/>
  <c r="L300" i="10" s="1"/>
  <c r="M292" i="10"/>
  <c r="N292" i="10" s="1"/>
  <c r="K222" i="10"/>
  <c r="L222" i="10" s="1"/>
  <c r="K298" i="10"/>
  <c r="L298" i="10" s="1"/>
  <c r="M281" i="10"/>
  <c r="N281" i="10" s="1"/>
  <c r="K277" i="10"/>
  <c r="L277" i="10" s="1"/>
  <c r="K228" i="10"/>
  <c r="L228" i="10" s="1"/>
  <c r="M216" i="10"/>
  <c r="N216" i="10" s="1"/>
  <c r="M215" i="10"/>
  <c r="N215" i="10" s="1"/>
  <c r="M283" i="10"/>
  <c r="N283" i="10" s="1"/>
  <c r="M297" i="10"/>
  <c r="N297" i="10" s="1"/>
  <c r="K225" i="10"/>
  <c r="L225" i="10" s="1"/>
  <c r="M286" i="10"/>
  <c r="N286" i="10" s="1"/>
  <c r="M227" i="10"/>
  <c r="N227" i="10" s="1"/>
  <c r="M276" i="10"/>
  <c r="N276" i="10" s="1"/>
  <c r="K236" i="10"/>
  <c r="L236" i="10" s="1"/>
  <c r="M235" i="10"/>
  <c r="N235" i="10" s="1"/>
  <c r="K271" i="10"/>
  <c r="L271" i="10" s="1"/>
  <c r="M225" i="10" l="1"/>
  <c r="N225" i="10" s="1"/>
  <c r="M222" i="10"/>
  <c r="N222" i="10" s="1"/>
  <c r="M213" i="10"/>
  <c r="N213" i="10" s="1"/>
  <c r="M234" i="10"/>
  <c r="N234" i="10" s="1"/>
  <c r="K286" i="10"/>
  <c r="L286" i="10" s="1"/>
  <c r="K217" i="10"/>
  <c r="L217" i="10" s="1"/>
  <c r="K279" i="10"/>
  <c r="L279" i="10" s="1"/>
  <c r="M233" i="10"/>
  <c r="N233" i="10" s="1"/>
  <c r="K283" i="10"/>
  <c r="L283" i="10" s="1"/>
  <c r="K238" i="10"/>
  <c r="L238" i="10" s="1"/>
  <c r="K221" i="10"/>
  <c r="L221" i="10" s="1"/>
  <c r="K272" i="10"/>
  <c r="L272" i="10" s="1"/>
  <c r="K227" i="10"/>
  <c r="L227" i="10" s="1"/>
  <c r="K276" i="10"/>
  <c r="L276" i="10" s="1"/>
  <c r="K292" i="10"/>
  <c r="L292" i="10" s="1"/>
  <c r="K224" i="10"/>
  <c r="L224" i="10" s="1"/>
  <c r="M223" i="10"/>
  <c r="N223" i="10" s="1"/>
  <c r="M273" i="10"/>
  <c r="N273" i="10" s="1"/>
  <c r="M278" i="10"/>
  <c r="N278" i="10" s="1"/>
  <c r="M231" i="10"/>
  <c r="N231" i="10" s="1"/>
  <c r="K265" i="10"/>
  <c r="L265" i="10" s="1"/>
  <c r="M243" i="10"/>
  <c r="N243" i="10" s="1"/>
  <c r="K216" i="10"/>
  <c r="L216" i="10" s="1"/>
  <c r="K235" i="10"/>
  <c r="L235" i="10" s="1"/>
  <c r="M229" i="10"/>
  <c r="N229" i="10" s="1"/>
  <c r="K281" i="10"/>
  <c r="L281" i="10" s="1"/>
  <c r="K297" i="10"/>
  <c r="L297" i="10" s="1"/>
  <c r="M268" i="10"/>
  <c r="N268" i="10" s="1"/>
  <c r="K269" i="10"/>
  <c r="L269" i="10" s="1"/>
  <c r="K214" i="10"/>
  <c r="L214" i="10" s="1"/>
  <c r="K242" i="10"/>
  <c r="L242" i="10" s="1"/>
  <c r="M288" i="10"/>
  <c r="N288" i="10" s="1"/>
  <c r="K215" i="10"/>
  <c r="L215" i="10" s="1"/>
  <c r="M239" i="10"/>
  <c r="N239" i="10" s="1"/>
  <c r="M267" i="10"/>
  <c r="N267" i="10" s="1"/>
  <c r="H236" i="10" l="1"/>
  <c r="I236" i="10" s="1"/>
  <c r="P236" i="10" s="1"/>
  <c r="H293" i="10"/>
  <c r="I293" i="10" s="1"/>
  <c r="P293" i="10" s="1"/>
  <c r="K223" i="10"/>
  <c r="L223" i="10" s="1"/>
  <c r="K273" i="10"/>
  <c r="L273" i="10" s="1"/>
  <c r="K213" i="10"/>
  <c r="L213" i="10" s="1"/>
  <c r="K267" i="10"/>
  <c r="L267" i="10" s="1"/>
  <c r="K234" i="10"/>
  <c r="L234" i="10" s="1"/>
  <c r="K229" i="10"/>
  <c r="L229" i="10" s="1"/>
  <c r="K268" i="10"/>
  <c r="L268" i="10" s="1"/>
  <c r="H271" i="10"/>
  <c r="K278" i="10"/>
  <c r="L278" i="10" s="1"/>
  <c r="K231" i="10"/>
  <c r="L231" i="10" s="1"/>
  <c r="K239" i="10"/>
  <c r="L239" i="10" s="1"/>
  <c r="K243" i="10"/>
  <c r="L243" i="10" s="1"/>
  <c r="K233" i="10"/>
  <c r="L233" i="10" s="1"/>
  <c r="K288" i="10"/>
  <c r="L288" i="10" s="1"/>
  <c r="M33" i="11"/>
  <c r="N33" i="11" s="1"/>
  <c r="M32" i="11"/>
  <c r="N32" i="11" s="1"/>
  <c r="M34" i="11"/>
  <c r="N34" i="11" s="1"/>
  <c r="M226" i="10"/>
  <c r="N226" i="10" s="1"/>
  <c r="N263" i="10" s="1"/>
  <c r="M57" i="11" s="1"/>
  <c r="N57" i="11" s="1"/>
  <c r="M275" i="10"/>
  <c r="N275" i="10" s="1"/>
  <c r="N315" i="10" s="1"/>
  <c r="M58" i="11" s="1"/>
  <c r="N58" i="11" s="1"/>
  <c r="M31" i="11"/>
  <c r="N31" i="11" s="1"/>
  <c r="H228" i="10"/>
  <c r="I228" i="10" s="1"/>
  <c r="P228" i="10" s="1"/>
  <c r="H277" i="10"/>
  <c r="I277" i="10" s="1"/>
  <c r="P277" i="10" s="1"/>
  <c r="H289" i="10" l="1"/>
  <c r="I289" i="10" s="1"/>
  <c r="P289" i="10" s="1"/>
  <c r="H216" i="10"/>
  <c r="I216" i="10" s="1"/>
  <c r="P216" i="10" s="1"/>
  <c r="H233" i="10"/>
  <c r="H279" i="10"/>
  <c r="I279" i="10" s="1"/>
  <c r="P279" i="10" s="1"/>
  <c r="H266" i="10"/>
  <c r="AC266" i="10" s="1"/>
  <c r="H238" i="10"/>
  <c r="I238" i="10" s="1"/>
  <c r="P238" i="10" s="1"/>
  <c r="H242" i="10"/>
  <c r="I242" i="10" s="1"/>
  <c r="P242" i="10" s="1"/>
  <c r="H222" i="10"/>
  <c r="I222" i="10" s="1"/>
  <c r="P222" i="10" s="1"/>
  <c r="N55" i="11"/>
  <c r="M5" i="11" s="1"/>
  <c r="N5" i="11" s="1"/>
  <c r="N81" i="11"/>
  <c r="AC271" i="10"/>
  <c r="I271" i="10"/>
  <c r="P271" i="10" s="1"/>
  <c r="H221" i="10"/>
  <c r="I221" i="10" s="1"/>
  <c r="P221" i="10" s="1"/>
  <c r="H272" i="10"/>
  <c r="I272" i="10" s="1"/>
  <c r="P272" i="10" s="1"/>
  <c r="K275" i="10"/>
  <c r="L275" i="10" s="1"/>
  <c r="L315" i="10" s="1"/>
  <c r="K58" i="11" s="1"/>
  <c r="L58" i="11" s="1"/>
  <c r="K32" i="11"/>
  <c r="L32" i="11" s="1"/>
  <c r="K34" i="11"/>
  <c r="L34" i="11" s="1"/>
  <c r="K31" i="11"/>
  <c r="L31" i="11" s="1"/>
  <c r="K33" i="11"/>
  <c r="L33" i="11" s="1"/>
  <c r="K226" i="10"/>
  <c r="L226" i="10" s="1"/>
  <c r="L263" i="10" s="1"/>
  <c r="K57" i="11" s="1"/>
  <c r="L57" i="11" s="1"/>
  <c r="AC114" i="10"/>
  <c r="AC59" i="10"/>
  <c r="AC216" i="10"/>
  <c r="H269" i="10"/>
  <c r="H214" i="10"/>
  <c r="H300" i="10"/>
  <c r="I300" i="10" s="1"/>
  <c r="P300" i="10" s="1"/>
  <c r="H286" i="10"/>
  <c r="H282" i="10"/>
  <c r="I282" i="10" s="1"/>
  <c r="P282" i="10" s="1"/>
  <c r="H291" i="10"/>
  <c r="I291" i="10" s="1"/>
  <c r="P291" i="10" s="1"/>
  <c r="H287" i="10"/>
  <c r="I287" i="10" s="1"/>
  <c r="P287" i="10" s="1"/>
  <c r="AB135" i="10"/>
  <c r="AC135" i="10"/>
  <c r="AC9" i="10"/>
  <c r="AC140" i="10"/>
  <c r="H225" i="10" l="1"/>
  <c r="I225" i="10" s="1"/>
  <c r="P225" i="10" s="1"/>
  <c r="AB266" i="10"/>
  <c r="I266" i="10"/>
  <c r="P266" i="10" s="1"/>
  <c r="AC139" i="10"/>
  <c r="H217" i="10"/>
  <c r="H265" i="10"/>
  <c r="N29" i="11"/>
  <c r="H298" i="10"/>
  <c r="I298" i="10" s="1"/>
  <c r="P298" i="10" s="1"/>
  <c r="H297" i="10"/>
  <c r="I297" i="10" s="1"/>
  <c r="P297" i="10" s="1"/>
  <c r="L81" i="11"/>
  <c r="AC77" i="10"/>
  <c r="I214" i="10"/>
  <c r="P214" i="10" s="1"/>
  <c r="AC214" i="10"/>
  <c r="AC217" i="10"/>
  <c r="I217" i="10"/>
  <c r="P217" i="10" s="1"/>
  <c r="AC269" i="10"/>
  <c r="I269" i="10"/>
  <c r="P269" i="10" s="1"/>
  <c r="AC28" i="10"/>
  <c r="H267" i="10"/>
  <c r="AC233" i="10"/>
  <c r="I233" i="10"/>
  <c r="P233" i="10" s="1"/>
  <c r="L55" i="11"/>
  <c r="K5" i="11" s="1"/>
  <c r="L5" i="11" s="1"/>
  <c r="H243" i="10"/>
  <c r="I243" i="10" s="1"/>
  <c r="P243" i="10" s="1"/>
  <c r="AC58" i="10"/>
  <c r="AC112" i="10"/>
  <c r="H215" i="10"/>
  <c r="AC7" i="10"/>
  <c r="AC126" i="10"/>
  <c r="H229" i="10"/>
  <c r="I229" i="10" s="1"/>
  <c r="P229" i="10" s="1"/>
  <c r="AC10" i="10"/>
  <c r="AC138" i="10"/>
  <c r="H224" i="10"/>
  <c r="I224" i="10" s="1"/>
  <c r="P224" i="10" s="1"/>
  <c r="H292" i="10"/>
  <c r="I292" i="10" s="1"/>
  <c r="P292" i="10" s="1"/>
  <c r="H235" i="10"/>
  <c r="I235" i="10" s="1"/>
  <c r="P235" i="10" s="1"/>
  <c r="H288" i="10"/>
  <c r="I288" i="10" s="1"/>
  <c r="P288" i="10" s="1"/>
  <c r="AC75" i="10"/>
  <c r="I286" i="10"/>
  <c r="P286" i="10" s="1"/>
  <c r="AC286" i="10"/>
  <c r="H232" i="10"/>
  <c r="AC60" i="10"/>
  <c r="H213" i="10" l="1"/>
  <c r="H231" i="10"/>
  <c r="K11" i="3"/>
  <c r="H223" i="10"/>
  <c r="I223" i="10" s="1"/>
  <c r="P223" i="10" s="1"/>
  <c r="H273" i="10"/>
  <c r="I273" i="10" s="1"/>
  <c r="P273" i="10" s="1"/>
  <c r="H283" i="10"/>
  <c r="I283" i="10" s="1"/>
  <c r="P283" i="10" s="1"/>
  <c r="AC6" i="10"/>
  <c r="AB6" i="10"/>
  <c r="AC109" i="10"/>
  <c r="AB109" i="10"/>
  <c r="AB265" i="10"/>
  <c r="AC265" i="10"/>
  <c r="I265" i="10"/>
  <c r="P265" i="10" s="1"/>
  <c r="H239" i="10"/>
  <c r="I239" i="10" s="1"/>
  <c r="P239" i="10" s="1"/>
  <c r="L29" i="11"/>
  <c r="AC215" i="10"/>
  <c r="I215" i="10"/>
  <c r="P215" i="10" s="1"/>
  <c r="AC29" i="10"/>
  <c r="AC27" i="10"/>
  <c r="AB57" i="10"/>
  <c r="AC57" i="10"/>
  <c r="AC232" i="10"/>
  <c r="I232" i="10"/>
  <c r="P232" i="10" s="1"/>
  <c r="H278" i="10"/>
  <c r="I278" i="10" s="1"/>
  <c r="P278" i="10" s="1"/>
  <c r="AC141" i="10"/>
  <c r="I213" i="10"/>
  <c r="AB213" i="10"/>
  <c r="AC213" i="10"/>
  <c r="AB110" i="10"/>
  <c r="AC110" i="10"/>
  <c r="AB267" i="10"/>
  <c r="I267" i="10"/>
  <c r="AC267" i="10"/>
  <c r="AB5" i="10"/>
  <c r="AC5" i="10"/>
  <c r="AB137" i="10"/>
  <c r="AC137" i="10"/>
  <c r="H234" i="10"/>
  <c r="I234" i="10" s="1"/>
  <c r="P234" i="10" s="1"/>
  <c r="H281" i="10"/>
  <c r="I281" i="10" s="1"/>
  <c r="P281" i="10" s="1"/>
  <c r="AC8" i="10"/>
  <c r="H268" i="10"/>
  <c r="AC76" i="10"/>
  <c r="AC231" i="10" l="1"/>
  <c r="I231" i="10"/>
  <c r="P231" i="10" s="1"/>
  <c r="AC26" i="10"/>
  <c r="H227" i="10"/>
  <c r="I227" i="10" s="1"/>
  <c r="P227" i="10" s="1"/>
  <c r="H276" i="10"/>
  <c r="I276" i="10" s="1"/>
  <c r="P276" i="10" s="1"/>
  <c r="AB111" i="10"/>
  <c r="AC111" i="10"/>
  <c r="AB136" i="10"/>
  <c r="AC136" i="10"/>
  <c r="P267" i="10"/>
  <c r="K18" i="3"/>
  <c r="K14" i="3"/>
  <c r="K9" i="3"/>
  <c r="K8" i="3"/>
  <c r="P213" i="10"/>
  <c r="AB268" i="10"/>
  <c r="AC268" i="10"/>
  <c r="I268" i="10"/>
  <c r="P268" i="10" s="1"/>
  <c r="H275" i="10" l="1"/>
  <c r="I275" i="10" s="1"/>
  <c r="H226" i="10"/>
  <c r="I226" i="10" s="1"/>
  <c r="K19" i="3"/>
  <c r="K17" i="3"/>
  <c r="K13" i="3" l="1"/>
  <c r="K10" i="3"/>
  <c r="K21" i="3"/>
  <c r="K20" i="3"/>
  <c r="H31" i="11"/>
  <c r="I31" i="11" s="1"/>
  <c r="K12" i="3"/>
  <c r="H32" i="11"/>
  <c r="I32" i="11" s="1"/>
  <c r="P32" i="11" s="1"/>
  <c r="P275" i="10"/>
  <c r="P315" i="10" s="1"/>
  <c r="I315" i="10"/>
  <c r="H58" i="11" s="1"/>
  <c r="I58" i="11" s="1"/>
  <c r="P58" i="11" s="1"/>
  <c r="P226" i="10"/>
  <c r="P263" i="10" s="1"/>
  <c r="I263" i="10"/>
  <c r="H57" i="11" s="1"/>
  <c r="I57" i="11" s="1"/>
  <c r="H33" i="11"/>
  <c r="I33" i="11" s="1"/>
  <c r="P33" i="11" s="1"/>
  <c r="H34" i="11"/>
  <c r="I34" i="11" s="1"/>
  <c r="P34" i="11" s="1"/>
  <c r="I81" i="11" l="1"/>
  <c r="P57" i="11"/>
  <c r="P81" i="11" s="1"/>
  <c r="P31" i="11"/>
  <c r="P55" i="11" s="1"/>
  <c r="I55" i="11"/>
  <c r="H5" i="11" s="1"/>
  <c r="I5" i="11" s="1"/>
  <c r="I29" i="11" l="1"/>
  <c r="P5" i="11"/>
  <c r="P29" i="11" s="1"/>
  <c r="K5" i="3" l="1"/>
  <c r="H16" i="3" l="1"/>
  <c r="K16" i="3"/>
  <c r="K7" i="3"/>
  <c r="K15" i="3" l="1"/>
  <c r="H27" i="3"/>
  <c r="K25" i="3" l="1"/>
  <c r="K27" i="3"/>
  <c r="K26" i="3"/>
  <c r="L28" i="3" l="1"/>
  <c r="K28" i="3" l="1"/>
  <c r="K30" i="3"/>
  <c r="K29" i="3"/>
  <c r="K35" i="3" l="1"/>
</calcChain>
</file>

<file path=xl/sharedStrings.xml><?xml version="1.0" encoding="utf-8"?>
<sst xmlns="http://schemas.openxmlformats.org/spreadsheetml/2006/main" count="1579" uniqueCount="610">
  <si>
    <t>단위</t>
    <phoneticPr fontId="2" type="noConversion"/>
  </si>
  <si>
    <t>수량</t>
    <phoneticPr fontId="2" type="noConversion"/>
  </si>
  <si>
    <t xml:space="preserve"> </t>
    <phoneticPr fontId="2" type="noConversion"/>
  </si>
  <si>
    <t>원 가 계 산 서</t>
    <phoneticPr fontId="2" type="noConversion"/>
  </si>
  <si>
    <t>비 목</t>
    <phoneticPr fontId="2" type="noConversion"/>
  </si>
  <si>
    <t>구  분</t>
    <phoneticPr fontId="2" type="noConversion"/>
  </si>
  <si>
    <t>금 액</t>
    <phoneticPr fontId="2" type="noConversion"/>
  </si>
  <si>
    <t>코드</t>
    <phoneticPr fontId="2" type="noConversion"/>
  </si>
  <si>
    <t>공종코드</t>
    <phoneticPr fontId="2" type="noConversion"/>
  </si>
  <si>
    <t>규격</t>
    <phoneticPr fontId="2" type="noConversion"/>
  </si>
  <si>
    <t>재료비</t>
    <phoneticPr fontId="2" type="noConversion"/>
  </si>
  <si>
    <t>노무비</t>
    <phoneticPr fontId="2" type="noConversion"/>
  </si>
  <si>
    <t>경비</t>
    <phoneticPr fontId="2" type="noConversion"/>
  </si>
  <si>
    <t>비고</t>
    <phoneticPr fontId="2" type="noConversion"/>
  </si>
  <si>
    <t>…</t>
    <phoneticPr fontId="2" type="noConversion"/>
  </si>
  <si>
    <t>계</t>
    <phoneticPr fontId="2" type="noConversion"/>
  </si>
  <si>
    <t>단가</t>
    <phoneticPr fontId="2" type="noConversion"/>
  </si>
  <si>
    <t>금액</t>
    <phoneticPr fontId="2" type="noConversion"/>
  </si>
  <si>
    <t>단가</t>
    <phoneticPr fontId="2" type="noConversion"/>
  </si>
  <si>
    <t>단가</t>
    <phoneticPr fontId="2" type="noConversion"/>
  </si>
  <si>
    <t>구  성  비</t>
    <phoneticPr fontId="2" type="noConversion"/>
  </si>
  <si>
    <t>재 료 비</t>
    <phoneticPr fontId="2" type="noConversion"/>
  </si>
  <si>
    <t>순</t>
    <phoneticPr fontId="2" type="noConversion"/>
  </si>
  <si>
    <t>노 무 비</t>
    <phoneticPr fontId="2" type="noConversion"/>
  </si>
  <si>
    <t>공</t>
    <phoneticPr fontId="2" type="noConversion"/>
  </si>
  <si>
    <t>경</t>
    <phoneticPr fontId="2" type="noConversion"/>
  </si>
  <si>
    <t>사</t>
    <phoneticPr fontId="2" type="noConversion"/>
  </si>
  <si>
    <t>비</t>
    <phoneticPr fontId="2" type="noConversion"/>
  </si>
  <si>
    <t>번호</t>
    <phoneticPr fontId="2" type="noConversion"/>
  </si>
  <si>
    <t>번호</t>
    <phoneticPr fontId="2" type="noConversion"/>
  </si>
  <si>
    <t>공   종   명</t>
    <phoneticPr fontId="2" type="noConversion"/>
  </si>
  <si>
    <t>명   칭</t>
    <phoneticPr fontId="2" type="noConversion"/>
  </si>
  <si>
    <t>규   격</t>
    <phoneticPr fontId="2" type="noConversion"/>
  </si>
  <si>
    <t>노임 계산 정보</t>
    <phoneticPr fontId="2" type="noConversion"/>
  </si>
  <si>
    <t>노임계</t>
    <phoneticPr fontId="2" type="noConversion"/>
  </si>
  <si>
    <t>전체(%)</t>
    <phoneticPr fontId="2" type="noConversion"/>
  </si>
  <si>
    <t>공종별(%)</t>
    <phoneticPr fontId="2" type="noConversion"/>
  </si>
  <si>
    <t>노임 소수</t>
    <phoneticPr fontId="2" type="noConversion"/>
  </si>
  <si>
    <t>부속재 및 손료</t>
    <phoneticPr fontId="2" type="noConversion"/>
  </si>
  <si>
    <t>소모재</t>
    <phoneticPr fontId="2" type="noConversion"/>
  </si>
  <si>
    <t>노임계</t>
    <phoneticPr fontId="2" type="noConversion"/>
  </si>
  <si>
    <t>자재계</t>
    <phoneticPr fontId="2" type="noConversion"/>
  </si>
  <si>
    <t>금액</t>
    <phoneticPr fontId="2" type="noConversion"/>
  </si>
  <si>
    <t>요율</t>
    <phoneticPr fontId="2" type="noConversion"/>
  </si>
  <si>
    <t>수량</t>
    <phoneticPr fontId="2" type="noConversion"/>
  </si>
  <si>
    <t>끝자리 맞추기</t>
    <phoneticPr fontId="2" type="noConversion"/>
  </si>
  <si>
    <t>이윤</t>
    <phoneticPr fontId="2" type="noConversion"/>
  </si>
  <si>
    <t>공사명:</t>
    <phoneticPr fontId="2" type="noConversion"/>
  </si>
  <si>
    <t>일반배관재</t>
    <phoneticPr fontId="2" type="noConversion"/>
  </si>
  <si>
    <t>CD배관재</t>
    <phoneticPr fontId="2" type="noConversion"/>
  </si>
  <si>
    <t>연속견적가로형식</t>
  </si>
  <si>
    <t>1-1.가로등설비공사</t>
  </si>
  <si>
    <t>1-2.공원등설비공사</t>
  </si>
  <si>
    <t>1-3.신호등설비공사</t>
  </si>
  <si>
    <t>1-4.공원 통신설비 공사</t>
  </si>
  <si>
    <t>1-5.불법주정차단속시스템</t>
  </si>
  <si>
    <t>2-1.가로등설비공사</t>
  </si>
  <si>
    <t>2-2.신호등설비공사</t>
  </si>
  <si>
    <t>2-3.불법주정차단속시스템</t>
  </si>
  <si>
    <t>파상형 폴리에틸렌 전선관</t>
  </si>
  <si>
    <t>40㎜(가로등,신호,구내)</t>
  </si>
  <si>
    <t>m</t>
  </si>
  <si>
    <t>50㎜(가로등,신호,구내)</t>
  </si>
  <si>
    <t>65㎜(가로등,신호,구내)</t>
  </si>
  <si>
    <t>80㎜(가로등,신호,구내)</t>
  </si>
  <si>
    <t>100㎜(가로등,신호,구내)</t>
  </si>
  <si>
    <t>40㎜</t>
  </si>
  <si>
    <t>50㎜</t>
  </si>
  <si>
    <t>광케블내외관일체형전선관</t>
  </si>
  <si>
    <t>COD 36-4 공</t>
  </si>
  <si>
    <t>접지용비닐절연전선(F-GV)_지중</t>
  </si>
  <si>
    <t>6㎟</t>
  </si>
  <si>
    <t>접지용비닐절연전선(F-GV)</t>
  </si>
  <si>
    <t>10㎟</t>
  </si>
  <si>
    <t>16㎟</t>
  </si>
  <si>
    <t>폴리에틸렌 난연케이블</t>
  </si>
  <si>
    <t>0.6/1kv F-CV 2C×2.5㎟</t>
  </si>
  <si>
    <t>2612162921683903</t>
  </si>
  <si>
    <t>폴리에틸렌 난연케이블(옥외)</t>
  </si>
  <si>
    <t>0.6/1kv F-CV 2C×6㎟</t>
  </si>
  <si>
    <t>2612162921683904</t>
  </si>
  <si>
    <t>0.6/1kv F-CV 2C×10㎟</t>
  </si>
  <si>
    <t>2612162921683905</t>
  </si>
  <si>
    <t>0.6/1kv F-CV 2C×16㎟</t>
  </si>
  <si>
    <t>2612162921683906</t>
  </si>
  <si>
    <t>0.6/1kv F-CV 2C×25㎟</t>
  </si>
  <si>
    <t>2612162921683907</t>
  </si>
  <si>
    <t>0.6/1kv F-CV 2C×35㎟</t>
  </si>
  <si>
    <t>0.6/1kv F-CV 3C×6㎟</t>
  </si>
  <si>
    <t>2612162921683945</t>
  </si>
  <si>
    <t>0.6/1kv F-CV 4C×6㎟</t>
  </si>
  <si>
    <t>2612162921683946</t>
  </si>
  <si>
    <t>0.6/1kv F-CV 4C×10㎟</t>
  </si>
  <si>
    <t>2612162921683948</t>
  </si>
  <si>
    <t>0.6/1kv F-CV 4C×25㎟</t>
  </si>
  <si>
    <t>난연제어케이블</t>
  </si>
  <si>
    <t>F-CVV 5Cx2.5㎟</t>
  </si>
  <si>
    <t>광케이블(옥외용)</t>
  </si>
  <si>
    <t>SM 9/125, 4c</t>
  </si>
  <si>
    <t>신호 제어기</t>
  </si>
  <si>
    <t>경보제어기, 전자회로</t>
  </si>
  <si>
    <t>대</t>
  </si>
  <si>
    <t>접지봉</t>
  </si>
  <si>
    <t>14Φ×1000 mm</t>
  </si>
  <si>
    <t>개</t>
  </si>
  <si>
    <t>접지크램프(IEC 90)</t>
  </si>
  <si>
    <t>16sq</t>
  </si>
  <si>
    <t>케이블표지시트</t>
  </si>
  <si>
    <t>0.23x400</t>
  </si>
  <si>
    <t>압착단자</t>
  </si>
  <si>
    <t>R형동선 나압착 16 ㎟</t>
  </si>
  <si>
    <t>R형동선 나압착 25 ㎟</t>
  </si>
  <si>
    <t>R형동선 나압착 35 ㎟</t>
  </si>
  <si>
    <t>핸드홀</t>
  </si>
  <si>
    <t>수공1호</t>
  </si>
  <si>
    <t>조</t>
  </si>
  <si>
    <t>핸드홀카바</t>
  </si>
  <si>
    <t>통신용</t>
  </si>
  <si>
    <t>기</t>
  </si>
  <si>
    <t>㎥</t>
  </si>
  <si>
    <t>㎡</t>
  </si>
  <si>
    <t>391115ZZ801Z2008</t>
  </si>
  <si>
    <t>레미콘</t>
  </si>
  <si>
    <t>25-210-8</t>
  </si>
  <si>
    <t>전주용입상관</t>
  </si>
  <si>
    <t>Φ130*2t*2m</t>
  </si>
  <si>
    <t>EA</t>
  </si>
  <si>
    <t>391190ZZ701Z0100</t>
  </si>
  <si>
    <t>반경관취부밴드</t>
  </si>
  <si>
    <t>391359ZZ701Z0100</t>
  </si>
  <si>
    <t>차량등보호금구</t>
  </si>
  <si>
    <t>보행철주 기초앙카</t>
  </si>
  <si>
    <t>Φ125×1.4m</t>
  </si>
  <si>
    <t>본</t>
  </si>
  <si>
    <t>신호등용 맨홀(주철뚜껑)</t>
  </si>
  <si>
    <t>600x600x600,경찰청규격</t>
  </si>
  <si>
    <t>신호 제어기 설치</t>
  </si>
  <si>
    <t>교통신호제어기, 3거리</t>
  </si>
  <si>
    <t>391378ZZ701Z0100</t>
  </si>
  <si>
    <t>UPS(교통신호제어)</t>
  </si>
  <si>
    <t>철주설치</t>
  </si>
  <si>
    <t>391387ZZ701Z0100</t>
  </si>
  <si>
    <t>철주 앙카</t>
  </si>
  <si>
    <t>Φ200x1.8m</t>
  </si>
  <si>
    <t>391115ZZ701Z2111</t>
  </si>
  <si>
    <t>관통형분기접속재</t>
  </si>
  <si>
    <t>6-4㎟</t>
  </si>
  <si>
    <t>케이블 포설(가로등)</t>
  </si>
  <si>
    <t>6㎟/2C*1열</t>
  </si>
  <si>
    <t>10㎟/2C*1열</t>
  </si>
  <si>
    <t>16㎟/2C*1열</t>
  </si>
  <si>
    <t>25㎟/2C*1열</t>
  </si>
  <si>
    <t>35㎟/2C*1열</t>
  </si>
  <si>
    <t>6㎟/4C*1열</t>
  </si>
  <si>
    <t>10㎟/4C*1열</t>
  </si>
  <si>
    <t>25㎟/4C*1열</t>
  </si>
  <si>
    <t>LED 가로등기구</t>
  </si>
  <si>
    <t>100W급</t>
  </si>
  <si>
    <t>LED 공원등기구</t>
  </si>
  <si>
    <t>50W급(A타입)</t>
  </si>
  <si>
    <t>UPS 부착대</t>
  </si>
  <si>
    <t>가로등기초(직각)기성품</t>
  </si>
  <si>
    <t>500X850X675X700</t>
  </si>
  <si>
    <t>가로등기초</t>
  </si>
  <si>
    <t>500x775x1050x1100(E)</t>
  </si>
  <si>
    <t>가로등 제어반</t>
  </si>
  <si>
    <t>6회로</t>
  </si>
  <si>
    <t>8회로</t>
  </si>
  <si>
    <t>391115ZZ701Z0008</t>
  </si>
  <si>
    <t>가로등주</t>
  </si>
  <si>
    <t>원형테퍼 강관주 10m -1등용</t>
  </si>
  <si>
    <t>가로등 표찰</t>
  </si>
  <si>
    <t>STS</t>
  </si>
  <si>
    <t>공원등주</t>
  </si>
  <si>
    <t>5m-1.0m 1등용(A타입)</t>
  </si>
  <si>
    <t>391115ZZ701Z0011</t>
  </si>
  <si>
    <t>광분배함</t>
  </si>
  <si>
    <t>4C</t>
  </si>
  <si>
    <t>391115ZZ701Z0012</t>
  </si>
  <si>
    <t>광송수신모듈</t>
  </si>
  <si>
    <t>SFP-LX</t>
  </si>
  <si>
    <t>391115ZZ701Z0013</t>
  </si>
  <si>
    <t>광점퍼코드</t>
  </si>
  <si>
    <t>SM-3, 피그테일 포함</t>
  </si>
  <si>
    <t>교통신호등</t>
  </si>
  <si>
    <t>1면3색(LED Φ300)</t>
  </si>
  <si>
    <t>1면4색(LED Φ300)</t>
  </si>
  <si>
    <t>391115ZZ701Z0016</t>
  </si>
  <si>
    <t>교통신호제어기 부착대</t>
  </si>
  <si>
    <t>391115ZZ701Z0017</t>
  </si>
  <si>
    <t>금속기둥</t>
  </si>
  <si>
    <t>Ø76.3x1000mm</t>
  </si>
  <si>
    <t>391115ZZ701Z0018</t>
  </si>
  <si>
    <t>금속상자</t>
  </si>
  <si>
    <t>400*500*300mm</t>
  </si>
  <si>
    <t>391115ZZ701Z0019</t>
  </si>
  <si>
    <t>네트워크스위치</t>
  </si>
  <si>
    <t>8PORT(PoE), 2PORT(SFP)</t>
  </si>
  <si>
    <t>391115ZZ701Z0020</t>
  </si>
  <si>
    <t>네트워크케이블</t>
  </si>
  <si>
    <t>UTP CAT.5 4P</t>
  </si>
  <si>
    <t>391115ZZ701Z0021</t>
  </si>
  <si>
    <t>누전차단기</t>
  </si>
  <si>
    <t>20A</t>
  </si>
  <si>
    <t>방수형 접속함</t>
  </si>
  <si>
    <t>1등용,ELB부</t>
  </si>
  <si>
    <t>391115ZZ701Z0023</t>
  </si>
  <si>
    <t>격등용</t>
  </si>
  <si>
    <t>391115ZZ701Z0024</t>
  </si>
  <si>
    <t>백호우</t>
  </si>
  <si>
    <t>0.4㎥</t>
  </si>
  <si>
    <t>hr</t>
  </si>
  <si>
    <t>391115ZZ701Z0025</t>
  </si>
  <si>
    <t>보안용카메라(BULLET)</t>
  </si>
  <si>
    <t>5M, IP, IR 0Lux</t>
  </si>
  <si>
    <t>391115ZZ701Z0026</t>
  </si>
  <si>
    <t>보안용카메라(SPEEDDOME)</t>
  </si>
  <si>
    <t>4M, IP, IR 0Lux</t>
  </si>
  <si>
    <t>보행등 잔여시간표시기</t>
  </si>
  <si>
    <t>보행등주</t>
  </si>
  <si>
    <t>Φ125x4m</t>
  </si>
  <si>
    <t>보행신호등</t>
  </si>
  <si>
    <t>1면2색(LED)</t>
  </si>
  <si>
    <t>391115ZZ701Z0030</t>
  </si>
  <si>
    <t>불법주정차단속시스템</t>
  </si>
  <si>
    <t>SET</t>
  </si>
  <si>
    <t>391115ZZ701Z0031</t>
  </si>
  <si>
    <t>서지흡수기</t>
  </si>
  <si>
    <t>신호용</t>
  </si>
  <si>
    <t>391115ZZ701Z0032</t>
  </si>
  <si>
    <t>전원용</t>
  </si>
  <si>
    <t>식</t>
  </si>
  <si>
    <t>391115ZZ701Z0034</t>
  </si>
  <si>
    <t>슬림형교통신호제어기(경찰청표준규격)</t>
  </si>
  <si>
    <t>391115ZZ701Z0035</t>
  </si>
  <si>
    <t>안내표지판</t>
  </si>
  <si>
    <t>CCTV설치안내(대)</t>
  </si>
  <si>
    <t>391115ZZ701Z0036</t>
  </si>
  <si>
    <t>CCTV설치안내(중)</t>
  </si>
  <si>
    <t>391115ZZ701Z0037</t>
  </si>
  <si>
    <t>영상감시장치</t>
  </si>
  <si>
    <t>391115ZZ701Z0038</t>
  </si>
  <si>
    <t>와이어리스 부착대 5m</t>
  </si>
  <si>
    <t>391115ZZ701Z0039</t>
  </si>
  <si>
    <t>와이어리스 부착대 7m</t>
  </si>
  <si>
    <t>와이어리스철주</t>
  </si>
  <si>
    <t>Φ200,부착5m</t>
  </si>
  <si>
    <t>Φ200,부착7m, 7m</t>
  </si>
  <si>
    <t>Φ200,부착7m</t>
  </si>
  <si>
    <t>391115ZZ701Z0043</t>
  </si>
  <si>
    <t>위성시보수신기(GPS)</t>
  </si>
  <si>
    <t>음향 유도기</t>
  </si>
  <si>
    <t>391115ZZ701Z0045</t>
  </si>
  <si>
    <t>전력케이블</t>
  </si>
  <si>
    <t>F-CV 3C×2.5㎟</t>
  </si>
  <si>
    <t>391115ZZ701Z0046</t>
  </si>
  <si>
    <t>F-CV 3C×6㎟</t>
  </si>
  <si>
    <t>391115ZZ701Z0047</t>
  </si>
  <si>
    <t>정보통신공사</t>
  </si>
  <si>
    <t>광케이블보통12코어이하접속</t>
  </si>
  <si>
    <t>391115ZZ701Z0048</t>
  </si>
  <si>
    <t>광케이블시험시험및측정</t>
  </si>
  <si>
    <t>391115ZZ701Z0049</t>
  </si>
  <si>
    <t>송수신제어신호영상레벨조정</t>
  </si>
  <si>
    <t>391115ZZ701Z0050</t>
  </si>
  <si>
    <t>종합시험</t>
  </si>
  <si>
    <t>제어반기초(기성품)</t>
  </si>
  <si>
    <t>500x500x800</t>
  </si>
  <si>
    <t>391115ZZ701Z0052</t>
  </si>
  <si>
    <t>채널라이센스</t>
  </si>
  <si>
    <t>카메라접속라이센스, 1CH</t>
  </si>
  <si>
    <t>391115ZZ701Z0053</t>
  </si>
  <si>
    <t>카메라 브래킷</t>
  </si>
  <si>
    <t>기둥용</t>
  </si>
  <si>
    <t>391115ZZ701Z0054</t>
  </si>
  <si>
    <t>벽부형</t>
  </si>
  <si>
    <t>핸드홀(기성품)</t>
  </si>
  <si>
    <t>600x600x800</t>
  </si>
  <si>
    <t>391115ZZ701Z0063</t>
  </si>
  <si>
    <t>핸드홀뚜껑</t>
  </si>
  <si>
    <t>700x700xt32</t>
  </si>
  <si>
    <t>크레인</t>
  </si>
  <si>
    <t>총줄수-&gt;</t>
  </si>
  <si>
    <t>공종줄</t>
  </si>
  <si>
    <t>56930220040</t>
  </si>
  <si>
    <t>ABB103100000</t>
  </si>
  <si>
    <t>제 1호</t>
  </si>
  <si>
    <t>터파기(기계90%,인력10%)</t>
  </si>
  <si>
    <t>보통토사</t>
  </si>
  <si>
    <t>56930220053</t>
  </si>
  <si>
    <t>ABB104100000</t>
  </si>
  <si>
    <t>제 2호</t>
  </si>
  <si>
    <t>되메우기(기계90%,인력10%)</t>
  </si>
  <si>
    <t>56930220102</t>
  </si>
  <si>
    <t>ABC112700000</t>
  </si>
  <si>
    <t>제 3호</t>
  </si>
  <si>
    <t>인력잔토처리</t>
  </si>
  <si>
    <t>현장처리</t>
  </si>
  <si>
    <t>56930310010</t>
  </si>
  <si>
    <t>ADF202100000</t>
  </si>
  <si>
    <t>제 4호</t>
  </si>
  <si>
    <t>레미콘타설</t>
  </si>
  <si>
    <t>무근(미할증)</t>
  </si>
  <si>
    <t>56930370040</t>
  </si>
  <si>
    <t>ADA220110000</t>
  </si>
  <si>
    <t>제 5호</t>
  </si>
  <si>
    <t>합판거푸집</t>
  </si>
  <si>
    <t>4회</t>
  </si>
  <si>
    <t>56950010201</t>
  </si>
  <si>
    <t>EBP110110000</t>
  </si>
  <si>
    <t>제 6호</t>
  </si>
  <si>
    <t>가로등 건주 기계화 시공</t>
  </si>
  <si>
    <t>일반 5m-7m</t>
  </si>
  <si>
    <t>56950010203</t>
  </si>
  <si>
    <t>EBP110130000</t>
  </si>
  <si>
    <t>제 7호</t>
  </si>
  <si>
    <t>일반 10m-12m</t>
  </si>
  <si>
    <t>5975D077002</t>
  </si>
  <si>
    <t>E59753077002</t>
  </si>
  <si>
    <t>제 11호</t>
  </si>
  <si>
    <t>5975D077003</t>
  </si>
  <si>
    <t>ECI31100030S</t>
  </si>
  <si>
    <t>제 12호</t>
  </si>
  <si>
    <t>5975D077004</t>
  </si>
  <si>
    <t>E59753077004</t>
  </si>
  <si>
    <t>제 13호</t>
  </si>
  <si>
    <t>5975D077005</t>
  </si>
  <si>
    <t>ECI31100040S</t>
  </si>
  <si>
    <t>제 14호</t>
  </si>
  <si>
    <t>5975D077006</t>
  </si>
  <si>
    <t>ECI31100050S</t>
  </si>
  <si>
    <t>제 15호</t>
  </si>
  <si>
    <t>5975D178002</t>
  </si>
  <si>
    <t>E59753178002</t>
  </si>
  <si>
    <t>제 16호</t>
  </si>
  <si>
    <t>5975D178003</t>
  </si>
  <si>
    <t>E59753178003</t>
  </si>
  <si>
    <t>제 17호</t>
  </si>
  <si>
    <t>56959000002</t>
  </si>
  <si>
    <t>EMM300000108</t>
  </si>
  <si>
    <t>제 18호</t>
  </si>
  <si>
    <t>E145A927203</t>
  </si>
  <si>
    <t>EE1450927203</t>
  </si>
  <si>
    <t>제 19호</t>
  </si>
  <si>
    <t>E145A927204</t>
  </si>
  <si>
    <t>EE1450927204</t>
  </si>
  <si>
    <t>제 20호</t>
  </si>
  <si>
    <t>E145A927205</t>
  </si>
  <si>
    <t>EE1450927205</t>
  </si>
  <si>
    <t>제 21호</t>
  </si>
  <si>
    <t>E145A287521</t>
  </si>
  <si>
    <t>EE1450287521</t>
  </si>
  <si>
    <t>제 22호</t>
  </si>
  <si>
    <t>E145A287540</t>
  </si>
  <si>
    <t>EE1450287540</t>
  </si>
  <si>
    <t>제 23호</t>
  </si>
  <si>
    <t>E145A358087</t>
  </si>
  <si>
    <t>EE1450358087</t>
  </si>
  <si>
    <t>제 24호</t>
  </si>
  <si>
    <t>56959000003</t>
  </si>
  <si>
    <t>EMM525000002</t>
  </si>
  <si>
    <t>제 25호</t>
  </si>
  <si>
    <t>6310A147401</t>
  </si>
  <si>
    <t>E63100147401</t>
  </si>
  <si>
    <t>제 26호</t>
  </si>
  <si>
    <t>5975A427102</t>
  </si>
  <si>
    <t>E59750427102</t>
  </si>
  <si>
    <t>제 27호</t>
  </si>
  <si>
    <t>E975A427014</t>
  </si>
  <si>
    <t>EE9750427014</t>
  </si>
  <si>
    <t>제 28호</t>
  </si>
  <si>
    <t>56959000004</t>
  </si>
  <si>
    <t>EMM300041326</t>
  </si>
  <si>
    <t>제 29호</t>
  </si>
  <si>
    <t>E940A267006</t>
  </si>
  <si>
    <t>EE9400267006</t>
  </si>
  <si>
    <t>제 30호</t>
  </si>
  <si>
    <t>E940A267007</t>
  </si>
  <si>
    <t>EE9400267007</t>
  </si>
  <si>
    <t>제 31호</t>
  </si>
  <si>
    <t>E940A267008</t>
  </si>
  <si>
    <t>EE9400267008</t>
  </si>
  <si>
    <t>제 32호</t>
  </si>
  <si>
    <t>5630A217281</t>
  </si>
  <si>
    <t>E56300217281</t>
  </si>
  <si>
    <t>제 33호</t>
  </si>
  <si>
    <t>5680A447433</t>
  </si>
  <si>
    <t>E56800447433</t>
  </si>
  <si>
    <t>제 34호</t>
  </si>
  <si>
    <t>56959000005</t>
  </si>
  <si>
    <t>EMM408901996</t>
  </si>
  <si>
    <t>제 35호</t>
  </si>
  <si>
    <t>56959000006</t>
  </si>
  <si>
    <t>EMM474327364</t>
  </si>
  <si>
    <t>제 36호</t>
  </si>
  <si>
    <t>56959000007</t>
  </si>
  <si>
    <t>EMM389225351</t>
  </si>
  <si>
    <t>제 37호</t>
  </si>
  <si>
    <t>56959000008</t>
  </si>
  <si>
    <t>EMM579245673</t>
  </si>
  <si>
    <t>제 38호</t>
  </si>
  <si>
    <t>56959000009</t>
  </si>
  <si>
    <t>EMM666919038</t>
  </si>
  <si>
    <t>제 39호</t>
  </si>
  <si>
    <t>56959000010</t>
  </si>
  <si>
    <t>EMM666919040</t>
  </si>
  <si>
    <t>제 40호</t>
  </si>
  <si>
    <t>56959000011</t>
  </si>
  <si>
    <t>EMM666919041</t>
  </si>
  <si>
    <t>제 41호</t>
  </si>
  <si>
    <t>56959000012</t>
  </si>
  <si>
    <t>EMM666919042</t>
  </si>
  <si>
    <t>제 42호</t>
  </si>
  <si>
    <t>56959000013</t>
  </si>
  <si>
    <t>EMM666919043</t>
  </si>
  <si>
    <t>제 43호</t>
  </si>
  <si>
    <t>GM90A002155</t>
  </si>
  <si>
    <t>EGM900002155</t>
  </si>
  <si>
    <t>제 44호</t>
  </si>
  <si>
    <t>GM42C520962</t>
  </si>
  <si>
    <t>EGM422520962</t>
  </si>
  <si>
    <t>제 45호</t>
  </si>
  <si>
    <t>GM90A002029</t>
  </si>
  <si>
    <t>EGM900002029</t>
  </si>
  <si>
    <t>제 46호</t>
  </si>
  <si>
    <t>56959000014</t>
  </si>
  <si>
    <t>EMM868935935</t>
  </si>
  <si>
    <t>제 47호</t>
  </si>
  <si>
    <t>56959000015</t>
  </si>
  <si>
    <t>EMM992900263</t>
  </si>
  <si>
    <t>제 48호</t>
  </si>
  <si>
    <t>56959000016</t>
  </si>
  <si>
    <t>EMM896650533</t>
  </si>
  <si>
    <t>제 49호</t>
  </si>
  <si>
    <t>56959000017</t>
  </si>
  <si>
    <t>EMM992900278</t>
  </si>
  <si>
    <t>제 50호</t>
  </si>
  <si>
    <t>56959000018</t>
  </si>
  <si>
    <t>EMM811566471</t>
  </si>
  <si>
    <t>제 51호</t>
  </si>
  <si>
    <t>56959000019</t>
  </si>
  <si>
    <t>EMM811377544</t>
  </si>
  <si>
    <t>제 52호</t>
  </si>
  <si>
    <t>56959000020</t>
  </si>
  <si>
    <t>EMM055024882</t>
  </si>
  <si>
    <t>제 53호</t>
  </si>
  <si>
    <t>56959000021</t>
  </si>
  <si>
    <t>EMM811561481</t>
  </si>
  <si>
    <t>제 54호</t>
  </si>
  <si>
    <t>56959000022</t>
  </si>
  <si>
    <t>EMM992900295</t>
  </si>
  <si>
    <t>제 55호</t>
  </si>
  <si>
    <t>56959000023</t>
  </si>
  <si>
    <t>EMM999447446</t>
  </si>
  <si>
    <t>제 56호</t>
  </si>
  <si>
    <t>56959000024</t>
  </si>
  <si>
    <t>EMM999447447</t>
  </si>
  <si>
    <t>제 57호</t>
  </si>
  <si>
    <t>56959000025</t>
  </si>
  <si>
    <t>EMM811561499</t>
  </si>
  <si>
    <t>제 58호</t>
  </si>
  <si>
    <t>56959000026</t>
  </si>
  <si>
    <t>EMM868935945</t>
  </si>
  <si>
    <t>제 59호</t>
  </si>
  <si>
    <t>56959000027</t>
  </si>
  <si>
    <t>EMM959881804</t>
  </si>
  <si>
    <t>제 60호</t>
  </si>
  <si>
    <t>56959000028</t>
  </si>
  <si>
    <t>EMM999447454</t>
  </si>
  <si>
    <t>제 61호</t>
  </si>
  <si>
    <t>56959000029</t>
  </si>
  <si>
    <t>EMM055024915</t>
  </si>
  <si>
    <t>제 62호</t>
  </si>
  <si>
    <t>56959000030</t>
  </si>
  <si>
    <t>EMM999446803</t>
  </si>
  <si>
    <t>제 63호</t>
  </si>
  <si>
    <t>56959000031</t>
  </si>
  <si>
    <t>EMM868935949</t>
  </si>
  <si>
    <t>제 64호</t>
  </si>
  <si>
    <t>56959000032</t>
  </si>
  <si>
    <t>EMM868935952</t>
  </si>
  <si>
    <t>제 65호</t>
  </si>
  <si>
    <t>56959000033</t>
  </si>
  <si>
    <t>EMM811561518</t>
  </si>
  <si>
    <t>제 66호</t>
  </si>
  <si>
    <t>56959000034</t>
  </si>
  <si>
    <t>EMM811561524</t>
  </si>
  <si>
    <t>제 67호</t>
  </si>
  <si>
    <t>81</t>
  </si>
  <si>
    <t>합계줄</t>
  </si>
  <si>
    <t>( 합       계 )</t>
  </si>
  <si>
    <t>[ 화성 청원지구 전기공사 ]</t>
  </si>
  <si>
    <t>1.전기공사 (지구내)::1-1.가로등설비공사</t>
  </si>
  <si>
    <t>00101</t>
  </si>
  <si>
    <t>GG450287521</t>
  </si>
  <si>
    <t>GG450287523</t>
  </si>
  <si>
    <t>GG450287551</t>
  </si>
  <si>
    <t>GG450287553</t>
  </si>
  <si>
    <t>MM408901997</t>
  </si>
  <si>
    <t>MM811377553</t>
  </si>
  <si>
    <t>MM811561501</t>
  </si>
  <si>
    <t>MM811567758</t>
  </si>
  <si>
    <t>MM811561525</t>
  </si>
  <si>
    <t>1.전기공사 (지구내)::1-2.공원등설비공사</t>
  </si>
  <si>
    <t>00102</t>
  </si>
  <si>
    <t>GG450287520</t>
  </si>
  <si>
    <t>GG450287522</t>
  </si>
  <si>
    <t>GG450287550</t>
  </si>
  <si>
    <t>1.전기공사 (지구내)::1-3.신호등설비공사</t>
  </si>
  <si>
    <t>00103</t>
  </si>
  <si>
    <t>MM647590406</t>
  </si>
  <si>
    <t>MM389225346</t>
  </si>
  <si>
    <t>MM693428504</t>
  </si>
  <si>
    <t>MM055017057</t>
  </si>
  <si>
    <t>MM999446802</t>
  </si>
  <si>
    <t>56959000001</t>
  </si>
  <si>
    <t>EAZ800010000</t>
  </si>
  <si>
    <t>크레인트럭</t>
  </si>
  <si>
    <t>20ton</t>
  </si>
  <si>
    <t>1.전기공사 (지구내)::1-4.공원 통신설비 공사</t>
  </si>
  <si>
    <t>00104</t>
  </si>
  <si>
    <t>MM576434833</t>
  </si>
  <si>
    <t>MM010861364</t>
  </si>
  <si>
    <t>MM010861365</t>
  </si>
  <si>
    <t>MM010861366</t>
  </si>
  <si>
    <t>MM006200750</t>
  </si>
  <si>
    <t>MM006200751</t>
  </si>
  <si>
    <t>MM006200756</t>
  </si>
  <si>
    <t>MM006200757</t>
  </si>
  <si>
    <t>MM006200758</t>
  </si>
  <si>
    <t>MM006200763</t>
  </si>
  <si>
    <t>MM006200764</t>
  </si>
  <si>
    <t>MM006200765</t>
  </si>
  <si>
    <t>MM006200766</t>
  </si>
  <si>
    <t>MM006200767</t>
  </si>
  <si>
    <t>MM006200768</t>
  </si>
  <si>
    <t>MM006200769</t>
  </si>
  <si>
    <t>MM006200773</t>
  </si>
  <si>
    <t>MM006200774</t>
  </si>
  <si>
    <t>MM010861388</t>
  </si>
  <si>
    <t>MM010861389</t>
  </si>
  <si>
    <t>MM006200777</t>
  </si>
  <si>
    <t>MM006200778</t>
  </si>
  <si>
    <t>MM006200789</t>
  </si>
  <si>
    <t>MM006200791</t>
  </si>
  <si>
    <t>MM006200792</t>
  </si>
  <si>
    <t>MM006790708</t>
  </si>
  <si>
    <t>InMastDBNonCode</t>
  </si>
  <si>
    <t>10톤</t>
  </si>
  <si>
    <t>1.전기공사 (지구내)::1-5.불법주정차단속시스템</t>
  </si>
  <si>
    <t>MM055017190</t>
  </si>
  <si>
    <t>00105</t>
  </si>
  <si>
    <t>2.전기공사 (지구외)::2-1.가로등설비공사</t>
  </si>
  <si>
    <t>00201</t>
  </si>
  <si>
    <t>GG450287524</t>
  </si>
  <si>
    <t>2.전기공사 (지구외)::2-2.신호등설비공사</t>
  </si>
  <si>
    <t>00202</t>
  </si>
  <si>
    <t>MM693428368</t>
  </si>
  <si>
    <t>MM868935941</t>
  </si>
  <si>
    <t>MM868935947</t>
  </si>
  <si>
    <t>MM460312131</t>
  </si>
  <si>
    <t>2.전기공사 (지구외)::2-3.불법주정차단속시스템</t>
  </si>
  <si>
    <t>00203</t>
  </si>
  <si>
    <t>341</t>
  </si>
  <si>
    <t>2.0</t>
  </si>
  <si>
    <t>[화성 청원지구 전기공사]</t>
  </si>
  <si>
    <t>001</t>
  </si>
  <si>
    <t>1. 전기공사 (지구내)</t>
  </si>
  <si>
    <t>002</t>
  </si>
  <si>
    <t>Total</t>
  </si>
  <si>
    <t>1.전기공사 (지구내)</t>
  </si>
  <si>
    <t>2.전기공사 (지구외)</t>
  </si>
  <si>
    <t>간 접 노 무 비</t>
    <phoneticPr fontId="2" type="noConversion"/>
  </si>
  <si>
    <t>( 소      계 )</t>
    <phoneticPr fontId="2" type="noConversion"/>
  </si>
  <si>
    <t>기  계  경  비</t>
    <phoneticPr fontId="2" type="noConversion"/>
  </si>
  <si>
    <t>산 재 보 험 료</t>
    <phoneticPr fontId="2" type="noConversion"/>
  </si>
  <si>
    <t>(노무비) * 3.56 %</t>
  </si>
  <si>
    <t>고 용 보 험 료</t>
    <phoneticPr fontId="2" type="noConversion"/>
  </si>
  <si>
    <t>(노무비) * 1.01 %</t>
  </si>
  <si>
    <t>건 강 보 험 료</t>
    <phoneticPr fontId="2" type="noConversion"/>
  </si>
  <si>
    <t>(직접 노무비) * 3.595 %</t>
  </si>
  <si>
    <t>연 금 보 험 료</t>
    <phoneticPr fontId="2" type="noConversion"/>
  </si>
  <si>
    <t>(직접 노무비) * 4.75 %</t>
  </si>
  <si>
    <t>퇴 직 금 공 제</t>
    <phoneticPr fontId="2" type="noConversion"/>
  </si>
  <si>
    <t>(직접 노무비) * 2.3 %</t>
  </si>
  <si>
    <t>안 전 관 리 비</t>
    <phoneticPr fontId="2" type="noConversion"/>
  </si>
  <si>
    <t>기  타  경  비</t>
    <phoneticPr fontId="2" type="noConversion"/>
  </si>
  <si>
    <t>노인장기요양보험</t>
    <phoneticPr fontId="2" type="noConversion"/>
  </si>
  <si>
    <t>(건강 보험료) * 13.14 %</t>
  </si>
  <si>
    <t>일 반 관 리 비</t>
    <phoneticPr fontId="2" type="noConversion"/>
  </si>
  <si>
    <t>이          윤</t>
    <phoneticPr fontId="2" type="noConversion"/>
  </si>
  <si>
    <t>(노무+경비+일반관리비) * 15 %</t>
  </si>
  <si>
    <t>( 총  원  가 )</t>
    <phoneticPr fontId="2" type="noConversion"/>
  </si>
  <si>
    <t>부 가 가 치 세</t>
    <phoneticPr fontId="2" type="noConversion"/>
  </si>
  <si>
    <t>( 총      계 )</t>
    <phoneticPr fontId="2" type="noConversion"/>
  </si>
  <si>
    <t>직 접 재 료 비</t>
    <phoneticPr fontId="2" type="noConversion"/>
  </si>
  <si>
    <t>간 접 재 료 비</t>
    <phoneticPr fontId="2" type="noConversion"/>
  </si>
  <si>
    <t>직 접 노 무 비</t>
    <phoneticPr fontId="2" type="noConversion"/>
  </si>
  <si>
    <t>(직접 노무비) * 16.7 %</t>
  </si>
  <si>
    <t>(재료+노무+경비) * 6.5 %</t>
  </si>
  <si>
    <t>( 순 공 사 비 계 )</t>
    <phoneticPr fontId="2" type="noConversion"/>
  </si>
  <si>
    <t xml:space="preserve"> 석면분담금</t>
    <phoneticPr fontId="2" type="noConversion"/>
  </si>
  <si>
    <t xml:space="preserve"> 임금채권부담금</t>
    <phoneticPr fontId="2" type="noConversion"/>
  </si>
  <si>
    <t>(노무비) * 0.006 %</t>
    <phoneticPr fontId="2" type="noConversion"/>
  </si>
  <si>
    <t>(노무비) * 0.09 %</t>
    <phoneticPr fontId="2" type="noConversion"/>
  </si>
  <si>
    <t>한 전 수 탁 비</t>
    <phoneticPr fontId="2" type="noConversion"/>
  </si>
  <si>
    <t>화성 청원지구 전기공사_(지구내)</t>
    <phoneticPr fontId="2" type="noConversion"/>
  </si>
  <si>
    <t>(재료+직노) * 2.07 %</t>
    <phoneticPr fontId="2" type="noConversion"/>
  </si>
  <si>
    <t>(재료+노무) * 5.3 %</t>
    <phoneticPr fontId="2" type="noConversion"/>
  </si>
  <si>
    <t>공사기간: 32 개월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</si>
</sst>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8" formatCode="#,###;\-#,###"/>
  </numFmts>
  <fonts count="6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2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0" fontId="1" fillId="0" borderId="0"/>
  </cellStyleXfs>
  <cellXfs count="55">
    <xf numFmtId="0" fontId="0" fillId="0" borderId="0" xfId="0"/>
    <xf numFmtId="0" fontId="4" fillId="0" borderId="0" xfId="0" applyFont="1" applyAlignment="1">
      <alignment vertical="center"/>
    </xf>
    <xf numFmtId="178" fontId="4" fillId="0" borderId="0" xfId="0" applyNumberFormat="1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4" xfId="0" applyFont="1" applyBorder="1" applyAlignment="1">
      <alignment horizontal="center" vertical="center"/>
    </xf>
    <xf numFmtId="178" fontId="4" fillId="0" borderId="4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8" fontId="4" fillId="0" borderId="3" xfId="0" applyNumberFormat="1" applyFont="1" applyBorder="1" applyAlignment="1">
      <alignment vertical="center"/>
    </xf>
    <xf numFmtId="49" fontId="4" fillId="0" borderId="7" xfId="0" applyNumberFormat="1" applyFont="1" applyBorder="1" applyAlignment="1">
      <alignment vertical="center"/>
    </xf>
    <xf numFmtId="178" fontId="4" fillId="0" borderId="1" xfId="0" applyNumberFormat="1" applyFont="1" applyBorder="1" applyAlignment="1">
      <alignment vertical="center"/>
    </xf>
    <xf numFmtId="49" fontId="4" fillId="0" borderId="8" xfId="0" applyNumberFormat="1" applyFont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78" fontId="4" fillId="0" borderId="11" xfId="0" applyNumberFormat="1" applyFont="1" applyBorder="1" applyAlignment="1">
      <alignment vertical="center"/>
    </xf>
    <xf numFmtId="49" fontId="4" fillId="0" borderId="10" xfId="0" applyNumberFormat="1" applyFont="1" applyBorder="1" applyAlignment="1">
      <alignment vertical="center"/>
    </xf>
    <xf numFmtId="49" fontId="4" fillId="0" borderId="0" xfId="0" applyNumberFormat="1" applyFont="1" applyAlignment="1">
      <alignment vertical="center"/>
    </xf>
    <xf numFmtId="49" fontId="4" fillId="0" borderId="1" xfId="0" applyNumberFormat="1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178" fontId="4" fillId="0" borderId="2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/>
    </xf>
    <xf numFmtId="178" fontId="4" fillId="0" borderId="0" xfId="0" applyNumberFormat="1" applyFont="1" applyAlignment="1">
      <alignment horizontal="center" vertical="center"/>
    </xf>
    <xf numFmtId="178" fontId="4" fillId="0" borderId="1" xfId="1" applyNumberFormat="1" applyFont="1" applyBorder="1" applyAlignment="1">
      <alignment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14" xfId="0" applyNumberFormat="1" applyFont="1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78" fontId="4" fillId="0" borderId="2" xfId="0" applyNumberFormat="1" applyFont="1" applyBorder="1" applyAlignment="1">
      <alignment horizontal="center" vertical="center"/>
    </xf>
    <xf numFmtId="49" fontId="5" fillId="0" borderId="13" xfId="0" applyNumberFormat="1" applyFont="1" applyBorder="1" applyAlignment="1">
      <alignment horizontal="left" vertical="center"/>
    </xf>
    <xf numFmtId="0" fontId="4" fillId="0" borderId="14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49" fontId="4" fillId="0" borderId="19" xfId="0" applyNumberFormat="1" applyFont="1" applyBorder="1" applyAlignment="1">
      <alignment horizontal="left" vertical="center"/>
    </xf>
    <xf numFmtId="49" fontId="4" fillId="0" borderId="11" xfId="0" applyNumberFormat="1" applyFont="1" applyBorder="1" applyAlignment="1">
      <alignment horizontal="left" vertical="center"/>
    </xf>
    <xf numFmtId="49" fontId="4" fillId="0" borderId="16" xfId="0" applyNumberFormat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9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9" fontId="4" fillId="0" borderId="15" xfId="0" applyNumberFormat="1" applyFont="1" applyBorder="1" applyAlignment="1">
      <alignment horizontal="right" vertical="center"/>
    </xf>
    <xf numFmtId="0" fontId="4" fillId="0" borderId="1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49" fontId="4" fillId="0" borderId="13" xfId="0" applyNumberFormat="1" applyFont="1" applyBorder="1" applyAlignment="1">
      <alignment horizontal="left" vertical="center"/>
    </xf>
  </cellXfs>
  <cellStyles count="3">
    <cellStyle name="쉼표 [0]" xfId="1" builtinId="6"/>
    <cellStyle name="표준" xfId="0" builtinId="0"/>
    <cellStyle name="표준 17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628650</xdr:colOff>
      <xdr:row>1</xdr:row>
      <xdr:rowOff>0</xdr:rowOff>
    </xdr:from>
    <xdr:to>
      <xdr:col>4</xdr:col>
      <xdr:colOff>1428750</xdr:colOff>
      <xdr:row>1</xdr:row>
      <xdr:rowOff>0</xdr:rowOff>
    </xdr:to>
    <xdr:sp macro="" textlink="">
      <xdr:nvSpPr>
        <xdr:cNvPr id="4098" name="Line 2">
          <a:extLst>
            <a:ext uri="{FF2B5EF4-FFF2-40B4-BE49-F238E27FC236}">
              <a16:creationId xmlns:a16="http://schemas.microsoft.com/office/drawing/2014/main" id="{903A2E66-09A9-46AD-99C5-20993D18B5CE}"/>
            </a:ext>
          </a:extLst>
        </xdr:cNvPr>
        <xdr:cNvSpPr>
          <a:spLocks noChangeShapeType="1"/>
        </xdr:cNvSpPr>
      </xdr:nvSpPr>
      <xdr:spPr bwMode="auto">
        <a:xfrm>
          <a:off x="3371850" y="447675"/>
          <a:ext cx="268605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8</xdr:col>
      <xdr:colOff>257175</xdr:colOff>
      <xdr:row>0</xdr:row>
      <xdr:rowOff>38100</xdr:rowOff>
    </xdr:from>
    <xdr:to>
      <xdr:col>12</xdr:col>
      <xdr:colOff>904875</xdr:colOff>
      <xdr:row>1</xdr:row>
      <xdr:rowOff>266700</xdr:rowOff>
    </xdr:to>
    <xdr:pic>
      <xdr:nvPicPr>
        <xdr:cNvPr id="4100" name="Picture 4">
          <a:extLst>
            <a:ext uri="{FF2B5EF4-FFF2-40B4-BE49-F238E27FC236}">
              <a16:creationId xmlns:a16="http://schemas.microsoft.com/office/drawing/2014/main" id="{C94B084C-A944-41A4-9C6D-0FD8B23BA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63275" y="38100"/>
          <a:ext cx="4572000" cy="75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57150</xdr:colOff>
      <xdr:row>7</xdr:row>
      <xdr:rowOff>47625</xdr:rowOff>
    </xdr:from>
    <xdr:to>
      <xdr:col>18</xdr:col>
      <xdr:colOff>523875</xdr:colOff>
      <xdr:row>35</xdr:row>
      <xdr:rowOff>114300</xdr:rowOff>
    </xdr:to>
    <xdr:pic>
      <xdr:nvPicPr>
        <xdr:cNvPr id="4101" name="Picture 5">
          <a:extLst>
            <a:ext uri="{FF2B5EF4-FFF2-40B4-BE49-F238E27FC236}">
              <a16:creationId xmlns:a16="http://schemas.microsoft.com/office/drawing/2014/main" id="{302A88B2-FE65-4975-AE6F-296E741B88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0" y="1781175"/>
          <a:ext cx="4276725" cy="48672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38100</xdr:colOff>
      <xdr:row>0</xdr:row>
      <xdr:rowOff>76200</xdr:rowOff>
    </xdr:from>
    <xdr:to>
      <xdr:col>18</xdr:col>
      <xdr:colOff>485775</xdr:colOff>
      <xdr:row>5</xdr:row>
      <xdr:rowOff>161925</xdr:rowOff>
    </xdr:to>
    <xdr:pic>
      <xdr:nvPicPr>
        <xdr:cNvPr id="4102" name="Picture 6">
          <a:extLst>
            <a:ext uri="{FF2B5EF4-FFF2-40B4-BE49-F238E27FC236}">
              <a16:creationId xmlns:a16="http://schemas.microsoft.com/office/drawing/2014/main" id="{9B97331A-4C83-41C9-A20C-829FC7B46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30550" y="76200"/>
          <a:ext cx="4257675" cy="15906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0238\c\&#44277;&#49324;&#52628;&#51652;&#48372;&#44256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ITO&#54200;&#44221;&#54840;\&#44277;&#44036;&#51060;&#46041;\&#44277;&#50976;&#54260;&#45908;\twotwo-note\Fyb\&#50516;&#54032;&#51221;(2001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com\work\MY\RETAIN\&#50745;&#48317;&#51312;&#44552;&#49688;&#5122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148;&#47784;\&#51077;&#52272;&#44204;&#51201;\&#44204;&#51201;(2001)\&#46020;&#47196;\&#54644;&#48120;-&#45909;&#49328;(1&#44277;&#44396;)\&#53804;&#52272;,&#49892;&#54665;\-0.1%25\&#44277;&#45236;&#50669;(&#54644;&#48120;1&#44277;&#44396;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bsj\c31004\PE\JP\CHANGE\3RD\LIS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itco_main\soc&#50689;&#50629;_&#51648;&#50896;&#54016;\&#54889;&#44592;&#52384;\&#51077;&#52272;\&#45236;&#50669;&#44049;&#51648;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WINDOWS/TEMP/windows/TEMP/&#54861;&#48372;&#54924;&#51032;/&#49849;&#51652;&#45824;&#49345;.XLS" TargetMode="External"/><Relationship Id="rId1" Type="http://schemas.openxmlformats.org/officeDocument/2006/relationships/externalLinkPath" Target="/WINDOWS/TEMP/windows/TEMP/&#54861;&#48372;&#54924;&#51032;/&#49849;&#51652;&#45824;&#49345;.XLS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&#46972;&#51060;&#50616;&#53433;/HAREP/MONTH/H4A11.XLS" TargetMode="External"/><Relationship Id="rId1" Type="http://schemas.openxmlformats.org/officeDocument/2006/relationships/externalLinkPath" Target="/&#46972;&#51060;&#50616;&#53433;/HAREP/MONTH/H4A1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51077;&#52272;&#5050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진계획"/>
      <sheetName val="추진실적"/>
      <sheetName val="Sheet3"/>
      <sheetName val="Sheet1"/>
      <sheetName val="Sheet2"/>
    </sheetNames>
    <sheetDataSet>
      <sheetData sheetId="0" refreshError="1"/>
      <sheetData sheetId="1" refreshError="1"/>
      <sheetData sheetId="2" refreshError="1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유동표"/>
      <sheetName val="TJP"/>
      <sheetName val="증감액"/>
      <sheetName val="사토계산"/>
      <sheetName val="변경운반량계산"/>
      <sheetName val="증감현황"/>
      <sheetName val="1TL종점(1)"/>
      <sheetName val="1TL종점(2)"/>
      <sheetName val="2TL시점(1)"/>
      <sheetName val="2TL시점(2)"/>
      <sheetName val="5+58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PILE  (돌출)"/>
      <sheetName val="밸브설치"/>
      <sheetName val="샘플표지"/>
      <sheetName val="조명시설"/>
      <sheetName val="단위중량"/>
      <sheetName val="내역표지"/>
      <sheetName val="사통"/>
      <sheetName val="약품설비"/>
      <sheetName val="소업1교"/>
      <sheetName val="일위대가목록"/>
      <sheetName val="총 괄 표"/>
      <sheetName val="U-TYPE(1)"/>
      <sheetName val="부안일위"/>
      <sheetName val="3BL공동구 수량"/>
      <sheetName val="6PILE  _돌출_"/>
      <sheetName val="내역서"/>
      <sheetName val="공사비집계"/>
      <sheetName val="반응조"/>
      <sheetName val="갑지"/>
      <sheetName val="진주방향"/>
      <sheetName val="연돌일위집계"/>
      <sheetName val="토공 갑지"/>
      <sheetName val="업무처리전"/>
      <sheetName val="포장공자재집계표"/>
      <sheetName val="총괄내역서"/>
      <sheetName val="옹벽조금수정"/>
      <sheetName val="#REF"/>
      <sheetName val="가설건물"/>
      <sheetName val="2.단면가정 "/>
      <sheetName val="터파기및재료"/>
      <sheetName val="참조"/>
      <sheetName val="물가시세"/>
      <sheetName val="노임단가"/>
      <sheetName val="DATE"/>
      <sheetName val="본선 토공 분배표"/>
      <sheetName val="합의경상"/>
      <sheetName val="수로집계"/>
      <sheetName val="토공"/>
      <sheetName val="오동"/>
      <sheetName val="대조"/>
      <sheetName val="나한"/>
      <sheetName val="Sheet1"/>
      <sheetName val="빗물받이(910-510-410)"/>
      <sheetName val="약품공급2"/>
      <sheetName val="예가표"/>
      <sheetName val="가격조사서"/>
      <sheetName val="입찰안"/>
      <sheetName val="수지표"/>
      <sheetName val="셀명"/>
      <sheetName val="총괄"/>
      <sheetName val="Sheet1 (2)"/>
      <sheetName val="단가"/>
      <sheetName val="단가산출서"/>
      <sheetName val="내역"/>
      <sheetName val="산출내역서"/>
      <sheetName val="실행철강하도"/>
      <sheetName val="원가"/>
      <sheetName val="실정보고"/>
      <sheetName val="갑지1"/>
      <sheetName val="교각계산"/>
      <sheetName val="설계조건"/>
      <sheetName val="1호맨홀토공"/>
      <sheetName val="해전배수"/>
      <sheetName val="수문일1"/>
      <sheetName val="결과조달"/>
      <sheetName val="일위대가목차"/>
      <sheetName val="공문"/>
      <sheetName val="금액내역서"/>
      <sheetName val="CTEMCOST"/>
      <sheetName val="SLAB&quot;1&quot;"/>
      <sheetName val="COVER"/>
      <sheetName val="프랜트면허"/>
      <sheetName val="토목주소"/>
      <sheetName val="간지(1)"/>
      <sheetName val="1,2,3,4,5단위수량"/>
      <sheetName val="인사자료총집계"/>
      <sheetName val="공사비증감"/>
      <sheetName val="합천내역"/>
      <sheetName val="archi(본사)"/>
      <sheetName val="원형1호맨홀토공수량"/>
      <sheetName val="배수관산출"/>
      <sheetName val="수안보-MBR1"/>
      <sheetName val="3.공통공사대비"/>
      <sheetName val="목표세부명세"/>
      <sheetName val="견적서(토공)"/>
      <sheetName val="2호맨홀공제수량"/>
      <sheetName val="BID"/>
      <sheetName val="000000"/>
      <sheetName val="1062-X방향 "/>
      <sheetName val="발주설계서(당초)"/>
      <sheetName val="포장물량집계"/>
      <sheetName val="DATA98"/>
      <sheetName val="고창방향"/>
      <sheetName val="견적의뢰서"/>
      <sheetName val="2000년1차"/>
      <sheetName val="2000전체분"/>
      <sheetName val="200"/>
      <sheetName val="대비"/>
      <sheetName val="단면 (2)"/>
      <sheetName val="안산기계장치"/>
      <sheetName val="8.PILE  (돌출)"/>
      <sheetName val="산근터빈"/>
      <sheetName val="2공구산출내역"/>
      <sheetName val="하도내역 (철콘)"/>
      <sheetName val="ELECTRIC"/>
      <sheetName val="SCHEDULE"/>
      <sheetName val="4.2유효폭의 계산"/>
      <sheetName val="입찰"/>
      <sheetName val="현경"/>
      <sheetName val="말뚝지지력산정"/>
      <sheetName val="공통비총괄표"/>
      <sheetName val="Sheet2"/>
      <sheetName val="SIL98"/>
      <sheetName val="1. 설계조건 2.단면가정 3. 하중계산"/>
      <sheetName val="DATA 입력란"/>
      <sheetName val="1TL종점(1)"/>
      <sheetName val="토목품셈"/>
      <sheetName val="PAD TR보호대기초"/>
      <sheetName val="가로등기초"/>
      <sheetName val="HANDHOLE(2)"/>
      <sheetName val="전차선로 물량표"/>
      <sheetName val="가도공"/>
      <sheetName val="세대구분"/>
      <sheetName val="Sheet4"/>
      <sheetName val="뚝토공"/>
      <sheetName val="일위대가(계측기설치)"/>
      <sheetName val="기성내역"/>
      <sheetName val="경상비"/>
      <sheetName val="공사내역"/>
      <sheetName val="실행"/>
      <sheetName val="날개벽(시점좌측)"/>
      <sheetName val="6PILE 과속방지턱집계표!$K$12 (돌출)"/>
      <sheetName val="시행후면적"/>
      <sheetName val="내역서(교량)전체"/>
      <sheetName val="I一般比"/>
      <sheetName val="공량산출서"/>
      <sheetName val="식재"/>
      <sheetName val="시설물"/>
      <sheetName val="식재출력용"/>
      <sheetName val="유지관리"/>
      <sheetName val="일위대가"/>
      <sheetName val="장비"/>
      <sheetName val="산근1"/>
      <sheetName val="노무"/>
      <sheetName val="자재"/>
      <sheetName val="간선계산"/>
      <sheetName val="D200"/>
      <sheetName val="슬래브"/>
      <sheetName val="1.설계조건"/>
      <sheetName val="유림골조"/>
      <sheetName val="가공비"/>
      <sheetName val="수량산출"/>
      <sheetName val="설계산출표지"/>
      <sheetName val="신당동집계표"/>
      <sheetName val="3.하중산정4.지지력"/>
      <sheetName val="1.토공"/>
      <sheetName val="갑지(추정)"/>
      <sheetName val="자료"/>
      <sheetName val="6PILE+옹벽집계!$G$6+옹벽집계!$H$10  (돌출"/>
      <sheetName val="내역(전체)"/>
      <sheetName val="에너지동"/>
      <sheetName val="ABUT수량-A1"/>
      <sheetName val="관로토공집계표"/>
      <sheetName val="제출내역 (2)"/>
      <sheetName val="기자재비"/>
      <sheetName val="단면A-A(TR)"/>
      <sheetName val="S.중기사용료"/>
      <sheetName val="97노임단가"/>
      <sheetName val="입력란"/>
      <sheetName val="날개벽"/>
      <sheetName val="수량3"/>
      <sheetName val="방음벽기초"/>
      <sheetName val="산출근거"/>
      <sheetName val="DATA입력"/>
      <sheetName val="공종단가"/>
      <sheetName val="공사비증감(P4) "/>
      <sheetName val="실행예산"/>
      <sheetName val="일반수량"/>
      <sheetName val="일위(PN)"/>
      <sheetName val="기초일위"/>
      <sheetName val="수목단가"/>
      <sheetName val="시설수량표"/>
      <sheetName val="시설일위"/>
      <sheetName val="식재수량표"/>
      <sheetName val="식재일위"/>
      <sheetName val="일위목록"/>
      <sheetName val="자재단가"/>
      <sheetName val="대로근거"/>
      <sheetName val="중로근거"/>
      <sheetName val="인건비"/>
      <sheetName val="4)유동표"/>
      <sheetName val="격점수량"/>
      <sheetName val="매립"/>
      <sheetName val="견적서"/>
      <sheetName val="도봉2지구"/>
      <sheetName val="비목군분류일위"/>
      <sheetName val="사유서제출현황-2"/>
      <sheetName val="수량산출내역1115"/>
      <sheetName val="집계표"/>
      <sheetName val="BOX 본체"/>
      <sheetName val="간 지1"/>
      <sheetName val="DATA2000"/>
      <sheetName val="Sheet15"/>
      <sheetName val="TOTAL_BOQ"/>
      <sheetName val="DAILY"/>
      <sheetName val="F-302"/>
      <sheetName val="F301.303"/>
      <sheetName val="plan&amp;section of foundation"/>
      <sheetName val="design load"/>
      <sheetName val="working load at the btm ft."/>
      <sheetName val="stability check"/>
      <sheetName val="design criteria"/>
      <sheetName val="산근"/>
      <sheetName val="D-3109"/>
      <sheetName val="대비표"/>
      <sheetName val="Total"/>
      <sheetName val="inter"/>
      <sheetName val="B"/>
      <sheetName val="PROCURE"/>
      <sheetName val="out_prog"/>
      <sheetName val="선적schedule (2)"/>
      <sheetName val="집계표(육상)"/>
      <sheetName val="지급자재"/>
      <sheetName val="6PILE__(돌출)"/>
      <sheetName val="TOWER 10TON"/>
      <sheetName val="TOWER 12TON"/>
      <sheetName val="교각정보"/>
      <sheetName val="기기리스트"/>
      <sheetName val="메서,변+증"/>
      <sheetName val="01.견적내역서"/>
      <sheetName val="단가조사"/>
      <sheetName val="도배공사언고"/>
      <sheetName val="배수내역(98년도분)"/>
      <sheetName val="본부소개"/>
      <sheetName val="식생블럭단위수량"/>
      <sheetName val="노무비"/>
      <sheetName val="EQUIP"/>
      <sheetName val="부하(성남)"/>
      <sheetName val="SG"/>
      <sheetName val="Quantity"/>
      <sheetName val="정보"/>
      <sheetName val="40총괄"/>
      <sheetName val="40집계"/>
      <sheetName val="민자토목설변1차"/>
      <sheetName val="차액보증"/>
      <sheetName val="2000시행예상"/>
      <sheetName val="YES-T"/>
      <sheetName val="견적대비표"/>
      <sheetName val="2.교량(신설)"/>
      <sheetName val="1NYS(당)"/>
      <sheetName val="주식"/>
      <sheetName val="배수내역"/>
      <sheetName val="COPING"/>
      <sheetName val="2002상반기노임기준"/>
      <sheetName val="단가일람"/>
      <sheetName val="조경일람"/>
      <sheetName val="본체"/>
      <sheetName val="I.설계조건"/>
      <sheetName val="Basic"/>
      <sheetName val="D"/>
      <sheetName val="L"/>
      <sheetName val="M"/>
      <sheetName val="Part AB"/>
      <sheetName val="Part I"/>
      <sheetName val="Part M"/>
      <sheetName val="S"/>
      <sheetName val="E"/>
      <sheetName val="Resource"/>
      <sheetName val="Exrate"/>
      <sheetName val="40단가산출서"/>
      <sheetName val="골재및자재집계표"/>
      <sheetName val="수문보고"/>
      <sheetName val="할증 "/>
      <sheetName val="대운산출"/>
      <sheetName val="배수통관(좌)"/>
      <sheetName val="정부노임단가"/>
      <sheetName val="공사비예산서(토목분)"/>
      <sheetName val="침하계"/>
      <sheetName val="단면B-B(EA)"/>
      <sheetName val="역T형"/>
      <sheetName val="철근량"/>
      <sheetName val="수량명세서"/>
      <sheetName val="배수공"/>
      <sheetName val="간지"/>
      <sheetName val="수량집계표"/>
      <sheetName val="경영상태"/>
      <sheetName val="★도급내역"/>
      <sheetName val="대림경상68억"/>
      <sheetName val="최적단면"/>
      <sheetName val="직재"/>
      <sheetName val="건축내역서"/>
      <sheetName val="설비내역서"/>
      <sheetName val="전기내역서"/>
      <sheetName val="6PILE___돌출_"/>
      <sheetName val="3BL공동구_수량"/>
      <sheetName val="중기사용료"/>
      <sheetName val="일위"/>
      <sheetName val="교량전기"/>
      <sheetName val="갑지(집행)"/>
      <sheetName val="교대(A1-A2)"/>
      <sheetName val="설비"/>
      <sheetName val="기본"/>
      <sheetName val="일위7"/>
      <sheetName val="일위6"/>
      <sheetName val="일위5"/>
      <sheetName val="노무단가비교표"/>
      <sheetName val="일위1"/>
      <sheetName val="일위2"/>
      <sheetName val="일위3"/>
      <sheetName val="일위4"/>
      <sheetName val="목록"/>
      <sheetName val="자재단가표"/>
      <sheetName val="조합일"/>
      <sheetName val="철거일"/>
      <sheetName val="단가대비표"/>
      <sheetName val="일위8"/>
      <sheetName val="일위9"/>
      <sheetName val="철거산출근거"/>
      <sheetName val="자재집계표"/>
      <sheetName val="소방현물"/>
      <sheetName val="영동(D)"/>
      <sheetName val="지장물C"/>
      <sheetName val="코드표"/>
      <sheetName val="여과지동"/>
      <sheetName val="기초자료"/>
      <sheetName val="토사(PE)"/>
      <sheetName val="가압장구체수량산출서"/>
      <sheetName val="건축물터파기"/>
      <sheetName val="을 2"/>
      <sheetName val="을 1"/>
      <sheetName val="손익분석"/>
      <sheetName val="2.단면가정"/>
      <sheetName val="산마루측구단위수량"/>
      <sheetName val="기초INPUT"/>
      <sheetName val="INPUT"/>
      <sheetName val="토공-내역"/>
      <sheetName val="수량집계"/>
      <sheetName val="간접비"/>
      <sheetName val="관급총괄"/>
      <sheetName val="칠산대교 중앙부"/>
      <sheetName val="칠산대교 시종점부"/>
      <sheetName val="우수받이재료집계표"/>
      <sheetName val="토목"/>
      <sheetName val="기계(집계표)"/>
      <sheetName val="구조물공"/>
      <sheetName val="토공 total"/>
      <sheetName val="옹벽"/>
      <sheetName val="참고사항"/>
      <sheetName val="근로자자료입력"/>
      <sheetName val="6PILE  _돌_x001c__"/>
      <sheetName val="DATA"/>
      <sheetName val="수지예산"/>
      <sheetName val="교통표지판수량집계표"/>
      <sheetName val="집수정"/>
      <sheetName val="입상내역"/>
      <sheetName val="마감사양"/>
      <sheetName val="예정(3)"/>
      <sheetName val="현장관리비"/>
      <sheetName val="계산근거"/>
      <sheetName val="woo(mac)"/>
      <sheetName val="20-6(L)"/>
      <sheetName val="관로조사공"/>
      <sheetName val="본선차로수량집계표"/>
      <sheetName val="Sheet3"/>
      <sheetName val="김여중"/>
      <sheetName val="무근깨기"/>
      <sheetName val="96보완계획7.12"/>
      <sheetName val="TYPE-1"/>
      <sheetName val="A1(토공)"/>
      <sheetName val="A1(구조물)"/>
      <sheetName val="수량집계(1)"/>
      <sheetName val="철근집계표"/>
      <sheetName val="포장직선구간"/>
      <sheetName val="Sheet17"/>
      <sheetName val="지하"/>
      <sheetName val="J형측구단위수량"/>
      <sheetName val="소산진입"/>
      <sheetName val="guard(mac)"/>
      <sheetName val="이름"/>
      <sheetName val="실행내역서"/>
      <sheetName val="중기목록표"/>
      <sheetName val="포장공"/>
      <sheetName val="동원(3)"/>
      <sheetName val="9GNG운반"/>
      <sheetName val="대,유,램"/>
      <sheetName val="허용지지력"/>
      <sheetName val="Output"/>
      <sheetName val="9509"/>
      <sheetName val="토적표(우안)"/>
      <sheetName val="토적표(좌안)"/>
      <sheetName val="2.대외공문"/>
      <sheetName val="부하계산서"/>
      <sheetName val="70%"/>
      <sheetName val="소비자가"/>
      <sheetName val="공통가설공사"/>
      <sheetName val="가옥철거"/>
      <sheetName val="이토변실(A3-LINE)"/>
      <sheetName val="변경집계표"/>
      <sheetName val="전기"/>
      <sheetName val="입출재고현황 (2)"/>
      <sheetName val="type-F"/>
      <sheetName val="기계경비적용기준"/>
      <sheetName val="음봉방향"/>
      <sheetName val="교각1"/>
      <sheetName val="바닥판"/>
      <sheetName val="기계경비"/>
      <sheetName val="단위수량"/>
      <sheetName val="가설사무소수량집계"/>
      <sheetName val="2_단면가정_"/>
      <sheetName val="총_괄_표"/>
      <sheetName val="토공_갑지"/>
      <sheetName val="공사비증감(P4)_"/>
      <sheetName val="본선_토공_분배표"/>
      <sheetName val="단면_(2)"/>
      <sheetName val="하도내역_(철콘)"/>
      <sheetName val="부대토목"/>
      <sheetName val="토공계산서(부체도로)"/>
      <sheetName val="L형집계"/>
      <sheetName val="수입"/>
      <sheetName val="대부예산서"/>
      <sheetName val="기초공"/>
      <sheetName val="기둥(원형)"/>
      <sheetName val="부대공"/>
      <sheetName val="CIVIL4"/>
      <sheetName val="3련 BOX"/>
      <sheetName val="계화총괄"/>
      <sheetName val="계화배수(3대)"/>
      <sheetName val="자재(설치)"/>
      <sheetName val="비탈면보호공수량산출"/>
      <sheetName val="DRUM"/>
      <sheetName val="돌담교 상부수량"/>
      <sheetName val="을"/>
      <sheetName val="신표지1"/>
      <sheetName val="기계경비일람"/>
      <sheetName val="연습"/>
      <sheetName val="산출근거(S4)"/>
      <sheetName val="1을"/>
      <sheetName val="1.수인터널"/>
      <sheetName val="당초"/>
      <sheetName val="01.인원현황 (계획)"/>
      <sheetName val="낙찰표"/>
      <sheetName val="우수받이"/>
      <sheetName val="설계내역(2001)"/>
      <sheetName val="외주현황.wq1"/>
      <sheetName val="수로단위수량"/>
      <sheetName val="우각부보강"/>
      <sheetName val="CAL(1)."/>
      <sheetName val="12CGOU"/>
      <sheetName val="Bend_fact "/>
      <sheetName val="요약배부"/>
      <sheetName val="주관사업"/>
      <sheetName val="STAFF ANALYSIS"/>
      <sheetName val="C"/>
      <sheetName val="96노임기준"/>
      <sheetName val="일위대가1"/>
      <sheetName val="국공유지및사유지"/>
      <sheetName val="화전내"/>
      <sheetName val="보차도경계석"/>
      <sheetName val="단위단가"/>
      <sheetName val="의뢰서"/>
      <sheetName val="건축"/>
      <sheetName val="BOX(1.5X1.5)"/>
      <sheetName val="J01"/>
      <sheetName val="금융비용"/>
      <sheetName val="맨홀수량산출"/>
      <sheetName val="당초내역서"/>
      <sheetName val="전체변경예정공정표_2012.07.30"/>
      <sheetName val="설계내역서"/>
      <sheetName val="제수변수량H2.15"/>
      <sheetName val="_공기변수량"/>
      <sheetName val="데리네이타현황"/>
      <sheetName val="중기비"/>
      <sheetName val="하천하류 철근수량 집계표"/>
      <sheetName val="일위대가표"/>
      <sheetName val="일위대가(1)"/>
      <sheetName val="운반"/>
      <sheetName val="AN-01"/>
      <sheetName val="PRICES"/>
      <sheetName val="골조시행"/>
      <sheetName val="예상"/>
      <sheetName val="LOB"/>
      <sheetName val="C-직노1"/>
      <sheetName val="Supplement2"/>
      <sheetName val=""/>
      <sheetName val="설계"/>
      <sheetName val="ASP 일반구간_250A"/>
      <sheetName val="노임"/>
      <sheetName val="평가데이터"/>
      <sheetName val="포장총괄집계표"/>
      <sheetName val="품셈TABLE"/>
      <sheetName val="품의"/>
      <sheetName val="이형관격점별수량산출(2)"/>
      <sheetName val="품"/>
      <sheetName val="loading"/>
      <sheetName val="건설기계_목록"/>
      <sheetName val="4-1.노무비(직영)"/>
      <sheetName val="조건표"/>
      <sheetName val="총수량 (기성)"/>
      <sheetName val="DHEQSUPT"/>
      <sheetName val="BOX"/>
      <sheetName val="IW-LIST"/>
      <sheetName val="현황"/>
      <sheetName val="1.설계기준"/>
      <sheetName val="철집"/>
      <sheetName val="배수관설치현황"/>
      <sheetName val="2.하중산정"/>
      <sheetName val="부표총괄"/>
      <sheetName val="N賃率-職"/>
      <sheetName val="T.T.P 단위수량"/>
      <sheetName val="설직재-1"/>
      <sheetName val="화재 탐지 설비"/>
      <sheetName val="좌측"/>
      <sheetName val="F301_303"/>
      <sheetName val="plan&amp;section_of_foundation"/>
      <sheetName val="design_load"/>
      <sheetName val="working_load_at_the_btm_ft_"/>
      <sheetName val="stability_check"/>
      <sheetName val="design_criteria"/>
      <sheetName val="CAL(1)_"/>
      <sheetName val="Bend_fact_"/>
      <sheetName val="STAFF_ANALYSIS"/>
      <sheetName val="Sheet1_(2)"/>
      <sheetName val="횡배날개"/>
      <sheetName val="Cash2"/>
      <sheetName val="Z"/>
      <sheetName val="BQMPALOC"/>
      <sheetName val="A-4"/>
      <sheetName val="우수"/>
      <sheetName val="내역-가"/>
      <sheetName val="관급자재대"/>
      <sheetName val="1단계"/>
      <sheetName val="집계표(OPTION)"/>
      <sheetName val="단면가정"/>
      <sheetName val="총괄표"/>
      <sheetName val="계획서"/>
      <sheetName val="도자"/>
      <sheetName val="덤프총괄"/>
      <sheetName val="순성토운반거리산정"/>
      <sheetName val="임목폐기물파쇄"/>
      <sheetName val="토적집계표"/>
      <sheetName val="벌목공"/>
      <sheetName val="유동(순성_최종)"/>
      <sheetName val="비옥토수거"/>
      <sheetName val="이기(집계)"/>
      <sheetName val="2차토량발생"/>
      <sheetName val="6PILE (돌출)"/>
      <sheetName val="흥양2교토공집계표"/>
      <sheetName val="JUCKEYK"/>
      <sheetName val="교차구"/>
      <sheetName val="설계예시"/>
      <sheetName val="전선 및 전선관"/>
      <sheetName val="수량산출서"/>
      <sheetName val="전력구구조물산근"/>
      <sheetName val="우수맨홀공제단위수량"/>
      <sheetName val="실행대비"/>
      <sheetName val="우수공"/>
      <sheetName val="TYPE-A"/>
      <sheetName val="기존-내역"/>
      <sheetName val="제직재"/>
      <sheetName val="제-노임"/>
      <sheetName val="단위수량산출"/>
      <sheetName val="용산1(해보)"/>
      <sheetName val="직노"/>
      <sheetName val="1련박스"/>
      <sheetName val="BOX-1510"/>
      <sheetName val="전기혼잡제경비(45)"/>
      <sheetName val="Pier 3"/>
      <sheetName val="깨기"/>
      <sheetName val="옹벽집계표"/>
      <sheetName val="마산방향"/>
      <sheetName val="원형맨홀수량"/>
      <sheetName val="트랜치 집수정 연결관-연장산출서"/>
      <sheetName val="배수장토목공사비"/>
      <sheetName val="STEEL BOX 단면설계(SEC.8)"/>
      <sheetName val="단위자갈수량1"/>
      <sheetName val="계수시트"/>
      <sheetName val="인부노임"/>
      <sheetName val="자금신청서"/>
      <sheetName val="구체"/>
      <sheetName val="좌측날개벽"/>
      <sheetName val="우측날개벽"/>
      <sheetName val="tggwan(mac)"/>
      <sheetName val="토목검측서"/>
      <sheetName val="P.M 별"/>
      <sheetName val="토적계산"/>
      <sheetName val="건축내역"/>
      <sheetName val="중기목록"/>
      <sheetName val="운반단가"/>
      <sheetName val="6공구(당초)"/>
      <sheetName val="A LINE"/>
      <sheetName val="C.배수관공"/>
      <sheetName val="옹벽식측구단위"/>
      <sheetName val="외자배분"/>
      <sheetName val="외자내역"/>
      <sheetName val="수량"/>
      <sheetName val="시멘트 및 골재량 (슬래브)"/>
      <sheetName val="시멘트 및 골재량 (거더)"/>
      <sheetName val="지장물조서"/>
      <sheetName val="공틀공사"/>
      <sheetName val="MATERIAL"/>
      <sheetName val="단면검토"/>
      <sheetName val="VS P-Q"/>
      <sheetName val="찍기"/>
      <sheetName val="6월인원"/>
      <sheetName val="상부공"/>
      <sheetName val="부대토공"/>
      <sheetName val="차선위치조서"/>
      <sheetName val="업체선정"/>
      <sheetName val="A1-DATA"/>
      <sheetName val="단면"/>
      <sheetName val="주형"/>
      <sheetName val="계약용량(서포)"/>
      <sheetName val="연결관암거"/>
      <sheetName val="전기일위대가"/>
      <sheetName val="구조물철거개소별명세"/>
      <sheetName val="배수관토공산출"/>
      <sheetName val="날개벽수량표"/>
      <sheetName val="직원인원"/>
      <sheetName val="산출근거-S1"/>
      <sheetName val="3절_CheckList_구분"/>
      <sheetName val="개요"/>
      <sheetName val="입력시트"/>
      <sheetName val="단가산출"/>
      <sheetName val="광주전남"/>
      <sheetName val="Sheet13"/>
      <sheetName val="Sheet14"/>
      <sheetName val="GEN"/>
      <sheetName val="설계내역"/>
      <sheetName val="INPUTDATA"/>
      <sheetName val="주요자재집계"/>
      <sheetName val="자재 집계표"/>
      <sheetName val="일반공사"/>
      <sheetName val="저"/>
      <sheetName val="REINF."/>
      <sheetName val="공종별내역서"/>
      <sheetName val="토공사"/>
      <sheetName val="모델링"/>
      <sheetName val="하중계산"/>
      <sheetName val="견적서세부내용"/>
      <sheetName val="견적내용입력"/>
      <sheetName val="_x0018__x0000_℀"/>
      <sheetName val="총집계"/>
      <sheetName val="토공정보"/>
      <sheetName val="GAEYO"/>
      <sheetName val="사리부설"/>
      <sheetName val="견적"/>
      <sheetName val="대목"/>
      <sheetName val="토공산출(시)"/>
      <sheetName val="토공산출(포)"/>
      <sheetName val="배명(단가)"/>
      <sheetName val="상반기손익차2총괄"/>
      <sheetName val="표준단면수량(출력안함)"/>
      <sheetName val="집수정(600-700)"/>
      <sheetName val="CODE"/>
      <sheetName val="MOTOR"/>
      <sheetName val="경산"/>
      <sheetName val="공사명입력"/>
      <sheetName val="참고자료"/>
      <sheetName val="데이타"/>
      <sheetName val="임목폐기물집계"/>
      <sheetName val="시중노임"/>
      <sheetName val="Finansal tamamlanma Eğrisi"/>
      <sheetName val="TESİSAT"/>
      <sheetName val="Finansal_tamamlanma_Eğrisi"/>
      <sheetName val="단가비교"/>
      <sheetName val="표지"/>
      <sheetName val="입찰내역 발주처 양식"/>
      <sheetName val="공사개요"/>
      <sheetName val="보험료산출"/>
      <sheetName val="산출내역(4월)"/>
      <sheetName val="산출내역(5월) (2)"/>
      <sheetName val="01. 지사동"/>
      <sheetName val="일위대가(가설)"/>
      <sheetName val="부대내역"/>
      <sheetName val="증감내역"/>
      <sheetName val="setup"/>
      <sheetName val="Summary "/>
      <sheetName val="Thiet bi"/>
      <sheetName val="DM.ChiPhi"/>
      <sheetName val="6PILE__(돌출)1"/>
      <sheetName val="토공_갑지1"/>
      <sheetName val="총_괄_표1"/>
      <sheetName val="1062-X방향_"/>
      <sheetName val="3_공통공사대비"/>
      <sheetName val="제출내역_(2)"/>
      <sheetName val="1_설계조건"/>
      <sheetName val="8_PILE__(돌출)"/>
      <sheetName val="1__설계조건_2_단면가정_3__하중계산"/>
      <sheetName val="DATA_입력란"/>
      <sheetName val="BOX_본체"/>
      <sheetName val="6PILE_과속방지턱집계표!$K$12_(돌출)"/>
      <sheetName val="선적schedule_(2)"/>
      <sheetName val="4_2유효폭의_계산"/>
      <sheetName val="TOWER_10TON"/>
      <sheetName val="TOWER_12TON"/>
      <sheetName val="PAD_TR보호대기초"/>
      <sheetName val="전차선로_물량표"/>
      <sheetName val="3_하중산정4_지지력"/>
      <sheetName val="Eq. Mobilization"/>
      <sheetName val="가시설(TYPE-A)"/>
      <sheetName val="1호맨홀가감수량"/>
      <sheetName val="1-1평균터파기고(1)"/>
      <sheetName val="1호맨홀수량산출"/>
      <sheetName val="_x0018_"/>
      <sheetName val="연결임시"/>
      <sheetName val="7.PILE  (돌출)"/>
      <sheetName val="우수관로단위수량(300)"/>
      <sheetName val="내역검토사항"/>
      <sheetName val="간1"/>
      <sheetName val="공사예산서"/>
      <sheetName val="예산서(사급분)"/>
      <sheetName val="설계내역집계표"/>
      <sheetName val="간2"/>
      <sheetName val="총괄자재집계표"/>
      <sheetName val="수량총괄표"/>
      <sheetName val="간3"/>
      <sheetName val="품셈총괄표"/>
      <sheetName val="품셈"/>
      <sheetName val="간4"/>
      <sheetName val="부표총괄표"/>
      <sheetName val="부표"/>
      <sheetName val="간5"/>
      <sheetName val="별표총괄표"/>
      <sheetName val="별표"/>
      <sheetName val="운반거리"/>
      <sheetName val="간6"/>
      <sheetName val="간7"/>
      <sheetName val="원가(조경)"/>
      <sheetName val="원가(토목)"/>
      <sheetName val="타견적(을)"/>
      <sheetName val="단가조사표"/>
      <sheetName val="변경내역대비표(2)"/>
      <sheetName val="6PILE  _돌_x005f_x001c__"/>
      <sheetName val="도급견적가"/>
      <sheetName val="98지급계획"/>
      <sheetName val="EP0618"/>
      <sheetName val="단가산출2"/>
      <sheetName val="중기사용료산출근거"/>
      <sheetName val="맨홀되메우기"/>
      <sheetName val="하수급견적대비"/>
      <sheetName val="미생물배양기 기초"/>
      <sheetName val="직공시공계획서"/>
      <sheetName val="격점관로집계"/>
      <sheetName val="6PILE_______G_6_______H_10____2"/>
      <sheetName val="방송(체육관)"/>
      <sheetName val="과속방지턱"/>
      <sheetName val="일위대가(여기까지)"/>
      <sheetName val="금융"/>
      <sheetName val="99노임단가"/>
      <sheetName val="자판실행"/>
      <sheetName val="지장물현황"/>
      <sheetName val="분묘 총 현황"/>
      <sheetName val="지하매설물조서"/>
      <sheetName val="지장물도면"/>
      <sheetName val="MAIN GATE HOUSE"/>
      <sheetName val="escon"/>
      <sheetName val="264"/>
      <sheetName val="6MONTHS"/>
      <sheetName val="단위수량(출력X)"/>
      <sheetName val="준검 내역서"/>
      <sheetName val="흄관기초"/>
      <sheetName val="0"/>
      <sheetName val="날개수량1.5"/>
      <sheetName val="6PILE___돌출_1"/>
      <sheetName val="3BL공동구_수량1"/>
      <sheetName val="하도내역_(철콘)1"/>
      <sheetName val="본선_토공_분배표1"/>
      <sheetName val="2_단면가정_1"/>
      <sheetName val="단면_(2)1"/>
      <sheetName val="간_지1"/>
      <sheetName val="공사비증감(P4)_1"/>
      <sheetName val="Part_AB"/>
      <sheetName val="Part_I"/>
      <sheetName val="Part_M"/>
      <sheetName val="할증_"/>
      <sheetName val="6PILE+옹벽집계!$G$6+옹벽집계!$H$10__(돌출"/>
      <sheetName val="돌담교_상부수량"/>
      <sheetName val="S_중기사용료"/>
      <sheetName val="6PILE___돌_"/>
      <sheetName val="01_견적내역서"/>
      <sheetName val="1_수인터널"/>
      <sheetName val="3련_BOX"/>
      <sheetName val="I_설계조건"/>
      <sheetName val="01_인원현황_(계획)"/>
      <sheetName val="총수량_(기성)"/>
      <sheetName val="4-1_노무비(직영)"/>
      <sheetName val="을_2"/>
      <sheetName val="을_1"/>
      <sheetName val="2_교량(신설)"/>
      <sheetName val="입출재고현황_(2)"/>
      <sheetName val="1_토공"/>
      <sheetName val="제수변수량H2_15"/>
      <sheetName val="REINF_"/>
      <sheetName val="2_단면가정"/>
      <sheetName val="T_T_P_단위수량"/>
      <sheetName val="칠산대교_중앙부"/>
      <sheetName val="칠산대교_시종점부"/>
      <sheetName val="BOX(1_5X1_5)"/>
      <sheetName val="전선_및_전선관"/>
      <sheetName val="교대(A1)"/>
      <sheetName val="자재집계"/>
      <sheetName val="95MAKER"/>
      <sheetName val="재료율"/>
      <sheetName val="Sheet1_(2)1"/>
      <sheetName val="F301_3031"/>
      <sheetName val="plan&amp;section_of_foundation1"/>
      <sheetName val="design_load1"/>
      <sheetName val="working_load_at_the_btm_ft_1"/>
      <sheetName val="stability_check1"/>
      <sheetName val="design_criteria1"/>
      <sheetName val="CAL(1)_1"/>
      <sheetName val="Bend_fact_1"/>
      <sheetName val="STAFF_ANALYSIS1"/>
      <sheetName val="2_대외공문"/>
      <sheetName val="ASP_일반구간_250A"/>
      <sheetName val="96보완계획7_12"/>
      <sheetName val="전체변경예정공정표_2012_07_30"/>
      <sheetName val="토공_total"/>
      <sheetName val="화재_탐지_설비"/>
      <sheetName val="6PILE_(돌출)"/>
      <sheetName val="외주현황_wq1"/>
      <sheetName val="P_M_별"/>
      <sheetName val="추진공"/>
      <sheetName val="목창호"/>
      <sheetName val="선급금신청서"/>
      <sheetName val="특2맨홀(차도)(T-A)"/>
      <sheetName val="특2맨홀(보도)(T-A)"/>
      <sheetName val="맨홀이음부 몰탈수량 집계표"/>
      <sheetName val="작성"/>
      <sheetName val="danga"/>
      <sheetName val="ilch"/>
      <sheetName val="안정검토"/>
      <sheetName val="각형맨홀"/>
      <sheetName val="요율"/>
      <sheetName val="전체철근집계"/>
      <sheetName val="U형측구 표준단면도"/>
      <sheetName val=" FURNACE현설"/>
      <sheetName val="Open"/>
      <sheetName val="관로연장산출"/>
      <sheetName val="차선도색"/>
      <sheetName val="負荷集計（断熱不燃）"/>
      <sheetName val="dongia (2)"/>
      <sheetName val="Div26 - Elect"/>
      <sheetName val="RAB AR&amp;STR"/>
      <sheetName val="electrical"/>
      <sheetName val="기성집계"/>
      <sheetName val="breakdown"/>
      <sheetName val="main1"/>
      <sheetName val="RefG"/>
      <sheetName val="IRR sponsor"/>
      <sheetName val="laroux"/>
      <sheetName val="1.설계조건 "/>
      <sheetName val="2.단면1"/>
      <sheetName val="2.단면2"/>
      <sheetName val="3.토압계산"/>
      <sheetName val="4.하중계산"/>
      <sheetName val="5.안정검토"/>
      <sheetName val="5.안정검토 (2)"/>
      <sheetName val="6.벽체계산"/>
      <sheetName val="7.FOOTING 계산(직접기초)"/>
      <sheetName val="7.PILE "/>
      <sheetName val="FOOTING 계산(PILE기초)"/>
      <sheetName val="FOOTING계산(돌출)"/>
      <sheetName val="BM"/>
      <sheetName val="BALAN1"/>
      <sheetName val="(10) Other Costs5"/>
      <sheetName val="LAST UPDATE"/>
      <sheetName val="마감물량"/>
      <sheetName val="h-013211-2"/>
      <sheetName val="Bill summary of cost"/>
      <sheetName val="INTERIOR WALLS"/>
      <sheetName val="LLEGADA"/>
      <sheetName val="GAE8'97"/>
      <sheetName val="CFA"/>
      <sheetName val="Material Price"/>
      <sheetName val="2.223M_due to adj profit"/>
      <sheetName val="Land Dev't. Ph-1"/>
      <sheetName val="Benchmark"/>
      <sheetName val="GESTION FICHE"/>
      <sheetName val="TRADUCTION LISTES"/>
      <sheetName val="Table"/>
      <sheetName val="BQextra"/>
      <sheetName val="TOSHIBA-Structure"/>
      <sheetName val="8-31-98"/>
      <sheetName val="worksheet inchican"/>
      <sheetName val="combined 9-30"/>
      <sheetName val="일위대가-1"/>
      <sheetName val="횡배수관"/>
      <sheetName val="INPUT(덕도방향-시점)"/>
      <sheetName val="정공공사"/>
      <sheetName val="포설list원본"/>
      <sheetName val="현장관리비 산출내역"/>
      <sheetName val="T13(P68~72,78)"/>
      <sheetName val="MANP"/>
      <sheetName val="SYSTEM 945 Air&amp;Nitrogen"/>
      <sheetName val="백분율"/>
      <sheetName val="Contents"/>
      <sheetName val="Form.A"/>
      <sheetName val="Electrical(ISBL)"/>
      <sheetName val="Form.C"/>
      <sheetName val="Form.D"/>
      <sheetName val="Form.E"/>
      <sheetName val="Form.F"/>
      <sheetName val="Form.G"/>
      <sheetName val="6PILE__(돌출)2"/>
      <sheetName val="토공_갑지2"/>
      <sheetName val="총_괄_표2"/>
      <sheetName val="1062-X방향_1"/>
      <sheetName val="3_공통공사대비1"/>
      <sheetName val="제출내역_(2)1"/>
      <sheetName val="1_설계조건1"/>
      <sheetName val="8_PILE__(돌출)1"/>
      <sheetName val="1__설계조건_2_단면가정_3__하중계산1"/>
      <sheetName val="DATA_입력란1"/>
      <sheetName val="BOX_본체1"/>
      <sheetName val="6PILE_과속방지턱집계표!$K$12_(돌출)1"/>
      <sheetName val="선적schedule_(2)1"/>
      <sheetName val="4_2유효폭의_계산1"/>
      <sheetName val="TOWER_10TON1"/>
      <sheetName val="TOWER_12TON1"/>
      <sheetName val="PAD_TR보호대기초1"/>
      <sheetName val="전차선로_물량표1"/>
      <sheetName val="3_하중산정4_지지력1"/>
      <sheetName val="Summary_"/>
      <sheetName val="Thiet_bi"/>
      <sheetName val="DM_ChiPhi"/>
      <sheetName val="MAIN_GATE_HOUSE"/>
      <sheetName val="DANHPHAP"/>
      <sheetName val="tifico"/>
      <sheetName val="EQT-ESTN"/>
      <sheetName val="PTdam"/>
      <sheetName val="MTP"/>
      <sheetName val="1회기성을"/>
      <sheetName val="총괄내역"/>
      <sheetName val="깨؀"/>
      <sheetName val="깨٫"/>
      <sheetName val="일위대가-2"/>
      <sheetName val="연결원본-절대지우지말것"/>
      <sheetName val="6PILE_______G_6_______H_10____3"/>
      <sheetName val="중기"/>
      <sheetName val="투입"/>
      <sheetName val="본실행경비"/>
      <sheetName val="STEEL_BOX_단면설계(SEC_8)"/>
      <sheetName val="01__지사동"/>
      <sheetName val="하천하류_철근수량_집계표"/>
      <sheetName val="2_하중산정"/>
      <sheetName val="1_설계기준"/>
      <sheetName val="입찰내역_발주처_양식"/>
      <sheetName val="datasheet"/>
      <sheetName val="소방현䀀"/>
      <sheetName val="소방현_x0000_"/>
      <sheetName val="IMPEADENCE MAP 취수장"/>
      <sheetName val="방배2E"/>
      <sheetName val="일용노임단가"/>
      <sheetName val="이형관"/>
      <sheetName val="PM Demolition "/>
      <sheetName val="갈현동"/>
      <sheetName val="wall"/>
      <sheetName val="Y_WORK"/>
      <sheetName val="Master"/>
      <sheetName val="DGCT"/>
      <sheetName val="Ts"/>
      <sheetName val="TH"/>
      <sheetName val="Bia"/>
      <sheetName val="Vattu"/>
      <sheetName val="XL4Poppy"/>
      <sheetName val="6PILE  _돌_x005f_x005f_x005f_x001c__"/>
      <sheetName val="DG duoi"/>
      <sheetName val="6PILE__(돌출)3"/>
      <sheetName val="토공_갑지3"/>
      <sheetName val="총_괄_표3"/>
      <sheetName val="2_단면가정_2"/>
      <sheetName val="3BL공동구_수량2"/>
      <sheetName val="6PILE___돌출_2"/>
      <sheetName val="Summary_1"/>
      <sheetName val="Thiet_bi1"/>
      <sheetName val="DM_ChiPhi1"/>
      <sheetName val="dongia_(2)"/>
      <sheetName val="RAB_AR&amp;STR"/>
      <sheetName val="Div26_-_Elect"/>
      <sheetName val="본선_토공_분배표2"/>
      <sheetName val="Sheet1_(2)2"/>
      <sheetName val="1062-X방향_2"/>
      <sheetName val="3_공통공사대비2"/>
      <sheetName val="제출내역_(2)2"/>
      <sheetName val="1_설계조건2"/>
      <sheetName val="8_PILE__(돌출)2"/>
      <sheetName val="단면_(2)2"/>
      <sheetName val="하도내역_(철콘)2"/>
      <sheetName val="1__설계조건_2_단면가정_3__하중계산2"/>
      <sheetName val="DATA_입력란2"/>
      <sheetName val="공사비증감(P4)_2"/>
      <sheetName val="BOX_본체2"/>
      <sheetName val="6PILE_과속방지턱집계표!$K$12_(돌출)2"/>
      <sheetName val="F301_3032"/>
      <sheetName val="plan&amp;section_of_foundation2"/>
      <sheetName val="design_load2"/>
      <sheetName val="working_load_at_the_btm_ft_2"/>
      <sheetName val="stability_check2"/>
      <sheetName val="design_criteria2"/>
      <sheetName val="선적schedule_(2)2"/>
      <sheetName val="4_2유효폭의_계산2"/>
      <sheetName val="TOWER_10TON2"/>
      <sheetName val="TOWER_12TON2"/>
      <sheetName val="PAD_TR보호대기초2"/>
      <sheetName val="전차선로_물량표2"/>
      <sheetName val="CAL(1)_2"/>
      <sheetName val="Bend_fact_2"/>
      <sheetName val="STAFF_ANALYSIS2"/>
      <sheetName val="3_하중산정4_지지력2"/>
      <sheetName val="간_지11"/>
      <sheetName val="01_견적내역서1"/>
      <sheetName val="Part_AB1"/>
      <sheetName val="Part_I1"/>
      <sheetName val="Part_M1"/>
      <sheetName val="할증_1"/>
      <sheetName val="6PILE+옹벽집계!$G$6+옹벽집계!$H$10__(돌1"/>
      <sheetName val="S_중기사용료1"/>
      <sheetName val="3련_BOX1"/>
      <sheetName val="MAIN_GATE_HOUSE1"/>
      <sheetName val="ASP_일반구간_250A1"/>
      <sheetName val="2_교량(신설)1"/>
      <sheetName val="I_설계조건1"/>
      <sheetName val="01_인원현황_(계획)1"/>
      <sheetName val="돌담교_상부수량1"/>
      <sheetName val="1_수인터널1"/>
      <sheetName val="6PILE___돌_x005f_x001c__"/>
      <sheetName val="아파트 기성내역서"/>
      <sheetName val="공정"/>
      <sheetName val="dongia_(2)1"/>
      <sheetName val="Div26_-_Elect1"/>
      <sheetName val="RAB_AR&amp;STR1"/>
      <sheetName val="시멘트_및_골재량_(슬래브)"/>
      <sheetName val="시멘트_및_골재량_(거더)"/>
      <sheetName val="산1~6"/>
      <sheetName val="중기조종사 단위단가"/>
      <sheetName val="금액결정"/>
      <sheetName val="횡배위치"/>
      <sheetName val="철근단면적"/>
      <sheetName val="Y-WORK"/>
      <sheetName val="출입구총집계"/>
      <sheetName val="토공집계"/>
      <sheetName val="단위가격"/>
      <sheetName val="견적 (2)"/>
      <sheetName val="USGC"/>
      <sheetName val="Equip."/>
      <sheetName val="database"/>
      <sheetName val="INFOR-ST"/>
      <sheetName val="TEN CONG TRINH"/>
      <sheetName val="Notes"/>
      <sheetName val="BANG TONG HOP (2)"/>
      <sheetName val="AUTOMATIC SELECT"/>
      <sheetName val="단면치수"/>
      <sheetName val="가설대가"/>
      <sheetName val="토공대가"/>
      <sheetName val="구조대가"/>
      <sheetName val="포설대가1"/>
      <sheetName val="부대대가"/>
      <sheetName val="정산"/>
      <sheetName val="Cash Out Table"/>
      <sheetName val="Net Cash Table"/>
      <sheetName val="HVAC"/>
      <sheetName val="Riesgos y Oportunidades"/>
      <sheetName val="총수량_(기성)1"/>
      <sheetName val="4-1_노무비(직영)1"/>
      <sheetName val="을_21"/>
      <sheetName val="을_11"/>
      <sheetName val="2_단면가정1"/>
      <sheetName val="입출재고현황_(2)1"/>
      <sheetName val="1_토공1"/>
      <sheetName val="제수변수량H2_151"/>
      <sheetName val="T_T_P_단위수량1"/>
      <sheetName val="BOX(1_5X1_5)1"/>
      <sheetName val="칠산대교_중앙부1"/>
      <sheetName val="칠산대교_시종점부1"/>
      <sheetName val="96보완계획7_121"/>
      <sheetName val="전선_및_전선관1"/>
      <sheetName val="2_대외공문1"/>
      <sheetName val="전체변경예정공정표_2012_07_301"/>
      <sheetName val="토공_total1"/>
      <sheetName val="외주현황_wq11"/>
      <sheetName val="6PILE_(돌출)1"/>
      <sheetName val="P_M_별1"/>
      <sheetName val="화재_탐지_설비1"/>
      <sheetName val="자재_집계표"/>
      <sheetName val="REINF_1"/>
      <sheetName val="트랜치_집수정_연결관-연장산출서"/>
      <sheetName val="산출내역(5월)_(2)"/>
      <sheetName val="℀"/>
      <sheetName val="Pier_3"/>
      <sheetName val="Eq__Mobilization"/>
      <sheetName val="IRR_sponsor"/>
      <sheetName val="1_설계조건_"/>
      <sheetName val="2_단면1"/>
      <sheetName val="2_단면2"/>
      <sheetName val="3_토압계산"/>
      <sheetName val="4_하중계산"/>
      <sheetName val="5_안정검토"/>
      <sheetName val="5_안정검토_(2)"/>
      <sheetName val="6_벽체계산"/>
      <sheetName val="7_FOOTING_계산(직접기초)"/>
      <sheetName val="7_PILE_"/>
      <sheetName val="FOOTING_계산(PILE기초)"/>
      <sheetName val="(10)_Other_Costs5"/>
      <sheetName val="LAST_UPDATE"/>
      <sheetName val="Bill_summary_of_cost"/>
      <sheetName val="INTERIOR_WALLS"/>
      <sheetName val="Material_Price"/>
      <sheetName val="2_223M_due_to_adj_profit"/>
      <sheetName val="Land_Dev't__Ph-1"/>
      <sheetName val="GESTION_FICHE"/>
      <sheetName val="TRADUCTION_LISTES"/>
      <sheetName val="_FURNACE현설"/>
      <sheetName val="Finansal_tamamlanma_Eğrisi1"/>
      <sheetName val="A_LINE"/>
      <sheetName val="C_배수관공"/>
      <sheetName val="날개수량1_5"/>
      <sheetName val="맨홀이음부_몰탈수량_집계표"/>
      <sheetName val="U형측구_표준단면도"/>
      <sheetName val="SYSTEM_945_Air&amp;Nitrogen"/>
      <sheetName val="PM_Demolition_"/>
      <sheetName val="Form_A"/>
      <sheetName val="Form_C"/>
      <sheetName val="Form_D"/>
      <sheetName val="Form_E"/>
      <sheetName val="Form_F"/>
      <sheetName val="Form_G"/>
      <sheetName val="현장관리비_산출내역"/>
      <sheetName val="7_PILE__(돌출)"/>
      <sheetName val="분묘_총_현황"/>
      <sheetName val="준검_내역서"/>
      <sheetName val="잡비계산"/>
      <sheetName val="보고서"/>
      <sheetName val="기본단가"/>
      <sheetName val="인건비단가"/>
      <sheetName val="상부하중"/>
      <sheetName val="풍하중1"/>
      <sheetName val="음성방향"/>
      <sheetName val="1공구산출내역서"/>
      <sheetName val="SLAB"/>
      <sheetName val="S_중기사용료2"/>
      <sheetName val="1_토공2"/>
      <sheetName val="01_견적내역서2"/>
      <sheetName val="6PILE__(돌출)4"/>
      <sheetName val="2_단면가정_3"/>
      <sheetName val="6PILE___돌출_3"/>
      <sheetName val="3BL공동구_수량3"/>
      <sheetName val="하도내역_(철콘)3"/>
      <sheetName val="본선_토공_분배표3"/>
      <sheetName val="Sheet1_(2)3"/>
      <sheetName val="8_PILE__(돌출)3"/>
      <sheetName val="S_중기사용료3"/>
      <sheetName val="단면_(2)3"/>
      <sheetName val="3_공통공사대비3"/>
      <sheetName val="1062-X방향_3"/>
      <sheetName val="공사비증감(P4)_3"/>
      <sheetName val="1__설계조건_2_단면가정_3__하중계산3"/>
      <sheetName val="DATA_입력란3"/>
      <sheetName val="1_토공3"/>
      <sheetName val="01_견적내역서3"/>
      <sheetName val="제출내역_(2)3"/>
      <sheetName val="기계경비(시간당)"/>
      <sheetName val="램머"/>
      <sheetName val="식재인부"/>
      <sheetName val="시설물기초"/>
      <sheetName val="분석"/>
      <sheetName val="수자재단위당"/>
      <sheetName val="유리"/>
      <sheetName val="NAI"/>
      <sheetName val="품셈총_x0000__x0000_"/>
      <sheetName val="수목데이타 "/>
      <sheetName val="물가자료"/>
      <sheetName val="가로등내역서"/>
      <sheetName val="교사기준면적(초등)"/>
      <sheetName val="암거날개벽재료집계"/>
      <sheetName val="용산3(영광)"/>
      <sheetName val="_x0018_?℀"/>
      <sheetName val="기계공사"/>
      <sheetName val="공사비총"/>
      <sheetName val="125x125"/>
      <sheetName val="Du lieu ban dau"/>
      <sheetName val="Earthwork"/>
      <sheetName val="149-2"/>
      <sheetName val="Đon gia"/>
      <sheetName val="Duc_bk"/>
      <sheetName val="Đơn Giá "/>
      <sheetName val="Config"/>
      <sheetName val="TH_CPTB"/>
      <sheetName val="CP Khac cuoc VC"/>
      <sheetName val="Rates"/>
      <sheetName val="T.KE CP1"/>
      <sheetName val="Rekap Addendum"/>
      <sheetName val="Hrg.Sat"/>
      <sheetName val="Sec I ML"/>
      <sheetName val=" PE-F-42 MR 9 Manpower"/>
      <sheetName val="On Time"/>
      <sheetName val="Curup"/>
      <sheetName val="Prabu"/>
      <sheetName val="PESANTREN"/>
      <sheetName val="G"/>
      <sheetName val="A"/>
      <sheetName val="BG"/>
      <sheetName val="Parem"/>
      <sheetName val="SEX"/>
      <sheetName val="Takeoff"/>
      <sheetName val="INFO"/>
      <sheetName val="B3A - TOWER A"/>
      <sheetName val="Bill of Qty MEP"/>
      <sheetName val="ctTBA"/>
      <sheetName val="PNT_QUOT__3"/>
      <sheetName val="COAT_WRAP_QIOT__3"/>
      <sheetName val="Nhan cong"/>
      <sheetName val="Gld"/>
      <sheetName val="Gxd"/>
      <sheetName val="QD957"/>
      <sheetName val="공사개요-C"/>
      <sheetName val="Items"/>
      <sheetName val="HESO"/>
      <sheetName val="TOTAL SUMMARY"/>
      <sheetName val="우배수"/>
      <sheetName val="J直材4"/>
      <sheetName val="전계가"/>
      <sheetName val="ACUNIT"/>
      <sheetName val="98수문일위"/>
      <sheetName val="평균터파기고(1-2,ASP)"/>
      <sheetName val="제1종배수관"/>
      <sheetName val="제2종배수관"/>
      <sheetName val="제4종배수관"/>
      <sheetName val="토목공사"/>
      <sheetName val="0226"/>
      <sheetName val="CFS3"/>
      <sheetName val="F4-F7"/>
      <sheetName val="검사원"/>
      <sheetName val="기성요약서"/>
      <sheetName val="원가계산서"/>
      <sheetName val="공종별집계표"/>
      <sheetName val="간지1"/>
      <sheetName val="순공사비산출서"/>
      <sheetName val="#첨부서류"/>
      <sheetName val="목차"/>
      <sheetName val="보험료정산내역서"/>
      <sheetName val="산갑"/>
      <sheetName val="안전관리비사용내역서(총괄표)"/>
      <sheetName val="품질갑지"/>
      <sheetName val="매몰부검측갑지"/>
      <sheetName val="관급수불부갑지"/>
      <sheetName val="사급수불부갑지"/>
      <sheetName val="노무비지급대장갑지"/>
      <sheetName val="사진대지갑"/>
      <sheetName val="기성사진대지"/>
      <sheetName val="기성검사사진"/>
      <sheetName val="1.사유서"/>
      <sheetName val="부재별산출서"/>
      <sheetName val="CAUDIT"/>
      <sheetName val="능률"/>
      <sheetName val="동력부하계산"/>
      <sheetName val="WORK"/>
      <sheetName val="안정계산"/>
      <sheetName val="도"/>
      <sheetName val="구성비"/>
      <sheetName val="배수공집계표"/>
      <sheetName val="하중산정"/>
      <sheetName val="공정계획(내부계획25%,내부w.f)"/>
      <sheetName val="AILC004"/>
      <sheetName val="시설물일위"/>
      <sheetName val="잡석,기타"/>
      <sheetName val="토공 (3)"/>
      <sheetName val="연장,면적"/>
      <sheetName val="보강토옹벽총계"/>
      <sheetName val="토공 (2)"/>
      <sheetName val="우수공수량총괄"/>
      <sheetName val="오수공총괄"/>
      <sheetName val="상수총괄"/>
      <sheetName val=" 비점오염저감시설"/>
      <sheetName val="세륜장"/>
      <sheetName val="소도3교"/>
      <sheetName val="간접1"/>
      <sheetName val="공예을"/>
      <sheetName val="SC1"/>
      <sheetName val="현장지지물물량"/>
      <sheetName val="IncStat 03-04"/>
      <sheetName val="IncStat 03  "/>
      <sheetName val="Авансы по СНГ"/>
      <sheetName val="LOADDAT"/>
      <sheetName val="UNIT 3"/>
      <sheetName val="Cashflow Analysis"/>
      <sheetName val="VC2 8.98"/>
      <sheetName val="적용환율"/>
      <sheetName val="BREAKDOWN(철거설치)"/>
      <sheetName val="경비2내역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DESBAST"/>
      <sheetName val="Arch"/>
      <sheetName val="チューブ仕様"/>
      <sheetName val="Insulation_Utl_Off"/>
      <sheetName val="Note_Piping"/>
      <sheetName val="Forecast"/>
      <sheetName val="part j"/>
      <sheetName val="Part B"/>
      <sheetName val="UPA (C)"/>
      <sheetName val="Regenerator  Concrete Structure"/>
      <sheetName val="Ex-Rate"/>
      <sheetName val="WORKER"/>
      <sheetName val="Schedule S-Curve Revision#3"/>
      <sheetName val="Master Data"/>
      <sheetName val="石炭性状"/>
      <sheetName val="PSV2701F"/>
      <sheetName val="DESBASTE"/>
      <sheetName val="세목전체"/>
      <sheetName val="투자필요검토서(복수업체추천서 포함)"/>
      <sheetName val="소요자재"/>
      <sheetName val="노무산출서"/>
      <sheetName val="토공_갑지4"/>
      <sheetName val="TOWER_10TON3"/>
      <sheetName val="TOWER_12TON3"/>
      <sheetName val="F301_3033"/>
      <sheetName val="plan&amp;section_of_foundation3"/>
      <sheetName val="design_load3"/>
      <sheetName val="working_load_at_the_btm_ft_3"/>
      <sheetName val="stability_check3"/>
      <sheetName val="design_criteria3"/>
      <sheetName val="선적schedule_(2)3"/>
      <sheetName val="총_괄_표4"/>
      <sheetName val="간_지12"/>
      <sheetName val="BOX_본체3"/>
      <sheetName val="PAD_TR보호대기초3"/>
      <sheetName val="전차선로_물량표3"/>
      <sheetName val="6PILE_과속방지턱집계표!$K$12_(돌출)3"/>
      <sheetName val="6PILE+옹벽집계!$G$6+옹벽집계!$H$10__(돌2"/>
      <sheetName val="3_하중산정4_지지력3"/>
      <sheetName val="4_2유효폭의_계산3"/>
      <sheetName val="01_인원현황_(계획)2"/>
      <sheetName val="2_교량(신설)2"/>
      <sheetName val="I_설계조건2"/>
      <sheetName val="Part_AB2"/>
      <sheetName val="Part_I2"/>
      <sheetName val="Part_M2"/>
      <sheetName val="CAL(1)_3"/>
      <sheetName val="Bend_fact_3"/>
      <sheetName val="STAFF_ANALYSIS3"/>
      <sheetName val="1_설계조건3"/>
      <sheetName val="할증_2"/>
      <sheetName val="돌담교_상부수량2"/>
      <sheetName val="1_수인터널2"/>
      <sheetName val="3련_BOX2"/>
      <sheetName val="ASP_일반구간_250A2"/>
      <sheetName val="2_하중산정1"/>
      <sheetName val="1_설계기준1"/>
      <sheetName val="Form_A1"/>
      <sheetName val="Form_C1"/>
      <sheetName val="Form_D1"/>
      <sheetName val="Form_E1"/>
      <sheetName val="Form_F1"/>
      <sheetName val="Form_G1"/>
      <sheetName val="_FURNACE현설1"/>
      <sheetName val="입찰내역_발주처_양식1"/>
      <sheetName val="하천하류_철근수량_집계표1"/>
      <sheetName val="트랜치_집수정_연결관-연장산출서1"/>
      <sheetName val="Summary_2"/>
      <sheetName val="Thiet_bi2"/>
      <sheetName val="DM_ChiPhi2"/>
      <sheetName val="MAIN_GATE_HOUSE2"/>
      <sheetName val="Pier_31"/>
      <sheetName val="산출내역(5월)_(2)1"/>
      <sheetName val="STEEL_BOX_단면설계(SEC_8)1"/>
      <sheetName val="시멘트_및_골재량_(슬래브)1"/>
      <sheetName val="시멘트_및_골재량_(거더)1"/>
      <sheetName val="자재_집계표1"/>
      <sheetName val="6PILE___돌_x005f_x001c__1"/>
      <sheetName val="Eq__Mobilization1"/>
      <sheetName val="01__지사동1"/>
      <sheetName val="A_LINE1"/>
      <sheetName val="C_배수관공1"/>
      <sheetName val="Finansal_tamamlanma_Eğrisi2"/>
      <sheetName val="TEST1"/>
      <sheetName val="이토변실"/>
      <sheetName val="역T형(H=6.0) (2)"/>
      <sheetName val="관경결정"/>
      <sheetName val="6PILE_옹_____G_6_옹_____H_10____2"/>
      <sheetName val="01"/>
      <sheetName val="TTL"/>
      <sheetName val="Sheet9"/>
      <sheetName val="Sheet10"/>
      <sheetName val="전기자료"/>
      <sheetName val="IBASE"/>
      <sheetName val="EARTH WORKS"/>
      <sheetName val="TBVL"/>
      <sheetName val="TLG Type"/>
      <sheetName val="FAB별"/>
      <sheetName val="運転条件一覧"/>
      <sheetName val="_x005f_xffff__x005f_xffff__x005f_xffff__x005f_xffff_"/>
      <sheetName val="_x005f_x0018__x005f_x0000_℀"/>
      <sheetName val="내부산출서"/>
      <sheetName val="C-制_x0010__x0000_"/>
      <sheetName val="공통부대비"/>
      <sheetName val="IGCC査定"/>
      <sheetName val="본사인상전"/>
      <sheetName val="환경기계공정표 (3)"/>
      <sheetName val="제경비율"/>
      <sheetName val="시산표"/>
      <sheetName val="1호맨홀가시설토공(2~4)"/>
      <sheetName val="1호맨홀토공 (4)"/>
      <sheetName val="1호맨홀연결관토공 (2)"/>
      <sheetName val="Sheet6"/>
      <sheetName val="견적을지"/>
      <sheetName val="XXXXXX"/>
      <sheetName val="도면자료제출일정"/>
      <sheetName val="도급원가"/>
      <sheetName val="상행-교대(A1-A2)"/>
      <sheetName val="G2설비도급"/>
      <sheetName val="부서별(배부후)_계획"/>
      <sheetName val="Comps"/>
      <sheetName val="예산총괄표"/>
      <sheetName val="재료비"/>
      <sheetName val="경비총괄표"/>
      <sheetName val="1. 검사비외"/>
      <sheetName val="3.공사운영비"/>
      <sheetName val="2.외주공사비"/>
      <sheetName val="본사공가현황"/>
      <sheetName val="기본단가표"/>
      <sheetName val="터널조도"/>
      <sheetName val="노임이"/>
      <sheetName val="L밽P"/>
      <sheetName val="L밽©"/>
      <sheetName val="L_x0002__x0000_"/>
      <sheetName val="INSTR"/>
      <sheetName val="토량1-1"/>
      <sheetName val="종배수관"/>
      <sheetName val="마산Z꬀"/>
      <sheetName val="TEL"/>
      <sheetName val="현장조사"/>
      <sheetName val="맨홀_공사비"/>
      <sheetName val="수목표준대가"/>
      <sheetName val="임목폐기_x0000_挳ƀ"/>
      <sheetName val="8.석축단위(H=1.5M)"/>
      <sheetName val="Equip_"/>
      <sheetName val="plumbing"/>
      <sheetName val="pro ra op"/>
      <sheetName val="grafik"/>
      <sheetName val="Sch"/>
      <sheetName val="HARGA MATERIAL"/>
      <sheetName val="CH-RANC"/>
      <sheetName val="Competitors"/>
      <sheetName val="VV-REV2"/>
      <sheetName val="DIV.1"/>
      <sheetName val="analisa"/>
      <sheetName val="ALAT"/>
      <sheetName val="BAHAN"/>
      <sheetName val="Analisa Harga"/>
      <sheetName val="BQ"/>
      <sheetName val="hsp-STR-ARS"/>
      <sheetName val="Summary"/>
      <sheetName val="Analisa Harga Satuan"/>
      <sheetName val="Bank"/>
      <sheetName val="Hrg Satuan"/>
      <sheetName val="Public Area"/>
      <sheetName val="analis standar(8m)"/>
      <sheetName val="GRAND TOTAL"/>
      <sheetName val="div2"/>
      <sheetName val="Daf 1"/>
      <sheetName val="EQ_an"/>
      <sheetName val="LISTRIK"/>
      <sheetName val="VA_code"/>
      <sheetName val="Persiapan"/>
      <sheetName val="95삼성급(본사)"/>
      <sheetName val="TB"/>
      <sheetName val="Spec ME"/>
      <sheetName val="Balok"/>
      <sheetName val="Factor"/>
      <sheetName val="BOQ CBM"/>
      <sheetName val="PileCap"/>
      <sheetName val="REQDELTA"/>
      <sheetName val="BAG_2"/>
      <sheetName val="I_KAMAR"/>
      <sheetName val="Analisa HSP"/>
      <sheetName val="Pipe"/>
      <sheetName val="ELEC_DCI"/>
      <sheetName val="INST_DCI"/>
      <sheetName val="RAB"/>
      <sheetName val="PRO_DCI"/>
      <sheetName val="HVAC_DCI"/>
      <sheetName val="PIPE_DCI"/>
      <sheetName val="4-Basic Price"/>
      <sheetName val="villa"/>
      <sheetName val="Harsat Upah"/>
      <sheetName val="Perhitungan Besi"/>
      <sheetName val="ANL"/>
      <sheetName val="Cash Flow bulanan"/>
      <sheetName val="H.Satuan"/>
      <sheetName val="Perm. Test"/>
      <sheetName val="schalt"/>
      <sheetName val="schtng"/>
      <sheetName val="schbhn"/>
      <sheetName val="기안"/>
      <sheetName val="개산공사비"/>
      <sheetName val="깨_x0000_"/>
      <sheetName val="40인공산출서"/>
      <sheetName val="40산출기초"/>
      <sheetName val="40전기실"/>
      <sheetName val="40전력간선"/>
      <sheetName val="40용접기용"/>
      <sheetName val="40전등"/>
      <sheetName val="40RACE WAY"/>
      <sheetName val="40전열"/>
      <sheetName val="30신설일위대가"/>
      <sheetName val="30집계표"/>
      <sheetName val="__"/>
      <sheetName val="1,2공구원가계산서"/>
      <sheetName val="집 계 표"/>
      <sheetName val="상 부"/>
      <sheetName val="착공내역서"/>
      <sheetName val="상반기손익차2瓐쓏"/>
      <sheetName val="6PILE__(돌출)5"/>
      <sheetName val="4_2유효폭의_계산4"/>
      <sheetName val="6PILE___돌출_4"/>
      <sheetName val="토공_갑지5"/>
      <sheetName val="3BL공동구_수량4"/>
      <sheetName val="하도내역_(철콘)4"/>
      <sheetName val="본선_토공_분배표4"/>
      <sheetName val="BOX_본체4"/>
      <sheetName val="Sheet1_(2)4"/>
      <sheetName val="2_단면가정_4"/>
      <sheetName val="1062-X방향_4"/>
      <sheetName val="1__설계조건_2_단면가정_3__하중계산4"/>
      <sheetName val="DATA_입력란4"/>
      <sheetName val="3_공통공사대비4"/>
      <sheetName val="단면_(2)4"/>
      <sheetName val="총_괄_표5"/>
      <sheetName val="6PILE+옹벽집계!$G$6+옹벽집계!$H$10__(돌3"/>
      <sheetName val="8_PILE__(돌출)4"/>
      <sheetName val="TOWER_10TON4"/>
      <sheetName val="TOWER_12TON4"/>
      <sheetName val="공사비증감(P4)_4"/>
      <sheetName val="6PILE_과속방지턱집계표!$K$12_(돌출)4"/>
      <sheetName val="제출내역_(2)4"/>
      <sheetName val="간_지13"/>
      <sheetName val="3_하중산정4_지지력4"/>
      <sheetName val="F301_3034"/>
      <sheetName val="plan&amp;section_of_foundation4"/>
      <sheetName val="design_load4"/>
      <sheetName val="working_load_at_the_btm_ft_4"/>
      <sheetName val="stability_check4"/>
      <sheetName val="design_criteria4"/>
      <sheetName val="선적schedule_(2)4"/>
      <sheetName val="PAD_TR보호대기초4"/>
      <sheetName val="I_설계조건3"/>
      <sheetName val="전차선로_물량표4"/>
      <sheetName val="1_설계조건4"/>
      <sheetName val="칠산대교_중앙부2"/>
      <sheetName val="칠산대교_시종점부2"/>
      <sheetName val="을_22"/>
      <sheetName val="을_12"/>
      <sheetName val="BOX(1_5X1_5)2"/>
      <sheetName val="2_교량(신설)3"/>
      <sheetName val="2_하중산정2"/>
      <sheetName val="Part_AB3"/>
      <sheetName val="Part_I3"/>
      <sheetName val="Part_M3"/>
      <sheetName val="2_단면가정2"/>
      <sheetName val="할증_3"/>
      <sheetName val="CAL(1)_4"/>
      <sheetName val="Bend_fact_4"/>
      <sheetName val="STAFF_ANALYSIS4"/>
      <sheetName val="ASP_일반구간_250A3"/>
      <sheetName val="01_인원현황_(계획)3"/>
      <sheetName val="토공_total2"/>
      <sheetName val="입출재고현황_(2)2"/>
      <sheetName val="돌담교_상부수량3"/>
      <sheetName val="1_수인터널3"/>
      <sheetName val="3련_BOX3"/>
      <sheetName val="총수량_(기성)2"/>
      <sheetName val="4-1_노무비(직영)2"/>
      <sheetName val="전선_및_전선관2"/>
      <sheetName val="제수변수량H2_152"/>
      <sheetName val="전체변경예정공정표_2012_07_302"/>
      <sheetName val="96보완계획7_122"/>
      <sheetName val="P_M_별2"/>
      <sheetName val="1_설계기준2"/>
      <sheetName val="T_T_P_단위수량2"/>
      <sheetName val="2_대외공문2"/>
      <sheetName val="외주현황_wq12"/>
      <sheetName val="화재_탐지_설비2"/>
      <sheetName val="6PILE_(돌출)2"/>
      <sheetName val="입찰내역_발주처_양식2"/>
      <sheetName val="트랜치_집수정_연결관-연장산출서2"/>
      <sheetName val="Summary_3"/>
      <sheetName val="Thiet_bi3"/>
      <sheetName val="DM_ChiPhi3"/>
      <sheetName val="MAIN_GATE_HOUSE3"/>
      <sheetName val="Pier_32"/>
      <sheetName val="하천하류_철근수량_집계표2"/>
      <sheetName val="REINF_2"/>
      <sheetName val="STEEL_BOX_단면설계(SEC_8)2"/>
      <sheetName val="자재_집계표2"/>
      <sheetName val="시멘트_및_골재량_(슬래브)2"/>
      <sheetName val="시멘트_및_골재량_(거더)2"/>
      <sheetName val="A_LINE2"/>
      <sheetName val="C_배수관공2"/>
      <sheetName val="Finansal_tamamlanma_Eğrisi3"/>
      <sheetName val="_FURNACE현설2"/>
      <sheetName val="산출내역(5월)_(2)2"/>
      <sheetName val="01__지사동2"/>
      <sheetName val="Form_A2"/>
      <sheetName val="Form_C2"/>
      <sheetName val="Form_D2"/>
      <sheetName val="Form_E2"/>
      <sheetName val="Form_F2"/>
      <sheetName val="Form_G2"/>
      <sheetName val="dongia_(2)2"/>
      <sheetName val="Div26_-_Elect2"/>
      <sheetName val="RAB_AR&amp;STR2"/>
      <sheetName val="6PILE___돌_x005f_x001c__2"/>
      <sheetName val="VS_P-Q"/>
      <sheetName val="중기조종사_단위단가"/>
      <sheetName val="Eq__Mobilization2"/>
      <sheetName val="worksheet_inchican"/>
      <sheetName val="combined_9-30"/>
      <sheetName val="미생물배양기_기초"/>
      <sheetName val="6PILE___돌_x005f_x005f_x005f_x001c__"/>
      <sheetName val="DG_duoi"/>
      <sheetName val="IMPEADENCE_MAP_취수장"/>
      <sheetName val="아파트_기성내역서"/>
      <sheetName val="TEN_CONG_TRINH"/>
      <sheetName val="BANG_TONG_HOP_(2)"/>
      <sheetName val="AUTOMATIC_SELECT"/>
      <sheetName val="Riesgos_y_Oportunidades"/>
      <sheetName val="?℀"/>
      <sheetName val="투자필요검토서(복수업체추천서_포함)"/>
      <sheetName val="공정계획(내부계획25%,내부w_f)"/>
      <sheetName val="Cash_Out_Table"/>
      <sheetName val="Net_Cash_Table"/>
      <sheetName val="도로단위당"/>
      <sheetName val="01_견적내역서4"/>
      <sheetName val="S_중기사용료4"/>
      <sheetName val="1_토공4"/>
      <sheetName val="Cons.Val"/>
      <sheetName val="EQUIPOS"/>
      <sheetName val="33628-Rev. A"/>
      <sheetName val="Module2"/>
      <sheetName val="EXC-R"/>
      <sheetName val="Bill rekap"/>
      <sheetName val="Rekapitulasi"/>
      <sheetName val="Perhit.Alat"/>
      <sheetName val="I-KAMAR"/>
      <sheetName val="Harga"/>
      <sheetName val="Koordinat"/>
      <sheetName val="TDC Item Dets"/>
      <sheetName val="TDC Item Sumry"/>
      <sheetName val="TDC Key Qty Sumry"/>
      <sheetName val="List - Components"/>
      <sheetName val="List - Equipment"/>
      <sheetName val="Item Sumry - Std Imp"/>
      <sheetName val="Unit Costs - Std Imp"/>
      <sheetName val="Unit MH - Std Imp"/>
      <sheetName val="Proj TIC - Std Imp"/>
      <sheetName val="중동공구"/>
      <sheetName val="trf(36%)"/>
      <sheetName val="도급"/>
      <sheetName val="ENE-CAL 1"/>
      <sheetName val="수량산출서 갑지"/>
      <sheetName val="Supplement_x0000_"/>
      <sheetName val="Supplementᐨ"/>
      <sheetName val="원형맨_x0000__x0000__x0005_"/>
      <sheetName val="Sales"/>
      <sheetName val="방배동내역(리라)"/>
      <sheetName val="C_d"/>
      <sheetName val="노무비단가"/>
      <sheetName val="부대공사총괄"/>
      <sheetName val="현장경비"/>
      <sheetName val="건축공사집계표"/>
      <sheetName val="주차구획선수량"/>
      <sheetName val="AN-MAJOR"/>
      <sheetName val="LOKASI"/>
      <sheetName val="토목내역"/>
      <sheetName val="Bored Pile"/>
      <sheetName val="slipsumpR"/>
      <sheetName val="bridge # 1"/>
      <sheetName val="mat'ls"/>
      <sheetName val="03-13 Anticipated"/>
      <sheetName val="03-13 Approved"/>
      <sheetName val="hauling"/>
      <sheetName val="ﾄﾞﾊﾞｲFUEL GAS追見"/>
      <sheetName val="Inputs"/>
      <sheetName val="BD"/>
      <sheetName val="Others"/>
      <sheetName val="sum mdc"/>
      <sheetName val="0000"/>
      <sheetName val="derive"/>
      <sheetName val="List Equip"/>
      <sheetName val="LabCost"/>
      <sheetName val="MatCost"/>
      <sheetName val="Concrete"/>
      <sheetName val="Process C (1-166)"/>
      <sheetName val="4-Lane bridge"/>
      <sheetName val="Hac.Lots"/>
      <sheetName val="Res.Lots"/>
      <sheetName val="Spine Road"/>
      <sheetName val="Stl-B"/>
      <sheetName val="eqpmt"/>
      <sheetName val="labor"/>
      <sheetName val="PM"/>
      <sheetName val="MATL"/>
      <sheetName val="Budget"/>
      <sheetName val="Legal Risk Analysis"/>
      <sheetName val="HaulingLine hardware"/>
      <sheetName val="Parameters"/>
      <sheetName val="Front Page"/>
      <sheetName val="March"/>
      <sheetName val="derivation"/>
      <sheetName val="Code 07"/>
      <sheetName val="05. VO Log (Master Data)"/>
      <sheetName val="MANHOLE"/>
      <sheetName val="Named Range"/>
      <sheetName val="TRUCK HAUL CYCLE-waste"/>
      <sheetName val="bill 2"/>
      <sheetName val="2.2 띠장의 설계"/>
      <sheetName val="i112996P6"/>
      <sheetName val="ref"/>
      <sheetName val="lookups"/>
      <sheetName val="BOQ"/>
      <sheetName val="Report"/>
      <sheetName val="revised#1"/>
      <sheetName val="시멘트 및 골ꍈ┊楀◞_x0000_"/>
      <sheetName val="시멘트 및 골_xdc48_ʉꍈ&gt;㱀ᇈ뮰"/>
      <sheetName val="DGchitiet "/>
      <sheetName val="consilidate"/>
      <sheetName val="HS"/>
      <sheetName val="GIAVLIEU"/>
      <sheetName val="CP HMC"/>
      <sheetName val="Tong hop DT XDCT"/>
      <sheetName val="Du_lieu_ban_dau"/>
      <sheetName val="Đon_gia"/>
      <sheetName val="Đơn_Giá_"/>
      <sheetName val="CP_Khac_cuoc_VC"/>
      <sheetName val="T_KE_CP1"/>
      <sheetName val="Chiet tinh dz35"/>
      <sheetName val="1_MV"/>
      <sheetName val="Parameter"/>
      <sheetName val="Tong du toan"/>
      <sheetName val="GENERAL REQUIREMENTS"/>
      <sheetName val="CAPVC"/>
      <sheetName val="CIM"/>
      <sheetName val="SP10"/>
      <sheetName val="6PILE___돌_x001c__"/>
      <sheetName val="NOTE"/>
      <sheetName val="FitOutConfCentre"/>
      <sheetName val="LEGEND"/>
      <sheetName val="Sheet7"/>
      <sheetName val="손익차총괄2"/>
      <sheetName val="30万表三"/>
      <sheetName val="jj"/>
      <sheetName val="6BPRO"/>
      <sheetName val="方案1表二"/>
      <sheetName val="2010电气概算 价目表"/>
      <sheetName val="gsde06"/>
      <sheetName val="调整系数"/>
      <sheetName val="热力"/>
      <sheetName val="G2TempSheet"/>
      <sheetName val="建筑工程统计表06月份 "/>
      <sheetName val="cespiti cet2 piombino (2)"/>
      <sheetName val="CT Thang Mo"/>
      <sheetName val="CT  PL"/>
      <sheetName val="Rekap_Addendum"/>
      <sheetName val="Hrg_Sat"/>
      <sheetName val="Sec_I_ML"/>
      <sheetName val="_PE-F-42_MR_9_Manpower"/>
      <sheetName val="On_Time"/>
      <sheetName val="dongia_(2)3"/>
      <sheetName val="RAB_AR&amp;STR3"/>
      <sheetName val="Div26_-_Elect3"/>
      <sheetName val="6PILE___돌_x005f_x005f_x005f_x001c__1"/>
      <sheetName val="DG_duoi1"/>
      <sheetName val="TEN_CONG_TRINH1"/>
      <sheetName val="Rekap_Addendum1"/>
      <sheetName val="Hrg_Sat1"/>
      <sheetName val="Sec_I_ML1"/>
      <sheetName val="_PE-F-42_MR_9_Manpower1"/>
      <sheetName val="On_Time1"/>
      <sheetName val="BANG_TONG_HOP_(2)1"/>
      <sheetName val="AUTOMATIC_SELECT1"/>
      <sheetName val="Du_lieu_ban_dau1"/>
      <sheetName val="PERSONNELIST"/>
      <sheetName val="Foglio1"/>
      <sheetName val="FIXED EQUIPMENT"/>
      <sheetName val="综合概算"/>
      <sheetName val="SYSTEM_945_Air&amp;Nitrogen1"/>
      <sheetName val="PM_Demolition_1"/>
      <sheetName val="유림콘도"/>
      <sheetName val="규준틀"/>
      <sheetName val="역T형옹벽(3.0)"/>
      <sheetName val="흙쌓기도수로설치현황"/>
      <sheetName val="이기ᣉᾼ栃컒"/>
      <sheetName val="개발행위"/>
      <sheetName val="유동(순성_최종"/>
      <sheetName val="4배"/>
      <sheetName val="6배"/>
      <sheetName val="3배"/>
      <sheetName val="5배"/>
      <sheetName val="1배"/>
      <sheetName val="99년하반기"/>
      <sheetName val="Chiet tinh dz22"/>
      <sheetName val="건축내턠"/>
      <sheetName val="건축내_x0000_"/>
      <sheetName val="청산공사"/>
      <sheetName val="외자배_x0000_"/>
      <sheetName val="옹벽_x0000__x0000_Ԁ"/>
      <sheetName val="1ST"/>
      <sheetName val="예총"/>
      <sheetName val="단면검_x0000_"/>
      <sheetName val="설계예산2"/>
      <sheetName val="주공 갑지"/>
      <sheetName val="비옥토수⁂"/>
      <sheetName val="조명율표"/>
      <sheetName val="6PILE__(돌출)6"/>
      <sheetName val="6PILE___돌출_5"/>
      <sheetName val="토공_갑지6"/>
      <sheetName val="총_괄_표6"/>
      <sheetName val="3BL공동구_수량5"/>
      <sheetName val="Sheet1_(2)5"/>
      <sheetName val="2_단면가정_5"/>
      <sheetName val="본선_토공_분배표5"/>
      <sheetName val="3_하중산정4_지지력5"/>
      <sheetName val="1062-X방향_5"/>
      <sheetName val="하도내역_(철콘)5"/>
      <sheetName val="6PILE_과속방지턱집계표!$K$12_(돌출)5"/>
      <sheetName val="제출내역_(2)5"/>
      <sheetName val="단면_(2)5"/>
      <sheetName val="F301_3035"/>
      <sheetName val="plan&amp;section_of_foundation5"/>
      <sheetName val="design_load5"/>
      <sheetName val="working_load_at_the_btm_ft_5"/>
      <sheetName val="stability_check5"/>
      <sheetName val="design_criteria5"/>
      <sheetName val="선적schedule_(2)5"/>
      <sheetName val="4_2유효폭의_계산5"/>
      <sheetName val="8_PILE__(돌출)5"/>
      <sheetName val="1__설계조건_2_단면가정_3__하중계산5"/>
      <sheetName val="DATA_입력란5"/>
      <sheetName val="간_지14"/>
      <sheetName val="3_공통공사대비5"/>
      <sheetName val="공사비증감(P4)_5"/>
      <sheetName val="TOWER_10TON5"/>
      <sheetName val="TOWER_12TON5"/>
      <sheetName val="CAL(1)_5"/>
      <sheetName val="Bend_fact_5"/>
      <sheetName val="STAFF_ANALYSIS5"/>
      <sheetName val="6PILE+옹벽집계!$G$6+옹벽집계!$H$10__(돌4"/>
      <sheetName val="ASP_일반구간_250A4"/>
      <sheetName val="BOX_본체5"/>
      <sheetName val="을_23"/>
      <sheetName val="을_13"/>
      <sheetName val="2_단면가정3"/>
      <sheetName val="Part_AB4"/>
      <sheetName val="Part_I4"/>
      <sheetName val="Part_M4"/>
      <sheetName val="할증_4"/>
      <sheetName val="돌담교_상부수량4"/>
      <sheetName val="PAD_TR보호대기초5"/>
      <sheetName val="전차선로_물량표5"/>
      <sheetName val="6PILE___돌_1"/>
      <sheetName val="1_수인터널4"/>
      <sheetName val="I_설계조건4"/>
      <sheetName val="01_인원현황_(계획)4"/>
      <sheetName val="1_설계조건5"/>
      <sheetName val="외주현황_wq13"/>
      <sheetName val="Summary_4"/>
      <sheetName val="Thiet_bi4"/>
      <sheetName val="DM_ChiPhi4"/>
      <sheetName val="3련_BOX4"/>
      <sheetName val="MAIN_GATE_HOUSE4"/>
      <sheetName val="2_교량(신설)4"/>
      <sheetName val="전체변경예정공정표_2012_07_303"/>
      <sheetName val="칠산대교_중앙부3"/>
      <sheetName val="칠산대교_시종점부3"/>
      <sheetName val="입출재고현황_(2)3"/>
      <sheetName val="총수량_(기성)3"/>
      <sheetName val="4-1_노무비(직영)3"/>
      <sheetName val="제수변수량H2_153"/>
      <sheetName val="T_T_P_단위수량3"/>
      <sheetName val="BOX(1_5X1_5)3"/>
      <sheetName val="1_설계기준3"/>
      <sheetName val="2_하중산정3"/>
      <sheetName val="96보완계획7_123"/>
      <sheetName val="화재_탐지_설비3"/>
      <sheetName val="2_대외공문3"/>
      <sheetName val="6PILE_(돌출)3"/>
      <sheetName val="전선_및_전선관3"/>
      <sheetName val="P_M_별3"/>
      <sheetName val="REINF_3"/>
      <sheetName val="하천하류_철근수량_집계표3"/>
      <sheetName val="토공_total3"/>
      <sheetName val="입찰내역_발주처_양식3"/>
      <sheetName val="STEEL_BOX_단면설계(SEC_8)3"/>
      <sheetName val="시멘트_및_골재량_(슬래브)3"/>
      <sheetName val="시멘트_및_골재량_(거더)3"/>
      <sheetName val="6PILE___돌_x005f_x001c__3"/>
      <sheetName val="_FURNACE현설3"/>
      <sheetName val="산출내역(5월)_(2)3"/>
      <sheetName val="자재_집계표3"/>
      <sheetName val="Eq__Mobilization3"/>
      <sheetName val="01__지사동3"/>
      <sheetName val="Pier_33"/>
      <sheetName val="트랜치_집수정_연결관-연장산출서3"/>
      <sheetName val="Form_A3"/>
      <sheetName val="Form_C3"/>
      <sheetName val="Form_D3"/>
      <sheetName val="Form_E3"/>
      <sheetName val="Form_F3"/>
      <sheetName val="Form_G3"/>
      <sheetName val="A_LINE3"/>
      <sheetName val="C_배수관공3"/>
      <sheetName val="날개수량1_51"/>
      <sheetName val="Finansal_tamamlanma_Eğrisi4"/>
      <sheetName val="준검_내역서1"/>
      <sheetName val="맨홀이음부_몰탈수량_집계표1"/>
      <sheetName val="7_PILE__(돌출)1"/>
      <sheetName val="U형측구_표준단면도1"/>
      <sheetName val="중기조종사_단위단가1"/>
      <sheetName val="Equip_1"/>
      <sheetName val="아파트_기성내역서1"/>
      <sheetName val="VS_P-Q1"/>
      <sheetName val="현장관리비_산출내역1"/>
      <sheetName val="Cash_Out_Table1"/>
      <sheetName val="Net_Cash_Table1"/>
      <sheetName val="Riesgos_y_Oportunidades1"/>
      <sheetName val="IRR_sponsor1"/>
      <sheetName val="1_설계조건_1"/>
      <sheetName val="2_단면11"/>
      <sheetName val="2_단면21"/>
      <sheetName val="3_토압계산1"/>
      <sheetName val="4_하중계산1"/>
      <sheetName val="5_안정검토1"/>
      <sheetName val="5_안정검토_(2)1"/>
      <sheetName val="6_벽체계산1"/>
      <sheetName val="7_FOOTING_계산(직접기초)1"/>
      <sheetName val="7_PILE_1"/>
      <sheetName val="FOOTING_계산(PILE기초)1"/>
      <sheetName val="(10)_Other_Costs51"/>
      <sheetName val="LAST_UPDATE1"/>
      <sheetName val="Bill_summary_of_cost1"/>
      <sheetName val="INTERIOR_WALLS1"/>
      <sheetName val="Material_Price1"/>
      <sheetName val="2_223M_due_to_adj_profit1"/>
      <sheetName val="Land_Dev't__Ph-11"/>
      <sheetName val="GESTION_FICHE1"/>
      <sheetName val="TRADUCTION_LISTES1"/>
      <sheetName val="worksheet_inchican1"/>
      <sheetName val="combined_9-301"/>
      <sheetName val="분묘_총_현황1"/>
      <sheetName val="미생물배양기_기초1"/>
      <sheetName val="IMPEADENCE_MAP_취수장1"/>
      <sheetName val="견적_(2)"/>
      <sheetName val="수목데이타_"/>
      <sheetName val="EARTH_WORKS"/>
      <sheetName val="B3A_-_TOWER_A"/>
      <sheetName val="Bill_of_Qty_MEP"/>
      <sheetName val="Nhan_cong"/>
      <sheetName val="TLG_Type"/>
      <sheetName val="TOTAL_SUMMARY"/>
      <sheetName val="투자필요검토서(복수업체추천서_포함)1"/>
      <sheetName val="DGchitiet_"/>
      <sheetName val="Tong_du_toan"/>
      <sheetName val="GENERAL_REQUIREMENTS"/>
      <sheetName val="공정계획(내부계획25%,내부w_f)1"/>
      <sheetName val="1호맨홀토공_(4)"/>
      <sheetName val="1호맨홀연결관토공_(2)"/>
      <sheetName val="IncStat_03-04"/>
      <sheetName val="IncStat_03__"/>
      <sheetName val="Авансы_по_СНГ"/>
      <sheetName val="UNIT_3"/>
      <sheetName val="Cashflow_Analysis"/>
      <sheetName val="VC2_8_98"/>
      <sheetName val="Item#9_3"/>
      <sheetName val="Item#1_9"/>
      <sheetName val="Item#6_7"/>
      <sheetName val="Item#2_6"/>
      <sheetName val="Item#4_10"/>
      <sheetName val="Item#5_8"/>
      <sheetName val="Item#7_21"/>
      <sheetName val="Item#3_8"/>
      <sheetName val="Item#8_7"/>
      <sheetName val="part_j"/>
      <sheetName val="Part_B"/>
      <sheetName val="UPA_(C)"/>
      <sheetName val="Regenerator__Concrete_Structure"/>
      <sheetName val="Schedule_S-Curve_Revision#3"/>
      <sheetName val="Master_Data"/>
      <sheetName val="토공_(3)"/>
      <sheetName val="토공_(2)"/>
      <sheetName val="_비점오염저감시설"/>
      <sheetName val="1_사유서"/>
      <sheetName val="역T형(H=6_0)_(2)"/>
      <sheetName val="상선"/>
      <sheetName val="기성청구서(1회)"/>
      <sheetName val="단중표"/>
      <sheetName val="토목镃_xdc03_"/>
      <sheetName val="슬래브(PF)(하류)"/>
      <sheetName val="토공산_x0000__x0000_Ԁ_x0000_"/>
      <sheetName val="시중노임단가"/>
      <sheetName val="관로토공"/>
      <sheetName val="직공시공계반͇"/>
      <sheetName val="9. 예정공정표(전체)"/>
      <sheetName val="한강운반비"/>
      <sheetName val="도수로수량산출"/>
      <sheetName val="钢筋混凝土井井盖板材料表"/>
      <sheetName val="마산방향철근집계"/>
      <sheetName val="설명표지"/>
      <sheetName val="공사설명"/>
      <sheetName val="변경표지"/>
      <sheetName val="변경사유"/>
      <sheetName val="공정증감조서(총괄)"/>
      <sheetName val="공정증감조서(세부)"/>
      <sheetName val="예산표지"/>
      <sheetName val="정산변경예산내역"/>
      <sheetName val="정산변경내역서(한줄)"/>
      <sheetName val="정산변경내역서(두줄)"/>
      <sheetName val="고용보험표지"/>
      <sheetName val="고용보험료가입증명원"/>
      <sheetName val="안전표지"/>
      <sheetName val="안전세부정산내역"/>
      <sheetName val="안전관리비 사용내역-총괄"/>
      <sheetName val="안전관리비 사용내역-세부"/>
      <sheetName val="공사기간표지"/>
      <sheetName val="공사기간"/>
      <sheetName val="소요노력산출근거"/>
      <sheetName val="자재표지"/>
      <sheetName val="사급자재조서"/>
      <sheetName val="신규대가표지"/>
      <sheetName val="신규대가"/>
      <sheetName val="준공도"/>
      <sheetName val="은행"/>
      <sheetName val="面雅樹"/>
      <sheetName val="토적劰Ï勼"/>
      <sheetName val="빌딩 안내"/>
      <sheetName val="법면"/>
      <sheetName val="배수공1"/>
      <sheetName val="중기일위대가"/>
      <sheetName val="적용단가"/>
      <sheetName val="L밽¶"/>
      <sheetName val="gVL"/>
      <sheetName val="FA-LISTING"/>
      <sheetName val="GiaVL"/>
      <sheetName val="PNT-QUOT-#3"/>
      <sheetName val="Chenh lech vat tu"/>
      <sheetName val="gia vt,nc,may"/>
      <sheetName val="vlieu"/>
      <sheetName val="Fig 4-14"/>
      <sheetName val="SAKUB"/>
      <sheetName val="경고테이프&amp;안전시설공집계"/>
      <sheetName val="차선도색집계"/>
      <sheetName val="물푸기수집"/>
      <sheetName val="직공시공계_x0000__x0000_"/>
      <sheetName val="1_x0000__x0000_Ԁ"/>
      <sheetName val="주현(해보)"/>
      <sheetName val="주현(영광)"/>
      <sheetName val="아파트 "/>
      <sheetName val="이형관격점별수량_x0000__x0000__x0005__x0000_陀"/>
      <sheetName val="이형관격점별수량_x0000__x0000__x0005__x0000_妠"/>
      <sheetName val="내역(정지)"/>
      <sheetName val="설비원가"/>
      <sheetName val="DonGia chetao"/>
      <sheetName val="DonGia VatTuLK"/>
      <sheetName val="CTG"/>
      <sheetName val="Bang phan tich Quy che"/>
      <sheetName val="lam-moi"/>
      <sheetName val="제1영업소"/>
      <sheetName val="제2영업소"/>
      <sheetName val="제3영업소"/>
      <sheetName val="Bill No.1.7"/>
      <sheetName val="Bill No.1.3"/>
      <sheetName val="Bill No.1.4"/>
      <sheetName val="Savings"/>
      <sheetName val="Summary Bill No. 1"/>
      <sheetName val="Dự thầu"/>
      <sheetName val="tu"/>
      <sheetName val="CAL1"/>
      <sheetName val="1안"/>
      <sheetName val="트랜치 집수정 연결쌌ꔅ/_x0000_ࠀ,_x0000_"/>
      <sheetName val="트랜치 집수정 연결쌌ꔅ/_x0000_　©_x0000_"/>
      <sheetName val="C-制_x005f_x0010__x005f_x0000_"/>
      <sheetName val="SENSITIVITAS"/>
      <sheetName val="MAT&amp;LABOR"/>
      <sheetName val="Daftar Harga"/>
      <sheetName val="Daftar Upah"/>
      <sheetName val="BIL"/>
      <sheetName val="6PILE_______G_6_______H_10____4"/>
      <sheetName val="_x0018__℀"/>
      <sheetName val="_℀"/>
      <sheetName val="BXLDL"/>
      <sheetName val="ERECIN"/>
      <sheetName val="충돌 내용"/>
      <sheetName val="고자현황"/>
      <sheetName val="중기䒬ȯૐ"/>
      <sheetName val="일위대¹"/>
      <sheetName val="Balance"/>
      <sheetName val="Medagama"/>
      <sheetName val="Sandunpura"/>
      <sheetName val="Veheragala"/>
      <sheetName val="Collection"/>
      <sheetName val="Rainfall Data"/>
      <sheetName val="Mahawanawela"/>
      <sheetName val="Nuwaragala"/>
      <sheetName val="Siripura"/>
      <sheetName val="Background"/>
      <sheetName val="공구원가계산"/>
      <sheetName val="SANBAISU"/>
      <sheetName val="증감내역서"/>
      <sheetName val="3.바닥판설계"/>
      <sheetName val="환경기계공정표_(3)"/>
      <sheetName val="경비"/>
      <sheetName val="NNgung"/>
      <sheetName val="dnc4"/>
      <sheetName val="gia vt"/>
      <sheetName val="TABLE-A"/>
      <sheetName val="Annex B"/>
      <sheetName val="bearing"/>
      <sheetName val="맨홀조서"/>
      <sheetName val="Mc1"/>
      <sheetName val="jobhist"/>
      <sheetName val="合成単価作成表-BLDG"/>
      <sheetName val="Sch.6"/>
      <sheetName val="Sch.1"/>
      <sheetName val="소화실적"/>
      <sheetName val="특수선일위대가"/>
      <sheetName val="sumoflaborates"/>
      <sheetName val="TIE-INS"/>
      <sheetName val="Rate Analysis"/>
      <sheetName val="원형맨"/>
      <sheetName val="Du toan"/>
      <sheetName val="Keothep"/>
      <sheetName val="Re-bar"/>
      <sheetName val="구리토평1전기"/>
      <sheetName val="외주현황.wqĆ"/>
      <sheetName val="부표총ం"/>
      <sheetName val="공주-교대(A1)"/>
      <sheetName val="설계예산서"/>
      <sheetName val="노임,재료비"/>
      <sheetName val="PERFORMANCE"/>
      <sheetName val="TTTram"/>
      <sheetName val="이형관격점별수¬_x0000__x0000__x0000__x0000__x0000_"/>
      <sheetName val="24V"/>
      <sheetName val="2000년 공정표"/>
      <sheetName val="sum1 (2)"/>
      <sheetName val="문학간접"/>
      <sheetName val="간접"/>
      <sheetName val="잡철물"/>
      <sheetName val="기성갑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/>
      <sheetData sheetId="764"/>
      <sheetData sheetId="765"/>
      <sheetData sheetId="766"/>
      <sheetData sheetId="767"/>
      <sheetData sheetId="768"/>
      <sheetData sheetId="769" refreshError="1"/>
      <sheetData sheetId="770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/>
      <sheetData sheetId="782" refreshError="1"/>
      <sheetData sheetId="783" refreshError="1"/>
      <sheetData sheetId="784"/>
      <sheetData sheetId="785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/>
      <sheetData sheetId="792"/>
      <sheetData sheetId="793" refreshError="1"/>
      <sheetData sheetId="794"/>
      <sheetData sheetId="795" refreshError="1"/>
      <sheetData sheetId="796" refreshError="1"/>
      <sheetData sheetId="797" refreshError="1"/>
      <sheetData sheetId="798"/>
      <sheetData sheetId="799" refreshError="1"/>
      <sheetData sheetId="800" refreshError="1"/>
      <sheetData sheetId="801" refreshError="1"/>
      <sheetData sheetId="802" refreshError="1"/>
      <sheetData sheetId="803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/>
      <sheetData sheetId="816"/>
      <sheetData sheetId="817"/>
      <sheetData sheetId="818"/>
      <sheetData sheetId="819"/>
      <sheetData sheetId="820"/>
      <sheetData sheetId="82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/>
      <sheetData sheetId="892" refreshError="1"/>
      <sheetData sheetId="893" refreshError="1"/>
      <sheetData sheetId="894" refreshError="1"/>
      <sheetData sheetId="895" refreshError="1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/>
      <sheetData sheetId="944"/>
      <sheetData sheetId="945"/>
      <sheetData sheetId="946"/>
      <sheetData sheetId="947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 refreshError="1"/>
      <sheetData sheetId="1028" refreshError="1"/>
      <sheetData sheetId="1029"/>
      <sheetData sheetId="1030"/>
      <sheetData sheetId="1031"/>
      <sheetData sheetId="1032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/>
      <sheetData sheetId="1064"/>
      <sheetData sheetId="1065"/>
      <sheetData sheetId="1066"/>
      <sheetData sheetId="1067"/>
      <sheetData sheetId="1068"/>
      <sheetData sheetId="1069" refreshError="1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/>
      <sheetData sheetId="1233"/>
      <sheetData sheetId="1234"/>
      <sheetData sheetId="1235"/>
      <sheetData sheetId="1236" refreshError="1"/>
      <sheetData sheetId="1237"/>
      <sheetData sheetId="1238"/>
      <sheetData sheetId="1239" refreshError="1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/>
      <sheetData sheetId="1641"/>
      <sheetData sheetId="1642"/>
      <sheetData sheetId="1643" refreshError="1"/>
      <sheetData sheetId="1644" refreshError="1"/>
      <sheetData sheetId="1645" refreshError="1"/>
      <sheetData sheetId="1646" refreshError="1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/>
      <sheetData sheetId="1739"/>
      <sheetData sheetId="1740"/>
      <sheetData sheetId="1741"/>
      <sheetData sheetId="1742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 refreshError="1"/>
      <sheetData sheetId="1790" refreshError="1"/>
      <sheetData sheetId="1791" refreshError="1"/>
      <sheetData sheetId="1792" refreshError="1"/>
      <sheetData sheetId="1793"/>
      <sheetData sheetId="1794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/>
      <sheetData sheetId="2150" refreshError="1"/>
      <sheetData sheetId="2151" refreshError="1"/>
      <sheetData sheetId="2152" refreshError="1"/>
      <sheetData sheetId="2153" refreshError="1"/>
      <sheetData sheetId="215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D"/>
      <sheetName val="공량산출서"/>
      <sheetName val="공내역"/>
      <sheetName val="#REF"/>
      <sheetName val="집계표"/>
      <sheetName val="실행철강하도"/>
      <sheetName val="일반공사"/>
      <sheetName val="갑지"/>
      <sheetName val="입찰안"/>
      <sheetName val="차액보증"/>
      <sheetName val="노임"/>
      <sheetName val="저"/>
      <sheetName val="SG"/>
      <sheetName val="토공"/>
      <sheetName val="배수공"/>
      <sheetName val="구조물공"/>
      <sheetName val="포장공"/>
      <sheetName val="부대공"/>
      <sheetName val="실행대비"/>
      <sheetName val="공내역(해미1공구)"/>
      <sheetName val="진짜설계"/>
      <sheetName val="JUCKEYK"/>
      <sheetName val="조건표"/>
      <sheetName val="결과조달"/>
      <sheetName val="내역"/>
      <sheetName val="일위대가"/>
      <sheetName val="도급"/>
      <sheetName val="장비"/>
      <sheetName val="산근1"/>
      <sheetName val="노무"/>
      <sheetName val="자재"/>
    </sheetNames>
    <sheetDataSet>
      <sheetData sheetId="0" refreshError="1">
        <row r="1">
          <cell r="A1" t="str">
            <v>명 칭</v>
          </cell>
          <cell r="C1" t="str">
            <v>수 량</v>
          </cell>
          <cell r="D1" t="str">
            <v>단 위</v>
          </cell>
          <cell r="E1" t="str">
            <v>단 가</v>
          </cell>
          <cell r="F1" t="str">
            <v>금 액</v>
          </cell>
          <cell r="G1" t="str">
            <v>비 고</v>
          </cell>
        </row>
        <row r="2">
          <cell r="A2" t="str">
            <v>해미-덕산(제1공구)간도로확장 및 포장공사</v>
          </cell>
          <cell r="E2">
            <v>0</v>
          </cell>
          <cell r="F2">
            <v>0</v>
          </cell>
        </row>
        <row r="3">
          <cell r="A3" t="str">
            <v>1.토          공</v>
          </cell>
          <cell r="E3">
            <v>0</v>
          </cell>
          <cell r="F3">
            <v>0</v>
          </cell>
        </row>
        <row r="4">
          <cell r="A4" t="str">
            <v>1.01기존구조물철거공</v>
          </cell>
          <cell r="E4">
            <v>0</v>
          </cell>
          <cell r="F4">
            <v>0</v>
          </cell>
        </row>
        <row r="5">
          <cell r="A5" t="str">
            <v>a.무근콘크리트깨기</v>
          </cell>
          <cell r="E5">
            <v>0</v>
          </cell>
          <cell r="F5">
            <v>0</v>
          </cell>
        </row>
        <row r="6">
          <cell r="A6" t="str">
            <v>-1.무근콘크리트깨기</v>
          </cell>
          <cell r="C6">
            <v>609</v>
          </cell>
          <cell r="D6" t="str">
            <v>M3</v>
          </cell>
          <cell r="E6">
            <v>0</v>
          </cell>
          <cell r="F6">
            <v>0</v>
          </cell>
        </row>
        <row r="7">
          <cell r="A7" t="str">
            <v>-2.무근콘크리트깨기</v>
          </cell>
          <cell r="C7">
            <v>25</v>
          </cell>
          <cell r="D7" t="str">
            <v>M3</v>
          </cell>
          <cell r="E7">
            <v>0</v>
          </cell>
          <cell r="F7">
            <v>0</v>
          </cell>
        </row>
        <row r="8">
          <cell r="A8" t="str">
            <v>b.철근콘크리트깨기</v>
          </cell>
          <cell r="E8">
            <v>0</v>
          </cell>
          <cell r="F8">
            <v>0</v>
          </cell>
        </row>
        <row r="9">
          <cell r="A9" t="str">
            <v>-1.철근콘크리트깨기</v>
          </cell>
          <cell r="C9">
            <v>537</v>
          </cell>
          <cell r="D9" t="str">
            <v>M3</v>
          </cell>
          <cell r="E9">
            <v>0</v>
          </cell>
          <cell r="F9">
            <v>0</v>
          </cell>
        </row>
        <row r="10">
          <cell r="A10" t="str">
            <v>c.석축헐기</v>
          </cell>
          <cell r="C10">
            <v>1555</v>
          </cell>
          <cell r="D10" t="str">
            <v>M2</v>
          </cell>
          <cell r="E10">
            <v>0</v>
          </cell>
          <cell r="F10">
            <v>0</v>
          </cell>
        </row>
        <row r="11">
          <cell r="A11" t="str">
            <v>d.기존포장깨기</v>
          </cell>
          <cell r="E11">
            <v>0</v>
          </cell>
          <cell r="F11">
            <v>0</v>
          </cell>
        </row>
        <row r="12">
          <cell r="A12" t="str">
            <v>-1.콘크리트포장깨기</v>
          </cell>
          <cell r="C12">
            <v>981</v>
          </cell>
          <cell r="D12" t="str">
            <v>M3</v>
          </cell>
          <cell r="E12">
            <v>0</v>
          </cell>
          <cell r="F12">
            <v>0</v>
          </cell>
        </row>
        <row r="13">
          <cell r="A13" t="str">
            <v>-2.아스팔트포장깨기</v>
          </cell>
          <cell r="C13">
            <v>8494</v>
          </cell>
          <cell r="D13" t="str">
            <v>M3</v>
          </cell>
          <cell r="E13">
            <v>0</v>
          </cell>
          <cell r="F13">
            <v>0</v>
          </cell>
        </row>
        <row r="14">
          <cell r="A14" t="str">
            <v>e.보도블럭포장헐기</v>
          </cell>
          <cell r="C14">
            <v>469</v>
          </cell>
          <cell r="D14" t="str">
            <v>M2</v>
          </cell>
          <cell r="E14">
            <v>0</v>
          </cell>
          <cell r="F14">
            <v>0</v>
          </cell>
        </row>
        <row r="15">
          <cell r="A15" t="str">
            <v>f.기계절단</v>
          </cell>
          <cell r="E15">
            <v>0</v>
          </cell>
          <cell r="F15">
            <v>0</v>
          </cell>
        </row>
        <row r="16">
          <cell r="A16" t="str">
            <v>-1.콘크리트절단</v>
          </cell>
          <cell r="C16">
            <v>1219</v>
          </cell>
          <cell r="D16" t="str">
            <v>M</v>
          </cell>
          <cell r="E16">
            <v>0</v>
          </cell>
          <cell r="F16">
            <v>0</v>
          </cell>
        </row>
        <row r="17">
          <cell r="A17" t="str">
            <v>-2.아스팔트포장절단</v>
          </cell>
          <cell r="C17">
            <v>1444</v>
          </cell>
          <cell r="D17" t="str">
            <v>M</v>
          </cell>
          <cell r="E17">
            <v>0</v>
          </cell>
          <cell r="F17">
            <v>0</v>
          </cell>
        </row>
        <row r="18">
          <cell r="A18" t="str">
            <v>1.02.측구 뚝쌓기</v>
          </cell>
          <cell r="C18">
            <v>82</v>
          </cell>
          <cell r="D18" t="str">
            <v>M3</v>
          </cell>
          <cell r="E18">
            <v>0</v>
          </cell>
          <cell r="F18">
            <v>0</v>
          </cell>
        </row>
        <row r="19">
          <cell r="A19" t="str">
            <v>1.03.표토제거</v>
          </cell>
          <cell r="E19">
            <v>0</v>
          </cell>
          <cell r="F19">
            <v>0</v>
          </cell>
        </row>
        <row r="20">
          <cell r="A20" t="str">
            <v>a.답구간</v>
          </cell>
          <cell r="C20">
            <v>2630</v>
          </cell>
          <cell r="D20" t="str">
            <v>M2</v>
          </cell>
          <cell r="E20">
            <v>0</v>
          </cell>
          <cell r="F20">
            <v>0</v>
          </cell>
        </row>
        <row r="21">
          <cell r="A21" t="str">
            <v>b.답외구간</v>
          </cell>
          <cell r="C21">
            <v>26530</v>
          </cell>
          <cell r="D21" t="str">
            <v>M2</v>
          </cell>
          <cell r="E21">
            <v>0</v>
          </cell>
          <cell r="F21">
            <v>0</v>
          </cell>
        </row>
        <row r="22">
          <cell r="A22" t="str">
            <v>1.04.벌개 제근</v>
          </cell>
          <cell r="C22">
            <v>108210</v>
          </cell>
          <cell r="D22" t="str">
            <v>M2</v>
          </cell>
          <cell r="E22">
            <v>0</v>
          </cell>
          <cell r="F22">
            <v>0</v>
          </cell>
        </row>
        <row r="23">
          <cell r="A23" t="str">
            <v>1.05 흙깍기공</v>
          </cell>
          <cell r="E23">
            <v>0</v>
          </cell>
          <cell r="F23">
            <v>0</v>
          </cell>
        </row>
        <row r="24">
          <cell r="A24" t="str">
            <v>a.토사깍기</v>
          </cell>
          <cell r="C24">
            <v>255500</v>
          </cell>
          <cell r="D24" t="str">
            <v>M3</v>
          </cell>
          <cell r="E24">
            <v>0</v>
          </cell>
          <cell r="F24">
            <v>0</v>
          </cell>
        </row>
        <row r="25">
          <cell r="A25" t="str">
            <v>b.리핑암깍기</v>
          </cell>
          <cell r="C25">
            <v>100450</v>
          </cell>
          <cell r="D25" t="str">
            <v>M3</v>
          </cell>
          <cell r="E25">
            <v>0</v>
          </cell>
          <cell r="F25">
            <v>0</v>
          </cell>
        </row>
        <row r="26">
          <cell r="A26" t="str">
            <v>c.발파암깍기</v>
          </cell>
          <cell r="E26">
            <v>0</v>
          </cell>
          <cell r="F26">
            <v>0</v>
          </cell>
        </row>
        <row r="27">
          <cell r="A27" t="str">
            <v>-1.편절암</v>
          </cell>
          <cell r="C27">
            <v>1940</v>
          </cell>
          <cell r="D27" t="str">
            <v>M3</v>
          </cell>
          <cell r="E27">
            <v>0</v>
          </cell>
          <cell r="F27">
            <v>0</v>
          </cell>
        </row>
        <row r="28">
          <cell r="A28" t="str">
            <v>-2.리퍼병행</v>
          </cell>
          <cell r="C28">
            <v>91780</v>
          </cell>
          <cell r="D28" t="str">
            <v>M3</v>
          </cell>
          <cell r="E28">
            <v>0</v>
          </cell>
          <cell r="F28">
            <v>0</v>
          </cell>
        </row>
        <row r="29">
          <cell r="A29" t="str">
            <v>-3.브레이카</v>
          </cell>
          <cell r="C29">
            <v>660</v>
          </cell>
          <cell r="D29" t="str">
            <v>M3</v>
          </cell>
          <cell r="E29">
            <v>0</v>
          </cell>
          <cell r="F29">
            <v>0</v>
          </cell>
        </row>
        <row r="30">
          <cell r="A30" t="str">
            <v>-4.크롤러드릴</v>
          </cell>
          <cell r="C30">
            <v>180140</v>
          </cell>
          <cell r="D30" t="str">
            <v>M3</v>
          </cell>
          <cell r="E30">
            <v>0</v>
          </cell>
          <cell r="F30">
            <v>0</v>
          </cell>
        </row>
        <row r="31">
          <cell r="A31" t="str">
            <v>1.06 흙운반공</v>
          </cell>
          <cell r="E31">
            <v>0</v>
          </cell>
          <cell r="F31">
            <v>0</v>
          </cell>
        </row>
        <row r="32">
          <cell r="A32" t="str">
            <v>a.무    대</v>
          </cell>
          <cell r="E32">
            <v>0</v>
          </cell>
          <cell r="F32">
            <v>0</v>
          </cell>
        </row>
        <row r="33">
          <cell r="A33" t="str">
            <v>-1.토    사</v>
          </cell>
          <cell r="C33">
            <v>58020</v>
          </cell>
          <cell r="E33">
            <v>0</v>
          </cell>
          <cell r="F33">
            <v>0</v>
          </cell>
        </row>
        <row r="34">
          <cell r="A34" t="str">
            <v>-2.리 핑 암</v>
          </cell>
          <cell r="C34">
            <v>2680</v>
          </cell>
          <cell r="E34">
            <v>0</v>
          </cell>
          <cell r="F34">
            <v>0</v>
          </cell>
        </row>
        <row r="35">
          <cell r="A35" t="str">
            <v>-3.발 파 암</v>
          </cell>
          <cell r="C35">
            <v>4220</v>
          </cell>
          <cell r="E35">
            <v>0</v>
          </cell>
          <cell r="F35">
            <v>0</v>
          </cell>
        </row>
        <row r="36">
          <cell r="A36" t="str">
            <v>b.도    쟈</v>
          </cell>
          <cell r="E36">
            <v>0</v>
          </cell>
          <cell r="F36">
            <v>0</v>
          </cell>
        </row>
        <row r="37">
          <cell r="A37" t="str">
            <v>-1.토    사</v>
          </cell>
          <cell r="C37">
            <v>21890</v>
          </cell>
          <cell r="D37" t="str">
            <v>M3</v>
          </cell>
          <cell r="E37">
            <v>0</v>
          </cell>
          <cell r="F37">
            <v>0</v>
          </cell>
        </row>
        <row r="38">
          <cell r="A38" t="str">
            <v>-2.리 핑 암</v>
          </cell>
          <cell r="C38">
            <v>5550</v>
          </cell>
          <cell r="D38" t="str">
            <v>M3</v>
          </cell>
          <cell r="E38">
            <v>0</v>
          </cell>
          <cell r="F38">
            <v>0</v>
          </cell>
        </row>
        <row r="39">
          <cell r="A39" t="str">
            <v>-3.발 파 암</v>
          </cell>
          <cell r="C39">
            <v>13150</v>
          </cell>
          <cell r="D39" t="str">
            <v>M3</v>
          </cell>
          <cell r="E39">
            <v>0</v>
          </cell>
          <cell r="F39">
            <v>0</v>
          </cell>
        </row>
        <row r="40">
          <cell r="A40" t="str">
            <v>c.덤    프</v>
          </cell>
          <cell r="E40">
            <v>0</v>
          </cell>
          <cell r="F40">
            <v>0</v>
          </cell>
        </row>
        <row r="41">
          <cell r="A41" t="str">
            <v>-1.토    사</v>
          </cell>
          <cell r="C41">
            <v>402610</v>
          </cell>
          <cell r="D41" t="str">
            <v>M3</v>
          </cell>
          <cell r="E41">
            <v>0</v>
          </cell>
          <cell r="F41">
            <v>0</v>
          </cell>
        </row>
        <row r="42">
          <cell r="A42" t="str">
            <v>-2.리 핑 암</v>
          </cell>
          <cell r="C42">
            <v>94130</v>
          </cell>
          <cell r="D42" t="str">
            <v>M3</v>
          </cell>
          <cell r="E42">
            <v>0</v>
          </cell>
          <cell r="F42">
            <v>0</v>
          </cell>
        </row>
        <row r="43">
          <cell r="A43" t="str">
            <v>-3.발 파 암</v>
          </cell>
          <cell r="C43">
            <v>259050</v>
          </cell>
          <cell r="D43" t="str">
            <v>M3</v>
          </cell>
          <cell r="E43">
            <v>0</v>
          </cell>
          <cell r="F43">
            <v>0</v>
          </cell>
        </row>
        <row r="44">
          <cell r="A44" t="str">
            <v>d.사토운반</v>
          </cell>
          <cell r="E44">
            <v>0</v>
          </cell>
          <cell r="F44">
            <v>0</v>
          </cell>
        </row>
        <row r="45">
          <cell r="A45" t="str">
            <v>-1.토    사</v>
          </cell>
          <cell r="C45">
            <v>67280</v>
          </cell>
          <cell r="D45" t="str">
            <v>M3</v>
          </cell>
          <cell r="E45">
            <v>0</v>
          </cell>
          <cell r="F45">
            <v>0</v>
          </cell>
        </row>
        <row r="46">
          <cell r="A46" t="str">
            <v>1.07 흙쌓기공</v>
          </cell>
          <cell r="E46">
            <v>0</v>
          </cell>
          <cell r="F46">
            <v>0</v>
          </cell>
        </row>
        <row r="47">
          <cell r="A47" t="str">
            <v>a.노    체</v>
          </cell>
          <cell r="C47">
            <v>630110</v>
          </cell>
          <cell r="D47" t="str">
            <v>M3</v>
          </cell>
          <cell r="E47">
            <v>0</v>
          </cell>
          <cell r="F47">
            <v>0</v>
          </cell>
        </row>
        <row r="48">
          <cell r="A48" t="str">
            <v>b.노    상</v>
          </cell>
          <cell r="C48">
            <v>48850</v>
          </cell>
          <cell r="D48" t="str">
            <v>M3</v>
          </cell>
          <cell r="E48">
            <v>0</v>
          </cell>
          <cell r="F48">
            <v>0</v>
          </cell>
        </row>
        <row r="49">
          <cell r="A49" t="str">
            <v>c.녹 지 대</v>
          </cell>
          <cell r="C49">
            <v>15490</v>
          </cell>
          <cell r="D49" t="str">
            <v>M3</v>
          </cell>
          <cell r="E49">
            <v>0</v>
          </cell>
          <cell r="F49">
            <v>0</v>
          </cell>
        </row>
        <row r="50">
          <cell r="A50" t="str">
            <v>1.08.층따기</v>
          </cell>
          <cell r="C50">
            <v>8590</v>
          </cell>
          <cell r="D50" t="str">
            <v>M3</v>
          </cell>
          <cell r="E50">
            <v>0</v>
          </cell>
          <cell r="F50">
            <v>0</v>
          </cell>
        </row>
        <row r="51">
          <cell r="A51" t="str">
            <v>1.09.노상준비공</v>
          </cell>
          <cell r="E51">
            <v>0</v>
          </cell>
          <cell r="F51">
            <v>0</v>
          </cell>
        </row>
        <row r="52">
          <cell r="A52" t="str">
            <v>a.기존도로부</v>
          </cell>
          <cell r="C52">
            <v>850</v>
          </cell>
          <cell r="D52" t="str">
            <v>M2</v>
          </cell>
          <cell r="E52">
            <v>0</v>
          </cell>
          <cell r="F52">
            <v>0</v>
          </cell>
        </row>
        <row r="53">
          <cell r="A53" t="str">
            <v>b.절토부</v>
          </cell>
          <cell r="C53">
            <v>57250</v>
          </cell>
          <cell r="D53" t="str">
            <v>M2</v>
          </cell>
          <cell r="E53">
            <v>0</v>
          </cell>
          <cell r="F53">
            <v>0</v>
          </cell>
        </row>
        <row r="54">
          <cell r="A54" t="str">
            <v>1.10 비탈면보호공</v>
          </cell>
          <cell r="E54">
            <v>0</v>
          </cell>
          <cell r="F54">
            <v>0</v>
          </cell>
        </row>
        <row r="55">
          <cell r="A55" t="str">
            <v>a.절토부</v>
          </cell>
          <cell r="E55">
            <v>0</v>
          </cell>
          <cell r="F55">
            <v>0</v>
          </cell>
        </row>
        <row r="56">
          <cell r="A56" t="str">
            <v>-1.거적덮기</v>
          </cell>
          <cell r="C56">
            <v>28500</v>
          </cell>
          <cell r="D56" t="str">
            <v>M2</v>
          </cell>
          <cell r="E56">
            <v>0</v>
          </cell>
          <cell r="F56">
            <v>0</v>
          </cell>
        </row>
        <row r="57">
          <cell r="A57" t="str">
            <v>-2.암절개면 보호식재공</v>
          </cell>
          <cell r="C57">
            <v>1160</v>
          </cell>
          <cell r="D57" t="str">
            <v>M2</v>
          </cell>
          <cell r="E57">
            <v>0</v>
          </cell>
          <cell r="F57">
            <v>0</v>
          </cell>
        </row>
        <row r="58">
          <cell r="A58" t="str">
            <v>-3.암절개면 보호식재공</v>
          </cell>
          <cell r="C58">
            <v>2900</v>
          </cell>
          <cell r="D58" t="str">
            <v>M2</v>
          </cell>
          <cell r="E58">
            <v>0</v>
          </cell>
          <cell r="F58">
            <v>0</v>
          </cell>
        </row>
        <row r="59">
          <cell r="A59" t="str">
            <v>b.성토부</v>
          </cell>
          <cell r="E59">
            <v>0</v>
          </cell>
          <cell r="F59">
            <v>0</v>
          </cell>
        </row>
        <row r="60">
          <cell r="A60" t="str">
            <v>-1.성토비탈면 다짐</v>
          </cell>
          <cell r="C60">
            <v>76240</v>
          </cell>
          <cell r="D60" t="str">
            <v>M2</v>
          </cell>
          <cell r="E60">
            <v>0</v>
          </cell>
          <cell r="F60">
            <v>0</v>
          </cell>
        </row>
        <row r="61">
          <cell r="A61" t="str">
            <v>-2.거적덮기</v>
          </cell>
          <cell r="C61">
            <v>76240</v>
          </cell>
          <cell r="D61" t="str">
            <v>M2</v>
          </cell>
          <cell r="E61">
            <v>0</v>
          </cell>
          <cell r="F61">
            <v>0</v>
          </cell>
        </row>
        <row r="62">
          <cell r="A62" t="str">
            <v>c.면고르기</v>
          </cell>
          <cell r="E62">
            <v>0</v>
          </cell>
          <cell r="F62">
            <v>0</v>
          </cell>
        </row>
        <row r="63">
          <cell r="A63" t="str">
            <v>-1.리핑암</v>
          </cell>
          <cell r="C63">
            <v>8530</v>
          </cell>
          <cell r="D63" t="str">
            <v>M2</v>
          </cell>
          <cell r="E63">
            <v>0</v>
          </cell>
          <cell r="F63">
            <v>0</v>
          </cell>
        </row>
        <row r="64">
          <cell r="A64" t="str">
            <v>-2.발파암</v>
          </cell>
          <cell r="C64">
            <v>19420</v>
          </cell>
          <cell r="D64" t="str">
            <v>M2</v>
          </cell>
          <cell r="E64">
            <v>0</v>
          </cell>
          <cell r="F64">
            <v>0</v>
          </cell>
        </row>
        <row r="65">
          <cell r="A65" t="str">
            <v>1.11.공사중비탈면보호시설</v>
          </cell>
          <cell r="E65">
            <v>0</v>
          </cell>
          <cell r="F65">
            <v>0</v>
          </cell>
        </row>
        <row r="66">
          <cell r="A66" t="str">
            <v>a.비탈면가보호망</v>
          </cell>
          <cell r="C66">
            <v>38625</v>
          </cell>
          <cell r="D66" t="str">
            <v>M2</v>
          </cell>
          <cell r="E66">
            <v>0</v>
          </cell>
          <cell r="F66">
            <v>0</v>
          </cell>
        </row>
        <row r="67">
          <cell r="A67" t="str">
            <v>b.가도수로공</v>
          </cell>
          <cell r="C67">
            <v>536</v>
          </cell>
          <cell r="D67" t="str">
            <v>M</v>
          </cell>
          <cell r="E67">
            <v>0</v>
          </cell>
          <cell r="F67">
            <v>0</v>
          </cell>
        </row>
        <row r="68">
          <cell r="A68" t="str">
            <v>1.12.비탈면 안정검토비</v>
          </cell>
          <cell r="E68">
            <v>0</v>
          </cell>
          <cell r="F68">
            <v>0</v>
          </cell>
        </row>
        <row r="69">
          <cell r="A69" t="str">
            <v>a.지표조사비</v>
          </cell>
          <cell r="C69">
            <v>1</v>
          </cell>
          <cell r="D69" t="str">
            <v>P.S</v>
          </cell>
          <cell r="E69">
            <v>0</v>
          </cell>
          <cell r="F69">
            <v>0</v>
          </cell>
        </row>
        <row r="70">
          <cell r="A70" t="str">
            <v>b.시추조사비</v>
          </cell>
          <cell r="E70">
            <v>0</v>
          </cell>
          <cell r="F70">
            <v>0</v>
          </cell>
        </row>
        <row r="71">
          <cell r="A71" t="str">
            <v>-1.기구설치비</v>
          </cell>
          <cell r="C71">
            <v>4</v>
          </cell>
          <cell r="D71" t="str">
            <v>개소</v>
          </cell>
          <cell r="E71">
            <v>0</v>
          </cell>
          <cell r="F71">
            <v>0</v>
          </cell>
        </row>
        <row r="72">
          <cell r="A72" t="str">
            <v>-2.토사층</v>
          </cell>
          <cell r="C72">
            <v>22</v>
          </cell>
          <cell r="D72" t="str">
            <v>M</v>
          </cell>
          <cell r="E72">
            <v>0</v>
          </cell>
          <cell r="F72">
            <v>0</v>
          </cell>
        </row>
        <row r="73">
          <cell r="A73" t="str">
            <v>-3.연암층</v>
          </cell>
          <cell r="C73">
            <v>14</v>
          </cell>
          <cell r="D73" t="str">
            <v>M</v>
          </cell>
          <cell r="E73">
            <v>0</v>
          </cell>
          <cell r="F73">
            <v>0</v>
          </cell>
        </row>
        <row r="74">
          <cell r="A74" t="str">
            <v>-4.경암층</v>
          </cell>
          <cell r="C74">
            <v>81</v>
          </cell>
          <cell r="D74" t="str">
            <v>M</v>
          </cell>
          <cell r="E74">
            <v>0</v>
          </cell>
          <cell r="F74">
            <v>0</v>
          </cell>
        </row>
        <row r="75">
          <cell r="A75" t="str">
            <v>c.탄성파탐사</v>
          </cell>
          <cell r="C75">
            <v>1</v>
          </cell>
          <cell r="D75" t="str">
            <v>P.S</v>
          </cell>
          <cell r="E75">
            <v>0</v>
          </cell>
          <cell r="F75">
            <v>0</v>
          </cell>
        </row>
        <row r="76">
          <cell r="A76" t="str">
            <v>d.실내실험</v>
          </cell>
          <cell r="C76">
            <v>1</v>
          </cell>
          <cell r="D76" t="str">
            <v>P.S</v>
          </cell>
          <cell r="E76">
            <v>0</v>
          </cell>
          <cell r="F76">
            <v>0</v>
          </cell>
        </row>
        <row r="77">
          <cell r="A77" t="str">
            <v>e.성과분석</v>
          </cell>
          <cell r="C77">
            <v>1</v>
          </cell>
          <cell r="D77" t="str">
            <v>P.S</v>
          </cell>
          <cell r="E77">
            <v>0</v>
          </cell>
          <cell r="F77">
            <v>0</v>
          </cell>
        </row>
        <row r="78">
          <cell r="A78" t="str">
            <v>1.13 토공규준틀</v>
          </cell>
          <cell r="E78">
            <v>0</v>
          </cell>
          <cell r="F78">
            <v>0</v>
          </cell>
        </row>
        <row r="79">
          <cell r="A79" t="str">
            <v>a.비탈규준틀</v>
          </cell>
          <cell r="C79">
            <v>197</v>
          </cell>
          <cell r="D79" t="str">
            <v>EA</v>
          </cell>
          <cell r="E79">
            <v>0</v>
          </cell>
          <cell r="F79">
            <v>0</v>
          </cell>
        </row>
        <row r="80">
          <cell r="A80" t="str">
            <v>b.수평규준틀</v>
          </cell>
          <cell r="C80">
            <v>130</v>
          </cell>
          <cell r="D80" t="str">
            <v>EA</v>
          </cell>
          <cell r="E80">
            <v>0</v>
          </cell>
          <cell r="F80">
            <v>0</v>
          </cell>
        </row>
        <row r="81">
          <cell r="A81" t="str">
            <v>1.14 저수지준설</v>
          </cell>
          <cell r="C81">
            <v>91824</v>
          </cell>
          <cell r="D81" t="str">
            <v>M3</v>
          </cell>
          <cell r="E81">
            <v>0</v>
          </cell>
          <cell r="F81">
            <v>0</v>
          </cell>
        </row>
        <row r="82">
          <cell r="A82" t="str">
            <v>2.배    수    공</v>
          </cell>
          <cell r="E82">
            <v>0</v>
          </cell>
          <cell r="F82">
            <v>0</v>
          </cell>
        </row>
        <row r="83">
          <cell r="A83" t="str">
            <v>2.01 토    공</v>
          </cell>
          <cell r="E83">
            <v>0</v>
          </cell>
          <cell r="F83">
            <v>0</v>
          </cell>
        </row>
        <row r="84">
          <cell r="A84" t="str">
            <v>a.측구터파기</v>
          </cell>
          <cell r="E84">
            <v>0</v>
          </cell>
          <cell r="F84">
            <v>0</v>
          </cell>
        </row>
        <row r="85">
          <cell r="A85" t="str">
            <v>-1.측구터파기</v>
          </cell>
          <cell r="C85">
            <v>15690</v>
          </cell>
          <cell r="D85" t="str">
            <v>M3</v>
          </cell>
          <cell r="E85">
            <v>0</v>
          </cell>
          <cell r="F85">
            <v>0</v>
          </cell>
        </row>
        <row r="86">
          <cell r="A86" t="str">
            <v>-2.측구터파기</v>
          </cell>
          <cell r="C86">
            <v>730</v>
          </cell>
          <cell r="D86" t="str">
            <v>M3</v>
          </cell>
          <cell r="E86">
            <v>0</v>
          </cell>
          <cell r="F86">
            <v>0</v>
          </cell>
        </row>
        <row r="87">
          <cell r="A87" t="str">
            <v>-3.측구되메우기및다짐</v>
          </cell>
          <cell r="C87">
            <v>10000</v>
          </cell>
          <cell r="D87" t="str">
            <v>M3</v>
          </cell>
          <cell r="E87">
            <v>0</v>
          </cell>
          <cell r="F87">
            <v>0</v>
          </cell>
        </row>
        <row r="88">
          <cell r="A88" t="str">
            <v>b.구조물터파기</v>
          </cell>
          <cell r="E88">
            <v>0</v>
          </cell>
          <cell r="F88">
            <v>0</v>
          </cell>
        </row>
        <row r="89">
          <cell r="A89" t="str">
            <v>-1.육상토사</v>
          </cell>
          <cell r="C89">
            <v>21670</v>
          </cell>
          <cell r="D89" t="str">
            <v>M3</v>
          </cell>
          <cell r="E89">
            <v>0</v>
          </cell>
          <cell r="F89">
            <v>0</v>
          </cell>
        </row>
        <row r="90">
          <cell r="A90" t="str">
            <v>-2.육상토사</v>
          </cell>
          <cell r="C90">
            <v>10100</v>
          </cell>
          <cell r="D90" t="str">
            <v>M3</v>
          </cell>
          <cell r="E90">
            <v>0</v>
          </cell>
          <cell r="F90">
            <v>0</v>
          </cell>
        </row>
        <row r="91">
          <cell r="A91" t="str">
            <v>-3.육상토사</v>
          </cell>
          <cell r="C91">
            <v>2260</v>
          </cell>
          <cell r="D91" t="str">
            <v>M3</v>
          </cell>
          <cell r="E91">
            <v>0</v>
          </cell>
          <cell r="F91">
            <v>0</v>
          </cell>
        </row>
        <row r="92">
          <cell r="A92" t="str">
            <v>-4.육상토사</v>
          </cell>
          <cell r="C92">
            <v>490</v>
          </cell>
          <cell r="D92" t="str">
            <v>M3</v>
          </cell>
          <cell r="E92">
            <v>0</v>
          </cell>
          <cell r="F92">
            <v>0</v>
          </cell>
        </row>
        <row r="93">
          <cell r="A93" t="str">
            <v>-5.육상토사</v>
          </cell>
          <cell r="C93">
            <v>280</v>
          </cell>
          <cell r="D93" t="str">
            <v>M3</v>
          </cell>
          <cell r="E93">
            <v>0</v>
          </cell>
          <cell r="F93">
            <v>0</v>
          </cell>
        </row>
        <row r="94">
          <cell r="A94" t="str">
            <v>-6.육상토사</v>
          </cell>
          <cell r="C94">
            <v>30</v>
          </cell>
          <cell r="D94" t="str">
            <v>M3</v>
          </cell>
          <cell r="E94">
            <v>0</v>
          </cell>
          <cell r="F94">
            <v>0</v>
          </cell>
        </row>
        <row r="95">
          <cell r="A95" t="str">
            <v>-7.육상리핑암</v>
          </cell>
          <cell r="C95">
            <v>50</v>
          </cell>
          <cell r="D95" t="str">
            <v>M3</v>
          </cell>
          <cell r="E95">
            <v>0</v>
          </cell>
          <cell r="F95">
            <v>0</v>
          </cell>
        </row>
        <row r="96">
          <cell r="A96" t="str">
            <v>-8.육상발파암</v>
          </cell>
          <cell r="C96">
            <v>1200</v>
          </cell>
          <cell r="D96" t="str">
            <v>M3</v>
          </cell>
          <cell r="E96">
            <v>0</v>
          </cell>
          <cell r="F96">
            <v>0</v>
          </cell>
        </row>
        <row r="97">
          <cell r="A97" t="str">
            <v>-9.용수토사</v>
          </cell>
          <cell r="C97">
            <v>3180</v>
          </cell>
          <cell r="D97" t="str">
            <v>M3</v>
          </cell>
          <cell r="E97">
            <v>0</v>
          </cell>
          <cell r="F97">
            <v>0</v>
          </cell>
        </row>
        <row r="98">
          <cell r="A98" t="str">
            <v>-10.용수토사</v>
          </cell>
          <cell r="C98">
            <v>760</v>
          </cell>
          <cell r="D98" t="str">
            <v>M3</v>
          </cell>
          <cell r="E98">
            <v>0</v>
          </cell>
          <cell r="F98">
            <v>0</v>
          </cell>
        </row>
        <row r="99">
          <cell r="A99" t="str">
            <v>c.되메우기(기계50%,인력50%)</v>
          </cell>
          <cell r="C99">
            <v>23070</v>
          </cell>
          <cell r="D99" t="str">
            <v>M3</v>
          </cell>
          <cell r="E99">
            <v>0</v>
          </cell>
          <cell r="F99">
            <v>0</v>
          </cell>
        </row>
        <row r="100">
          <cell r="A100" t="str">
            <v>2.02.측구공</v>
          </cell>
          <cell r="E100">
            <v>0</v>
          </cell>
          <cell r="F100">
            <v>0</v>
          </cell>
        </row>
        <row r="101">
          <cell r="A101" t="str">
            <v>a.L형측구</v>
          </cell>
          <cell r="E101">
            <v>0</v>
          </cell>
          <cell r="F101">
            <v>0</v>
          </cell>
        </row>
        <row r="102">
          <cell r="A102" t="str">
            <v>-1.형식-1</v>
          </cell>
          <cell r="C102">
            <v>2360</v>
          </cell>
          <cell r="D102" t="str">
            <v>M</v>
          </cell>
          <cell r="E102">
            <v>0</v>
          </cell>
          <cell r="F102">
            <v>0</v>
          </cell>
        </row>
        <row r="103">
          <cell r="A103" t="str">
            <v>-2.형식-2</v>
          </cell>
          <cell r="C103">
            <v>1269</v>
          </cell>
          <cell r="D103" t="str">
            <v>M</v>
          </cell>
          <cell r="E103">
            <v>0</v>
          </cell>
          <cell r="F103">
            <v>0</v>
          </cell>
        </row>
        <row r="104">
          <cell r="A104" t="str">
            <v>-3.형식-3</v>
          </cell>
          <cell r="C104">
            <v>230</v>
          </cell>
          <cell r="D104" t="str">
            <v>M</v>
          </cell>
          <cell r="E104">
            <v>0</v>
          </cell>
          <cell r="F104">
            <v>0</v>
          </cell>
        </row>
        <row r="105">
          <cell r="A105" t="str">
            <v>-4.형식-4(부체도로)</v>
          </cell>
          <cell r="C105">
            <v>513</v>
          </cell>
          <cell r="D105" t="str">
            <v>M</v>
          </cell>
          <cell r="E105">
            <v>0</v>
          </cell>
          <cell r="F105">
            <v>0</v>
          </cell>
        </row>
        <row r="106">
          <cell r="A106" t="str">
            <v>-5.성토부L형측구</v>
          </cell>
          <cell r="C106">
            <v>9150</v>
          </cell>
          <cell r="D106" t="str">
            <v>M</v>
          </cell>
          <cell r="E106">
            <v>0</v>
          </cell>
          <cell r="F106">
            <v>0</v>
          </cell>
        </row>
        <row r="107">
          <cell r="A107" t="str">
            <v>-6.형식-5(절토부소단측구)</v>
          </cell>
          <cell r="C107">
            <v>480</v>
          </cell>
          <cell r="D107" t="str">
            <v>M</v>
          </cell>
          <cell r="E107">
            <v>0</v>
          </cell>
          <cell r="F107">
            <v>0</v>
          </cell>
        </row>
        <row r="108">
          <cell r="A108" t="str">
            <v>-7.L형측구변화구간</v>
          </cell>
          <cell r="C108">
            <v>27</v>
          </cell>
          <cell r="D108" t="str">
            <v>개소</v>
          </cell>
          <cell r="E108">
            <v>0</v>
          </cell>
          <cell r="F108">
            <v>0</v>
          </cell>
        </row>
        <row r="109">
          <cell r="A109" t="str">
            <v>-8.L형측구변화구간</v>
          </cell>
          <cell r="C109">
            <v>6</v>
          </cell>
          <cell r="D109" t="str">
            <v>개소</v>
          </cell>
          <cell r="E109">
            <v>0</v>
          </cell>
          <cell r="F109">
            <v>0</v>
          </cell>
        </row>
        <row r="110">
          <cell r="A110" t="str">
            <v>b.U형측구</v>
          </cell>
          <cell r="E110">
            <v>0</v>
          </cell>
          <cell r="F110">
            <v>0</v>
          </cell>
        </row>
        <row r="111">
          <cell r="A111" t="str">
            <v>-1.형식-1</v>
          </cell>
          <cell r="C111">
            <v>297</v>
          </cell>
          <cell r="D111" t="str">
            <v>M</v>
          </cell>
          <cell r="E111">
            <v>0</v>
          </cell>
          <cell r="F111">
            <v>0</v>
          </cell>
        </row>
        <row r="112">
          <cell r="A112" t="str">
            <v>-2.형식-6</v>
          </cell>
          <cell r="C112">
            <v>350</v>
          </cell>
          <cell r="D112" t="str">
            <v>M</v>
          </cell>
          <cell r="E112">
            <v>0</v>
          </cell>
          <cell r="F112">
            <v>0</v>
          </cell>
        </row>
        <row r="113">
          <cell r="A113" t="str">
            <v>c.V형측구</v>
          </cell>
          <cell r="E113">
            <v>0</v>
          </cell>
          <cell r="F113">
            <v>0</v>
          </cell>
        </row>
        <row r="114">
          <cell r="A114" t="str">
            <v>-1.형식-2</v>
          </cell>
          <cell r="C114">
            <v>4399</v>
          </cell>
          <cell r="D114" t="str">
            <v>M</v>
          </cell>
          <cell r="E114">
            <v>0</v>
          </cell>
          <cell r="F114">
            <v>0</v>
          </cell>
        </row>
        <row r="115">
          <cell r="A115" t="str">
            <v>-2.형식-3</v>
          </cell>
          <cell r="C115">
            <v>980</v>
          </cell>
          <cell r="D115" t="str">
            <v>M</v>
          </cell>
          <cell r="E115">
            <v>0</v>
          </cell>
          <cell r="F115">
            <v>0</v>
          </cell>
        </row>
        <row r="116">
          <cell r="A116" t="str">
            <v>d.산마루 측구</v>
          </cell>
          <cell r="C116">
            <v>2335</v>
          </cell>
          <cell r="D116" t="str">
            <v>M</v>
          </cell>
          <cell r="E116">
            <v>0</v>
          </cell>
          <cell r="F116">
            <v>0</v>
          </cell>
        </row>
        <row r="117">
          <cell r="A117" t="str">
            <v>2.03 맹암거</v>
          </cell>
          <cell r="E117">
            <v>0</v>
          </cell>
          <cell r="F117">
            <v>0</v>
          </cell>
        </row>
        <row r="118">
          <cell r="A118" t="str">
            <v>a.형식-1 (L형측구하단)</v>
          </cell>
          <cell r="C118">
            <v>525</v>
          </cell>
          <cell r="D118" t="str">
            <v>M</v>
          </cell>
          <cell r="E118">
            <v>0</v>
          </cell>
          <cell r="F118">
            <v>0</v>
          </cell>
        </row>
        <row r="119">
          <cell r="A119" t="str">
            <v>b.형식-2 (L형측구하단)</v>
          </cell>
          <cell r="C119">
            <v>2437</v>
          </cell>
          <cell r="D119" t="str">
            <v>M</v>
          </cell>
          <cell r="E119">
            <v>0</v>
          </cell>
          <cell r="F119">
            <v>0</v>
          </cell>
        </row>
        <row r="120">
          <cell r="A120" t="str">
            <v>c.형식-3 (절성경계)</v>
          </cell>
          <cell r="C120">
            <v>310</v>
          </cell>
          <cell r="D120" t="str">
            <v>M</v>
          </cell>
          <cell r="E120">
            <v>0</v>
          </cell>
          <cell r="F120">
            <v>0</v>
          </cell>
        </row>
        <row r="121">
          <cell r="A121" t="str">
            <v>2.04 횡배수관</v>
          </cell>
          <cell r="E121">
            <v>0</v>
          </cell>
          <cell r="F121">
            <v>0</v>
          </cell>
        </row>
        <row r="122">
          <cell r="A122" t="str">
            <v>a.1.0&gt;H or H&gt;6.0M</v>
          </cell>
          <cell r="E122">
            <v>0</v>
          </cell>
          <cell r="F122">
            <v>0</v>
          </cell>
        </row>
        <row r="123">
          <cell r="A123" t="str">
            <v>a-1.￠1,000MM</v>
          </cell>
          <cell r="C123">
            <v>422</v>
          </cell>
          <cell r="D123" t="str">
            <v>M</v>
          </cell>
          <cell r="E123">
            <v>0</v>
          </cell>
          <cell r="F123">
            <v>0</v>
          </cell>
        </row>
        <row r="124">
          <cell r="A124" t="str">
            <v>a-2.￠1,200MM</v>
          </cell>
          <cell r="C124">
            <v>177</v>
          </cell>
          <cell r="D124" t="str">
            <v>M</v>
          </cell>
          <cell r="E124">
            <v>0</v>
          </cell>
          <cell r="F124">
            <v>0</v>
          </cell>
        </row>
        <row r="125">
          <cell r="A125" t="str">
            <v>b.1.0M&lt; H &lt; 6.0M</v>
          </cell>
          <cell r="E125">
            <v>0</v>
          </cell>
          <cell r="F125">
            <v>0</v>
          </cell>
        </row>
        <row r="126">
          <cell r="A126" t="str">
            <v>b-1.￠300MM</v>
          </cell>
          <cell r="C126">
            <v>8</v>
          </cell>
          <cell r="D126" t="str">
            <v>M</v>
          </cell>
          <cell r="E126">
            <v>0</v>
          </cell>
          <cell r="F126">
            <v>0</v>
          </cell>
        </row>
        <row r="127">
          <cell r="A127" t="str">
            <v>b-2.￠450MM</v>
          </cell>
          <cell r="C127">
            <v>70</v>
          </cell>
          <cell r="D127" t="str">
            <v>M</v>
          </cell>
          <cell r="E127">
            <v>0</v>
          </cell>
          <cell r="F127">
            <v>0</v>
          </cell>
        </row>
        <row r="128">
          <cell r="A128" t="str">
            <v>b-3.￠600MM</v>
          </cell>
          <cell r="C128">
            <v>23</v>
          </cell>
          <cell r="D128" t="str">
            <v>M</v>
          </cell>
          <cell r="E128">
            <v>0</v>
          </cell>
          <cell r="F128">
            <v>0</v>
          </cell>
        </row>
        <row r="129">
          <cell r="A129" t="str">
            <v>b-4.￠800MM</v>
          </cell>
          <cell r="C129">
            <v>78</v>
          </cell>
          <cell r="D129" t="str">
            <v>M</v>
          </cell>
          <cell r="E129">
            <v>0</v>
          </cell>
          <cell r="F129">
            <v>0</v>
          </cell>
        </row>
        <row r="130">
          <cell r="A130" t="str">
            <v>b-5.￠1000MM</v>
          </cell>
          <cell r="C130">
            <v>155</v>
          </cell>
          <cell r="D130" t="str">
            <v>M</v>
          </cell>
          <cell r="E130">
            <v>0</v>
          </cell>
          <cell r="F130">
            <v>0</v>
          </cell>
        </row>
        <row r="131">
          <cell r="A131" t="str">
            <v>b-6.￠1200MM</v>
          </cell>
          <cell r="C131">
            <v>82</v>
          </cell>
          <cell r="D131" t="str">
            <v>M</v>
          </cell>
          <cell r="E131">
            <v>0</v>
          </cell>
          <cell r="F131">
            <v>0</v>
          </cell>
        </row>
        <row r="132">
          <cell r="A132" t="str">
            <v>c.날개벽</v>
          </cell>
          <cell r="E132">
            <v>0</v>
          </cell>
          <cell r="F132">
            <v>0</v>
          </cell>
        </row>
        <row r="133">
          <cell r="A133" t="str">
            <v>c-1.콘크리트타설</v>
          </cell>
          <cell r="C133">
            <v>73</v>
          </cell>
          <cell r="D133" t="str">
            <v>M3</v>
          </cell>
          <cell r="E133">
            <v>0</v>
          </cell>
          <cell r="F133">
            <v>0</v>
          </cell>
        </row>
        <row r="134">
          <cell r="A134" t="str">
            <v>c-2.거푸집</v>
          </cell>
          <cell r="C134">
            <v>327</v>
          </cell>
          <cell r="D134" t="str">
            <v>M2</v>
          </cell>
          <cell r="E134">
            <v>0</v>
          </cell>
          <cell r="F134">
            <v>0</v>
          </cell>
        </row>
        <row r="135">
          <cell r="A135" t="str">
            <v>d.면벽</v>
          </cell>
          <cell r="E135">
            <v>0</v>
          </cell>
          <cell r="F135">
            <v>0</v>
          </cell>
        </row>
        <row r="136">
          <cell r="A136" t="str">
            <v>d-1.콘크리트타설</v>
          </cell>
          <cell r="C136">
            <v>3</v>
          </cell>
          <cell r="D136" t="str">
            <v>M3</v>
          </cell>
          <cell r="E136">
            <v>0</v>
          </cell>
          <cell r="F136">
            <v>0</v>
          </cell>
        </row>
        <row r="137">
          <cell r="A137" t="str">
            <v>d-2.거푸집</v>
          </cell>
          <cell r="C137">
            <v>47</v>
          </cell>
          <cell r="D137" t="str">
            <v>M2</v>
          </cell>
          <cell r="E137">
            <v>0</v>
          </cell>
          <cell r="F137">
            <v>0</v>
          </cell>
        </row>
        <row r="138">
          <cell r="A138" t="str">
            <v>2.05 종배수관</v>
          </cell>
          <cell r="E138">
            <v>0</v>
          </cell>
          <cell r="F138">
            <v>0</v>
          </cell>
        </row>
        <row r="139">
          <cell r="A139" t="str">
            <v>a.종배수관부설</v>
          </cell>
          <cell r="E139">
            <v>0</v>
          </cell>
          <cell r="F139">
            <v>0</v>
          </cell>
        </row>
        <row r="140">
          <cell r="A140" t="str">
            <v>a-1. ￠800MM</v>
          </cell>
          <cell r="C140">
            <v>764</v>
          </cell>
          <cell r="D140" t="str">
            <v>M</v>
          </cell>
          <cell r="E140">
            <v>0</v>
          </cell>
          <cell r="F140">
            <v>0</v>
          </cell>
        </row>
        <row r="141">
          <cell r="A141" t="str">
            <v>a-2. ￠1,000MM</v>
          </cell>
          <cell r="C141">
            <v>10</v>
          </cell>
          <cell r="D141" t="str">
            <v>M</v>
          </cell>
          <cell r="E141">
            <v>0</v>
          </cell>
          <cell r="F141">
            <v>0</v>
          </cell>
        </row>
        <row r="142">
          <cell r="A142" t="str">
            <v>b.종배수관 면벽</v>
          </cell>
          <cell r="E142">
            <v>0</v>
          </cell>
          <cell r="F142">
            <v>0</v>
          </cell>
        </row>
        <row r="143">
          <cell r="A143" t="str">
            <v>b-1.콘크리트타설</v>
          </cell>
          <cell r="C143">
            <v>6</v>
          </cell>
          <cell r="D143" t="str">
            <v>M3</v>
          </cell>
          <cell r="E143">
            <v>0</v>
          </cell>
          <cell r="F143">
            <v>0</v>
          </cell>
        </row>
        <row r="144">
          <cell r="A144" t="str">
            <v>b-2.거푸집</v>
          </cell>
          <cell r="C144">
            <v>91</v>
          </cell>
          <cell r="D144" t="str">
            <v>M2</v>
          </cell>
          <cell r="E144">
            <v>0</v>
          </cell>
          <cell r="F144">
            <v>0</v>
          </cell>
        </row>
        <row r="145">
          <cell r="A145" t="str">
            <v>2.06 집수정공</v>
          </cell>
          <cell r="E145">
            <v>0</v>
          </cell>
          <cell r="F145">
            <v>0</v>
          </cell>
        </row>
        <row r="146">
          <cell r="A146" t="str">
            <v>a.콘크리트타설</v>
          </cell>
          <cell r="E146">
            <v>0</v>
          </cell>
          <cell r="F146">
            <v>0</v>
          </cell>
        </row>
        <row r="147">
          <cell r="A147" t="str">
            <v>a-1.콘크이트타설</v>
          </cell>
          <cell r="C147">
            <v>4</v>
          </cell>
          <cell r="D147" t="str">
            <v>M3</v>
          </cell>
          <cell r="E147">
            <v>0</v>
          </cell>
          <cell r="F147">
            <v>0</v>
          </cell>
        </row>
        <row r="148">
          <cell r="A148" t="str">
            <v>a-2.콘크리트타설</v>
          </cell>
          <cell r="C148">
            <v>83</v>
          </cell>
          <cell r="D148" t="str">
            <v>M3</v>
          </cell>
          <cell r="E148">
            <v>0</v>
          </cell>
          <cell r="F148">
            <v>0</v>
          </cell>
        </row>
        <row r="149">
          <cell r="A149" t="str">
            <v>b.거푸집</v>
          </cell>
          <cell r="C149">
            <v>354</v>
          </cell>
          <cell r="D149" t="str">
            <v>M2</v>
          </cell>
          <cell r="E149">
            <v>0</v>
          </cell>
          <cell r="F149">
            <v>0</v>
          </cell>
        </row>
        <row r="150">
          <cell r="A150" t="str">
            <v>c.거푸집</v>
          </cell>
          <cell r="C150">
            <v>519</v>
          </cell>
          <cell r="D150" t="str">
            <v>M2</v>
          </cell>
          <cell r="E150">
            <v>0</v>
          </cell>
          <cell r="F150">
            <v>0</v>
          </cell>
        </row>
        <row r="151">
          <cell r="A151" t="str">
            <v>d.철근가공조립</v>
          </cell>
          <cell r="C151">
            <v>4.7709999999999999</v>
          </cell>
          <cell r="D151" t="str">
            <v>TON</v>
          </cell>
          <cell r="E151">
            <v>0</v>
          </cell>
          <cell r="F151">
            <v>0</v>
          </cell>
        </row>
        <row r="152">
          <cell r="A152" t="str">
            <v>e.집수정 배수구</v>
          </cell>
          <cell r="C152">
            <v>1</v>
          </cell>
          <cell r="D152" t="str">
            <v>M</v>
          </cell>
          <cell r="E152">
            <v>0</v>
          </cell>
          <cell r="F152">
            <v>0</v>
          </cell>
        </row>
        <row r="153">
          <cell r="A153" t="str">
            <v>f.뚜껑(스틸그레이팅)</v>
          </cell>
          <cell r="E153">
            <v>0</v>
          </cell>
          <cell r="F153">
            <v>0</v>
          </cell>
        </row>
        <row r="154">
          <cell r="A154" t="str">
            <v>f-1.830*830*50M/M</v>
          </cell>
          <cell r="C154">
            <v>1</v>
          </cell>
          <cell r="D154" t="str">
            <v>EA</v>
          </cell>
          <cell r="E154">
            <v>0</v>
          </cell>
          <cell r="F154">
            <v>0</v>
          </cell>
        </row>
        <row r="155">
          <cell r="A155" t="str">
            <v>f-2.1530*830*100M/M</v>
          </cell>
          <cell r="C155">
            <v>20</v>
          </cell>
          <cell r="D155" t="str">
            <v>EA</v>
          </cell>
          <cell r="E155">
            <v>0</v>
          </cell>
          <cell r="F155">
            <v>0</v>
          </cell>
        </row>
        <row r="156">
          <cell r="A156" t="str">
            <v>f-3.1390*1190*75M/M</v>
          </cell>
          <cell r="C156">
            <v>1</v>
          </cell>
          <cell r="D156" t="str">
            <v>EA</v>
          </cell>
          <cell r="E156">
            <v>0</v>
          </cell>
          <cell r="F156">
            <v>0</v>
          </cell>
        </row>
        <row r="157">
          <cell r="A157" t="str">
            <v>f-4.1799*1190*75M/M</v>
          </cell>
          <cell r="C157">
            <v>12</v>
          </cell>
          <cell r="D157" t="str">
            <v>EA</v>
          </cell>
          <cell r="E157">
            <v>0</v>
          </cell>
          <cell r="F157">
            <v>0</v>
          </cell>
        </row>
        <row r="158">
          <cell r="A158" t="str">
            <v>f-5.2190*1190*75M/M</v>
          </cell>
          <cell r="C158">
            <v>2</v>
          </cell>
          <cell r="D158" t="str">
            <v>EA</v>
          </cell>
          <cell r="E158">
            <v>0</v>
          </cell>
          <cell r="F158">
            <v>0</v>
          </cell>
        </row>
        <row r="159">
          <cell r="A159" t="str">
            <v>2.07 암 거 공</v>
          </cell>
          <cell r="E159">
            <v>0</v>
          </cell>
          <cell r="F159">
            <v>0</v>
          </cell>
        </row>
        <row r="160">
          <cell r="A160" t="str">
            <v>a.콘크리트타설</v>
          </cell>
          <cell r="E160">
            <v>0</v>
          </cell>
          <cell r="F160">
            <v>0</v>
          </cell>
        </row>
        <row r="161">
          <cell r="A161" t="str">
            <v>a-1.콘크리트타설</v>
          </cell>
          <cell r="C161">
            <v>8238</v>
          </cell>
          <cell r="D161" t="str">
            <v>M3</v>
          </cell>
          <cell r="E161">
            <v>0</v>
          </cell>
          <cell r="F161">
            <v>0</v>
          </cell>
        </row>
        <row r="162">
          <cell r="A162" t="str">
            <v>a-2.콘크리트타설</v>
          </cell>
          <cell r="C162">
            <v>922</v>
          </cell>
          <cell r="D162" t="str">
            <v>M3</v>
          </cell>
          <cell r="E162">
            <v>0</v>
          </cell>
          <cell r="F162">
            <v>0</v>
          </cell>
        </row>
        <row r="163">
          <cell r="A163" t="str">
            <v>b.거푸집</v>
          </cell>
          <cell r="E163">
            <v>0</v>
          </cell>
          <cell r="F163">
            <v>0</v>
          </cell>
        </row>
        <row r="164">
          <cell r="A164" t="str">
            <v>b-1.거푸집</v>
          </cell>
          <cell r="C164">
            <v>14093</v>
          </cell>
          <cell r="D164" t="str">
            <v>M2</v>
          </cell>
          <cell r="E164">
            <v>0</v>
          </cell>
          <cell r="F164">
            <v>0</v>
          </cell>
        </row>
        <row r="165">
          <cell r="A165" t="str">
            <v>b-2.거푸집</v>
          </cell>
          <cell r="C165">
            <v>956</v>
          </cell>
          <cell r="D165" t="str">
            <v>M2</v>
          </cell>
          <cell r="E165">
            <v>0</v>
          </cell>
          <cell r="F165">
            <v>0</v>
          </cell>
        </row>
        <row r="166">
          <cell r="A166" t="str">
            <v>b-3.거푸집</v>
          </cell>
          <cell r="C166">
            <v>224</v>
          </cell>
          <cell r="D166" t="str">
            <v>M2</v>
          </cell>
          <cell r="E166">
            <v>0</v>
          </cell>
          <cell r="F166">
            <v>0</v>
          </cell>
        </row>
        <row r="167">
          <cell r="A167" t="str">
            <v>b-4.P.E무늬거푸집</v>
          </cell>
          <cell r="C167">
            <v>1696</v>
          </cell>
          <cell r="D167" t="str">
            <v>㎡</v>
          </cell>
          <cell r="E167">
            <v>0</v>
          </cell>
          <cell r="F167">
            <v>0</v>
          </cell>
        </row>
        <row r="168">
          <cell r="A168" t="str">
            <v>c.철근가공 및 조립</v>
          </cell>
          <cell r="E168">
            <v>0</v>
          </cell>
          <cell r="F168">
            <v>0</v>
          </cell>
        </row>
        <row r="169">
          <cell r="A169" t="str">
            <v>c-1.간 단</v>
          </cell>
          <cell r="C169">
            <v>8.2000000000000003E-2</v>
          </cell>
          <cell r="D169" t="str">
            <v>TON</v>
          </cell>
          <cell r="E169">
            <v>0</v>
          </cell>
          <cell r="F169">
            <v>0</v>
          </cell>
        </row>
        <row r="170">
          <cell r="A170" t="str">
            <v>c-2.보 통</v>
          </cell>
          <cell r="C170">
            <v>29.591999999999999</v>
          </cell>
          <cell r="D170" t="str">
            <v>TON</v>
          </cell>
          <cell r="E170">
            <v>0</v>
          </cell>
          <cell r="F170">
            <v>0</v>
          </cell>
        </row>
        <row r="171">
          <cell r="A171" t="str">
            <v>c-3.복 잡</v>
          </cell>
          <cell r="C171">
            <v>1206.587</v>
          </cell>
          <cell r="D171" t="str">
            <v>TON</v>
          </cell>
          <cell r="E171">
            <v>0</v>
          </cell>
          <cell r="F171">
            <v>0</v>
          </cell>
        </row>
        <row r="172">
          <cell r="A172" t="str">
            <v>d.비계</v>
          </cell>
          <cell r="C172">
            <v>5071</v>
          </cell>
          <cell r="D172" t="str">
            <v>M2</v>
          </cell>
          <cell r="E172">
            <v>0</v>
          </cell>
          <cell r="F172">
            <v>0</v>
          </cell>
        </row>
        <row r="173">
          <cell r="A173" t="str">
            <v>e.동바리</v>
          </cell>
          <cell r="C173">
            <v>8750</v>
          </cell>
          <cell r="D173" t="str">
            <v>공/M3</v>
          </cell>
          <cell r="E173">
            <v>0</v>
          </cell>
          <cell r="F173">
            <v>0</v>
          </cell>
        </row>
        <row r="174">
          <cell r="A174" t="str">
            <v>f.아스팔트코팅</v>
          </cell>
          <cell r="C174">
            <v>4535</v>
          </cell>
          <cell r="D174" t="str">
            <v>M2</v>
          </cell>
          <cell r="E174">
            <v>0</v>
          </cell>
          <cell r="F174">
            <v>0</v>
          </cell>
        </row>
        <row r="175">
          <cell r="A175" t="str">
            <v>g.P.V.C 파이프</v>
          </cell>
          <cell r="E175">
            <v>0</v>
          </cell>
          <cell r="F175">
            <v>0</v>
          </cell>
        </row>
        <row r="176">
          <cell r="A176" t="str">
            <v>g-1. P.V.C PIPE</v>
          </cell>
          <cell r="C176">
            <v>72</v>
          </cell>
          <cell r="D176" t="str">
            <v>M</v>
          </cell>
          <cell r="E176">
            <v>0</v>
          </cell>
          <cell r="F176">
            <v>0</v>
          </cell>
        </row>
        <row r="177">
          <cell r="A177" t="str">
            <v>g-2. P.V.C PIPE</v>
          </cell>
          <cell r="C177">
            <v>18</v>
          </cell>
          <cell r="D177" t="str">
            <v>M</v>
          </cell>
          <cell r="E177">
            <v>0</v>
          </cell>
          <cell r="F177">
            <v>0</v>
          </cell>
        </row>
        <row r="178">
          <cell r="A178" t="str">
            <v>h.부직포</v>
          </cell>
          <cell r="C178">
            <v>306</v>
          </cell>
          <cell r="D178" t="str">
            <v>M2</v>
          </cell>
          <cell r="E178">
            <v>0</v>
          </cell>
          <cell r="F178">
            <v>0</v>
          </cell>
        </row>
        <row r="179">
          <cell r="A179" t="str">
            <v>i.뒷채움 및 다짐</v>
          </cell>
          <cell r="C179">
            <v>3190</v>
          </cell>
          <cell r="D179" t="str">
            <v>M3</v>
          </cell>
          <cell r="E179">
            <v>0</v>
          </cell>
          <cell r="F179">
            <v>0</v>
          </cell>
        </row>
        <row r="180">
          <cell r="A180" t="str">
            <v>j.기초잡석깔기</v>
          </cell>
          <cell r="C180">
            <v>872</v>
          </cell>
          <cell r="D180" t="str">
            <v>M3</v>
          </cell>
          <cell r="E180">
            <v>0</v>
          </cell>
          <cell r="F180">
            <v>0</v>
          </cell>
        </row>
        <row r="181">
          <cell r="A181" t="str">
            <v>k.물 푸 기</v>
          </cell>
          <cell r="C181">
            <v>415</v>
          </cell>
          <cell r="D181" t="str">
            <v>HR</v>
          </cell>
          <cell r="E181">
            <v>0</v>
          </cell>
          <cell r="F181">
            <v>0</v>
          </cell>
        </row>
        <row r="182">
          <cell r="A182" t="str">
            <v>l.지수판</v>
          </cell>
          <cell r="C182">
            <v>2820</v>
          </cell>
          <cell r="D182" t="str">
            <v>M</v>
          </cell>
          <cell r="E182">
            <v>0</v>
          </cell>
          <cell r="F182">
            <v>0</v>
          </cell>
        </row>
        <row r="183">
          <cell r="A183" t="str">
            <v>m.신축이음</v>
          </cell>
          <cell r="C183">
            <v>616</v>
          </cell>
          <cell r="D183" t="str">
            <v>M2</v>
          </cell>
          <cell r="E183">
            <v>0</v>
          </cell>
          <cell r="F183">
            <v>0</v>
          </cell>
        </row>
        <row r="184">
          <cell r="A184" t="str">
            <v>n.실런트</v>
          </cell>
          <cell r="C184">
            <v>645</v>
          </cell>
          <cell r="D184" t="str">
            <v>M</v>
          </cell>
          <cell r="E184">
            <v>0</v>
          </cell>
          <cell r="F184">
            <v>0</v>
          </cell>
        </row>
        <row r="185">
          <cell r="A185" t="str">
            <v>o.다웰바설치</v>
          </cell>
          <cell r="E185">
            <v>0</v>
          </cell>
          <cell r="F185">
            <v>0</v>
          </cell>
        </row>
        <row r="186">
          <cell r="A186" t="str">
            <v>o-1.신축이음부설치</v>
          </cell>
          <cell r="C186">
            <v>403</v>
          </cell>
          <cell r="D186" t="str">
            <v>EA</v>
          </cell>
          <cell r="E186">
            <v>0</v>
          </cell>
          <cell r="F186">
            <v>0</v>
          </cell>
        </row>
        <row r="187">
          <cell r="A187" t="str">
            <v>o-2.접속슬래브설치</v>
          </cell>
          <cell r="C187">
            <v>218</v>
          </cell>
          <cell r="D187" t="str">
            <v>EA</v>
          </cell>
          <cell r="E187">
            <v>0</v>
          </cell>
          <cell r="F187">
            <v>0</v>
          </cell>
        </row>
        <row r="188">
          <cell r="A188" t="str">
            <v>p.스페이서 설치</v>
          </cell>
          <cell r="E188">
            <v>0</v>
          </cell>
          <cell r="F188">
            <v>0</v>
          </cell>
        </row>
        <row r="189">
          <cell r="A189" t="str">
            <v>p-1.수평(슬래브)</v>
          </cell>
          <cell r="C189">
            <v>6326</v>
          </cell>
          <cell r="D189" t="str">
            <v>M2</v>
          </cell>
          <cell r="E189">
            <v>0</v>
          </cell>
          <cell r="F189">
            <v>0</v>
          </cell>
        </row>
        <row r="190">
          <cell r="A190" t="str">
            <v>p-2.수직(벽체)</v>
          </cell>
          <cell r="C190">
            <v>12526</v>
          </cell>
          <cell r="D190" t="str">
            <v>M2</v>
          </cell>
          <cell r="E190">
            <v>0</v>
          </cell>
          <cell r="F190">
            <v>0</v>
          </cell>
        </row>
        <row r="191">
          <cell r="A191" t="str">
            <v>q.치핑</v>
          </cell>
          <cell r="C191">
            <v>3</v>
          </cell>
          <cell r="D191" t="str">
            <v>M2</v>
          </cell>
          <cell r="E191">
            <v>0</v>
          </cell>
          <cell r="F191">
            <v>0</v>
          </cell>
        </row>
        <row r="192">
          <cell r="A192" t="str">
            <v>r.방호책난간</v>
          </cell>
          <cell r="C192">
            <v>25</v>
          </cell>
          <cell r="D192" t="str">
            <v>M</v>
          </cell>
          <cell r="E192">
            <v>0</v>
          </cell>
          <cell r="F192">
            <v>0</v>
          </cell>
        </row>
        <row r="193">
          <cell r="A193" t="str">
            <v>s.NOTCH</v>
          </cell>
          <cell r="C193">
            <v>114</v>
          </cell>
          <cell r="D193" t="str">
            <v>M</v>
          </cell>
          <cell r="E193">
            <v>0</v>
          </cell>
          <cell r="F193">
            <v>0</v>
          </cell>
        </row>
        <row r="194">
          <cell r="A194" t="str">
            <v>t.DRAIN BOARD</v>
          </cell>
          <cell r="C194">
            <v>303</v>
          </cell>
          <cell r="D194" t="str">
            <v>M2</v>
          </cell>
          <cell r="E194">
            <v>0</v>
          </cell>
          <cell r="F194">
            <v>0</v>
          </cell>
        </row>
        <row r="195">
          <cell r="A195" t="str">
            <v>u.시트방수</v>
          </cell>
          <cell r="C195">
            <v>163</v>
          </cell>
          <cell r="D195" t="str">
            <v>M2</v>
          </cell>
          <cell r="E195">
            <v>0</v>
          </cell>
          <cell r="F195">
            <v>0</v>
          </cell>
        </row>
        <row r="196">
          <cell r="A196" t="str">
            <v>v.시공이음면정리</v>
          </cell>
          <cell r="C196">
            <v>2107</v>
          </cell>
          <cell r="D196" t="str">
            <v>M2</v>
          </cell>
          <cell r="E196">
            <v>0</v>
          </cell>
          <cell r="F196">
            <v>0</v>
          </cell>
        </row>
        <row r="197">
          <cell r="A197" t="str">
            <v>w.모따기</v>
          </cell>
          <cell r="C197">
            <v>1156</v>
          </cell>
          <cell r="D197" t="str">
            <v>M</v>
          </cell>
          <cell r="E197">
            <v>0</v>
          </cell>
          <cell r="F197">
            <v>0</v>
          </cell>
        </row>
        <row r="198">
          <cell r="A198" t="str">
            <v>x.신구 암거 접합</v>
          </cell>
          <cell r="C198">
            <v>3</v>
          </cell>
          <cell r="D198" t="str">
            <v>M2</v>
          </cell>
          <cell r="E198">
            <v>0</v>
          </cell>
          <cell r="F198">
            <v>0</v>
          </cell>
        </row>
        <row r="199">
          <cell r="A199" t="str">
            <v>2.08.도수로공</v>
          </cell>
          <cell r="E199">
            <v>0</v>
          </cell>
          <cell r="F199">
            <v>0</v>
          </cell>
        </row>
        <row r="200">
          <cell r="A200" t="str">
            <v>a.콘크리트타설</v>
          </cell>
          <cell r="E200">
            <v>0</v>
          </cell>
          <cell r="F200">
            <v>0</v>
          </cell>
        </row>
        <row r="201">
          <cell r="A201" t="str">
            <v>a-1.콘크리트타설</v>
          </cell>
          <cell r="C201">
            <v>245</v>
          </cell>
          <cell r="D201" t="str">
            <v>M3</v>
          </cell>
          <cell r="E201">
            <v>0</v>
          </cell>
          <cell r="F201">
            <v>0</v>
          </cell>
        </row>
        <row r="202">
          <cell r="A202" t="str">
            <v>a-2.콘크리트타설</v>
          </cell>
          <cell r="C202">
            <v>59</v>
          </cell>
          <cell r="D202" t="str">
            <v>M3</v>
          </cell>
          <cell r="E202">
            <v>0</v>
          </cell>
          <cell r="F202">
            <v>0</v>
          </cell>
        </row>
        <row r="203">
          <cell r="A203" t="str">
            <v>b.거푸집</v>
          </cell>
          <cell r="C203">
            <v>1952</v>
          </cell>
          <cell r="D203" t="str">
            <v>M2</v>
          </cell>
          <cell r="E203">
            <v>0</v>
          </cell>
          <cell r="F203">
            <v>0</v>
          </cell>
        </row>
        <row r="204">
          <cell r="A204" t="str">
            <v>c.철근가공조립</v>
          </cell>
          <cell r="C204">
            <v>18.059000000000001</v>
          </cell>
          <cell r="D204" t="str">
            <v>TON</v>
          </cell>
          <cell r="E204">
            <v>0</v>
          </cell>
          <cell r="F204">
            <v>0</v>
          </cell>
        </row>
        <row r="205">
          <cell r="A205" t="str">
            <v>d.잔토처리</v>
          </cell>
          <cell r="C205">
            <v>580</v>
          </cell>
          <cell r="D205" t="str">
            <v>M3</v>
          </cell>
          <cell r="E205">
            <v>0</v>
          </cell>
          <cell r="F205">
            <v>0</v>
          </cell>
        </row>
        <row r="206">
          <cell r="A206" t="str">
            <v>2.09.U형개수로</v>
          </cell>
          <cell r="E206">
            <v>0</v>
          </cell>
          <cell r="F206">
            <v>0</v>
          </cell>
        </row>
        <row r="207">
          <cell r="A207" t="str">
            <v>a.콘크리트타설</v>
          </cell>
          <cell r="E207">
            <v>0</v>
          </cell>
          <cell r="F207">
            <v>0</v>
          </cell>
        </row>
        <row r="208">
          <cell r="A208" t="str">
            <v>a-1.콘크리트타설</v>
          </cell>
          <cell r="C208">
            <v>593</v>
          </cell>
          <cell r="D208" t="str">
            <v>M3</v>
          </cell>
          <cell r="E208">
            <v>0</v>
          </cell>
          <cell r="F208">
            <v>0</v>
          </cell>
        </row>
        <row r="209">
          <cell r="A209" t="str">
            <v>a-2.콘크리트타설</v>
          </cell>
          <cell r="C209">
            <v>109</v>
          </cell>
          <cell r="D209" t="str">
            <v>M3</v>
          </cell>
          <cell r="E209">
            <v>0</v>
          </cell>
          <cell r="F209">
            <v>0</v>
          </cell>
        </row>
        <row r="210">
          <cell r="A210" t="str">
            <v>b.거푸집</v>
          </cell>
          <cell r="E210">
            <v>0</v>
          </cell>
          <cell r="F210">
            <v>0</v>
          </cell>
        </row>
        <row r="211">
          <cell r="A211" t="str">
            <v>b-1.거푸집</v>
          </cell>
          <cell r="C211">
            <v>2058</v>
          </cell>
          <cell r="D211" t="str">
            <v>M2</v>
          </cell>
          <cell r="E211">
            <v>0</v>
          </cell>
          <cell r="F211">
            <v>0</v>
          </cell>
        </row>
        <row r="212">
          <cell r="A212" t="str">
            <v>b-2.거푸집</v>
          </cell>
          <cell r="C212">
            <v>1949</v>
          </cell>
          <cell r="D212" t="str">
            <v>M2</v>
          </cell>
          <cell r="E212">
            <v>0</v>
          </cell>
          <cell r="F212">
            <v>0</v>
          </cell>
        </row>
        <row r="213">
          <cell r="A213" t="str">
            <v>c.철근가공조립</v>
          </cell>
          <cell r="C213">
            <v>56.902000000000001</v>
          </cell>
          <cell r="D213" t="str">
            <v>TON</v>
          </cell>
          <cell r="E213">
            <v>0</v>
          </cell>
          <cell r="F213">
            <v>0</v>
          </cell>
        </row>
        <row r="214">
          <cell r="A214" t="str">
            <v>d.비계</v>
          </cell>
          <cell r="C214">
            <v>1400</v>
          </cell>
          <cell r="D214" t="str">
            <v>M2</v>
          </cell>
          <cell r="E214">
            <v>0</v>
          </cell>
          <cell r="F214">
            <v>0</v>
          </cell>
        </row>
        <row r="215">
          <cell r="A215" t="str">
            <v>e.지수판</v>
          </cell>
          <cell r="C215">
            <v>79</v>
          </cell>
          <cell r="D215" t="str">
            <v>M</v>
          </cell>
          <cell r="E215">
            <v>0</v>
          </cell>
          <cell r="F215">
            <v>0</v>
          </cell>
        </row>
        <row r="216">
          <cell r="A216" t="str">
            <v>f.JOINT FILLER</v>
          </cell>
          <cell r="C216">
            <v>40</v>
          </cell>
          <cell r="D216" t="str">
            <v>M2</v>
          </cell>
          <cell r="E216">
            <v>0</v>
          </cell>
          <cell r="F216">
            <v>0</v>
          </cell>
        </row>
        <row r="217">
          <cell r="A217" t="str">
            <v>g.동바리</v>
          </cell>
          <cell r="C217">
            <v>79</v>
          </cell>
          <cell r="D217" t="str">
            <v>공/M3</v>
          </cell>
          <cell r="E217">
            <v>0</v>
          </cell>
          <cell r="F217">
            <v>0</v>
          </cell>
        </row>
        <row r="218">
          <cell r="A218" t="str">
            <v>2.10 우수종단관공</v>
          </cell>
          <cell r="E218">
            <v>0</v>
          </cell>
          <cell r="F218">
            <v>0</v>
          </cell>
        </row>
        <row r="219">
          <cell r="A219" t="str">
            <v>a.D=800MM</v>
          </cell>
          <cell r="C219">
            <v>1753</v>
          </cell>
          <cell r="D219" t="str">
            <v>M</v>
          </cell>
          <cell r="E219">
            <v>0</v>
          </cell>
          <cell r="F219">
            <v>0</v>
          </cell>
        </row>
        <row r="220">
          <cell r="A220" t="str">
            <v>2.11 맨홀공</v>
          </cell>
          <cell r="E220">
            <v>0</v>
          </cell>
          <cell r="F220">
            <v>0</v>
          </cell>
        </row>
        <row r="221">
          <cell r="A221" t="str">
            <v>a.콘크리트타설(소형)</v>
          </cell>
          <cell r="C221">
            <v>14</v>
          </cell>
          <cell r="D221" t="str">
            <v>M3</v>
          </cell>
          <cell r="E221">
            <v>0</v>
          </cell>
          <cell r="F221">
            <v>0</v>
          </cell>
        </row>
        <row r="222">
          <cell r="A222" t="str">
            <v>b.콘크리트타설(소형)</v>
          </cell>
          <cell r="C222">
            <v>112</v>
          </cell>
          <cell r="D222" t="str">
            <v>M3</v>
          </cell>
          <cell r="E222">
            <v>0</v>
          </cell>
          <cell r="F222">
            <v>0</v>
          </cell>
        </row>
        <row r="223">
          <cell r="A223" t="str">
            <v>c.거푸집</v>
          </cell>
          <cell r="C223">
            <v>651</v>
          </cell>
          <cell r="D223" t="str">
            <v>M2</v>
          </cell>
          <cell r="E223">
            <v>0</v>
          </cell>
          <cell r="F223">
            <v>0</v>
          </cell>
        </row>
        <row r="224">
          <cell r="A224" t="str">
            <v>d.철근가공조립</v>
          </cell>
          <cell r="C224">
            <v>13.993</v>
          </cell>
          <cell r="D224" t="str">
            <v>TON</v>
          </cell>
          <cell r="E224">
            <v>0</v>
          </cell>
          <cell r="F224">
            <v>0</v>
          </cell>
        </row>
        <row r="225">
          <cell r="A225" t="str">
            <v>e.몰  탈</v>
          </cell>
          <cell r="C225">
            <v>1</v>
          </cell>
          <cell r="D225" t="str">
            <v>M3</v>
          </cell>
          <cell r="E225">
            <v>0</v>
          </cell>
          <cell r="F225">
            <v>0</v>
          </cell>
        </row>
        <row r="226">
          <cell r="A226" t="str">
            <v>f.발디딤쇠(사다리)설치</v>
          </cell>
          <cell r="C226">
            <v>0.38900000000000001</v>
          </cell>
          <cell r="D226" t="str">
            <v>TON</v>
          </cell>
          <cell r="E226">
            <v>0</v>
          </cell>
          <cell r="F226">
            <v>0</v>
          </cell>
        </row>
        <row r="227">
          <cell r="A227" t="str">
            <v>g.맨홀뚜껑설치</v>
          </cell>
          <cell r="E227">
            <v>0</v>
          </cell>
          <cell r="F227">
            <v>0</v>
          </cell>
        </row>
        <row r="228">
          <cell r="A228" t="str">
            <v>g-1.차도측</v>
          </cell>
          <cell r="C228">
            <v>6</v>
          </cell>
          <cell r="D228" t="str">
            <v>EA</v>
          </cell>
          <cell r="E228">
            <v>0</v>
          </cell>
          <cell r="F228">
            <v>0</v>
          </cell>
        </row>
        <row r="229">
          <cell r="A229" t="str">
            <v>g-2.보도측</v>
          </cell>
          <cell r="C229">
            <v>32</v>
          </cell>
          <cell r="D229" t="str">
            <v>EA</v>
          </cell>
          <cell r="E229">
            <v>0</v>
          </cell>
          <cell r="F229">
            <v>0</v>
          </cell>
        </row>
        <row r="230">
          <cell r="A230" t="str">
            <v>2.12 우수받이공</v>
          </cell>
          <cell r="E230">
            <v>0</v>
          </cell>
          <cell r="F230">
            <v>0</v>
          </cell>
        </row>
        <row r="231">
          <cell r="A231" t="str">
            <v>a.우수받이공</v>
          </cell>
          <cell r="C231">
            <v>71</v>
          </cell>
          <cell r="D231" t="str">
            <v>EA</v>
          </cell>
          <cell r="E231">
            <v>0</v>
          </cell>
          <cell r="F231">
            <v>0</v>
          </cell>
        </row>
        <row r="232">
          <cell r="A232" t="str">
            <v>3.구  조  물  공</v>
          </cell>
          <cell r="E232">
            <v>0</v>
          </cell>
          <cell r="F232">
            <v>0</v>
          </cell>
        </row>
        <row r="233">
          <cell r="A233" t="str">
            <v>A.휴암교(R.C 라멘교)</v>
          </cell>
          <cell r="E233">
            <v>0</v>
          </cell>
          <cell r="F233">
            <v>0</v>
          </cell>
        </row>
        <row r="234">
          <cell r="A234" t="str">
            <v>3.01 구조물터파기</v>
          </cell>
          <cell r="E234">
            <v>0</v>
          </cell>
          <cell r="F234">
            <v>0</v>
          </cell>
        </row>
        <row r="235">
          <cell r="A235" t="str">
            <v>a.육상토사</v>
          </cell>
          <cell r="C235">
            <v>120</v>
          </cell>
          <cell r="D235" t="str">
            <v>M3</v>
          </cell>
          <cell r="E235">
            <v>0</v>
          </cell>
          <cell r="F235">
            <v>0</v>
          </cell>
        </row>
        <row r="236">
          <cell r="A236" t="str">
            <v>b.용수토 사</v>
          </cell>
          <cell r="E236">
            <v>0</v>
          </cell>
          <cell r="F236">
            <v>0</v>
          </cell>
        </row>
        <row r="237">
          <cell r="A237" t="str">
            <v>-1.용수토사</v>
          </cell>
          <cell r="C237">
            <v>3300</v>
          </cell>
          <cell r="D237" t="str">
            <v>M3</v>
          </cell>
          <cell r="E237">
            <v>0</v>
          </cell>
          <cell r="F237">
            <v>0</v>
          </cell>
        </row>
        <row r="238">
          <cell r="A238" t="str">
            <v>-2.용수토사</v>
          </cell>
          <cell r="C238">
            <v>340</v>
          </cell>
          <cell r="D238" t="str">
            <v>M3</v>
          </cell>
          <cell r="E238">
            <v>0</v>
          </cell>
          <cell r="F238">
            <v>0</v>
          </cell>
        </row>
        <row r="239">
          <cell r="A239" t="str">
            <v>c.용수풍화암</v>
          </cell>
          <cell r="E239">
            <v>0</v>
          </cell>
          <cell r="F239">
            <v>0</v>
          </cell>
        </row>
        <row r="240">
          <cell r="A240" t="str">
            <v>-1.용수풍화암</v>
          </cell>
          <cell r="C240">
            <v>280</v>
          </cell>
          <cell r="D240" t="str">
            <v>M3</v>
          </cell>
          <cell r="E240">
            <v>0</v>
          </cell>
          <cell r="F240">
            <v>0</v>
          </cell>
        </row>
        <row r="241">
          <cell r="A241" t="str">
            <v>-2.용수풍화암</v>
          </cell>
          <cell r="C241">
            <v>90</v>
          </cell>
          <cell r="D241" t="str">
            <v>M3</v>
          </cell>
          <cell r="E241">
            <v>0</v>
          </cell>
          <cell r="F241">
            <v>0</v>
          </cell>
        </row>
        <row r="242">
          <cell r="A242" t="str">
            <v>d.용수발파암</v>
          </cell>
          <cell r="C242">
            <v>70</v>
          </cell>
          <cell r="D242" t="str">
            <v>M3</v>
          </cell>
          <cell r="E242">
            <v>0</v>
          </cell>
          <cell r="F242">
            <v>0</v>
          </cell>
        </row>
        <row r="243">
          <cell r="A243" t="str">
            <v>3.02 되메우기(기계70%,인력30%)</v>
          </cell>
          <cell r="C243">
            <v>2740</v>
          </cell>
          <cell r="D243" t="str">
            <v>M3</v>
          </cell>
          <cell r="E243">
            <v>0</v>
          </cell>
          <cell r="F243">
            <v>0</v>
          </cell>
        </row>
        <row r="244">
          <cell r="A244" t="str">
            <v>3.03 뒷채움 및 다짐</v>
          </cell>
          <cell r="C244">
            <v>722</v>
          </cell>
          <cell r="D244" t="str">
            <v>M3</v>
          </cell>
          <cell r="E244">
            <v>0</v>
          </cell>
          <cell r="F244">
            <v>0</v>
          </cell>
        </row>
        <row r="245">
          <cell r="A245" t="str">
            <v>3.04 면정리및청소</v>
          </cell>
          <cell r="C245">
            <v>180</v>
          </cell>
          <cell r="D245" t="str">
            <v>M2</v>
          </cell>
          <cell r="E245">
            <v>0</v>
          </cell>
          <cell r="F245">
            <v>0</v>
          </cell>
        </row>
        <row r="246">
          <cell r="A246" t="str">
            <v>3.05 세굴방지용사석채움</v>
          </cell>
          <cell r="C246">
            <v>883</v>
          </cell>
          <cell r="D246" t="str">
            <v>M3</v>
          </cell>
          <cell r="E246">
            <v>0</v>
          </cell>
          <cell r="F246">
            <v>0</v>
          </cell>
        </row>
        <row r="247">
          <cell r="A247" t="str">
            <v>3.06 물 푸 기</v>
          </cell>
          <cell r="C247">
            <v>320</v>
          </cell>
          <cell r="D247" t="str">
            <v>Hr</v>
          </cell>
          <cell r="E247">
            <v>0</v>
          </cell>
          <cell r="F247">
            <v>0</v>
          </cell>
        </row>
        <row r="248">
          <cell r="A248" t="str">
            <v>3.07 석축쌓기</v>
          </cell>
          <cell r="E248">
            <v>0</v>
          </cell>
          <cell r="F248">
            <v>0</v>
          </cell>
        </row>
        <row r="249">
          <cell r="A249" t="str">
            <v>a.찰쌓기</v>
          </cell>
          <cell r="C249">
            <v>192</v>
          </cell>
          <cell r="D249" t="str">
            <v>M2</v>
          </cell>
          <cell r="E249">
            <v>0</v>
          </cell>
          <cell r="F249">
            <v>0</v>
          </cell>
        </row>
        <row r="250">
          <cell r="A250" t="str">
            <v>b.석축쌓기 기초</v>
          </cell>
          <cell r="C250">
            <v>45</v>
          </cell>
          <cell r="D250" t="str">
            <v>M</v>
          </cell>
          <cell r="E250">
            <v>0</v>
          </cell>
          <cell r="F250">
            <v>0</v>
          </cell>
        </row>
        <row r="251">
          <cell r="A251" t="str">
            <v>3.08 콘크리트 타설</v>
          </cell>
          <cell r="E251">
            <v>0</v>
          </cell>
          <cell r="F251">
            <v>0</v>
          </cell>
        </row>
        <row r="252">
          <cell r="A252" t="str">
            <v>a.무       근</v>
          </cell>
          <cell r="C252">
            <v>77</v>
          </cell>
          <cell r="D252" t="str">
            <v>M3</v>
          </cell>
          <cell r="E252">
            <v>0</v>
          </cell>
          <cell r="F252">
            <v>0</v>
          </cell>
        </row>
        <row r="253">
          <cell r="A253" t="str">
            <v>b.무       근</v>
          </cell>
          <cell r="C253">
            <v>439</v>
          </cell>
          <cell r="D253" t="str">
            <v>M3</v>
          </cell>
          <cell r="E253">
            <v>0</v>
          </cell>
          <cell r="F253">
            <v>0</v>
          </cell>
        </row>
        <row r="254">
          <cell r="A254" t="str">
            <v>c.펌프카타설</v>
          </cell>
          <cell r="C254">
            <v>1232</v>
          </cell>
          <cell r="D254" t="str">
            <v>M3</v>
          </cell>
          <cell r="E254">
            <v>0</v>
          </cell>
          <cell r="F254">
            <v>0</v>
          </cell>
        </row>
        <row r="255">
          <cell r="A255" t="str">
            <v>3.09 몰  탈</v>
          </cell>
          <cell r="C255">
            <v>1.89</v>
          </cell>
          <cell r="D255" t="str">
            <v>M3</v>
          </cell>
          <cell r="E255">
            <v>0</v>
          </cell>
          <cell r="F255">
            <v>0</v>
          </cell>
        </row>
        <row r="256">
          <cell r="A256" t="str">
            <v>3.10 PVC PIPE</v>
          </cell>
          <cell r="C256">
            <v>73</v>
          </cell>
          <cell r="D256" t="str">
            <v>M</v>
          </cell>
          <cell r="E256">
            <v>0</v>
          </cell>
          <cell r="F256">
            <v>0</v>
          </cell>
        </row>
        <row r="257">
          <cell r="A257" t="str">
            <v>3.11 거 푸 집 공</v>
          </cell>
          <cell r="E257">
            <v>0</v>
          </cell>
          <cell r="F257">
            <v>0</v>
          </cell>
        </row>
        <row r="258">
          <cell r="A258" t="str">
            <v>a.합 판 거 푸 집</v>
          </cell>
          <cell r="E258">
            <v>0</v>
          </cell>
          <cell r="F258">
            <v>0</v>
          </cell>
        </row>
        <row r="259">
          <cell r="A259" t="str">
            <v>-1.거푸집</v>
          </cell>
          <cell r="C259">
            <v>1277</v>
          </cell>
          <cell r="D259" t="str">
            <v>M2</v>
          </cell>
          <cell r="E259">
            <v>0</v>
          </cell>
          <cell r="F259">
            <v>0</v>
          </cell>
        </row>
        <row r="260">
          <cell r="A260" t="str">
            <v>-2.거푸집</v>
          </cell>
          <cell r="C260">
            <v>272</v>
          </cell>
          <cell r="D260" t="str">
            <v>M2</v>
          </cell>
          <cell r="E260">
            <v>0</v>
          </cell>
          <cell r="F260">
            <v>0</v>
          </cell>
        </row>
        <row r="261">
          <cell r="A261" t="str">
            <v>-3.거푸집</v>
          </cell>
          <cell r="C261">
            <v>332</v>
          </cell>
          <cell r="D261" t="str">
            <v>M2</v>
          </cell>
          <cell r="E261">
            <v>0</v>
          </cell>
          <cell r="F261">
            <v>0</v>
          </cell>
        </row>
        <row r="262">
          <cell r="A262" t="str">
            <v>b.원형거푸집</v>
          </cell>
          <cell r="C262">
            <v>69</v>
          </cell>
          <cell r="D262" t="str">
            <v>M2</v>
          </cell>
          <cell r="E262">
            <v>0</v>
          </cell>
          <cell r="F262">
            <v>0</v>
          </cell>
        </row>
        <row r="263">
          <cell r="A263" t="str">
            <v>3.12 동바리</v>
          </cell>
          <cell r="E263">
            <v>0</v>
          </cell>
          <cell r="F263">
            <v>0</v>
          </cell>
        </row>
        <row r="264">
          <cell r="A264" t="str">
            <v>a.동바리</v>
          </cell>
          <cell r="C264">
            <v>2630</v>
          </cell>
          <cell r="D264" t="str">
            <v>공/M3</v>
          </cell>
          <cell r="E264">
            <v>0</v>
          </cell>
          <cell r="F264">
            <v>0</v>
          </cell>
        </row>
        <row r="265">
          <cell r="A265" t="str">
            <v>b.수평연결재</v>
          </cell>
          <cell r="C265">
            <v>580</v>
          </cell>
          <cell r="D265" t="str">
            <v>M2</v>
          </cell>
          <cell r="E265">
            <v>0</v>
          </cell>
          <cell r="F265">
            <v>0</v>
          </cell>
        </row>
        <row r="266">
          <cell r="A266" t="str">
            <v>3.13 비계</v>
          </cell>
          <cell r="C266">
            <v>330</v>
          </cell>
          <cell r="D266" t="str">
            <v>M2</v>
          </cell>
          <cell r="E266">
            <v>0</v>
          </cell>
          <cell r="F266">
            <v>0</v>
          </cell>
        </row>
        <row r="267">
          <cell r="A267" t="str">
            <v>3.14 모따기</v>
          </cell>
          <cell r="C267">
            <v>75</v>
          </cell>
          <cell r="D267" t="str">
            <v>M</v>
          </cell>
          <cell r="E267">
            <v>0</v>
          </cell>
          <cell r="F267">
            <v>0</v>
          </cell>
        </row>
        <row r="268">
          <cell r="A268" t="str">
            <v>3.15 교명주(화강석)</v>
          </cell>
          <cell r="C268">
            <v>2</v>
          </cell>
          <cell r="D268" t="str">
            <v>EA</v>
          </cell>
          <cell r="E268">
            <v>0</v>
          </cell>
          <cell r="F268">
            <v>0</v>
          </cell>
        </row>
        <row r="269">
          <cell r="A269" t="str">
            <v>3.16 교명판및설명판</v>
          </cell>
          <cell r="E269">
            <v>0</v>
          </cell>
          <cell r="F269">
            <v>0</v>
          </cell>
        </row>
        <row r="270">
          <cell r="A270" t="str">
            <v>a.교명판</v>
          </cell>
          <cell r="C270">
            <v>2</v>
          </cell>
          <cell r="D270" t="str">
            <v>EA</v>
          </cell>
          <cell r="E270">
            <v>0</v>
          </cell>
          <cell r="F270">
            <v>0</v>
          </cell>
        </row>
        <row r="271">
          <cell r="A271" t="str">
            <v>b.설명판</v>
          </cell>
          <cell r="C271">
            <v>2</v>
          </cell>
          <cell r="D271" t="str">
            <v>EA</v>
          </cell>
          <cell r="E271">
            <v>0</v>
          </cell>
          <cell r="F271">
            <v>0</v>
          </cell>
        </row>
        <row r="272">
          <cell r="A272" t="str">
            <v>3.17 표 면 처 리</v>
          </cell>
          <cell r="E272">
            <v>0</v>
          </cell>
          <cell r="F272">
            <v>0</v>
          </cell>
        </row>
        <row r="273">
          <cell r="A273" t="str">
            <v>a.슬라브 양생</v>
          </cell>
          <cell r="C273">
            <v>445</v>
          </cell>
          <cell r="D273" t="str">
            <v>M2</v>
          </cell>
          <cell r="E273">
            <v>0</v>
          </cell>
          <cell r="F273">
            <v>0</v>
          </cell>
        </row>
        <row r="274">
          <cell r="A274" t="str">
            <v>b.데크휘니샤 면고르기</v>
          </cell>
          <cell r="C274">
            <v>445</v>
          </cell>
          <cell r="D274" t="str">
            <v>M2</v>
          </cell>
          <cell r="E274">
            <v>0</v>
          </cell>
          <cell r="F274">
            <v>0</v>
          </cell>
        </row>
        <row r="275">
          <cell r="A275" t="str">
            <v>3.18 교 면 방 수</v>
          </cell>
          <cell r="C275">
            <v>445</v>
          </cell>
          <cell r="D275" t="str">
            <v>M2</v>
          </cell>
          <cell r="E275">
            <v>0</v>
          </cell>
          <cell r="F275">
            <v>0</v>
          </cell>
        </row>
        <row r="276">
          <cell r="A276" t="str">
            <v>3.19 배면방수</v>
          </cell>
          <cell r="C276">
            <v>166</v>
          </cell>
          <cell r="D276" t="str">
            <v>M2</v>
          </cell>
          <cell r="E276">
            <v>0</v>
          </cell>
          <cell r="F276">
            <v>0</v>
          </cell>
        </row>
        <row r="277">
          <cell r="A277" t="str">
            <v>3.20 전선관부설</v>
          </cell>
          <cell r="C277">
            <v>62</v>
          </cell>
          <cell r="D277" t="str">
            <v>M</v>
          </cell>
          <cell r="E277">
            <v>0</v>
          </cell>
          <cell r="F277">
            <v>0</v>
          </cell>
        </row>
        <row r="278">
          <cell r="A278" t="str">
            <v>3.21 T.B.M 설치</v>
          </cell>
          <cell r="C278">
            <v>1</v>
          </cell>
          <cell r="D278" t="str">
            <v>EA</v>
          </cell>
          <cell r="E278">
            <v>0</v>
          </cell>
          <cell r="F278">
            <v>0</v>
          </cell>
        </row>
        <row r="279">
          <cell r="A279" t="str">
            <v>3.22 스페이서 설치</v>
          </cell>
          <cell r="E279">
            <v>0</v>
          </cell>
          <cell r="F279">
            <v>0</v>
          </cell>
        </row>
        <row r="280">
          <cell r="A280" t="str">
            <v>a.스페이서 설치</v>
          </cell>
          <cell r="C280">
            <v>986</v>
          </cell>
          <cell r="D280" t="str">
            <v>M2</v>
          </cell>
          <cell r="E280">
            <v>0</v>
          </cell>
          <cell r="F280">
            <v>0</v>
          </cell>
        </row>
        <row r="281">
          <cell r="A281" t="str">
            <v>b.스페이서 설치</v>
          </cell>
          <cell r="C281">
            <v>531</v>
          </cell>
          <cell r="D281" t="str">
            <v>M2</v>
          </cell>
          <cell r="E281">
            <v>0</v>
          </cell>
          <cell r="F281">
            <v>0</v>
          </cell>
        </row>
        <row r="282">
          <cell r="A282" t="str">
            <v>3.23 철근가공 및 조립</v>
          </cell>
          <cell r="E282">
            <v>0</v>
          </cell>
          <cell r="F282">
            <v>0</v>
          </cell>
        </row>
        <row r="283">
          <cell r="A283" t="str">
            <v>a.보       통</v>
          </cell>
          <cell r="C283">
            <v>17.899000000000001</v>
          </cell>
          <cell r="D283" t="str">
            <v>TON</v>
          </cell>
          <cell r="E283">
            <v>0</v>
          </cell>
          <cell r="F283">
            <v>0</v>
          </cell>
        </row>
        <row r="284">
          <cell r="A284" t="str">
            <v>b.복       잡</v>
          </cell>
          <cell r="C284">
            <v>158.209</v>
          </cell>
          <cell r="D284" t="str">
            <v>TON</v>
          </cell>
          <cell r="E284">
            <v>0</v>
          </cell>
          <cell r="F284">
            <v>0</v>
          </cell>
        </row>
        <row r="285">
          <cell r="A285" t="str">
            <v>3.24 배 수 시 설 공</v>
          </cell>
          <cell r="E285">
            <v>0</v>
          </cell>
          <cell r="F285">
            <v>0</v>
          </cell>
        </row>
        <row r="286">
          <cell r="A286" t="str">
            <v>a.교량배수물빼기공</v>
          </cell>
          <cell r="C286">
            <v>59</v>
          </cell>
          <cell r="D286" t="str">
            <v>M</v>
          </cell>
          <cell r="E286">
            <v>0</v>
          </cell>
          <cell r="F286">
            <v>0</v>
          </cell>
        </row>
        <row r="287">
          <cell r="A287" t="str">
            <v>b.하층줄눈(성형)</v>
          </cell>
          <cell r="C287">
            <v>59</v>
          </cell>
          <cell r="D287" t="str">
            <v>M</v>
          </cell>
          <cell r="E287">
            <v>0</v>
          </cell>
          <cell r="F287">
            <v>0</v>
          </cell>
        </row>
        <row r="288">
          <cell r="A288" t="str">
            <v>c.상층줄눈(주입)</v>
          </cell>
          <cell r="C288">
            <v>59</v>
          </cell>
          <cell r="D288" t="str">
            <v>M</v>
          </cell>
          <cell r="E288">
            <v>0</v>
          </cell>
          <cell r="F288">
            <v>0</v>
          </cell>
        </row>
        <row r="289">
          <cell r="A289" t="str">
            <v>d.표면처리(방수)</v>
          </cell>
          <cell r="C289">
            <v>12</v>
          </cell>
          <cell r="D289" t="str">
            <v>M2</v>
          </cell>
          <cell r="E289">
            <v>0</v>
          </cell>
          <cell r="F289">
            <v>0</v>
          </cell>
        </row>
        <row r="290">
          <cell r="A290" t="str">
            <v>e.집수구(스턴레스)</v>
          </cell>
          <cell r="C290">
            <v>6</v>
          </cell>
          <cell r="D290" t="str">
            <v>EA</v>
          </cell>
          <cell r="E290">
            <v>0</v>
          </cell>
          <cell r="F290">
            <v>0</v>
          </cell>
        </row>
        <row r="291">
          <cell r="A291" t="str">
            <v>f.교량배수용강관(하천용)</v>
          </cell>
          <cell r="C291">
            <v>7</v>
          </cell>
          <cell r="D291" t="str">
            <v>M</v>
          </cell>
          <cell r="E291">
            <v>0</v>
          </cell>
          <cell r="F291">
            <v>0</v>
          </cell>
        </row>
        <row r="292">
          <cell r="A292" t="str">
            <v>g.이음부(스텐레스)</v>
          </cell>
          <cell r="C292">
            <v>6</v>
          </cell>
          <cell r="D292" t="str">
            <v>EA</v>
          </cell>
          <cell r="E292">
            <v>0</v>
          </cell>
          <cell r="F292">
            <v>0</v>
          </cell>
        </row>
        <row r="293">
          <cell r="A293" t="str">
            <v>3.25 DOWEL BAR 설치</v>
          </cell>
          <cell r="C293">
            <v>96</v>
          </cell>
          <cell r="D293" t="str">
            <v>개소</v>
          </cell>
          <cell r="E293">
            <v>0</v>
          </cell>
          <cell r="F293">
            <v>0</v>
          </cell>
        </row>
        <row r="294">
          <cell r="A294" t="str">
            <v>3.26 스치로폴</v>
          </cell>
          <cell r="E294">
            <v>0</v>
          </cell>
          <cell r="F294">
            <v>0</v>
          </cell>
        </row>
        <row r="295">
          <cell r="A295" t="str">
            <v>a.스치로폴</v>
          </cell>
          <cell r="C295">
            <v>77</v>
          </cell>
          <cell r="D295" t="str">
            <v>M2</v>
          </cell>
          <cell r="E295">
            <v>0</v>
          </cell>
          <cell r="F295">
            <v>0</v>
          </cell>
        </row>
        <row r="296">
          <cell r="A296" t="str">
            <v>3.27 방호책난간</v>
          </cell>
          <cell r="C296">
            <v>30</v>
          </cell>
          <cell r="D296" t="str">
            <v>M</v>
          </cell>
          <cell r="E296">
            <v>0</v>
          </cell>
          <cell r="F296">
            <v>0</v>
          </cell>
        </row>
        <row r="297">
          <cell r="A297" t="str">
            <v>3.28 강관파일</v>
          </cell>
          <cell r="E297">
            <v>0</v>
          </cell>
          <cell r="F297">
            <v>0</v>
          </cell>
        </row>
        <row r="298">
          <cell r="A298" t="str">
            <v>a.자재비 (R=508 M/M,T=12 M/M)</v>
          </cell>
          <cell r="C298">
            <v>221</v>
          </cell>
          <cell r="D298" t="str">
            <v>M</v>
          </cell>
          <cell r="E298">
            <v>0</v>
          </cell>
          <cell r="F298">
            <v>0</v>
          </cell>
        </row>
        <row r="299">
          <cell r="A299" t="str">
            <v>b.S.I.P</v>
          </cell>
          <cell r="C299">
            <v>221</v>
          </cell>
          <cell r="D299" t="str">
            <v>M</v>
          </cell>
          <cell r="E299">
            <v>0</v>
          </cell>
          <cell r="F299">
            <v>0</v>
          </cell>
        </row>
        <row r="300">
          <cell r="A300" t="str">
            <v>c.두부보강 (볼트식)</v>
          </cell>
          <cell r="C300">
            <v>42</v>
          </cell>
          <cell r="D300" t="str">
            <v>개소</v>
          </cell>
          <cell r="E300">
            <v>0</v>
          </cell>
          <cell r="F300">
            <v>0</v>
          </cell>
        </row>
        <row r="301">
          <cell r="A301" t="str">
            <v>d.선단 보강</v>
          </cell>
          <cell r="C301">
            <v>42</v>
          </cell>
          <cell r="D301" t="str">
            <v>개소</v>
          </cell>
          <cell r="E301">
            <v>0</v>
          </cell>
          <cell r="F301">
            <v>0</v>
          </cell>
        </row>
        <row r="302">
          <cell r="A302" t="str">
            <v>3.29 부직포</v>
          </cell>
          <cell r="C302">
            <v>126</v>
          </cell>
          <cell r="D302" t="str">
            <v>M2</v>
          </cell>
          <cell r="E302">
            <v>0</v>
          </cell>
          <cell r="F302">
            <v>0</v>
          </cell>
        </row>
        <row r="303">
          <cell r="A303" t="str">
            <v>3.30 가시설공</v>
          </cell>
          <cell r="E303">
            <v>0</v>
          </cell>
          <cell r="F303">
            <v>0</v>
          </cell>
        </row>
        <row r="304">
          <cell r="A304" t="str">
            <v>a.토  사천공(φ16" 3 WING BIT)</v>
          </cell>
          <cell r="C304">
            <v>789</v>
          </cell>
          <cell r="D304" t="str">
            <v>M</v>
          </cell>
          <cell r="E304">
            <v>0</v>
          </cell>
          <cell r="F304">
            <v>0</v>
          </cell>
        </row>
        <row r="305">
          <cell r="A305" t="str">
            <v>b.풍화암천공(φ16" 3 WING BIT)</v>
          </cell>
          <cell r="C305">
            <v>117</v>
          </cell>
          <cell r="D305" t="str">
            <v>M</v>
          </cell>
          <cell r="E305">
            <v>0</v>
          </cell>
          <cell r="F305">
            <v>0</v>
          </cell>
        </row>
        <row r="306">
          <cell r="A306" t="str">
            <v>c.경암천공(T-4)</v>
          </cell>
          <cell r="C306">
            <v>489</v>
          </cell>
          <cell r="D306" t="str">
            <v>M</v>
          </cell>
          <cell r="E306">
            <v>0</v>
          </cell>
          <cell r="F306">
            <v>0</v>
          </cell>
        </row>
        <row r="307">
          <cell r="A307" t="str">
            <v>d.SHEET PILE항타및항발</v>
          </cell>
          <cell r="C307">
            <v>1396</v>
          </cell>
          <cell r="D307" t="str">
            <v>M</v>
          </cell>
          <cell r="E307">
            <v>0</v>
          </cell>
          <cell r="F307">
            <v>0</v>
          </cell>
        </row>
        <row r="308">
          <cell r="A308" t="str">
            <v>e.버팀보 제작</v>
          </cell>
          <cell r="C308">
            <v>16</v>
          </cell>
          <cell r="D308" t="str">
            <v>본</v>
          </cell>
          <cell r="E308">
            <v>0</v>
          </cell>
          <cell r="F308">
            <v>0</v>
          </cell>
        </row>
        <row r="309">
          <cell r="A309" t="str">
            <v>f.버팀보 설치 (6∼8m)</v>
          </cell>
          <cell r="C309">
            <v>16</v>
          </cell>
          <cell r="D309" t="str">
            <v>EA</v>
          </cell>
          <cell r="E309">
            <v>0</v>
          </cell>
          <cell r="F309">
            <v>0</v>
          </cell>
        </row>
        <row r="310">
          <cell r="A310" t="str">
            <v>g.버팀보 철거 (6∼8m)</v>
          </cell>
          <cell r="C310">
            <v>16</v>
          </cell>
          <cell r="D310" t="str">
            <v>EA</v>
          </cell>
          <cell r="E310">
            <v>0</v>
          </cell>
          <cell r="F310">
            <v>0</v>
          </cell>
        </row>
        <row r="311">
          <cell r="A311" t="str">
            <v>h.CORNER STRUT제작</v>
          </cell>
          <cell r="C311">
            <v>8</v>
          </cell>
          <cell r="D311" t="str">
            <v>EA</v>
          </cell>
          <cell r="E311">
            <v>0</v>
          </cell>
          <cell r="F311">
            <v>0</v>
          </cell>
        </row>
        <row r="312">
          <cell r="A312" t="str">
            <v>i.CORNER STRUT 설치 (6∼8m)</v>
          </cell>
          <cell r="C312">
            <v>8</v>
          </cell>
          <cell r="D312" t="str">
            <v>EA</v>
          </cell>
          <cell r="E312">
            <v>0</v>
          </cell>
          <cell r="F312">
            <v>0</v>
          </cell>
        </row>
        <row r="313">
          <cell r="A313" t="str">
            <v>j.CORNER STRUT 철거 (6∼8m)</v>
          </cell>
          <cell r="C313">
            <v>8</v>
          </cell>
          <cell r="D313" t="str">
            <v>EA</v>
          </cell>
          <cell r="E313">
            <v>0</v>
          </cell>
          <cell r="F313">
            <v>0</v>
          </cell>
        </row>
        <row r="314">
          <cell r="A314" t="str">
            <v>k.JACK 설치해체</v>
          </cell>
          <cell r="C314">
            <v>24</v>
          </cell>
          <cell r="D314" t="str">
            <v>개소</v>
          </cell>
          <cell r="E314">
            <v>0</v>
          </cell>
          <cell r="F314">
            <v>0</v>
          </cell>
        </row>
        <row r="315">
          <cell r="A315" t="str">
            <v>l.보걸이설치</v>
          </cell>
          <cell r="C315">
            <v>118</v>
          </cell>
          <cell r="D315" t="str">
            <v>EA</v>
          </cell>
          <cell r="E315">
            <v>0</v>
          </cell>
          <cell r="F315">
            <v>0</v>
          </cell>
        </row>
        <row r="316">
          <cell r="A316" t="str">
            <v>m.보걸이철거</v>
          </cell>
          <cell r="C316">
            <v>118</v>
          </cell>
          <cell r="D316" t="str">
            <v>EA</v>
          </cell>
          <cell r="E316">
            <v>0</v>
          </cell>
          <cell r="F316">
            <v>0</v>
          </cell>
        </row>
        <row r="317">
          <cell r="A317" t="str">
            <v>n.띠장설치</v>
          </cell>
          <cell r="C317">
            <v>220</v>
          </cell>
          <cell r="D317" t="str">
            <v>M</v>
          </cell>
          <cell r="E317">
            <v>0</v>
          </cell>
          <cell r="F317">
            <v>0</v>
          </cell>
        </row>
        <row r="318">
          <cell r="A318" t="str">
            <v>o.띠장철거</v>
          </cell>
          <cell r="C318">
            <v>220</v>
          </cell>
          <cell r="D318" t="str">
            <v>M</v>
          </cell>
          <cell r="E318">
            <v>0</v>
          </cell>
          <cell r="F318">
            <v>0</v>
          </cell>
        </row>
        <row r="319">
          <cell r="A319" t="str">
            <v>p.띠장연결</v>
          </cell>
          <cell r="C319">
            <v>5</v>
          </cell>
          <cell r="D319" t="str">
            <v>EA</v>
          </cell>
          <cell r="E319">
            <v>0</v>
          </cell>
          <cell r="F319">
            <v>0</v>
          </cell>
        </row>
        <row r="320">
          <cell r="A320" t="str">
            <v>q.BRACING BEAM 설치 (15∼18m)</v>
          </cell>
          <cell r="C320">
            <v>2</v>
          </cell>
          <cell r="D320" t="str">
            <v>EA</v>
          </cell>
          <cell r="E320">
            <v>0</v>
          </cell>
          <cell r="F320">
            <v>0</v>
          </cell>
        </row>
        <row r="321">
          <cell r="A321" t="str">
            <v>r.BRACING BEAM 철거 (15∼18m)</v>
          </cell>
          <cell r="C321">
            <v>2</v>
          </cell>
          <cell r="D321" t="str">
            <v>EA</v>
          </cell>
          <cell r="E321">
            <v>0</v>
          </cell>
          <cell r="F321">
            <v>0</v>
          </cell>
        </row>
        <row r="322">
          <cell r="A322" t="str">
            <v>s.L형강설치</v>
          </cell>
          <cell r="C322">
            <v>8</v>
          </cell>
          <cell r="D322" t="str">
            <v>M</v>
          </cell>
          <cell r="E322">
            <v>0</v>
          </cell>
          <cell r="F322">
            <v>0</v>
          </cell>
        </row>
        <row r="323">
          <cell r="A323" t="str">
            <v>t.L형강철거</v>
          </cell>
          <cell r="C323">
            <v>8</v>
          </cell>
          <cell r="D323" t="str">
            <v>M</v>
          </cell>
          <cell r="E323">
            <v>0</v>
          </cell>
          <cell r="F323">
            <v>0</v>
          </cell>
        </row>
        <row r="324">
          <cell r="A324" t="str">
            <v>u.어스앙카공</v>
          </cell>
          <cell r="C324">
            <v>48</v>
          </cell>
          <cell r="D324" t="str">
            <v>EA</v>
          </cell>
          <cell r="E324">
            <v>0</v>
          </cell>
          <cell r="F324">
            <v>0</v>
          </cell>
        </row>
        <row r="325">
          <cell r="A325" t="str">
            <v>v.구조용H형강</v>
          </cell>
          <cell r="C325">
            <v>37.283999999999999</v>
          </cell>
          <cell r="D325" t="str">
            <v>TON</v>
          </cell>
          <cell r="E325">
            <v>0</v>
          </cell>
          <cell r="F325">
            <v>0</v>
          </cell>
        </row>
        <row r="326">
          <cell r="A326" t="str">
            <v>w.구조용H형강</v>
          </cell>
          <cell r="C326">
            <v>2.08</v>
          </cell>
          <cell r="D326" t="str">
            <v>TON</v>
          </cell>
          <cell r="E326">
            <v>0</v>
          </cell>
          <cell r="F326">
            <v>0</v>
          </cell>
        </row>
        <row r="327">
          <cell r="A327" t="str">
            <v>x.강널말뚝</v>
          </cell>
          <cell r="C327">
            <v>100.652</v>
          </cell>
          <cell r="D327" t="str">
            <v>TON</v>
          </cell>
          <cell r="E327">
            <v>0</v>
          </cell>
          <cell r="F327">
            <v>0</v>
          </cell>
        </row>
        <row r="328">
          <cell r="A328" t="str">
            <v>y.강재 및 형강운반비</v>
          </cell>
          <cell r="C328">
            <v>140.23699999999999</v>
          </cell>
          <cell r="D328" t="str">
            <v>TON</v>
          </cell>
          <cell r="E328">
            <v>0</v>
          </cell>
          <cell r="F328">
            <v>0</v>
          </cell>
        </row>
        <row r="329">
          <cell r="A329" t="str">
            <v>3.31 휴암교 철거</v>
          </cell>
          <cell r="C329">
            <v>1</v>
          </cell>
          <cell r="D329" t="str">
            <v>식</v>
          </cell>
          <cell r="E329">
            <v>0</v>
          </cell>
          <cell r="F329">
            <v>0</v>
          </cell>
        </row>
        <row r="330">
          <cell r="A330" t="str">
            <v>B.산수1교(S.T.BOX교)</v>
          </cell>
          <cell r="E330">
            <v>0</v>
          </cell>
          <cell r="F330">
            <v>0</v>
          </cell>
        </row>
        <row r="331">
          <cell r="A331" t="str">
            <v>3.01 터 파 기</v>
          </cell>
          <cell r="E331">
            <v>0</v>
          </cell>
          <cell r="F331">
            <v>0</v>
          </cell>
        </row>
        <row r="332">
          <cell r="A332" t="str">
            <v>a.육상토사</v>
          </cell>
          <cell r="C332">
            <v>480</v>
          </cell>
          <cell r="D332" t="str">
            <v>M3</v>
          </cell>
          <cell r="E332">
            <v>0</v>
          </cell>
          <cell r="F332">
            <v>0</v>
          </cell>
        </row>
        <row r="333">
          <cell r="A333" t="str">
            <v>b.육상풍화암</v>
          </cell>
          <cell r="C333">
            <v>1050</v>
          </cell>
          <cell r="D333" t="str">
            <v>M3</v>
          </cell>
          <cell r="E333">
            <v>0</v>
          </cell>
          <cell r="F333">
            <v>0</v>
          </cell>
        </row>
        <row r="334">
          <cell r="A334" t="str">
            <v>c.용수토사</v>
          </cell>
          <cell r="E334">
            <v>0</v>
          </cell>
          <cell r="F334">
            <v>0</v>
          </cell>
        </row>
        <row r="335">
          <cell r="A335" t="str">
            <v>-1.용수토사</v>
          </cell>
          <cell r="C335">
            <v>4120</v>
          </cell>
          <cell r="D335" t="str">
            <v>M3</v>
          </cell>
          <cell r="E335">
            <v>0</v>
          </cell>
          <cell r="F335">
            <v>0</v>
          </cell>
        </row>
        <row r="336">
          <cell r="A336" t="str">
            <v>-2.용수토사</v>
          </cell>
          <cell r="C336">
            <v>4530</v>
          </cell>
          <cell r="D336" t="str">
            <v>M3</v>
          </cell>
          <cell r="E336">
            <v>0</v>
          </cell>
          <cell r="F336">
            <v>0</v>
          </cell>
        </row>
        <row r="337">
          <cell r="A337" t="str">
            <v>d.용수풍화암</v>
          </cell>
          <cell r="E337">
            <v>0</v>
          </cell>
          <cell r="F337">
            <v>0</v>
          </cell>
        </row>
        <row r="338">
          <cell r="A338" t="str">
            <v>-1.용수풍화암</v>
          </cell>
          <cell r="C338">
            <v>130</v>
          </cell>
          <cell r="D338" t="str">
            <v>M3</v>
          </cell>
          <cell r="E338">
            <v>0</v>
          </cell>
          <cell r="F338">
            <v>0</v>
          </cell>
        </row>
        <row r="339">
          <cell r="A339" t="str">
            <v>e.용수발파암</v>
          </cell>
          <cell r="E339">
            <v>0</v>
          </cell>
          <cell r="F339">
            <v>0</v>
          </cell>
        </row>
        <row r="340">
          <cell r="A340" t="str">
            <v>-1.용수발파암</v>
          </cell>
          <cell r="C340">
            <v>2960</v>
          </cell>
          <cell r="D340" t="str">
            <v>㎥</v>
          </cell>
          <cell r="E340">
            <v>0</v>
          </cell>
          <cell r="F340">
            <v>0</v>
          </cell>
        </row>
        <row r="341">
          <cell r="A341" t="str">
            <v>3.02 되메우기(기계70%,인력30%)</v>
          </cell>
          <cell r="C341">
            <v>880</v>
          </cell>
          <cell r="D341" t="str">
            <v>M3</v>
          </cell>
          <cell r="E341">
            <v>0</v>
          </cell>
          <cell r="F341">
            <v>0</v>
          </cell>
        </row>
        <row r="342">
          <cell r="A342" t="str">
            <v>3.03 뒷채움 및 다짐</v>
          </cell>
          <cell r="C342">
            <v>840</v>
          </cell>
          <cell r="D342" t="str">
            <v>M3</v>
          </cell>
          <cell r="E342">
            <v>0</v>
          </cell>
          <cell r="F342">
            <v>0</v>
          </cell>
        </row>
        <row r="343">
          <cell r="A343" t="str">
            <v>3.04 면정리및청소</v>
          </cell>
          <cell r="C343">
            <v>1032</v>
          </cell>
          <cell r="D343" t="str">
            <v>M2</v>
          </cell>
          <cell r="E343">
            <v>0</v>
          </cell>
          <cell r="F343">
            <v>0</v>
          </cell>
        </row>
        <row r="344">
          <cell r="A344" t="str">
            <v>3.05 앞 성 토</v>
          </cell>
          <cell r="C344">
            <v>2132</v>
          </cell>
          <cell r="D344" t="str">
            <v>M3</v>
          </cell>
          <cell r="E344">
            <v>0</v>
          </cell>
          <cell r="F344">
            <v>0</v>
          </cell>
        </row>
        <row r="345">
          <cell r="A345" t="str">
            <v>3.06 세굴방지용사석채움</v>
          </cell>
          <cell r="C345">
            <v>2950</v>
          </cell>
          <cell r="D345" t="str">
            <v>M3</v>
          </cell>
          <cell r="E345">
            <v>0</v>
          </cell>
          <cell r="F345">
            <v>0</v>
          </cell>
        </row>
        <row r="346">
          <cell r="A346" t="str">
            <v>3.07 물 푸 기</v>
          </cell>
          <cell r="C346">
            <v>2770</v>
          </cell>
          <cell r="D346" t="str">
            <v>Hr</v>
          </cell>
          <cell r="E346">
            <v>0</v>
          </cell>
          <cell r="F346">
            <v>0</v>
          </cell>
        </row>
        <row r="347">
          <cell r="A347" t="str">
            <v>3.08 콘크리트 타설</v>
          </cell>
          <cell r="E347">
            <v>0</v>
          </cell>
          <cell r="F347">
            <v>0</v>
          </cell>
        </row>
        <row r="348">
          <cell r="A348" t="str">
            <v>a.철       근</v>
          </cell>
          <cell r="C348">
            <v>349</v>
          </cell>
          <cell r="D348" t="str">
            <v>M3</v>
          </cell>
          <cell r="E348">
            <v>0</v>
          </cell>
          <cell r="F348">
            <v>0</v>
          </cell>
        </row>
        <row r="349">
          <cell r="A349" t="str">
            <v>b.무       근</v>
          </cell>
          <cell r="C349">
            <v>116</v>
          </cell>
          <cell r="D349" t="str">
            <v>M3</v>
          </cell>
          <cell r="E349">
            <v>0</v>
          </cell>
          <cell r="F349">
            <v>0</v>
          </cell>
        </row>
        <row r="350">
          <cell r="A350" t="str">
            <v>c.무       근</v>
          </cell>
          <cell r="C350">
            <v>362</v>
          </cell>
          <cell r="D350" t="str">
            <v>M3</v>
          </cell>
          <cell r="E350">
            <v>0</v>
          </cell>
          <cell r="F350">
            <v>0</v>
          </cell>
        </row>
        <row r="351">
          <cell r="A351" t="str">
            <v>d.펌프카타설</v>
          </cell>
          <cell r="C351">
            <v>5637</v>
          </cell>
          <cell r="D351" t="str">
            <v>M3</v>
          </cell>
          <cell r="E351">
            <v>0</v>
          </cell>
          <cell r="F351">
            <v>0</v>
          </cell>
        </row>
        <row r="352">
          <cell r="A352" t="str">
            <v>e.펌프카타설</v>
          </cell>
          <cell r="C352">
            <v>719</v>
          </cell>
          <cell r="D352" t="str">
            <v>M3</v>
          </cell>
          <cell r="E352">
            <v>0</v>
          </cell>
          <cell r="F352">
            <v>0</v>
          </cell>
        </row>
        <row r="353">
          <cell r="A353" t="str">
            <v>3.09 무수축 콘크리트</v>
          </cell>
          <cell r="C353">
            <v>10.055999999999999</v>
          </cell>
          <cell r="D353" t="str">
            <v>M3</v>
          </cell>
          <cell r="E353">
            <v>0</v>
          </cell>
          <cell r="F353">
            <v>0</v>
          </cell>
        </row>
        <row r="354">
          <cell r="A354" t="str">
            <v>3.10 무수축 몰탈</v>
          </cell>
          <cell r="C354">
            <v>2.3159999999999998</v>
          </cell>
          <cell r="D354" t="str">
            <v>M3</v>
          </cell>
          <cell r="E354">
            <v>0</v>
          </cell>
          <cell r="F354">
            <v>0</v>
          </cell>
        </row>
        <row r="355">
          <cell r="A355" t="str">
            <v>3.11 거푸집공</v>
          </cell>
          <cell r="E355">
            <v>0</v>
          </cell>
          <cell r="F355">
            <v>0</v>
          </cell>
        </row>
        <row r="356">
          <cell r="A356" t="str">
            <v>a.합 판 거 푸 집</v>
          </cell>
          <cell r="E356">
            <v>0</v>
          </cell>
          <cell r="F356">
            <v>0</v>
          </cell>
        </row>
        <row r="357">
          <cell r="A357" t="str">
            <v>-1.거푸집</v>
          </cell>
          <cell r="C357">
            <v>5959</v>
          </cell>
          <cell r="D357" t="str">
            <v>M2</v>
          </cell>
          <cell r="E357">
            <v>0</v>
          </cell>
          <cell r="F357">
            <v>0</v>
          </cell>
        </row>
        <row r="358">
          <cell r="A358" t="str">
            <v>-2.거푸집</v>
          </cell>
          <cell r="C358">
            <v>46</v>
          </cell>
          <cell r="D358" t="str">
            <v>M2</v>
          </cell>
          <cell r="E358">
            <v>0</v>
          </cell>
          <cell r="F358">
            <v>0</v>
          </cell>
        </row>
        <row r="359">
          <cell r="A359" t="str">
            <v>-3.거푸집</v>
          </cell>
          <cell r="C359">
            <v>123</v>
          </cell>
          <cell r="D359" t="str">
            <v>M2</v>
          </cell>
          <cell r="E359">
            <v>0</v>
          </cell>
          <cell r="F359">
            <v>0</v>
          </cell>
        </row>
        <row r="360">
          <cell r="A360" t="str">
            <v>-4.거푸집</v>
          </cell>
          <cell r="C360">
            <v>142</v>
          </cell>
          <cell r="D360" t="str">
            <v>M2</v>
          </cell>
          <cell r="E360">
            <v>0</v>
          </cell>
          <cell r="F360">
            <v>0</v>
          </cell>
        </row>
        <row r="361">
          <cell r="A361" t="str">
            <v>-5.거푸집</v>
          </cell>
          <cell r="C361">
            <v>284</v>
          </cell>
          <cell r="D361" t="str">
            <v>M2</v>
          </cell>
          <cell r="E361">
            <v>0</v>
          </cell>
          <cell r="F361">
            <v>0</v>
          </cell>
        </row>
        <row r="362">
          <cell r="A362" t="str">
            <v>-6.거푸집</v>
          </cell>
          <cell r="C362">
            <v>17</v>
          </cell>
          <cell r="D362" t="str">
            <v>M2</v>
          </cell>
          <cell r="E362">
            <v>0</v>
          </cell>
          <cell r="F362">
            <v>0</v>
          </cell>
        </row>
        <row r="363">
          <cell r="A363" t="str">
            <v>-7.거푸집</v>
          </cell>
          <cell r="C363">
            <v>899</v>
          </cell>
          <cell r="D363" t="str">
            <v>M2</v>
          </cell>
          <cell r="E363">
            <v>0</v>
          </cell>
          <cell r="F363">
            <v>0</v>
          </cell>
        </row>
        <row r="364">
          <cell r="A364" t="str">
            <v>-8.거푸집</v>
          </cell>
          <cell r="C364">
            <v>243</v>
          </cell>
          <cell r="D364" t="str">
            <v>M2</v>
          </cell>
          <cell r="E364">
            <v>0</v>
          </cell>
          <cell r="F364">
            <v>0</v>
          </cell>
        </row>
        <row r="365">
          <cell r="A365" t="str">
            <v>b.P.E무늬거푸집</v>
          </cell>
          <cell r="E365">
            <v>0</v>
          </cell>
          <cell r="F365">
            <v>0</v>
          </cell>
        </row>
        <row r="366">
          <cell r="A366" t="str">
            <v>-1.P.E무늬거푸집</v>
          </cell>
          <cell r="C366">
            <v>372</v>
          </cell>
          <cell r="D366" t="str">
            <v>㎡</v>
          </cell>
          <cell r="E366">
            <v>0</v>
          </cell>
          <cell r="F366">
            <v>0</v>
          </cell>
        </row>
        <row r="367">
          <cell r="A367" t="str">
            <v>-2.P.E무늬거푸집</v>
          </cell>
          <cell r="C367">
            <v>2</v>
          </cell>
          <cell r="D367" t="str">
            <v>㎡</v>
          </cell>
          <cell r="E367">
            <v>0</v>
          </cell>
          <cell r="F367">
            <v>0</v>
          </cell>
        </row>
        <row r="368">
          <cell r="A368" t="str">
            <v>c.목재 원형 거푸집</v>
          </cell>
          <cell r="E368">
            <v>0</v>
          </cell>
          <cell r="F368">
            <v>0</v>
          </cell>
        </row>
        <row r="369">
          <cell r="A369" t="str">
            <v>-1.원형거푸집</v>
          </cell>
          <cell r="C369">
            <v>616</v>
          </cell>
          <cell r="D369" t="str">
            <v>M2</v>
          </cell>
          <cell r="E369">
            <v>0</v>
          </cell>
          <cell r="F369">
            <v>0</v>
          </cell>
        </row>
        <row r="370">
          <cell r="A370" t="str">
            <v>-2.원형거푸집</v>
          </cell>
          <cell r="C370">
            <v>264</v>
          </cell>
          <cell r="D370" t="str">
            <v>M2</v>
          </cell>
          <cell r="E370">
            <v>0</v>
          </cell>
          <cell r="F370">
            <v>0</v>
          </cell>
        </row>
        <row r="371">
          <cell r="A371" t="str">
            <v>-3.원형거푸집</v>
          </cell>
          <cell r="C371">
            <v>264</v>
          </cell>
          <cell r="D371" t="str">
            <v>M2</v>
          </cell>
          <cell r="E371">
            <v>0</v>
          </cell>
          <cell r="F371">
            <v>0</v>
          </cell>
        </row>
        <row r="372">
          <cell r="A372" t="str">
            <v>-4.원형거푸집</v>
          </cell>
          <cell r="C372">
            <v>228</v>
          </cell>
          <cell r="D372" t="str">
            <v>M2</v>
          </cell>
          <cell r="E372">
            <v>0</v>
          </cell>
          <cell r="F372">
            <v>0</v>
          </cell>
        </row>
        <row r="373">
          <cell r="A373" t="str">
            <v>-5.원형거푸집</v>
          </cell>
          <cell r="C373">
            <v>163</v>
          </cell>
          <cell r="D373" t="str">
            <v>M2</v>
          </cell>
          <cell r="E373">
            <v>0</v>
          </cell>
          <cell r="F373">
            <v>0</v>
          </cell>
        </row>
        <row r="374">
          <cell r="A374" t="str">
            <v>-6.원형거푸집</v>
          </cell>
          <cell r="C374">
            <v>55</v>
          </cell>
          <cell r="D374" t="str">
            <v>M2</v>
          </cell>
          <cell r="E374">
            <v>0</v>
          </cell>
          <cell r="F374">
            <v>0</v>
          </cell>
        </row>
        <row r="375">
          <cell r="A375" t="str">
            <v>-7.원형거푸집</v>
          </cell>
          <cell r="C375">
            <v>2</v>
          </cell>
          <cell r="D375" t="str">
            <v>M2</v>
          </cell>
          <cell r="E375">
            <v>0</v>
          </cell>
          <cell r="F375">
            <v>0</v>
          </cell>
        </row>
        <row r="376">
          <cell r="A376" t="str">
            <v>3.12 동바리</v>
          </cell>
          <cell r="E376">
            <v>0</v>
          </cell>
          <cell r="F376">
            <v>0</v>
          </cell>
        </row>
        <row r="377">
          <cell r="A377" t="str">
            <v>a.동바리</v>
          </cell>
          <cell r="C377">
            <v>3030</v>
          </cell>
          <cell r="D377" t="str">
            <v>공M3</v>
          </cell>
          <cell r="E377">
            <v>0</v>
          </cell>
          <cell r="F377">
            <v>0</v>
          </cell>
        </row>
        <row r="378">
          <cell r="A378" t="str">
            <v>b.동바리</v>
          </cell>
          <cell r="C378">
            <v>850</v>
          </cell>
          <cell r="D378" t="str">
            <v>공M3</v>
          </cell>
          <cell r="E378">
            <v>0</v>
          </cell>
          <cell r="F378">
            <v>0</v>
          </cell>
        </row>
        <row r="379">
          <cell r="A379" t="str">
            <v>c.동바리</v>
          </cell>
          <cell r="C379">
            <v>2530</v>
          </cell>
          <cell r="D379" t="str">
            <v>공/M3</v>
          </cell>
          <cell r="E379">
            <v>0</v>
          </cell>
          <cell r="F379">
            <v>0</v>
          </cell>
        </row>
        <row r="380">
          <cell r="A380" t="str">
            <v>d.수평연결재</v>
          </cell>
          <cell r="C380">
            <v>550</v>
          </cell>
          <cell r="D380" t="str">
            <v>M2</v>
          </cell>
          <cell r="E380">
            <v>0</v>
          </cell>
          <cell r="F380">
            <v>0</v>
          </cell>
        </row>
        <row r="381">
          <cell r="A381" t="str">
            <v>3.13 비계</v>
          </cell>
          <cell r="C381">
            <v>5630</v>
          </cell>
          <cell r="D381" t="str">
            <v>M2</v>
          </cell>
          <cell r="E381">
            <v>0</v>
          </cell>
          <cell r="F381">
            <v>0</v>
          </cell>
        </row>
        <row r="382">
          <cell r="A382" t="str">
            <v>3.14 모따기</v>
          </cell>
          <cell r="C382">
            <v>1437</v>
          </cell>
          <cell r="D382" t="str">
            <v>M</v>
          </cell>
          <cell r="E382">
            <v>0</v>
          </cell>
          <cell r="F382">
            <v>0</v>
          </cell>
        </row>
        <row r="383">
          <cell r="A383" t="str">
            <v>3.15 신축이음장치</v>
          </cell>
          <cell r="C383">
            <v>39</v>
          </cell>
          <cell r="D383" t="str">
            <v>M</v>
          </cell>
          <cell r="E383">
            <v>0</v>
          </cell>
          <cell r="F383">
            <v>0</v>
          </cell>
        </row>
        <row r="384">
          <cell r="A384" t="str">
            <v>3.16 교명주(화강석)</v>
          </cell>
          <cell r="C384">
            <v>4</v>
          </cell>
          <cell r="D384" t="str">
            <v>EA</v>
          </cell>
          <cell r="E384">
            <v>0</v>
          </cell>
          <cell r="F384">
            <v>0</v>
          </cell>
        </row>
        <row r="385">
          <cell r="A385" t="str">
            <v>3.17 교명판및설명판</v>
          </cell>
          <cell r="E385">
            <v>0</v>
          </cell>
          <cell r="F385">
            <v>0</v>
          </cell>
        </row>
        <row r="386">
          <cell r="A386" t="str">
            <v>a.교명판</v>
          </cell>
          <cell r="C386">
            <v>2</v>
          </cell>
          <cell r="D386" t="str">
            <v>EA</v>
          </cell>
          <cell r="E386">
            <v>0</v>
          </cell>
          <cell r="F386">
            <v>0</v>
          </cell>
        </row>
        <row r="387">
          <cell r="A387" t="str">
            <v>b.설명판</v>
          </cell>
          <cell r="C387">
            <v>2</v>
          </cell>
          <cell r="D387" t="str">
            <v>EA</v>
          </cell>
          <cell r="E387">
            <v>0</v>
          </cell>
          <cell r="F387">
            <v>0</v>
          </cell>
        </row>
        <row r="388">
          <cell r="A388" t="str">
            <v>3.18 표면처리</v>
          </cell>
          <cell r="E388">
            <v>0</v>
          </cell>
          <cell r="F388">
            <v>0</v>
          </cell>
        </row>
        <row r="389">
          <cell r="A389" t="str">
            <v>a.슬라브 양생</v>
          </cell>
          <cell r="C389">
            <v>4978</v>
          </cell>
          <cell r="D389" t="str">
            <v>M2</v>
          </cell>
          <cell r="E389">
            <v>0</v>
          </cell>
          <cell r="F389">
            <v>0</v>
          </cell>
        </row>
        <row r="390">
          <cell r="A390" t="str">
            <v>b.데크휘니샤 면고르기</v>
          </cell>
          <cell r="C390">
            <v>4978</v>
          </cell>
          <cell r="D390" t="str">
            <v>M2</v>
          </cell>
          <cell r="E390">
            <v>0</v>
          </cell>
          <cell r="F390">
            <v>0</v>
          </cell>
        </row>
        <row r="391">
          <cell r="A391" t="str">
            <v>3.19 교면방수</v>
          </cell>
          <cell r="C391">
            <v>4978</v>
          </cell>
          <cell r="D391" t="str">
            <v>M2</v>
          </cell>
          <cell r="E391">
            <v>0</v>
          </cell>
          <cell r="F391">
            <v>0</v>
          </cell>
        </row>
        <row r="392">
          <cell r="A392" t="str">
            <v>3.20 배면방수</v>
          </cell>
          <cell r="C392">
            <v>324</v>
          </cell>
          <cell r="D392" t="str">
            <v>M2</v>
          </cell>
          <cell r="E392">
            <v>0</v>
          </cell>
          <cell r="F392">
            <v>0</v>
          </cell>
        </row>
        <row r="393">
          <cell r="A393" t="str">
            <v>3.21 전선관부설</v>
          </cell>
          <cell r="C393">
            <v>1077</v>
          </cell>
          <cell r="D393" t="str">
            <v>M</v>
          </cell>
          <cell r="E393">
            <v>0</v>
          </cell>
          <cell r="F393">
            <v>0</v>
          </cell>
        </row>
        <row r="394">
          <cell r="A394" t="str">
            <v>3.22 T.B.M 설치</v>
          </cell>
          <cell r="C394">
            <v>2</v>
          </cell>
          <cell r="D394" t="str">
            <v>개</v>
          </cell>
          <cell r="E394">
            <v>0</v>
          </cell>
          <cell r="F394">
            <v>0</v>
          </cell>
        </row>
        <row r="395">
          <cell r="A395" t="str">
            <v>3.23 낙하물 방지공</v>
          </cell>
          <cell r="C395">
            <v>5860</v>
          </cell>
          <cell r="D395" t="str">
            <v>M2</v>
          </cell>
          <cell r="E395">
            <v>0</v>
          </cell>
          <cell r="F395">
            <v>0</v>
          </cell>
        </row>
        <row r="396">
          <cell r="A396" t="str">
            <v>3.24 방호벽</v>
          </cell>
          <cell r="C396">
            <v>538</v>
          </cell>
          <cell r="D396" t="str">
            <v>M</v>
          </cell>
          <cell r="E396">
            <v>0</v>
          </cell>
          <cell r="F396">
            <v>0</v>
          </cell>
        </row>
        <row r="397">
          <cell r="A397" t="str">
            <v>3.25 중앙분리대</v>
          </cell>
          <cell r="C397">
            <v>510</v>
          </cell>
          <cell r="D397" t="str">
            <v>M</v>
          </cell>
          <cell r="E397">
            <v>0</v>
          </cell>
          <cell r="F397">
            <v>0</v>
          </cell>
        </row>
        <row r="398">
          <cell r="A398" t="str">
            <v>3.26 NOTCH  설치</v>
          </cell>
          <cell r="C398">
            <v>1020</v>
          </cell>
          <cell r="D398" t="str">
            <v>M</v>
          </cell>
          <cell r="E398">
            <v>0</v>
          </cell>
          <cell r="F398">
            <v>0</v>
          </cell>
        </row>
        <row r="399">
          <cell r="A399" t="str">
            <v>3.27 교량유지관리용표지판</v>
          </cell>
          <cell r="E399">
            <v>0</v>
          </cell>
          <cell r="F399">
            <v>0</v>
          </cell>
        </row>
        <row r="400">
          <cell r="A400" t="str">
            <v>a.강교용</v>
          </cell>
          <cell r="C400">
            <v>40</v>
          </cell>
          <cell r="D400" t="str">
            <v>EA</v>
          </cell>
          <cell r="E400">
            <v>0</v>
          </cell>
          <cell r="F400">
            <v>0</v>
          </cell>
        </row>
        <row r="401">
          <cell r="A401" t="str">
            <v>b.교각,교 대 용</v>
          </cell>
          <cell r="C401">
            <v>18</v>
          </cell>
          <cell r="D401" t="str">
            <v>EA</v>
          </cell>
          <cell r="E401">
            <v>0</v>
          </cell>
          <cell r="F401">
            <v>0</v>
          </cell>
        </row>
        <row r="402">
          <cell r="A402" t="str">
            <v>3.28 스페이서 설치</v>
          </cell>
          <cell r="E402">
            <v>0</v>
          </cell>
          <cell r="F402">
            <v>0</v>
          </cell>
        </row>
        <row r="403">
          <cell r="A403" t="str">
            <v>a.스페이서 설치</v>
          </cell>
          <cell r="C403">
            <v>3351</v>
          </cell>
          <cell r="D403" t="str">
            <v>M2</v>
          </cell>
          <cell r="E403">
            <v>0</v>
          </cell>
          <cell r="F403">
            <v>0</v>
          </cell>
        </row>
        <row r="404">
          <cell r="A404" t="str">
            <v>b.스페이서 설치</v>
          </cell>
          <cell r="C404">
            <v>6452</v>
          </cell>
          <cell r="D404" t="str">
            <v>M2</v>
          </cell>
          <cell r="E404">
            <v>0</v>
          </cell>
          <cell r="F404">
            <v>0</v>
          </cell>
        </row>
        <row r="405">
          <cell r="A405" t="str">
            <v>3.29 철근가공 및 조립</v>
          </cell>
          <cell r="E405">
            <v>0</v>
          </cell>
          <cell r="F405">
            <v>0</v>
          </cell>
        </row>
        <row r="406">
          <cell r="A406" t="str">
            <v>a.보       통</v>
          </cell>
          <cell r="C406">
            <v>69.248999999999995</v>
          </cell>
          <cell r="D406" t="str">
            <v>TON</v>
          </cell>
          <cell r="E406">
            <v>0</v>
          </cell>
          <cell r="F406">
            <v>0</v>
          </cell>
        </row>
        <row r="407">
          <cell r="A407" t="str">
            <v>b.복       잡</v>
          </cell>
          <cell r="C407">
            <v>470.63799999999998</v>
          </cell>
          <cell r="D407" t="str">
            <v>TON</v>
          </cell>
          <cell r="E407">
            <v>0</v>
          </cell>
          <cell r="F407">
            <v>0</v>
          </cell>
        </row>
        <row r="408">
          <cell r="A408" t="str">
            <v>c.매 우 복 잡</v>
          </cell>
          <cell r="C408">
            <v>646.73299999999995</v>
          </cell>
          <cell r="D408" t="str">
            <v>TON</v>
          </cell>
          <cell r="E408">
            <v>0</v>
          </cell>
          <cell r="F408">
            <v>0</v>
          </cell>
        </row>
        <row r="409">
          <cell r="A409" t="str">
            <v>3.30 교량유지관리점검시설</v>
          </cell>
          <cell r="C409">
            <v>4</v>
          </cell>
          <cell r="D409" t="str">
            <v>EA</v>
          </cell>
          <cell r="E409">
            <v>0</v>
          </cell>
          <cell r="F409">
            <v>0</v>
          </cell>
        </row>
        <row r="410">
          <cell r="A410" t="str">
            <v>3.31 배수시설공</v>
          </cell>
          <cell r="E410">
            <v>0</v>
          </cell>
          <cell r="F410">
            <v>0</v>
          </cell>
        </row>
        <row r="411">
          <cell r="A411" t="str">
            <v>a.교량배수물배기공</v>
          </cell>
          <cell r="C411">
            <v>505</v>
          </cell>
          <cell r="D411" t="str">
            <v>M</v>
          </cell>
          <cell r="E411">
            <v>0</v>
          </cell>
          <cell r="F411">
            <v>0</v>
          </cell>
        </row>
        <row r="412">
          <cell r="A412" t="str">
            <v>b.하층줄눈(성형)</v>
          </cell>
          <cell r="C412">
            <v>505</v>
          </cell>
          <cell r="D412" t="str">
            <v>M</v>
          </cell>
          <cell r="E412">
            <v>0</v>
          </cell>
          <cell r="F412">
            <v>0</v>
          </cell>
        </row>
        <row r="413">
          <cell r="A413" t="str">
            <v>c.상층줄눈(주입)</v>
          </cell>
          <cell r="C413">
            <v>505</v>
          </cell>
          <cell r="D413" t="str">
            <v>M</v>
          </cell>
          <cell r="E413">
            <v>0</v>
          </cell>
          <cell r="F413">
            <v>0</v>
          </cell>
        </row>
        <row r="414">
          <cell r="A414" t="str">
            <v>d.표면처리(방수)</v>
          </cell>
          <cell r="C414">
            <v>101</v>
          </cell>
          <cell r="D414" t="str">
            <v>M2</v>
          </cell>
          <cell r="E414">
            <v>0</v>
          </cell>
          <cell r="F414">
            <v>0</v>
          </cell>
        </row>
        <row r="415">
          <cell r="A415" t="str">
            <v>e.하천용 집수구(스턴레스)</v>
          </cell>
          <cell r="C415">
            <v>38</v>
          </cell>
          <cell r="D415" t="str">
            <v>EA</v>
          </cell>
          <cell r="E415">
            <v>0</v>
          </cell>
          <cell r="F415">
            <v>0</v>
          </cell>
        </row>
        <row r="416">
          <cell r="A416" t="str">
            <v>f.교량배수용강관(하천용)</v>
          </cell>
          <cell r="C416">
            <v>235</v>
          </cell>
          <cell r="D416" t="str">
            <v>M</v>
          </cell>
          <cell r="E416">
            <v>0</v>
          </cell>
          <cell r="F416">
            <v>0</v>
          </cell>
        </row>
        <row r="417">
          <cell r="A417" t="str">
            <v>g.이음부(스텐레스)</v>
          </cell>
          <cell r="C417">
            <v>46</v>
          </cell>
          <cell r="D417" t="str">
            <v>EA</v>
          </cell>
          <cell r="E417">
            <v>0</v>
          </cell>
          <cell r="F417">
            <v>0</v>
          </cell>
        </row>
        <row r="418">
          <cell r="A418" t="str">
            <v>h.곡관(스텐레스)</v>
          </cell>
          <cell r="C418">
            <v>8</v>
          </cell>
          <cell r="D418" t="str">
            <v>EA</v>
          </cell>
          <cell r="E418">
            <v>0</v>
          </cell>
          <cell r="F418">
            <v>0</v>
          </cell>
        </row>
        <row r="419">
          <cell r="A419" t="str">
            <v>3.32 DOWEL BAR 설치</v>
          </cell>
          <cell r="C419">
            <v>96</v>
          </cell>
          <cell r="D419" t="str">
            <v>EA</v>
          </cell>
          <cell r="E419">
            <v>0</v>
          </cell>
          <cell r="F419">
            <v>0</v>
          </cell>
        </row>
        <row r="420">
          <cell r="A420" t="str">
            <v>3.33 스치로폴</v>
          </cell>
          <cell r="E420">
            <v>0</v>
          </cell>
          <cell r="F420">
            <v>0</v>
          </cell>
        </row>
        <row r="421">
          <cell r="A421" t="str">
            <v>a.스치로폴</v>
          </cell>
          <cell r="C421">
            <v>557</v>
          </cell>
          <cell r="D421" t="str">
            <v>M2</v>
          </cell>
          <cell r="E421">
            <v>0</v>
          </cell>
          <cell r="F421">
            <v>0</v>
          </cell>
        </row>
        <row r="422">
          <cell r="A422" t="str">
            <v>3.34 교량받침</v>
          </cell>
          <cell r="E422">
            <v>0</v>
          </cell>
          <cell r="F422">
            <v>0</v>
          </cell>
        </row>
        <row r="423">
          <cell r="A423" t="str">
            <v>a.교좌장치(일방향)POT</v>
          </cell>
          <cell r="C423">
            <v>4</v>
          </cell>
          <cell r="D423" t="str">
            <v>EA</v>
          </cell>
          <cell r="E423">
            <v>0</v>
          </cell>
          <cell r="F423">
            <v>0</v>
          </cell>
        </row>
        <row r="424">
          <cell r="A424" t="str">
            <v>b.교좌장치(양방향)POT</v>
          </cell>
          <cell r="C424">
            <v>12</v>
          </cell>
          <cell r="D424" t="str">
            <v>EA</v>
          </cell>
          <cell r="E424">
            <v>0</v>
          </cell>
          <cell r="F424">
            <v>0</v>
          </cell>
        </row>
        <row r="425">
          <cell r="A425" t="str">
            <v>c.교좌장치(일방향)POT</v>
          </cell>
          <cell r="C425">
            <v>16</v>
          </cell>
          <cell r="D425" t="str">
            <v>EA</v>
          </cell>
          <cell r="E425">
            <v>0</v>
          </cell>
          <cell r="F425">
            <v>0</v>
          </cell>
        </row>
        <row r="426">
          <cell r="A426" t="str">
            <v>d.교좌장치(양방향)POT</v>
          </cell>
          <cell r="C426">
            <v>12</v>
          </cell>
          <cell r="D426" t="str">
            <v>EA</v>
          </cell>
          <cell r="E426">
            <v>0</v>
          </cell>
          <cell r="F426">
            <v>0</v>
          </cell>
        </row>
        <row r="427">
          <cell r="A427" t="str">
            <v>e.교좌장치(고정단)POT</v>
          </cell>
          <cell r="C427">
            <v>4</v>
          </cell>
          <cell r="D427" t="str">
            <v>EA</v>
          </cell>
          <cell r="E427">
            <v>0</v>
          </cell>
          <cell r="F427">
            <v>0</v>
          </cell>
        </row>
        <row r="428">
          <cell r="A428" t="str">
            <v>3.35 강   교</v>
          </cell>
          <cell r="E428">
            <v>0</v>
          </cell>
          <cell r="F428">
            <v>0</v>
          </cell>
        </row>
        <row r="429">
          <cell r="A429" t="str">
            <v>a.강교제작(산수1교)</v>
          </cell>
          <cell r="C429">
            <v>1953.0050000000001</v>
          </cell>
          <cell r="D429" t="str">
            <v>TON</v>
          </cell>
          <cell r="E429">
            <v>0</v>
          </cell>
          <cell r="F429">
            <v>0</v>
          </cell>
        </row>
        <row r="430">
          <cell r="A430" t="str">
            <v>b.강교운반(산수1교)</v>
          </cell>
          <cell r="C430">
            <v>1953.0050000000001</v>
          </cell>
          <cell r="D430" t="str">
            <v>TON</v>
          </cell>
          <cell r="E430">
            <v>0</v>
          </cell>
          <cell r="F430">
            <v>0</v>
          </cell>
        </row>
        <row r="431">
          <cell r="A431" t="str">
            <v>c.강교가설(산수1교)</v>
          </cell>
          <cell r="C431">
            <v>1953.0050000000001</v>
          </cell>
          <cell r="D431" t="str">
            <v>TON</v>
          </cell>
          <cell r="E431">
            <v>0</v>
          </cell>
          <cell r="F431">
            <v>0</v>
          </cell>
        </row>
        <row r="432">
          <cell r="A432" t="str">
            <v>3.36 강교 도장</v>
          </cell>
          <cell r="E432">
            <v>0</v>
          </cell>
          <cell r="F432">
            <v>0</v>
          </cell>
        </row>
        <row r="433">
          <cell r="A433" t="str">
            <v>a.내부도장</v>
          </cell>
          <cell r="C433">
            <v>16828</v>
          </cell>
          <cell r="D433" t="str">
            <v>M2</v>
          </cell>
          <cell r="E433">
            <v>0</v>
          </cell>
          <cell r="F433">
            <v>0</v>
          </cell>
        </row>
        <row r="434">
          <cell r="A434" t="str">
            <v>b.외부포장면도장</v>
          </cell>
          <cell r="C434">
            <v>3328</v>
          </cell>
          <cell r="D434" t="str">
            <v>M2</v>
          </cell>
          <cell r="E434">
            <v>0</v>
          </cell>
          <cell r="F434">
            <v>0</v>
          </cell>
        </row>
        <row r="435">
          <cell r="A435" t="str">
            <v>c.연결판도장</v>
          </cell>
          <cell r="C435">
            <v>4076</v>
          </cell>
          <cell r="D435" t="str">
            <v>M2</v>
          </cell>
          <cell r="E435">
            <v>0</v>
          </cell>
          <cell r="F435">
            <v>0</v>
          </cell>
        </row>
        <row r="436">
          <cell r="A436" t="str">
            <v>d.외부도장</v>
          </cell>
          <cell r="C436">
            <v>9793</v>
          </cell>
          <cell r="D436" t="str">
            <v>M2</v>
          </cell>
          <cell r="E436">
            <v>0</v>
          </cell>
          <cell r="F436">
            <v>0</v>
          </cell>
        </row>
        <row r="437">
          <cell r="A437" t="str">
            <v>e.외부도장</v>
          </cell>
          <cell r="C437">
            <v>8940</v>
          </cell>
          <cell r="D437" t="str">
            <v>M2</v>
          </cell>
          <cell r="E437">
            <v>0</v>
          </cell>
          <cell r="F437">
            <v>0</v>
          </cell>
        </row>
        <row r="438">
          <cell r="A438" t="str">
            <v>f.내부볼트및연결판도장</v>
          </cell>
          <cell r="C438">
            <v>881</v>
          </cell>
          <cell r="D438" t="str">
            <v>M2</v>
          </cell>
          <cell r="E438">
            <v>0</v>
          </cell>
          <cell r="F438">
            <v>0</v>
          </cell>
        </row>
        <row r="439">
          <cell r="A439" t="str">
            <v>g.외부볼트및연결판도장</v>
          </cell>
          <cell r="C439">
            <v>926</v>
          </cell>
          <cell r="D439" t="str">
            <v>M2</v>
          </cell>
          <cell r="E439">
            <v>0</v>
          </cell>
          <cell r="F439">
            <v>0</v>
          </cell>
        </row>
        <row r="440">
          <cell r="A440" t="str">
            <v>3.37 강교 비파괴 검사비</v>
          </cell>
          <cell r="E440">
            <v>0</v>
          </cell>
          <cell r="F440">
            <v>0</v>
          </cell>
        </row>
        <row r="441">
          <cell r="A441" t="str">
            <v>a.강교 비파괴 검사비</v>
          </cell>
          <cell r="C441">
            <v>2528</v>
          </cell>
          <cell r="D441" t="str">
            <v>매</v>
          </cell>
          <cell r="E441">
            <v>0</v>
          </cell>
          <cell r="F441">
            <v>0</v>
          </cell>
        </row>
        <row r="442">
          <cell r="A442" t="str">
            <v>b.강교 비파괴 검사비</v>
          </cell>
          <cell r="C442">
            <v>2243</v>
          </cell>
          <cell r="D442" t="str">
            <v>M</v>
          </cell>
          <cell r="E442">
            <v>0</v>
          </cell>
          <cell r="F442">
            <v>0</v>
          </cell>
        </row>
        <row r="443">
          <cell r="A443" t="str">
            <v>c.강교 비파괴 검사비</v>
          </cell>
          <cell r="C443">
            <v>430</v>
          </cell>
          <cell r="D443" t="str">
            <v>M</v>
          </cell>
          <cell r="E443">
            <v>0</v>
          </cell>
          <cell r="F443">
            <v>0</v>
          </cell>
        </row>
        <row r="444">
          <cell r="A444" t="str">
            <v>3.38 가시설공</v>
          </cell>
          <cell r="E444">
            <v>0</v>
          </cell>
          <cell r="F444">
            <v>0</v>
          </cell>
        </row>
        <row r="445">
          <cell r="A445" t="str">
            <v>a.토사천공(φ16" 3 WING BIT)</v>
          </cell>
          <cell r="C445">
            <v>4327</v>
          </cell>
          <cell r="D445" t="str">
            <v>M</v>
          </cell>
          <cell r="E445">
            <v>0</v>
          </cell>
          <cell r="F445">
            <v>0</v>
          </cell>
        </row>
        <row r="446">
          <cell r="A446" t="str">
            <v>b.연암천공(T-4)</v>
          </cell>
          <cell r="C446">
            <v>2641</v>
          </cell>
          <cell r="D446" t="str">
            <v>M</v>
          </cell>
          <cell r="E446">
            <v>0</v>
          </cell>
          <cell r="F446">
            <v>0</v>
          </cell>
        </row>
        <row r="447">
          <cell r="A447" t="str">
            <v>c.SHEET PILE 천공후 항타및항발</v>
          </cell>
          <cell r="C447">
            <v>6968</v>
          </cell>
          <cell r="D447" t="str">
            <v>M</v>
          </cell>
          <cell r="E447">
            <v>0</v>
          </cell>
          <cell r="F447">
            <v>0</v>
          </cell>
        </row>
        <row r="448">
          <cell r="A448" t="str">
            <v>d.버팀보 제작</v>
          </cell>
          <cell r="C448">
            <v>80</v>
          </cell>
          <cell r="D448" t="str">
            <v>본</v>
          </cell>
          <cell r="E448">
            <v>0</v>
          </cell>
          <cell r="F448">
            <v>0</v>
          </cell>
        </row>
        <row r="449">
          <cell r="A449" t="str">
            <v>e.버팀보 설치 (12∼14m)</v>
          </cell>
          <cell r="C449">
            <v>80</v>
          </cell>
          <cell r="D449" t="str">
            <v>EA</v>
          </cell>
          <cell r="E449">
            <v>0</v>
          </cell>
          <cell r="F449">
            <v>0</v>
          </cell>
        </row>
        <row r="450">
          <cell r="A450" t="str">
            <v>f.버팀보 철거 (12∼14m)</v>
          </cell>
          <cell r="C450">
            <v>80</v>
          </cell>
          <cell r="D450" t="str">
            <v>EA</v>
          </cell>
          <cell r="E450">
            <v>0</v>
          </cell>
          <cell r="F450">
            <v>0</v>
          </cell>
        </row>
        <row r="451">
          <cell r="A451" t="str">
            <v>g.CORNER STRUT 제작</v>
          </cell>
          <cell r="C451">
            <v>400</v>
          </cell>
          <cell r="D451" t="str">
            <v>EA</v>
          </cell>
          <cell r="E451">
            <v>0</v>
          </cell>
          <cell r="F451">
            <v>0</v>
          </cell>
        </row>
        <row r="452">
          <cell r="A452" t="str">
            <v>h.CORNER STRUT 설치 (3∼5m)</v>
          </cell>
          <cell r="C452">
            <v>320</v>
          </cell>
          <cell r="D452" t="str">
            <v>EA</v>
          </cell>
          <cell r="E452">
            <v>0</v>
          </cell>
          <cell r="F452">
            <v>0</v>
          </cell>
        </row>
        <row r="453">
          <cell r="A453" t="str">
            <v>i.CORNER STRUT 철거 (3∼5m)</v>
          </cell>
          <cell r="C453">
            <v>320</v>
          </cell>
          <cell r="D453" t="str">
            <v>EA</v>
          </cell>
          <cell r="E453">
            <v>0</v>
          </cell>
          <cell r="F453">
            <v>0</v>
          </cell>
        </row>
        <row r="454">
          <cell r="A454" t="str">
            <v>j.CORNER STRUT 설치 (6∼8m)</v>
          </cell>
          <cell r="C454">
            <v>32</v>
          </cell>
          <cell r="D454" t="str">
            <v>EA</v>
          </cell>
          <cell r="E454">
            <v>0</v>
          </cell>
          <cell r="F454">
            <v>0</v>
          </cell>
        </row>
        <row r="455">
          <cell r="A455" t="str">
            <v>k.CORNER STRUT 철거 (6∼8m)</v>
          </cell>
          <cell r="C455">
            <v>32</v>
          </cell>
          <cell r="D455" t="str">
            <v>EA</v>
          </cell>
          <cell r="E455">
            <v>0</v>
          </cell>
          <cell r="F455">
            <v>0</v>
          </cell>
        </row>
        <row r="456">
          <cell r="A456" t="str">
            <v>l.CORNER STRUT 설치 (9∼11m)</v>
          </cell>
          <cell r="C456">
            <v>48</v>
          </cell>
          <cell r="D456" t="str">
            <v>EA</v>
          </cell>
          <cell r="E456">
            <v>0</v>
          </cell>
          <cell r="F456">
            <v>0</v>
          </cell>
        </row>
        <row r="457">
          <cell r="A457" t="str">
            <v>m.CORNER STRUT 철거 (9∼11m)</v>
          </cell>
          <cell r="C457">
            <v>48</v>
          </cell>
          <cell r="D457" t="str">
            <v>EA</v>
          </cell>
          <cell r="E457">
            <v>0</v>
          </cell>
          <cell r="F457">
            <v>0</v>
          </cell>
        </row>
        <row r="458">
          <cell r="A458" t="str">
            <v>n.JACK 설치해체</v>
          </cell>
          <cell r="C458">
            <v>240</v>
          </cell>
          <cell r="D458" t="str">
            <v>EA</v>
          </cell>
          <cell r="E458">
            <v>0</v>
          </cell>
          <cell r="F458">
            <v>0</v>
          </cell>
        </row>
        <row r="459">
          <cell r="A459" t="str">
            <v>o.보걸이설치</v>
          </cell>
          <cell r="C459">
            <v>800</v>
          </cell>
          <cell r="D459" t="str">
            <v>EA</v>
          </cell>
          <cell r="E459">
            <v>0</v>
          </cell>
          <cell r="F459">
            <v>0</v>
          </cell>
        </row>
        <row r="460">
          <cell r="A460" t="str">
            <v>p.보걸이철거</v>
          </cell>
          <cell r="C460">
            <v>800</v>
          </cell>
          <cell r="D460" t="str">
            <v>EA</v>
          </cell>
          <cell r="E460">
            <v>0</v>
          </cell>
          <cell r="F460">
            <v>0</v>
          </cell>
        </row>
        <row r="461">
          <cell r="A461" t="str">
            <v>q.띠장설치</v>
          </cell>
          <cell r="C461">
            <v>1428</v>
          </cell>
          <cell r="D461" t="str">
            <v>M</v>
          </cell>
          <cell r="E461">
            <v>0</v>
          </cell>
          <cell r="F461">
            <v>0</v>
          </cell>
        </row>
        <row r="462">
          <cell r="A462" t="str">
            <v>r.띠장철거</v>
          </cell>
          <cell r="C462">
            <v>1428</v>
          </cell>
          <cell r="D462" t="str">
            <v>M</v>
          </cell>
          <cell r="E462">
            <v>0</v>
          </cell>
          <cell r="F462">
            <v>0</v>
          </cell>
        </row>
        <row r="463">
          <cell r="A463" t="str">
            <v>s.띠장연결</v>
          </cell>
          <cell r="C463">
            <v>20</v>
          </cell>
          <cell r="D463" t="str">
            <v>EA</v>
          </cell>
          <cell r="E463">
            <v>0</v>
          </cell>
          <cell r="F463">
            <v>0</v>
          </cell>
        </row>
        <row r="464">
          <cell r="A464" t="str">
            <v>t.BRACING BEAM 설치 (3∼5m)</v>
          </cell>
          <cell r="C464">
            <v>80</v>
          </cell>
          <cell r="D464" t="str">
            <v>EA</v>
          </cell>
          <cell r="E464">
            <v>0</v>
          </cell>
          <cell r="F464">
            <v>0</v>
          </cell>
        </row>
        <row r="465">
          <cell r="A465" t="str">
            <v>u.BRACING BEAM 철거 (3∼5m)</v>
          </cell>
          <cell r="C465">
            <v>80</v>
          </cell>
          <cell r="D465" t="str">
            <v>EA</v>
          </cell>
          <cell r="E465">
            <v>0</v>
          </cell>
          <cell r="F465">
            <v>0</v>
          </cell>
        </row>
        <row r="466">
          <cell r="A466" t="str">
            <v>v.BRACING BEAM 설치 (6∼8m)</v>
          </cell>
          <cell r="C466">
            <v>20</v>
          </cell>
          <cell r="D466" t="str">
            <v>EA</v>
          </cell>
          <cell r="E466">
            <v>0</v>
          </cell>
          <cell r="F466">
            <v>0</v>
          </cell>
        </row>
        <row r="467">
          <cell r="A467" t="str">
            <v>w.BRACING BEAM 철거 (6∼8m)</v>
          </cell>
          <cell r="C467">
            <v>20</v>
          </cell>
          <cell r="D467" t="str">
            <v>EA</v>
          </cell>
          <cell r="E467">
            <v>0</v>
          </cell>
          <cell r="F467">
            <v>0</v>
          </cell>
        </row>
        <row r="468">
          <cell r="A468" t="str">
            <v>x.피스브라켓 설치 및 철거</v>
          </cell>
          <cell r="C468">
            <v>240</v>
          </cell>
          <cell r="D468" t="str">
            <v>EA</v>
          </cell>
          <cell r="E468">
            <v>0</v>
          </cell>
          <cell r="F468">
            <v>0</v>
          </cell>
        </row>
        <row r="469">
          <cell r="A469" t="str">
            <v>y.H-PILE항타</v>
          </cell>
          <cell r="C469">
            <v>168</v>
          </cell>
          <cell r="D469" t="str">
            <v>M</v>
          </cell>
          <cell r="E469">
            <v>0</v>
          </cell>
          <cell r="F469">
            <v>0</v>
          </cell>
        </row>
        <row r="470">
          <cell r="A470" t="str">
            <v>z.H-PILE항발</v>
          </cell>
          <cell r="C470">
            <v>168</v>
          </cell>
          <cell r="D470" t="str">
            <v>M</v>
          </cell>
          <cell r="E470">
            <v>0</v>
          </cell>
          <cell r="F470">
            <v>0</v>
          </cell>
        </row>
        <row r="471">
          <cell r="A471" t="str">
            <v>aa.구조용H형강</v>
          </cell>
          <cell r="C471">
            <v>397.28199999999998</v>
          </cell>
          <cell r="D471" t="str">
            <v>TON</v>
          </cell>
          <cell r="E471">
            <v>0</v>
          </cell>
          <cell r="F471">
            <v>0</v>
          </cell>
        </row>
        <row r="472">
          <cell r="A472" t="str">
            <v>ab.구조용H형강</v>
          </cell>
          <cell r="C472">
            <v>54.082999999999998</v>
          </cell>
          <cell r="D472" t="str">
            <v>TON</v>
          </cell>
          <cell r="E472">
            <v>0</v>
          </cell>
          <cell r="F472">
            <v>0</v>
          </cell>
        </row>
        <row r="473">
          <cell r="A473" t="str">
            <v>ac.강널말뚝</v>
          </cell>
          <cell r="C473">
            <v>502.39299999999997</v>
          </cell>
          <cell r="D473" t="str">
            <v>TON</v>
          </cell>
          <cell r="E473">
            <v>0</v>
          </cell>
          <cell r="F473">
            <v>0</v>
          </cell>
        </row>
        <row r="474">
          <cell r="A474" t="str">
            <v>ad.강재 및 형강운반비</v>
          </cell>
          <cell r="C474">
            <v>953.75800000000004</v>
          </cell>
          <cell r="D474" t="str">
            <v>TON</v>
          </cell>
          <cell r="E474">
            <v>0</v>
          </cell>
          <cell r="F474">
            <v>0</v>
          </cell>
        </row>
        <row r="475">
          <cell r="A475" t="str">
            <v>3.39 가교가설(산수1교)</v>
          </cell>
          <cell r="C475">
            <v>1</v>
          </cell>
          <cell r="D475" t="str">
            <v>식</v>
          </cell>
          <cell r="E475">
            <v>0</v>
          </cell>
          <cell r="F475">
            <v>0</v>
          </cell>
        </row>
        <row r="476">
          <cell r="A476" t="str">
            <v>3.40 점검등설비공사(산수1교)</v>
          </cell>
          <cell r="C476">
            <v>1</v>
          </cell>
          <cell r="D476" t="str">
            <v>식</v>
          </cell>
          <cell r="E476">
            <v>0</v>
          </cell>
          <cell r="F476">
            <v>0</v>
          </cell>
        </row>
        <row r="477">
          <cell r="A477" t="str">
            <v>3.41 한전인입비(산수1교)</v>
          </cell>
          <cell r="C477">
            <v>1</v>
          </cell>
          <cell r="D477" t="str">
            <v>P.S</v>
          </cell>
          <cell r="E477">
            <v>0</v>
          </cell>
          <cell r="F477">
            <v>0</v>
          </cell>
        </row>
        <row r="478">
          <cell r="A478" t="str">
            <v>C.산수2교(S.T.BOX교)</v>
          </cell>
          <cell r="E478">
            <v>0</v>
          </cell>
          <cell r="F478">
            <v>0</v>
          </cell>
        </row>
        <row r="479">
          <cell r="A479" t="str">
            <v>3.01 터 파 기</v>
          </cell>
          <cell r="E479">
            <v>0</v>
          </cell>
          <cell r="F479">
            <v>0</v>
          </cell>
        </row>
        <row r="480">
          <cell r="A480" t="str">
            <v>a.육상토사</v>
          </cell>
          <cell r="C480">
            <v>310</v>
          </cell>
          <cell r="D480" t="str">
            <v>M3</v>
          </cell>
          <cell r="E480">
            <v>0</v>
          </cell>
          <cell r="F480">
            <v>0</v>
          </cell>
        </row>
        <row r="481">
          <cell r="A481" t="str">
            <v>b.육상풍화암</v>
          </cell>
          <cell r="E481">
            <v>0</v>
          </cell>
          <cell r="F481">
            <v>0</v>
          </cell>
        </row>
        <row r="482">
          <cell r="A482" t="str">
            <v>-1.육상풍화암</v>
          </cell>
          <cell r="C482">
            <v>1560</v>
          </cell>
          <cell r="D482" t="str">
            <v>M3</v>
          </cell>
          <cell r="E482">
            <v>0</v>
          </cell>
          <cell r="F482">
            <v>0</v>
          </cell>
        </row>
        <row r="483">
          <cell r="A483" t="str">
            <v>-2.육상풍화암</v>
          </cell>
          <cell r="C483">
            <v>20</v>
          </cell>
          <cell r="D483" t="str">
            <v>M3</v>
          </cell>
          <cell r="E483">
            <v>0</v>
          </cell>
          <cell r="F483">
            <v>0</v>
          </cell>
        </row>
        <row r="484">
          <cell r="A484" t="str">
            <v>c.용수토사</v>
          </cell>
          <cell r="E484">
            <v>0</v>
          </cell>
          <cell r="F484">
            <v>0</v>
          </cell>
        </row>
        <row r="485">
          <cell r="A485" t="str">
            <v>-1.용수토사</v>
          </cell>
          <cell r="C485">
            <v>2160</v>
          </cell>
          <cell r="D485" t="str">
            <v>M3</v>
          </cell>
          <cell r="E485">
            <v>0</v>
          </cell>
          <cell r="F485">
            <v>0</v>
          </cell>
        </row>
        <row r="486">
          <cell r="A486" t="str">
            <v>-2.용수토사</v>
          </cell>
          <cell r="C486">
            <v>420</v>
          </cell>
          <cell r="D486" t="str">
            <v>M3</v>
          </cell>
          <cell r="E486">
            <v>0</v>
          </cell>
          <cell r="F486">
            <v>0</v>
          </cell>
        </row>
        <row r="487">
          <cell r="A487" t="str">
            <v>d.용수풍화암</v>
          </cell>
          <cell r="C487">
            <v>310</v>
          </cell>
          <cell r="D487" t="str">
            <v>M3</v>
          </cell>
          <cell r="E487">
            <v>0</v>
          </cell>
          <cell r="F487">
            <v>0</v>
          </cell>
        </row>
        <row r="488">
          <cell r="A488" t="str">
            <v>e.용수발파암</v>
          </cell>
          <cell r="C488">
            <v>490</v>
          </cell>
          <cell r="D488" t="str">
            <v>M3</v>
          </cell>
          <cell r="E488">
            <v>0</v>
          </cell>
          <cell r="F488">
            <v>0</v>
          </cell>
        </row>
        <row r="489">
          <cell r="A489" t="str">
            <v>3.02 되메우기(기계70%,인력30%)</v>
          </cell>
          <cell r="C489">
            <v>1370</v>
          </cell>
          <cell r="D489" t="str">
            <v>M3</v>
          </cell>
          <cell r="E489">
            <v>0</v>
          </cell>
          <cell r="F489">
            <v>0</v>
          </cell>
        </row>
        <row r="490">
          <cell r="A490" t="str">
            <v>3.03 뒷채움 및 다짐</v>
          </cell>
          <cell r="C490">
            <v>611</v>
          </cell>
          <cell r="D490" t="str">
            <v>M3</v>
          </cell>
          <cell r="E490">
            <v>0</v>
          </cell>
          <cell r="F490">
            <v>0</v>
          </cell>
        </row>
        <row r="491">
          <cell r="A491" t="str">
            <v>3.04 면정리및청소</v>
          </cell>
          <cell r="C491">
            <v>525</v>
          </cell>
          <cell r="D491" t="str">
            <v>M2</v>
          </cell>
          <cell r="E491">
            <v>0</v>
          </cell>
          <cell r="F491">
            <v>0</v>
          </cell>
        </row>
        <row r="492">
          <cell r="A492" t="str">
            <v>3.05 앞 성 토</v>
          </cell>
          <cell r="C492">
            <v>50</v>
          </cell>
          <cell r="D492" t="str">
            <v>M3</v>
          </cell>
          <cell r="E492">
            <v>0</v>
          </cell>
          <cell r="F492">
            <v>0</v>
          </cell>
        </row>
        <row r="493">
          <cell r="A493" t="str">
            <v>3.06 세굴방지용사석채움</v>
          </cell>
          <cell r="C493">
            <v>1812</v>
          </cell>
          <cell r="D493" t="str">
            <v>M3</v>
          </cell>
          <cell r="E493">
            <v>0</v>
          </cell>
          <cell r="F493">
            <v>0</v>
          </cell>
        </row>
        <row r="494">
          <cell r="A494" t="str">
            <v>3.07 물 푸 기</v>
          </cell>
          <cell r="C494">
            <v>450</v>
          </cell>
          <cell r="D494" t="str">
            <v>Hr</v>
          </cell>
          <cell r="E494">
            <v>0</v>
          </cell>
          <cell r="F494">
            <v>0</v>
          </cell>
        </row>
        <row r="495">
          <cell r="A495" t="str">
            <v>3.08 콘크리트 타설</v>
          </cell>
          <cell r="E495">
            <v>0</v>
          </cell>
          <cell r="F495">
            <v>0</v>
          </cell>
        </row>
        <row r="496">
          <cell r="A496" t="str">
            <v>a.철       근</v>
          </cell>
          <cell r="C496">
            <v>175</v>
          </cell>
          <cell r="D496" t="str">
            <v>M3</v>
          </cell>
          <cell r="E496">
            <v>0</v>
          </cell>
          <cell r="F496">
            <v>0</v>
          </cell>
        </row>
        <row r="497">
          <cell r="A497" t="str">
            <v>b.무       근</v>
          </cell>
          <cell r="C497">
            <v>80</v>
          </cell>
          <cell r="D497" t="str">
            <v>M3</v>
          </cell>
          <cell r="E497">
            <v>0</v>
          </cell>
          <cell r="F497">
            <v>0</v>
          </cell>
        </row>
        <row r="498">
          <cell r="A498" t="str">
            <v>c.무       근</v>
          </cell>
          <cell r="C498">
            <v>53</v>
          </cell>
          <cell r="D498" t="str">
            <v>M3</v>
          </cell>
          <cell r="E498">
            <v>0</v>
          </cell>
          <cell r="F498">
            <v>0</v>
          </cell>
        </row>
        <row r="499">
          <cell r="A499" t="str">
            <v>d.펌프카 타설</v>
          </cell>
          <cell r="C499">
            <v>2838</v>
          </cell>
          <cell r="D499" t="str">
            <v>M3</v>
          </cell>
          <cell r="E499">
            <v>0</v>
          </cell>
          <cell r="F499">
            <v>0</v>
          </cell>
        </row>
        <row r="500">
          <cell r="A500" t="str">
            <v>e.펌프카 타설</v>
          </cell>
          <cell r="C500">
            <v>84</v>
          </cell>
          <cell r="D500" t="str">
            <v>M3</v>
          </cell>
          <cell r="E500">
            <v>0</v>
          </cell>
          <cell r="F500">
            <v>0</v>
          </cell>
        </row>
        <row r="501">
          <cell r="A501" t="str">
            <v>3.09 무수축 콘크리트</v>
          </cell>
          <cell r="C501">
            <v>10.125999999999999</v>
          </cell>
          <cell r="D501" t="str">
            <v>M3</v>
          </cell>
          <cell r="E501">
            <v>0</v>
          </cell>
          <cell r="F501">
            <v>0</v>
          </cell>
        </row>
        <row r="502">
          <cell r="A502" t="str">
            <v>3.10 무수축 몰탈</v>
          </cell>
          <cell r="C502">
            <v>1.3720000000000001</v>
          </cell>
          <cell r="D502" t="str">
            <v>M3</v>
          </cell>
          <cell r="E502">
            <v>0</v>
          </cell>
          <cell r="F502">
            <v>0</v>
          </cell>
        </row>
        <row r="503">
          <cell r="A503" t="str">
            <v>3.11 거푸집공</v>
          </cell>
          <cell r="E503">
            <v>0</v>
          </cell>
          <cell r="F503">
            <v>0</v>
          </cell>
        </row>
        <row r="504">
          <cell r="A504" t="str">
            <v>a.합판거푸집</v>
          </cell>
          <cell r="E504">
            <v>0</v>
          </cell>
          <cell r="F504">
            <v>0</v>
          </cell>
        </row>
        <row r="505">
          <cell r="A505" t="str">
            <v>-1.거푸집</v>
          </cell>
          <cell r="C505">
            <v>3338</v>
          </cell>
          <cell r="D505" t="str">
            <v>M2</v>
          </cell>
          <cell r="E505">
            <v>0</v>
          </cell>
          <cell r="F505">
            <v>0</v>
          </cell>
        </row>
        <row r="506">
          <cell r="A506" t="str">
            <v>-2.거푸집</v>
          </cell>
          <cell r="C506">
            <v>81</v>
          </cell>
          <cell r="D506" t="str">
            <v>M2</v>
          </cell>
          <cell r="E506">
            <v>0</v>
          </cell>
          <cell r="F506">
            <v>0</v>
          </cell>
        </row>
        <row r="507">
          <cell r="A507" t="str">
            <v>-3.거푸집</v>
          </cell>
          <cell r="C507">
            <v>39</v>
          </cell>
          <cell r="D507" t="str">
            <v>M2</v>
          </cell>
          <cell r="E507">
            <v>0</v>
          </cell>
          <cell r="F507">
            <v>0</v>
          </cell>
        </row>
        <row r="508">
          <cell r="A508" t="str">
            <v>-4.거푸집</v>
          </cell>
          <cell r="C508">
            <v>266</v>
          </cell>
          <cell r="D508" t="str">
            <v>M2</v>
          </cell>
          <cell r="E508">
            <v>0</v>
          </cell>
          <cell r="F508">
            <v>0</v>
          </cell>
        </row>
        <row r="509">
          <cell r="A509" t="str">
            <v>-5.거푸집</v>
          </cell>
          <cell r="C509">
            <v>15</v>
          </cell>
          <cell r="D509" t="str">
            <v>M2</v>
          </cell>
          <cell r="E509">
            <v>0</v>
          </cell>
          <cell r="F509">
            <v>0</v>
          </cell>
        </row>
        <row r="510">
          <cell r="A510" t="str">
            <v>-6.거푸집</v>
          </cell>
          <cell r="C510">
            <v>433</v>
          </cell>
          <cell r="D510" t="str">
            <v>M2</v>
          </cell>
          <cell r="E510">
            <v>0</v>
          </cell>
          <cell r="F510">
            <v>0</v>
          </cell>
        </row>
        <row r="511">
          <cell r="A511" t="str">
            <v>-7.거푸집</v>
          </cell>
          <cell r="C511">
            <v>68</v>
          </cell>
          <cell r="D511" t="str">
            <v>M2</v>
          </cell>
          <cell r="E511">
            <v>0</v>
          </cell>
          <cell r="F511">
            <v>0</v>
          </cell>
        </row>
        <row r="512">
          <cell r="A512" t="str">
            <v>b.PE무늬거푸집</v>
          </cell>
          <cell r="E512">
            <v>0</v>
          </cell>
          <cell r="F512">
            <v>0</v>
          </cell>
        </row>
        <row r="513">
          <cell r="A513" t="str">
            <v>-1.P.E무늬거푸집</v>
          </cell>
          <cell r="C513">
            <v>202</v>
          </cell>
          <cell r="D513" t="str">
            <v>㎡</v>
          </cell>
          <cell r="E513">
            <v>0</v>
          </cell>
          <cell r="F513">
            <v>0</v>
          </cell>
        </row>
        <row r="514">
          <cell r="A514" t="str">
            <v>-2.P.E무늬거푸집</v>
          </cell>
          <cell r="C514">
            <v>4</v>
          </cell>
          <cell r="D514" t="str">
            <v>㎡</v>
          </cell>
          <cell r="E514">
            <v>0</v>
          </cell>
          <cell r="F514">
            <v>0</v>
          </cell>
        </row>
        <row r="515">
          <cell r="A515" t="str">
            <v>c.목재 원형거푸집</v>
          </cell>
          <cell r="E515">
            <v>0</v>
          </cell>
          <cell r="F515">
            <v>0</v>
          </cell>
        </row>
        <row r="516">
          <cell r="A516" t="str">
            <v>-1.원형거푸집</v>
          </cell>
          <cell r="C516">
            <v>264</v>
          </cell>
          <cell r="D516" t="str">
            <v>M2</v>
          </cell>
          <cell r="E516">
            <v>0</v>
          </cell>
          <cell r="F516">
            <v>0</v>
          </cell>
        </row>
        <row r="517">
          <cell r="A517" t="str">
            <v>-2.원형거푸집</v>
          </cell>
          <cell r="C517">
            <v>113</v>
          </cell>
          <cell r="D517" t="str">
            <v>M2</v>
          </cell>
          <cell r="E517">
            <v>0</v>
          </cell>
          <cell r="F517">
            <v>0</v>
          </cell>
        </row>
        <row r="518">
          <cell r="A518" t="str">
            <v>-3.원형거푸집</v>
          </cell>
          <cell r="C518">
            <v>101</v>
          </cell>
          <cell r="D518" t="str">
            <v>M2</v>
          </cell>
          <cell r="E518">
            <v>0</v>
          </cell>
          <cell r="F518">
            <v>0</v>
          </cell>
        </row>
        <row r="519">
          <cell r="A519" t="str">
            <v>-4.원형거푸집</v>
          </cell>
          <cell r="C519">
            <v>9</v>
          </cell>
          <cell r="D519" t="str">
            <v>M2</v>
          </cell>
          <cell r="E519">
            <v>0</v>
          </cell>
          <cell r="F519">
            <v>0</v>
          </cell>
        </row>
        <row r="520">
          <cell r="A520" t="str">
            <v>3.12 동바리</v>
          </cell>
          <cell r="E520">
            <v>0</v>
          </cell>
          <cell r="F520">
            <v>0</v>
          </cell>
        </row>
        <row r="521">
          <cell r="A521" t="str">
            <v>a.동바리</v>
          </cell>
          <cell r="C521">
            <v>1350</v>
          </cell>
          <cell r="D521" t="str">
            <v>공M3</v>
          </cell>
          <cell r="E521">
            <v>0</v>
          </cell>
          <cell r="F521">
            <v>0</v>
          </cell>
        </row>
        <row r="522">
          <cell r="A522" t="str">
            <v>b.동바리</v>
          </cell>
          <cell r="C522">
            <v>360</v>
          </cell>
          <cell r="D522" t="str">
            <v>공M3</v>
          </cell>
          <cell r="E522">
            <v>0</v>
          </cell>
          <cell r="F522">
            <v>0</v>
          </cell>
        </row>
        <row r="523">
          <cell r="A523" t="str">
            <v>c.동바리</v>
          </cell>
          <cell r="C523">
            <v>981</v>
          </cell>
          <cell r="D523" t="str">
            <v>공M3</v>
          </cell>
          <cell r="E523">
            <v>0</v>
          </cell>
          <cell r="F523">
            <v>0</v>
          </cell>
        </row>
        <row r="524">
          <cell r="A524" t="str">
            <v>d.동바리 수평연결재</v>
          </cell>
          <cell r="C524">
            <v>390</v>
          </cell>
          <cell r="D524" t="str">
            <v>M2</v>
          </cell>
          <cell r="E524">
            <v>0</v>
          </cell>
          <cell r="F524">
            <v>0</v>
          </cell>
        </row>
        <row r="525">
          <cell r="A525" t="str">
            <v>3.13 비계</v>
          </cell>
          <cell r="C525">
            <v>2450</v>
          </cell>
          <cell r="D525" t="str">
            <v>M2</v>
          </cell>
          <cell r="E525">
            <v>0</v>
          </cell>
          <cell r="F525">
            <v>0</v>
          </cell>
        </row>
        <row r="526">
          <cell r="A526" t="str">
            <v>3.14 모따기</v>
          </cell>
          <cell r="C526">
            <v>756</v>
          </cell>
          <cell r="D526" t="str">
            <v>M</v>
          </cell>
          <cell r="E526">
            <v>0</v>
          </cell>
          <cell r="F526">
            <v>0</v>
          </cell>
        </row>
        <row r="527">
          <cell r="A527" t="str">
            <v>3.15 신축이음장치</v>
          </cell>
          <cell r="E527">
            <v>0</v>
          </cell>
          <cell r="F527">
            <v>0</v>
          </cell>
        </row>
        <row r="528">
          <cell r="A528" t="str">
            <v>a.신축이음장치</v>
          </cell>
          <cell r="C528">
            <v>19</v>
          </cell>
          <cell r="D528" t="str">
            <v>M</v>
          </cell>
          <cell r="E528">
            <v>0</v>
          </cell>
          <cell r="F528">
            <v>0</v>
          </cell>
        </row>
        <row r="529">
          <cell r="A529" t="str">
            <v>b.신축이음장치</v>
          </cell>
          <cell r="C529">
            <v>19</v>
          </cell>
          <cell r="D529" t="str">
            <v>M</v>
          </cell>
          <cell r="E529">
            <v>0</v>
          </cell>
          <cell r="F529">
            <v>0</v>
          </cell>
        </row>
        <row r="530">
          <cell r="A530" t="str">
            <v>3.16 교명주(화강석)</v>
          </cell>
          <cell r="C530">
            <v>4</v>
          </cell>
          <cell r="D530" t="str">
            <v>EA</v>
          </cell>
          <cell r="E530">
            <v>0</v>
          </cell>
          <cell r="F530">
            <v>0</v>
          </cell>
        </row>
        <row r="531">
          <cell r="A531" t="str">
            <v>3.17 교명판및설명판</v>
          </cell>
          <cell r="E531">
            <v>0</v>
          </cell>
          <cell r="F531">
            <v>0</v>
          </cell>
        </row>
        <row r="532">
          <cell r="A532" t="str">
            <v>a.교명판</v>
          </cell>
          <cell r="C532">
            <v>2</v>
          </cell>
          <cell r="D532" t="str">
            <v>EA</v>
          </cell>
          <cell r="E532">
            <v>0</v>
          </cell>
          <cell r="F532">
            <v>0</v>
          </cell>
        </row>
        <row r="533">
          <cell r="A533" t="str">
            <v>b.설명판</v>
          </cell>
          <cell r="C533">
            <v>2</v>
          </cell>
          <cell r="D533" t="str">
            <v>EA</v>
          </cell>
          <cell r="E533">
            <v>0</v>
          </cell>
          <cell r="F533">
            <v>0</v>
          </cell>
        </row>
        <row r="534">
          <cell r="A534" t="str">
            <v>3.18 표면처리</v>
          </cell>
        </row>
        <row r="535">
          <cell r="A535" t="str">
            <v>a.슬라브 양생</v>
          </cell>
        </row>
        <row r="536">
          <cell r="A536" t="str">
            <v>b.데크휘니샤 면고르기</v>
          </cell>
        </row>
        <row r="537">
          <cell r="A537" t="str">
            <v>3.19 교면방수</v>
          </cell>
        </row>
        <row r="538">
          <cell r="A538" t="str">
            <v>3.20 배면방수</v>
          </cell>
        </row>
        <row r="539">
          <cell r="A539" t="str">
            <v>3.21 전선관부설</v>
          </cell>
        </row>
        <row r="540">
          <cell r="A540" t="str">
            <v>3.22 T.B.M 설치</v>
          </cell>
        </row>
        <row r="541">
          <cell r="A541" t="str">
            <v>3.23 낙하물 방지공</v>
          </cell>
        </row>
        <row r="542">
          <cell r="A542" t="str">
            <v>3.24 방호벽</v>
          </cell>
        </row>
        <row r="543">
          <cell r="A543" t="str">
            <v>3.25 중앙분리대</v>
          </cell>
        </row>
        <row r="544">
          <cell r="A544" t="str">
            <v>3.26 NOTCH  설치</v>
          </cell>
        </row>
        <row r="545">
          <cell r="A545" t="str">
            <v>3.27 교량유지관리용표지판</v>
          </cell>
        </row>
        <row r="546">
          <cell r="A546" t="str">
            <v>a.강교용</v>
          </cell>
        </row>
        <row r="547">
          <cell r="A547" t="str">
            <v>b.교각,교 대 용</v>
          </cell>
        </row>
        <row r="548">
          <cell r="A548" t="str">
            <v>3.28 스페이서 설치</v>
          </cell>
        </row>
        <row r="549">
          <cell r="A549" t="str">
            <v>a.스페이서 설치</v>
          </cell>
        </row>
        <row r="550">
          <cell r="A550" t="str">
            <v>b.스페이서 설치</v>
          </cell>
        </row>
        <row r="551">
          <cell r="A551" t="str">
            <v>3.29 철근가공 및 조립</v>
          </cell>
        </row>
        <row r="552">
          <cell r="A552" t="str">
            <v>a.보       통</v>
          </cell>
        </row>
        <row r="553">
          <cell r="A553" t="str">
            <v>b.복       잡</v>
          </cell>
        </row>
        <row r="554">
          <cell r="A554" t="str">
            <v>c.매 우 복 잡</v>
          </cell>
        </row>
        <row r="555">
          <cell r="A555" t="str">
            <v>3.30 교량유지관리점검시설</v>
          </cell>
        </row>
        <row r="556">
          <cell r="A556" t="str">
            <v>a.교대부</v>
          </cell>
        </row>
        <row r="557">
          <cell r="A557" t="str">
            <v>b.교각부(P1)</v>
          </cell>
        </row>
        <row r="558">
          <cell r="A558" t="str">
            <v>c.교각부(P2)</v>
          </cell>
        </row>
        <row r="559">
          <cell r="A559" t="str">
            <v>3.31 배수시설공</v>
          </cell>
        </row>
        <row r="560">
          <cell r="A560" t="str">
            <v>a.교량배수물배기공</v>
          </cell>
        </row>
        <row r="561">
          <cell r="A561" t="str">
            <v>b.하층줄눈(성형)</v>
          </cell>
        </row>
        <row r="562">
          <cell r="A562" t="str">
            <v>c.상층줄눈(주입)</v>
          </cell>
        </row>
        <row r="563">
          <cell r="A563" t="str">
            <v>d.표면처리(방수)</v>
          </cell>
        </row>
        <row r="564">
          <cell r="A564" t="str">
            <v>e.하천용 집수구(스턴레스)</v>
          </cell>
        </row>
        <row r="565">
          <cell r="A565" t="str">
            <v>f.교량배수용강관(하천용)</v>
          </cell>
        </row>
        <row r="566">
          <cell r="A566" t="str">
            <v>g.이음부(스텐레스)</v>
          </cell>
        </row>
        <row r="567">
          <cell r="A567" t="str">
            <v>h.곡관(스텐레스)</v>
          </cell>
        </row>
        <row r="568">
          <cell r="A568" t="str">
            <v>3.32 옹벽배수시설</v>
          </cell>
        </row>
        <row r="569">
          <cell r="A569" t="str">
            <v>a.DRAIN BOARD</v>
          </cell>
        </row>
        <row r="570">
          <cell r="A570" t="str">
            <v>b.PVC PIPE</v>
          </cell>
        </row>
        <row r="571">
          <cell r="A571" t="str">
            <v>c.부직포</v>
          </cell>
        </row>
        <row r="572">
          <cell r="A572" t="str">
            <v>3.33 DOWEL BAR 설치</v>
          </cell>
        </row>
        <row r="573">
          <cell r="A573" t="str">
            <v>3.34 스치로폴</v>
          </cell>
        </row>
        <row r="574">
          <cell r="A574" t="str">
            <v>3.35 교량받침</v>
          </cell>
        </row>
        <row r="575">
          <cell r="A575" t="str">
            <v>a.교좌장치(일방향)POT</v>
          </cell>
        </row>
        <row r="576">
          <cell r="A576" t="str">
            <v>b.교좌장치(양방향)POT</v>
          </cell>
        </row>
        <row r="577">
          <cell r="A577" t="str">
            <v>c.교좌장치(일방향)POT</v>
          </cell>
        </row>
        <row r="578">
          <cell r="A578" t="str">
            <v>d.교좌장치(양방향)POT</v>
          </cell>
        </row>
        <row r="579">
          <cell r="A579" t="str">
            <v>e.교좌장치(고정단)POT</v>
          </cell>
        </row>
        <row r="580">
          <cell r="A580" t="str">
            <v>f.교좌장치(일방향)POT</v>
          </cell>
        </row>
        <row r="581">
          <cell r="A581" t="str">
            <v>g.교좌장치(양방향)POT</v>
          </cell>
        </row>
        <row r="582">
          <cell r="A582" t="str">
            <v>h.교좌장치(고정단)POT</v>
          </cell>
        </row>
        <row r="583">
          <cell r="A583" t="str">
            <v>3.36 강   교</v>
          </cell>
        </row>
        <row r="584">
          <cell r="A584" t="str">
            <v>a.강교제작(산수2교)</v>
          </cell>
        </row>
        <row r="585">
          <cell r="A585" t="str">
            <v>b.강교운반(산수2교)</v>
          </cell>
        </row>
        <row r="586">
          <cell r="A586" t="str">
            <v>c.강교가설(산수2교)</v>
          </cell>
        </row>
        <row r="587">
          <cell r="A587" t="str">
            <v>3.37 강교 도장</v>
          </cell>
        </row>
        <row r="588">
          <cell r="A588" t="str">
            <v>a.내부도장</v>
          </cell>
        </row>
        <row r="589">
          <cell r="A589" t="str">
            <v>b.외부포장면도장</v>
          </cell>
        </row>
        <row r="590">
          <cell r="A590" t="str">
            <v>c.연결판도장</v>
          </cell>
        </row>
        <row r="591">
          <cell r="A591" t="str">
            <v>d.외부도장</v>
          </cell>
        </row>
        <row r="592">
          <cell r="A592" t="str">
            <v>e.외부도장</v>
          </cell>
        </row>
        <row r="593">
          <cell r="A593" t="str">
            <v>f.내부볼트및연결판도장</v>
          </cell>
        </row>
        <row r="594">
          <cell r="A594" t="str">
            <v>g.외부볼트및연결판도장</v>
          </cell>
        </row>
        <row r="595">
          <cell r="A595" t="str">
            <v>3.38 강교 비파괴 검사비</v>
          </cell>
        </row>
        <row r="596">
          <cell r="A596" t="str">
            <v>a.강교 비파괴 검사비</v>
          </cell>
        </row>
        <row r="597">
          <cell r="A597" t="str">
            <v>b.강교 비파괴 검사비</v>
          </cell>
        </row>
        <row r="598">
          <cell r="A598" t="str">
            <v>c.강교 비파괴 검사비</v>
          </cell>
        </row>
        <row r="599">
          <cell r="A599" t="str">
            <v>3.39 보강토옹벽공</v>
          </cell>
        </row>
        <row r="600">
          <cell r="A600" t="str">
            <v>a.잔토처리</v>
          </cell>
        </row>
        <row r="601">
          <cell r="A601" t="str">
            <v>b.노  체</v>
          </cell>
        </row>
        <row r="602">
          <cell r="A602" t="str">
            <v>c.속채움골재</v>
          </cell>
        </row>
        <row r="603">
          <cell r="A603" t="str">
            <v>d.기초잡석깔기</v>
          </cell>
        </row>
        <row r="604">
          <cell r="A604" t="str">
            <v>e.블럭식 보강토 옹벽쌓기</v>
          </cell>
        </row>
        <row r="605">
          <cell r="A605" t="str">
            <v>f.블럭식 보강토 옹벽쌓기</v>
          </cell>
        </row>
        <row r="606">
          <cell r="A606" t="str">
            <v>g.지오그리드 설치</v>
          </cell>
        </row>
        <row r="607">
          <cell r="A607" t="str">
            <v>3.40 가시설공</v>
          </cell>
        </row>
        <row r="608">
          <cell r="A608" t="str">
            <v>a.토사천공(φ16" 3 WING BIT)</v>
          </cell>
        </row>
        <row r="609">
          <cell r="A609" t="str">
            <v>b.풍화암천공(φ16" 3 WING BIT)</v>
          </cell>
        </row>
        <row r="610">
          <cell r="A610" t="str">
            <v>c.연암천공(T-4)</v>
          </cell>
        </row>
        <row r="611">
          <cell r="A611" t="str">
            <v>d.SHEET PILE 천공후 항타및항발</v>
          </cell>
        </row>
        <row r="612">
          <cell r="A612" t="str">
            <v>e.버팀보 제작</v>
          </cell>
        </row>
        <row r="613">
          <cell r="A613" t="str">
            <v>f.버팀보 설치 (9∼11m)</v>
          </cell>
        </row>
        <row r="614">
          <cell r="A614" t="str">
            <v>g.버팀보 철거 (9∼11m)</v>
          </cell>
        </row>
        <row r="615">
          <cell r="A615" t="str">
            <v>h.CORNER STRUT 제작</v>
          </cell>
        </row>
        <row r="616">
          <cell r="A616" t="str">
            <v>i.CORNER STRUT 설치 (3∼5m)</v>
          </cell>
        </row>
        <row r="617">
          <cell r="A617" t="str">
            <v>j.CORNER STRUT 철거 (3∼5m)</v>
          </cell>
        </row>
        <row r="618">
          <cell r="A618" t="str">
            <v>k.CORNER STRUT 설치 (6∼8m)</v>
          </cell>
        </row>
        <row r="619">
          <cell r="A619" t="str">
            <v>l.CORNER STRUT 철거 (6∼8m)</v>
          </cell>
        </row>
        <row r="620">
          <cell r="A620" t="str">
            <v>m.JACK 설치해체</v>
          </cell>
        </row>
        <row r="621">
          <cell r="A621" t="str">
            <v>n.보걸이설치</v>
          </cell>
        </row>
        <row r="622">
          <cell r="A622" t="str">
            <v>o.보걸이철거</v>
          </cell>
        </row>
        <row r="623">
          <cell r="A623" t="str">
            <v>p.띠장설치</v>
          </cell>
        </row>
        <row r="624">
          <cell r="A624" t="str">
            <v>q.띠장철거</v>
          </cell>
        </row>
        <row r="625">
          <cell r="A625" t="str">
            <v>r.띠장연결</v>
          </cell>
        </row>
        <row r="626">
          <cell r="A626" t="str">
            <v>s.피스브라켓 설치 및 철거</v>
          </cell>
        </row>
        <row r="627">
          <cell r="A627" t="str">
            <v>t.H-PILE항타(300x300x10x15)</v>
          </cell>
        </row>
        <row r="628">
          <cell r="A628" t="str">
            <v>u.H-PILE항발(300x300x10x15)</v>
          </cell>
        </row>
        <row r="629">
          <cell r="A629" t="str">
            <v>v.BRACING BEAM 설치 (3∼5m)</v>
          </cell>
        </row>
        <row r="630">
          <cell r="A630" t="str">
            <v>w.BRACING BEAM 철거 (3∼5m)</v>
          </cell>
        </row>
        <row r="631">
          <cell r="A631" t="str">
            <v>x.BRACING BEAM 설치 (6∼8m)</v>
          </cell>
        </row>
        <row r="632">
          <cell r="A632" t="str">
            <v>y.BRACING BEAM 철거 (6∼8m)</v>
          </cell>
        </row>
        <row r="633">
          <cell r="A633" t="str">
            <v>z.L형강 설치</v>
          </cell>
        </row>
        <row r="634">
          <cell r="A634" t="str">
            <v>aa.L형강 철거</v>
          </cell>
        </row>
        <row r="635">
          <cell r="A635" t="str">
            <v>ab.구조용H형강</v>
          </cell>
        </row>
        <row r="636">
          <cell r="A636" t="str">
            <v>ac.구조용H형강</v>
          </cell>
        </row>
        <row r="637">
          <cell r="A637" t="str">
            <v>ad.강널말뚝</v>
          </cell>
        </row>
        <row r="638">
          <cell r="A638" t="str">
            <v>ae.강재 및 형강운반비</v>
          </cell>
        </row>
        <row r="639">
          <cell r="A639" t="str">
            <v>3.41 점검등설비공사(산수2교)</v>
          </cell>
        </row>
        <row r="640">
          <cell r="A640" t="str">
            <v>3.42 한전인입비(산수2교)</v>
          </cell>
        </row>
        <row r="641">
          <cell r="A641" t="str">
            <v>D.대곡보도육교(S.T.RAHMEM)</v>
          </cell>
        </row>
        <row r="642">
          <cell r="A642" t="str">
            <v>3.01.터 파 기</v>
          </cell>
        </row>
        <row r="643">
          <cell r="A643" t="str">
            <v>a.육상토사</v>
          </cell>
        </row>
        <row r="644">
          <cell r="A644" t="str">
            <v>3.02 되메우기(기계70%,인력30%)</v>
          </cell>
        </row>
        <row r="645">
          <cell r="A645" t="str">
            <v>3.03 콘크리트 타설</v>
          </cell>
        </row>
        <row r="646">
          <cell r="A646" t="str">
            <v>a.무      근</v>
          </cell>
        </row>
        <row r="647">
          <cell r="A647" t="str">
            <v>b.펌프카타설</v>
          </cell>
        </row>
        <row r="648">
          <cell r="A648" t="str">
            <v>3.04 무수축 몰탈</v>
          </cell>
        </row>
        <row r="649">
          <cell r="A649" t="str">
            <v>3.05 거푸집공</v>
          </cell>
        </row>
        <row r="650">
          <cell r="A650" t="str">
            <v>a.합판거푸집</v>
          </cell>
        </row>
        <row r="651">
          <cell r="A651" t="str">
            <v>-1.거푸집</v>
          </cell>
        </row>
        <row r="652">
          <cell r="A652" t="str">
            <v>-2.거푸집</v>
          </cell>
        </row>
        <row r="653">
          <cell r="A653" t="str">
            <v>3.06 모따기</v>
          </cell>
        </row>
        <row r="654">
          <cell r="A654" t="str">
            <v>3.07 T.B.M 설치</v>
          </cell>
        </row>
        <row r="655">
          <cell r="A655" t="str">
            <v>3.08 스페이서 설치</v>
          </cell>
        </row>
        <row r="656">
          <cell r="A656" t="str">
            <v>3.09 화강석포장</v>
          </cell>
        </row>
        <row r="657">
          <cell r="A657" t="str">
            <v>3.10 교면방수</v>
          </cell>
        </row>
        <row r="658">
          <cell r="A658" t="str">
            <v>3.11 철근가공 및 조립</v>
          </cell>
        </row>
        <row r="659">
          <cell r="A659" t="str">
            <v>a.보       통</v>
          </cell>
        </row>
        <row r="660">
          <cell r="A660" t="str">
            <v>3.12 배수시설공</v>
          </cell>
        </row>
        <row r="661">
          <cell r="A661" t="str">
            <v>a.육교용 집수구(스턴레스)</v>
          </cell>
        </row>
        <row r="662">
          <cell r="A662" t="str">
            <v>b.육교용 이음부(스텐레스)</v>
          </cell>
        </row>
        <row r="663">
          <cell r="A663" t="str">
            <v>c.배수용용강관(육교용)</v>
          </cell>
        </row>
        <row r="664">
          <cell r="A664" t="str">
            <v>3.13 육교용난간</v>
          </cell>
        </row>
        <row r="665">
          <cell r="A665" t="str">
            <v>3.14 강관말뚝</v>
          </cell>
        </row>
        <row r="666">
          <cell r="A666" t="str">
            <v>a.강관말뚝-자재비</v>
          </cell>
        </row>
        <row r="667">
          <cell r="A667" t="str">
            <v>b.S.I.P</v>
          </cell>
        </row>
        <row r="668">
          <cell r="A668" t="str">
            <v>c.강관파일 두부보강(볼트식)</v>
          </cell>
        </row>
        <row r="669">
          <cell r="A669" t="str">
            <v>d.선단 보강</v>
          </cell>
        </row>
        <row r="670">
          <cell r="A670" t="str">
            <v>3.15 강   교</v>
          </cell>
        </row>
        <row r="671">
          <cell r="A671" t="str">
            <v>a.강교제작(대곡보도육교)</v>
          </cell>
        </row>
        <row r="672">
          <cell r="A672" t="str">
            <v>b.강교운반(대곡보도육교)</v>
          </cell>
        </row>
        <row r="673">
          <cell r="A673" t="str">
            <v>c.강교가설(대곡보도육교)</v>
          </cell>
        </row>
        <row r="674">
          <cell r="A674" t="str">
            <v>3.16 강교 도장</v>
          </cell>
        </row>
        <row r="675">
          <cell r="A675" t="str">
            <v>a.내부도장</v>
          </cell>
        </row>
        <row r="676">
          <cell r="A676" t="str">
            <v>b.외부포장면도장</v>
          </cell>
        </row>
        <row r="677">
          <cell r="A677" t="str">
            <v>c.연결판도장</v>
          </cell>
        </row>
        <row r="678">
          <cell r="A678" t="str">
            <v>d.외부도장</v>
          </cell>
        </row>
        <row r="679">
          <cell r="A679" t="str">
            <v>e.외부도장</v>
          </cell>
        </row>
        <row r="680">
          <cell r="A680" t="str">
            <v>f.내부볼트및연결판도장</v>
          </cell>
        </row>
        <row r="681">
          <cell r="A681" t="str">
            <v>g.외부볼트및연결판도장</v>
          </cell>
        </row>
        <row r="682">
          <cell r="A682" t="str">
            <v>3.17 강교 비파괴 검사비</v>
          </cell>
        </row>
        <row r="683">
          <cell r="A683" t="str">
            <v>a.강교 비파괴 검사비</v>
          </cell>
        </row>
        <row r="684">
          <cell r="A684" t="str">
            <v>b.강교 비파괴 검사비</v>
          </cell>
        </row>
        <row r="685">
          <cell r="A685" t="str">
            <v>3.18 칼라투수콘포장</v>
          </cell>
        </row>
        <row r="686">
          <cell r="A686" t="str">
            <v>3.19가로등설비공사(보도육교)</v>
          </cell>
        </row>
        <row r="687">
          <cell r="A687" t="str">
            <v>3.20한전인입비(보도육교)</v>
          </cell>
        </row>
        <row r="688">
          <cell r="A688" t="str">
            <v>E.송덕암교(R.C 라멘교)</v>
          </cell>
        </row>
        <row r="689">
          <cell r="A689" t="str">
            <v>3.01 터 파 기</v>
          </cell>
        </row>
        <row r="690">
          <cell r="A690" t="str">
            <v>a.육상토사</v>
          </cell>
        </row>
        <row r="691">
          <cell r="A691" t="str">
            <v>b 육상풍화암</v>
          </cell>
        </row>
        <row r="692">
          <cell r="A692" t="str">
            <v>3.02 되메우기(기계70%,인력30%)</v>
          </cell>
        </row>
        <row r="693">
          <cell r="A693" t="str">
            <v>3.03 뒷채움 및 다짐</v>
          </cell>
        </row>
        <row r="694">
          <cell r="A694" t="str">
            <v>3.04 콘크리트 타설</v>
          </cell>
        </row>
        <row r="695">
          <cell r="A695" t="str">
            <v>a.철       근</v>
          </cell>
        </row>
        <row r="696">
          <cell r="A696" t="str">
            <v>b.무       근</v>
          </cell>
        </row>
        <row r="697">
          <cell r="A697" t="str">
            <v>c.펌프카 타설</v>
          </cell>
        </row>
        <row r="698">
          <cell r="A698" t="str">
            <v>3.05 무수축 콘크리트</v>
          </cell>
        </row>
        <row r="699">
          <cell r="A699" t="str">
            <v>3.06 거푸집공</v>
          </cell>
        </row>
        <row r="700">
          <cell r="A700" t="str">
            <v>a.합판거푸집</v>
          </cell>
        </row>
        <row r="701">
          <cell r="A701" t="str">
            <v>-1.거푸집</v>
          </cell>
        </row>
        <row r="702">
          <cell r="A702" t="str">
            <v>-2.거푸집</v>
          </cell>
        </row>
        <row r="703">
          <cell r="A703" t="str">
            <v>-3.거푸집</v>
          </cell>
        </row>
        <row r="704">
          <cell r="A704" t="str">
            <v>b.P.E무늬거푸집</v>
          </cell>
        </row>
        <row r="705">
          <cell r="A705" t="str">
            <v>3.07 동바리</v>
          </cell>
        </row>
        <row r="706">
          <cell r="A706" t="str">
            <v>a.동바리</v>
          </cell>
        </row>
        <row r="707">
          <cell r="A707" t="str">
            <v>b.동바리</v>
          </cell>
        </row>
        <row r="708">
          <cell r="A708" t="str">
            <v>c.강재 동바리공</v>
          </cell>
        </row>
        <row r="709">
          <cell r="A709" t="str">
            <v>d.동바리 수평연결재</v>
          </cell>
        </row>
        <row r="710">
          <cell r="A710" t="str">
            <v>3.08 비계</v>
          </cell>
        </row>
        <row r="711">
          <cell r="A711" t="str">
            <v>3.09 모따기</v>
          </cell>
        </row>
        <row r="712">
          <cell r="A712" t="str">
            <v>3.10 교명주(화강석)</v>
          </cell>
        </row>
        <row r="713">
          <cell r="A713" t="str">
            <v>3.11 교명판및설명판</v>
          </cell>
        </row>
        <row r="714">
          <cell r="A714" t="str">
            <v>a.교명판</v>
          </cell>
        </row>
        <row r="715">
          <cell r="A715" t="str">
            <v>b.설명판</v>
          </cell>
        </row>
        <row r="716">
          <cell r="A716" t="str">
            <v>3.12 표면처리</v>
          </cell>
        </row>
        <row r="717">
          <cell r="A717" t="str">
            <v>a.슬라브 양생</v>
          </cell>
        </row>
        <row r="718">
          <cell r="A718" t="str">
            <v>b.데크휘니샤 면고르기</v>
          </cell>
        </row>
        <row r="719">
          <cell r="A719" t="str">
            <v>3.13 교면방수</v>
          </cell>
        </row>
        <row r="720">
          <cell r="A720" t="str">
            <v>3.14 배면방수</v>
          </cell>
        </row>
        <row r="721">
          <cell r="A721" t="str">
            <v>3.15 전선관부설</v>
          </cell>
        </row>
        <row r="722">
          <cell r="A722" t="str">
            <v>3.16 T.B.M 설치</v>
          </cell>
        </row>
        <row r="723">
          <cell r="A723" t="str">
            <v>3.17 방 호 벽</v>
          </cell>
        </row>
        <row r="724">
          <cell r="A724" t="str">
            <v>a.방호벽(TYPE-2)</v>
          </cell>
        </row>
        <row r="725">
          <cell r="A725" t="str">
            <v>b.방호벽(TYPE-3)</v>
          </cell>
        </row>
        <row r="726">
          <cell r="A726" t="str">
            <v>3.18 중앙분리대</v>
          </cell>
        </row>
        <row r="727">
          <cell r="A727" t="str">
            <v>3.19 스페이서 설치</v>
          </cell>
        </row>
        <row r="728">
          <cell r="A728" t="str">
            <v>a.스페이서 설치</v>
          </cell>
        </row>
        <row r="729">
          <cell r="A729" t="str">
            <v>b.스페이서 설치</v>
          </cell>
        </row>
        <row r="730">
          <cell r="A730" t="str">
            <v>3.20 철근가공 및 조립</v>
          </cell>
        </row>
        <row r="731">
          <cell r="A731" t="str">
            <v>a.보       통</v>
          </cell>
        </row>
        <row r="732">
          <cell r="A732" t="str">
            <v>b.복       잡</v>
          </cell>
        </row>
        <row r="733">
          <cell r="A733" t="str">
            <v>3.21 배수시설공</v>
          </cell>
        </row>
        <row r="734">
          <cell r="A734" t="str">
            <v>a.교량배수물배기공</v>
          </cell>
        </row>
        <row r="735">
          <cell r="A735" t="str">
            <v>b.하층줄눈(성형)</v>
          </cell>
        </row>
        <row r="736">
          <cell r="A736" t="str">
            <v>c.상층줄눈(주입)</v>
          </cell>
        </row>
        <row r="737">
          <cell r="A737" t="str">
            <v>d.표면처리(방수)</v>
          </cell>
        </row>
        <row r="738">
          <cell r="A738" t="str">
            <v>e.하천용 집수구(스턴레스)</v>
          </cell>
        </row>
        <row r="739">
          <cell r="A739" t="str">
            <v>f.교량배수용강관(하천용)</v>
          </cell>
        </row>
        <row r="740">
          <cell r="A740" t="str">
            <v>g.이음부(스텐레스)</v>
          </cell>
        </row>
        <row r="741">
          <cell r="A741" t="str">
            <v>3.22 DOWEL BAR 설치</v>
          </cell>
        </row>
        <row r="742">
          <cell r="A742" t="str">
            <v>3.23 스치로폴</v>
          </cell>
        </row>
        <row r="743">
          <cell r="A743" t="str">
            <v>a.스치로폴</v>
          </cell>
        </row>
        <row r="744">
          <cell r="A744" t="str">
            <v>b.스치로폴</v>
          </cell>
        </row>
        <row r="745">
          <cell r="A745" t="str">
            <v>3.24 교량난간</v>
          </cell>
        </row>
        <row r="746">
          <cell r="A746" t="str">
            <v>F.옹벽공</v>
          </cell>
        </row>
        <row r="747">
          <cell r="A747" t="str">
            <v>3.01 구조물 터파기</v>
          </cell>
        </row>
        <row r="748">
          <cell r="A748" t="str">
            <v>3.02 되메우기(기계70%,인력30%)</v>
          </cell>
        </row>
        <row r="749">
          <cell r="A749" t="str">
            <v>3.03 물 푸 기</v>
          </cell>
        </row>
        <row r="750">
          <cell r="A750" t="str">
            <v>3.04 콘크리트 타설</v>
          </cell>
        </row>
        <row r="751">
          <cell r="A751" t="str">
            <v>a.무      근</v>
          </cell>
        </row>
        <row r="752">
          <cell r="A752" t="str">
            <v>b.무      근</v>
          </cell>
        </row>
        <row r="753">
          <cell r="A753" t="str">
            <v>c.펌프카 타설</v>
          </cell>
        </row>
        <row r="754">
          <cell r="A754" t="str">
            <v>3.05 거푸집공</v>
          </cell>
        </row>
        <row r="755">
          <cell r="A755" t="str">
            <v>a.합판거푸집</v>
          </cell>
        </row>
        <row r="756">
          <cell r="A756" t="str">
            <v>-1.거푸집</v>
          </cell>
        </row>
        <row r="757">
          <cell r="A757" t="str">
            <v>-2.거푸집</v>
          </cell>
        </row>
        <row r="758">
          <cell r="A758" t="str">
            <v>-3.거푸집</v>
          </cell>
        </row>
        <row r="759">
          <cell r="A759" t="str">
            <v>3.06 동바리</v>
          </cell>
        </row>
        <row r="760">
          <cell r="A760" t="str">
            <v>3.07 비계</v>
          </cell>
        </row>
        <row r="761">
          <cell r="A761" t="str">
            <v>3.08 모따기</v>
          </cell>
        </row>
        <row r="762">
          <cell r="A762" t="str">
            <v>3.09 스페이서 설치</v>
          </cell>
        </row>
        <row r="763">
          <cell r="A763" t="str">
            <v>a.스페이서 설치</v>
          </cell>
        </row>
        <row r="764">
          <cell r="A764" t="str">
            <v>b.스페이서 설치</v>
          </cell>
        </row>
        <row r="765">
          <cell r="A765" t="str">
            <v>3.10 철근가공조립</v>
          </cell>
        </row>
        <row r="766">
          <cell r="A766" t="str">
            <v>3.11 옹벽배수시설</v>
          </cell>
        </row>
        <row r="767">
          <cell r="A767" t="str">
            <v>a.DRAIN BOARD</v>
          </cell>
        </row>
        <row r="768">
          <cell r="A768" t="str">
            <v>b.배수 PVC PIPE</v>
          </cell>
        </row>
        <row r="769">
          <cell r="A769" t="str">
            <v>3.12 다웰바 설치(D=32M/M)</v>
          </cell>
        </row>
        <row r="770">
          <cell r="A770" t="str">
            <v>3.13 실런트</v>
          </cell>
        </row>
        <row r="771">
          <cell r="A771" t="str">
            <v>3.14 스치로폴</v>
          </cell>
        </row>
        <row r="772">
          <cell r="A772" t="str">
            <v>3.15 가시설</v>
          </cell>
        </row>
        <row r="773">
          <cell r="A773" t="str">
            <v>a.H-PILE항타(300x300x10x15)</v>
          </cell>
        </row>
        <row r="774">
          <cell r="A774" t="str">
            <v>b.H-PILE항발(300x300x10x15)</v>
          </cell>
        </row>
        <row r="775">
          <cell r="A775" t="str">
            <v>c.RAKER 제작</v>
          </cell>
        </row>
        <row r="776">
          <cell r="A776" t="str">
            <v>d.RAKER 설치 (6∼8m)</v>
          </cell>
        </row>
        <row r="777">
          <cell r="A777" t="str">
            <v>e.RAKER 철거 (6∼8m)</v>
          </cell>
        </row>
        <row r="778">
          <cell r="A778" t="str">
            <v>f.JACK 설치해체</v>
          </cell>
        </row>
        <row r="779">
          <cell r="A779" t="str">
            <v>g.보걸이설치</v>
          </cell>
        </row>
        <row r="780">
          <cell r="A780" t="str">
            <v>h.보걸이철거</v>
          </cell>
        </row>
        <row r="781">
          <cell r="A781" t="str">
            <v>i.띠장설치</v>
          </cell>
        </row>
        <row r="782">
          <cell r="A782" t="str">
            <v>j.띠장철거</v>
          </cell>
        </row>
        <row r="783">
          <cell r="A783" t="str">
            <v>k.토류판 설치</v>
          </cell>
        </row>
        <row r="784">
          <cell r="A784" t="str">
            <v>l.토류판 철거</v>
          </cell>
        </row>
        <row r="785">
          <cell r="A785" t="str">
            <v>m.구조용H형강</v>
          </cell>
        </row>
        <row r="786">
          <cell r="A786" t="str">
            <v>n.구조용H형강</v>
          </cell>
        </row>
        <row r="787">
          <cell r="A787" t="str">
            <v>3.16 부직포</v>
          </cell>
        </row>
        <row r="788">
          <cell r="A788" t="str">
            <v>3.17 기초잡석깔기</v>
          </cell>
        </row>
        <row r="789">
          <cell r="A789" t="str">
            <v>G.블럭식보강옹벽</v>
          </cell>
        </row>
        <row r="790">
          <cell r="A790" t="str">
            <v>3.01 구조물 터파기</v>
          </cell>
        </row>
        <row r="791">
          <cell r="A791" t="str">
            <v>a.육상토사</v>
          </cell>
        </row>
        <row r="792">
          <cell r="A792" t="str">
            <v>b.육상풍화암</v>
          </cell>
        </row>
        <row r="793">
          <cell r="A793" t="str">
            <v>c.육상발파암</v>
          </cell>
        </row>
        <row r="794">
          <cell r="A794" t="str">
            <v>3.02 되메우기(기계70%,인력30%)</v>
          </cell>
        </row>
        <row r="795">
          <cell r="A795" t="str">
            <v>3.03 성토(노  체)</v>
          </cell>
        </row>
        <row r="796">
          <cell r="A796" t="str">
            <v>3.04 기초잡석깔기</v>
          </cell>
        </row>
        <row r="797">
          <cell r="A797" t="str">
            <v>3.05 속채움골재</v>
          </cell>
        </row>
        <row r="798">
          <cell r="A798" t="str">
            <v>3.06 블럭쌓기</v>
          </cell>
        </row>
        <row r="799">
          <cell r="A799" t="str">
            <v>3.07 블럭쌓기</v>
          </cell>
        </row>
        <row r="800">
          <cell r="A800" t="str">
            <v>3.08 지오그리드 설치</v>
          </cell>
        </row>
        <row r="801">
          <cell r="A801" t="str">
            <v>3.09 지오그리드 설치</v>
          </cell>
        </row>
        <row r="802">
          <cell r="A802" t="str">
            <v>3.10 지오그리드 설치</v>
          </cell>
        </row>
        <row r="803">
          <cell r="A803" t="str">
            <v>4.포    장    공</v>
          </cell>
        </row>
        <row r="804">
          <cell r="A804" t="str">
            <v>4.01.동상방지층 포설 및 다짐</v>
          </cell>
        </row>
        <row r="805">
          <cell r="A805" t="str">
            <v>a.T = 40cm</v>
          </cell>
        </row>
        <row r="806">
          <cell r="A806" t="str">
            <v>4.02.보조기층 포설 및 다짐</v>
          </cell>
        </row>
        <row r="807">
          <cell r="A807" t="str">
            <v>a.T = 20cm</v>
          </cell>
        </row>
        <row r="808">
          <cell r="A808" t="str">
            <v>b.T = 30cm</v>
          </cell>
        </row>
        <row r="809">
          <cell r="A809" t="str">
            <v>c.백호우포설</v>
          </cell>
        </row>
        <row r="810">
          <cell r="A810" t="str">
            <v>4.03.콘크리트포설및양생</v>
          </cell>
        </row>
        <row r="811">
          <cell r="A811" t="str">
            <v>4.04.비닐깔기</v>
          </cell>
        </row>
        <row r="812">
          <cell r="A812" t="str">
            <v>4.05.콘크리트 포장용 거푸집</v>
          </cell>
        </row>
        <row r="813">
          <cell r="A813" t="str">
            <v>4.06.와이어메쉬설치</v>
          </cell>
        </row>
        <row r="814">
          <cell r="A814" t="str">
            <v>4.07.부체도로용 줄눈</v>
          </cell>
        </row>
        <row r="815">
          <cell r="A815" t="str">
            <v>4.08 프라임코팅</v>
          </cell>
        </row>
        <row r="816">
          <cell r="A816" t="str">
            <v>4.09.택코팅</v>
          </cell>
        </row>
        <row r="817">
          <cell r="A817" t="str">
            <v>a.택코팅</v>
          </cell>
        </row>
        <row r="818">
          <cell r="A818" t="str">
            <v>b.택코팅</v>
          </cell>
        </row>
        <row r="819">
          <cell r="A819" t="str">
            <v>4.10.캠크리트 기층 포설 및 다짐</v>
          </cell>
        </row>
        <row r="820">
          <cell r="A820" t="str">
            <v>4.11.아스콘 표층 포설 및 다짐</v>
          </cell>
        </row>
        <row r="821">
          <cell r="A821" t="str">
            <v>a.아스콘포설및다짐</v>
          </cell>
        </row>
        <row r="822">
          <cell r="A822" t="str">
            <v>b.아스콘포설및다짐</v>
          </cell>
        </row>
        <row r="823">
          <cell r="A823" t="str">
            <v>4.12.골재구입 및 운반</v>
          </cell>
        </row>
        <row r="824">
          <cell r="A824" t="str">
            <v>a.세골재(모래)</v>
          </cell>
        </row>
        <row r="825">
          <cell r="A825" t="str">
            <v>b.동상방지층재</v>
          </cell>
        </row>
        <row r="826">
          <cell r="A826" t="str">
            <v>c.보조기층재</v>
          </cell>
        </row>
        <row r="827">
          <cell r="A827" t="str">
            <v>d.세굴방지용재</v>
          </cell>
        </row>
        <row r="828">
          <cell r="A828" t="str">
            <v>e.자갈(Ø19m/m)</v>
          </cell>
        </row>
        <row r="829">
          <cell r="A829" t="str">
            <v>f.자갈(D=200M/M)</v>
          </cell>
        </row>
        <row r="830">
          <cell r="A830" t="str">
            <v>g.견치돌(T=35(25*25))</v>
          </cell>
        </row>
        <row r="831">
          <cell r="A831" t="str">
            <v>5.부    대    공</v>
          </cell>
        </row>
        <row r="832">
          <cell r="A832" t="str">
            <v>5.01 교 통 표 지 판</v>
          </cell>
        </row>
        <row r="833">
          <cell r="A833" t="str">
            <v>a.삼각표지판</v>
          </cell>
        </row>
        <row r="834">
          <cell r="A834" t="str">
            <v>b.삼각이중표지판</v>
          </cell>
        </row>
        <row r="835">
          <cell r="A835" t="str">
            <v>c.삼각표지판(부착식)</v>
          </cell>
        </row>
        <row r="836">
          <cell r="A836" t="str">
            <v>d.원형표지판</v>
          </cell>
        </row>
        <row r="837">
          <cell r="A837" t="str">
            <v>e.원형이중표지판</v>
          </cell>
        </row>
        <row r="838">
          <cell r="A838" t="str">
            <v>f.원형표지판(부착식)</v>
          </cell>
        </row>
        <row r="839">
          <cell r="A839" t="str">
            <v>5.02 안 내 표 지 판</v>
          </cell>
        </row>
        <row r="840">
          <cell r="A840" t="str">
            <v>a. 복 주 식</v>
          </cell>
        </row>
        <row r="841">
          <cell r="A841" t="str">
            <v>-1.1지명방향표지판(403-7)</v>
          </cell>
        </row>
        <row r="842">
          <cell r="A842" t="str">
            <v>-2.군계표지판(401-2)</v>
          </cell>
        </row>
        <row r="843">
          <cell r="A843" t="str">
            <v>-3.2지명 이정표지판(402-2)</v>
          </cell>
        </row>
        <row r="844">
          <cell r="A844" t="str">
            <v>-4.2지명 방향표지판(425-2)</v>
          </cell>
        </row>
        <row r="845">
          <cell r="A845" t="str">
            <v>-5.버스정류장표지(427-5)</v>
          </cell>
        </row>
        <row r="846">
          <cell r="A846" t="str">
            <v>b.편 지 식</v>
          </cell>
        </row>
        <row r="847">
          <cell r="A847" t="str">
            <v>-1.2방향예고표지(403-3)</v>
          </cell>
        </row>
        <row r="848">
          <cell r="A848" t="str">
            <v>-2.2방향예고표지(403-5)</v>
          </cell>
        </row>
        <row r="849">
          <cell r="A849" t="str">
            <v>-3.2방향표지(403-4)</v>
          </cell>
        </row>
        <row r="850">
          <cell r="A850" t="str">
            <v>-4.2방향표지(403-6)</v>
          </cell>
        </row>
        <row r="851">
          <cell r="A851" t="str">
            <v>5.03 시선유도표지</v>
          </cell>
        </row>
        <row r="852">
          <cell r="A852" t="str">
            <v>a.델리네이터</v>
          </cell>
        </row>
        <row r="853">
          <cell r="A853" t="str">
            <v>-1.델리네이터</v>
          </cell>
        </row>
        <row r="854">
          <cell r="A854" t="str">
            <v>-2.델리네이터</v>
          </cell>
        </row>
        <row r="855">
          <cell r="A855" t="str">
            <v>-3.델리네이터</v>
          </cell>
        </row>
        <row r="856">
          <cell r="A856" t="str">
            <v>-4.델리네이터</v>
          </cell>
        </row>
        <row r="857">
          <cell r="A857" t="str">
            <v>-5.델리네이터</v>
          </cell>
        </row>
        <row r="858">
          <cell r="A858" t="str">
            <v>b.도로표지병</v>
          </cell>
        </row>
        <row r="859">
          <cell r="A859" t="str">
            <v>-1.도로표지병</v>
          </cell>
        </row>
        <row r="860">
          <cell r="A860" t="str">
            <v>-2.도로표지병</v>
          </cell>
        </row>
        <row r="861">
          <cell r="A861" t="str">
            <v>c.갈매기표지판</v>
          </cell>
        </row>
        <row r="862">
          <cell r="A862" t="str">
            <v>d.소분리대 반사판</v>
          </cell>
        </row>
        <row r="863">
          <cell r="A863" t="str">
            <v>5.04 차선도색</v>
          </cell>
        </row>
        <row r="864">
          <cell r="A864" t="str">
            <v>a.백  색</v>
          </cell>
        </row>
        <row r="865">
          <cell r="A865" t="str">
            <v>-1.실 선</v>
          </cell>
        </row>
        <row r="866">
          <cell r="A866" t="str">
            <v>-2.파 선</v>
          </cell>
        </row>
        <row r="867">
          <cell r="A867" t="str">
            <v>-3.실 선</v>
          </cell>
        </row>
        <row r="868">
          <cell r="A868" t="str">
            <v>b.황  색</v>
          </cell>
        </row>
        <row r="869">
          <cell r="A869" t="str">
            <v>-1.실 선</v>
          </cell>
        </row>
        <row r="870">
          <cell r="A870" t="str">
            <v>-2.실 선</v>
          </cell>
        </row>
        <row r="871">
          <cell r="A871" t="str">
            <v>5.05 가드레일</v>
          </cell>
        </row>
        <row r="872">
          <cell r="A872" t="str">
            <v>a.가드레일</v>
          </cell>
        </row>
        <row r="873">
          <cell r="A873" t="str">
            <v>-1.가드레일</v>
          </cell>
        </row>
        <row r="874">
          <cell r="A874" t="str">
            <v>-2.가드레일</v>
          </cell>
        </row>
        <row r="875">
          <cell r="A875" t="str">
            <v>b.레일포스트</v>
          </cell>
        </row>
        <row r="876">
          <cell r="A876" t="str">
            <v>-1.가드레일</v>
          </cell>
        </row>
        <row r="877">
          <cell r="A877" t="str">
            <v>-2.가드레일</v>
          </cell>
        </row>
        <row r="878">
          <cell r="A878" t="str">
            <v>c.단부레일</v>
          </cell>
        </row>
        <row r="879">
          <cell r="A879" t="str">
            <v>-1.단부레일</v>
          </cell>
        </row>
        <row r="880">
          <cell r="A880" t="str">
            <v>-2.단부레일</v>
          </cell>
        </row>
        <row r="881">
          <cell r="A881" t="str">
            <v>d.가드레일</v>
          </cell>
        </row>
        <row r="882">
          <cell r="A882" t="str">
            <v>e.단부콘크리트</v>
          </cell>
        </row>
        <row r="883">
          <cell r="A883" t="str">
            <v>5.06.중앙분리대</v>
          </cell>
        </row>
        <row r="884">
          <cell r="A884" t="str">
            <v>a.레일포스트</v>
          </cell>
        </row>
        <row r="885">
          <cell r="A885" t="str">
            <v>b.양면가드레일</v>
          </cell>
        </row>
        <row r="886">
          <cell r="A886" t="str">
            <v>c.양면가드레일</v>
          </cell>
        </row>
        <row r="887">
          <cell r="A887" t="str">
            <v>d.라운드레일</v>
          </cell>
        </row>
        <row r="888">
          <cell r="A888" t="str">
            <v>5.07 차 광 망</v>
          </cell>
        </row>
        <row r="889">
          <cell r="A889" t="str">
            <v>a. 토 공 용</v>
          </cell>
        </row>
        <row r="890">
          <cell r="A890" t="str">
            <v>5.08 낙석방지책및낙석방지망</v>
          </cell>
        </row>
        <row r="891">
          <cell r="A891" t="str">
            <v>a 낙석방지책</v>
          </cell>
        </row>
        <row r="892">
          <cell r="A892" t="str">
            <v>-1.낙석방지책</v>
          </cell>
        </row>
        <row r="893">
          <cell r="A893" t="str">
            <v>-1-1.낙석방지책(TYPE-1)</v>
          </cell>
        </row>
        <row r="894">
          <cell r="A894" t="str">
            <v>-1-2.낙석방지책(TYPE-2)</v>
          </cell>
        </row>
        <row r="895">
          <cell r="A895" t="str">
            <v>-2.낙석방지책</v>
          </cell>
        </row>
        <row r="896">
          <cell r="A896" t="str">
            <v>-2-1.낙석방지책(TYPE-1)</v>
          </cell>
        </row>
        <row r="897">
          <cell r="A897" t="str">
            <v>-2-2.낙석방지책(TYPE-2)</v>
          </cell>
        </row>
        <row r="898">
          <cell r="A898" t="str">
            <v>b.낙석방지망</v>
          </cell>
        </row>
        <row r="899">
          <cell r="A899" t="str">
            <v>5.09 미끄럼방지포장</v>
          </cell>
        </row>
        <row r="900">
          <cell r="A900" t="str">
            <v>5.10 충격흡수시설</v>
          </cell>
        </row>
        <row r="901">
          <cell r="A901" t="str">
            <v>5.11 반사경</v>
          </cell>
        </row>
        <row r="902">
          <cell r="A902" t="str">
            <v>5.12 방호시설</v>
          </cell>
        </row>
        <row r="903">
          <cell r="A903" t="str">
            <v>a.암파쇄방호시설</v>
          </cell>
        </row>
        <row r="904">
          <cell r="A904" t="str">
            <v>-1 암파쇄방호시설</v>
          </cell>
        </row>
        <row r="905">
          <cell r="A905" t="str">
            <v>-1-1.설치</v>
          </cell>
        </row>
        <row r="906">
          <cell r="A906" t="str">
            <v>-1-2.철거</v>
          </cell>
        </row>
        <row r="907">
          <cell r="A907" t="str">
            <v>b.안전시설목</v>
          </cell>
        </row>
        <row r="908">
          <cell r="A908" t="str">
            <v>5.13 방 음 벽</v>
          </cell>
        </row>
        <row r="909">
          <cell r="A909" t="str">
            <v>a.방음벽(토공용)</v>
          </cell>
        </row>
        <row r="910">
          <cell r="A910" t="str">
            <v>-1.방음벽</v>
          </cell>
        </row>
        <row r="911">
          <cell r="A911" t="str">
            <v>-2.방음벽</v>
          </cell>
        </row>
        <row r="912">
          <cell r="A912" t="str">
            <v>b.방음벽(교량용)</v>
          </cell>
        </row>
        <row r="913">
          <cell r="A913" t="str">
            <v>-1.방음벽</v>
          </cell>
        </row>
        <row r="914">
          <cell r="A914" t="str">
            <v>c.방음벽기초</v>
          </cell>
        </row>
        <row r="915">
          <cell r="A915" t="str">
            <v>-1. 콘크리트타설</v>
          </cell>
        </row>
        <row r="916">
          <cell r="A916" t="str">
            <v>-2. 콘크리트타설</v>
          </cell>
        </row>
        <row r="917">
          <cell r="A917" t="str">
            <v>-3.거푸집</v>
          </cell>
        </row>
        <row r="918">
          <cell r="A918" t="str">
            <v>-3-1.거푸집</v>
          </cell>
        </row>
        <row r="919">
          <cell r="A919" t="str">
            <v>-3-2.거푸집</v>
          </cell>
        </row>
        <row r="920">
          <cell r="A920" t="str">
            <v>-4.철근가공조립</v>
          </cell>
        </row>
        <row r="921">
          <cell r="A921" t="str">
            <v>-5.비계</v>
          </cell>
        </row>
        <row r="922">
          <cell r="A922" t="str">
            <v>-6.기초잡석깔기</v>
          </cell>
        </row>
        <row r="923">
          <cell r="A923" t="str">
            <v>5.14 절토부 점검로</v>
          </cell>
        </row>
        <row r="924">
          <cell r="A924" t="str">
            <v>a.절토부 점검로</v>
          </cell>
        </row>
        <row r="925">
          <cell r="A925" t="str">
            <v>-1.절토부 점검로</v>
          </cell>
        </row>
        <row r="926">
          <cell r="A926" t="str">
            <v>-2.절토부 점검로</v>
          </cell>
        </row>
        <row r="927">
          <cell r="A927" t="str">
            <v>-3.절토부 점검로</v>
          </cell>
        </row>
        <row r="928">
          <cell r="A928" t="str">
            <v>b.측면부 점검로</v>
          </cell>
        </row>
        <row r="929">
          <cell r="A929" t="str">
            <v>-1.측면부 점검로</v>
          </cell>
        </row>
        <row r="930">
          <cell r="A930" t="str">
            <v>-2.측면부 점검로</v>
          </cell>
        </row>
        <row r="931">
          <cell r="A931" t="str">
            <v>5.15 버스정차대</v>
          </cell>
        </row>
        <row r="932">
          <cell r="A932" t="str">
            <v>a.승강장</v>
          </cell>
        </row>
        <row r="933">
          <cell r="A933" t="str">
            <v>5.16.공사중 환경피해저감시설</v>
          </cell>
        </row>
        <row r="934">
          <cell r="A934" t="str">
            <v>a.가설방음벽및방진망</v>
          </cell>
        </row>
        <row r="935">
          <cell r="A935" t="str">
            <v>b. 오탁방지시설</v>
          </cell>
        </row>
        <row r="936">
          <cell r="A936" t="str">
            <v>c. 오일휀스 설치</v>
          </cell>
        </row>
        <row r="937">
          <cell r="A937" t="str">
            <v>d. 침사지 설치</v>
          </cell>
        </row>
        <row r="938">
          <cell r="A938" t="str">
            <v>-1.터파기</v>
          </cell>
        </row>
        <row r="939">
          <cell r="A939" t="str">
            <v>-2.표토제거</v>
          </cell>
        </row>
        <row r="940">
          <cell r="A940" t="str">
            <v>-3.되메우기</v>
          </cell>
        </row>
        <row r="941">
          <cell r="A941" t="str">
            <v>-4.잔토처리</v>
          </cell>
        </row>
        <row r="942">
          <cell r="A942" t="str">
            <v>5.17 기존가옥철거</v>
          </cell>
        </row>
        <row r="943">
          <cell r="A943" t="str">
            <v>a.가옥 철거</v>
          </cell>
        </row>
        <row r="944">
          <cell r="A944" t="str">
            <v>5.18 접도구역표주 및 준공표지석</v>
          </cell>
        </row>
        <row r="945">
          <cell r="A945" t="str">
            <v>a.접도구역 경계표주</v>
          </cell>
        </row>
        <row r="946">
          <cell r="A946" t="str">
            <v>b.준공표지석</v>
          </cell>
        </row>
        <row r="947">
          <cell r="A947" t="str">
            <v>5.19 보도블럭포장</v>
          </cell>
        </row>
        <row r="948">
          <cell r="A948" t="str">
            <v>a.소형고압블럭</v>
          </cell>
        </row>
        <row r="949">
          <cell r="A949" t="str">
            <v>b.소형고압블럭</v>
          </cell>
        </row>
        <row r="950">
          <cell r="A950" t="str">
            <v>c.도로경계석</v>
          </cell>
        </row>
        <row r="951">
          <cell r="A951" t="str">
            <v>d.보차도경계석</v>
          </cell>
        </row>
        <row r="952">
          <cell r="A952" t="str">
            <v>5.20 비탈면 보호공</v>
          </cell>
        </row>
        <row r="953">
          <cell r="A953" t="str">
            <v>a.돌쌓기</v>
          </cell>
        </row>
        <row r="954">
          <cell r="A954" t="str">
            <v>-1.돌쌓기 기초</v>
          </cell>
        </row>
        <row r="955">
          <cell r="A955" t="str">
            <v>-2.돌쌓기</v>
          </cell>
        </row>
        <row r="956">
          <cell r="A956" t="str">
            <v>b.호안보호블럭</v>
          </cell>
        </row>
        <row r="957">
          <cell r="A957" t="str">
            <v>-1.호안보호블럭기초</v>
          </cell>
        </row>
        <row r="958">
          <cell r="A958" t="str">
            <v>-2.호안보호블럭</v>
          </cell>
        </row>
        <row r="959">
          <cell r="A959" t="str">
            <v>c.기어형블럭</v>
          </cell>
        </row>
        <row r="960">
          <cell r="A960" t="str">
            <v>-1.콘크리트 블럭</v>
          </cell>
        </row>
        <row r="961">
          <cell r="A961" t="str">
            <v>-2.블럭운반</v>
          </cell>
        </row>
        <row r="962">
          <cell r="A962" t="str">
            <v>-3.수상블럭거치</v>
          </cell>
        </row>
        <row r="963">
          <cell r="A963" t="str">
            <v>-4.저면매트부설</v>
          </cell>
        </row>
        <row r="964">
          <cell r="A964" t="str">
            <v>-5.제작장 정지</v>
          </cell>
        </row>
        <row r="965">
          <cell r="A965" t="str">
            <v>-6.달아올림틀 제작</v>
          </cell>
        </row>
        <row r="966">
          <cell r="A966" t="str">
            <v>5.21 세륜세차시설</v>
          </cell>
        </row>
        <row r="967">
          <cell r="A967" t="str">
            <v>5.22 가도공</v>
          </cell>
        </row>
        <row r="968">
          <cell r="A968" t="str">
            <v>-1.흙깍기(토사)</v>
          </cell>
        </row>
        <row r="969">
          <cell r="A969" t="str">
            <v>-2.흙 쌓 기</v>
          </cell>
        </row>
        <row r="970">
          <cell r="A970" t="str">
            <v>-3.가마니쌓기및헐기</v>
          </cell>
        </row>
        <row r="971">
          <cell r="A971" t="str">
            <v>-4.가배수관부설(흄관)</v>
          </cell>
        </row>
        <row r="972">
          <cell r="A972" t="str">
            <v>5.23 가설사무실</v>
          </cell>
        </row>
        <row r="973">
          <cell r="A973" t="str">
            <v>5.24 시공측량비</v>
          </cell>
        </row>
        <row r="974">
          <cell r="A974" t="str">
            <v>5.25 도로대장작성비</v>
          </cell>
        </row>
        <row r="975">
          <cell r="A975" t="str">
            <v>5.26 중기운반비</v>
          </cell>
        </row>
        <row r="976">
          <cell r="A976" t="str">
            <v>5.27 시험비</v>
          </cell>
        </row>
        <row r="977">
          <cell r="A977" t="str">
            <v>5.28 품질관리 차량비</v>
          </cell>
        </row>
        <row r="978">
          <cell r="A978" t="str">
            <v>5.29 살수차운영</v>
          </cell>
        </row>
        <row r="979">
          <cell r="A979" t="str">
            <v>5.30 소 각 장</v>
          </cell>
        </row>
        <row r="980">
          <cell r="A980" t="str">
            <v>5.31 폐기물처리비</v>
          </cell>
        </row>
        <row r="981">
          <cell r="A981" t="str">
            <v>-1.폐아스콘처리비</v>
          </cell>
        </row>
        <row r="982">
          <cell r="A982" t="str">
            <v>-2.폐콘크리트처리비</v>
          </cell>
        </row>
        <row r="983">
          <cell r="A983" t="str">
            <v>-3.혼합폐기물처리비</v>
          </cell>
        </row>
        <row r="984">
          <cell r="A984" t="str">
            <v>5.32 시공상세도 작성비</v>
          </cell>
        </row>
        <row r="985">
          <cell r="A985" t="str">
            <v>5.33 기존도로유지관리비</v>
          </cell>
        </row>
        <row r="986">
          <cell r="A986" t="str">
            <v>a.소파보수</v>
          </cell>
        </row>
        <row r="987">
          <cell r="A987" t="str">
            <v>-1.아스팔트 포장 절단</v>
          </cell>
        </row>
        <row r="988">
          <cell r="A988" t="str">
            <v>-2.아스콘 포장 깨기</v>
          </cell>
        </row>
        <row r="989">
          <cell r="A989" t="str">
            <v>-3.프라임코팅</v>
          </cell>
        </row>
        <row r="990">
          <cell r="A990" t="str">
            <v>-4.택 코 팅</v>
          </cell>
        </row>
        <row r="991">
          <cell r="A991" t="str">
            <v>-5.기층아스콘포설및다짐</v>
          </cell>
        </row>
        <row r="992">
          <cell r="A992" t="str">
            <v>-6.표층아스콘포설및다짐</v>
          </cell>
        </row>
        <row r="993">
          <cell r="A993" t="str">
            <v>-7.자재 및 운반비</v>
          </cell>
        </row>
        <row r="994">
          <cell r="A994" t="str">
            <v>b.덧씌우기</v>
          </cell>
        </row>
        <row r="995">
          <cell r="A995" t="str">
            <v>-1.택 코 팅</v>
          </cell>
        </row>
        <row r="996">
          <cell r="A996" t="str">
            <v>-2.표층아스콘포설및다짐</v>
          </cell>
        </row>
        <row r="997">
          <cell r="A997" t="str">
            <v>-3.자재대 및 운반비</v>
          </cell>
        </row>
        <row r="998">
          <cell r="A998" t="str">
            <v>-3-1.아스팔트 운반</v>
          </cell>
        </row>
        <row r="999">
          <cell r="A999" t="str">
            <v>-3-2.표층</v>
          </cell>
        </row>
        <row r="1000">
          <cell r="A1000" t="str">
            <v>-3-3.아스팔트(유제)</v>
          </cell>
        </row>
        <row r="1001">
          <cell r="A1001" t="str">
            <v>c.차선도색</v>
          </cell>
        </row>
        <row r="1002">
          <cell r="A1002" t="str">
            <v>-1.황색실선</v>
          </cell>
        </row>
        <row r="1003">
          <cell r="A1003" t="str">
            <v>-2.백색실선</v>
          </cell>
        </row>
        <row r="1004">
          <cell r="A1004" t="str">
            <v>5.34 교통관리비</v>
          </cell>
        </row>
        <row r="1005">
          <cell r="A1005" t="str">
            <v>5.35 준공도서작성비</v>
          </cell>
        </row>
        <row r="1006">
          <cell r="A1006" t="str">
            <v>5.36 교량부 시추조사비</v>
          </cell>
        </row>
        <row r="1007">
          <cell r="A1007" t="str">
            <v>-1.기구설치비</v>
          </cell>
        </row>
        <row r="1008">
          <cell r="A1008" t="str">
            <v>-2.토사층</v>
          </cell>
        </row>
        <row r="1009">
          <cell r="A1009" t="str">
            <v>-3.연암층</v>
          </cell>
        </row>
        <row r="1010">
          <cell r="A1010" t="str">
            <v>-4.경암층</v>
          </cell>
        </row>
        <row r="1011">
          <cell r="A1011" t="str">
            <v>5.37 초기안전점검비</v>
          </cell>
        </row>
        <row r="1012">
          <cell r="A1012" t="str">
            <v>5.38 자재운반비</v>
          </cell>
        </row>
        <row r="1013">
          <cell r="A1013" t="str">
            <v>a.시멘트 운반</v>
          </cell>
        </row>
        <row r="1014">
          <cell r="A1014" t="str">
            <v>b.철근 운반</v>
          </cell>
        </row>
        <row r="1015">
          <cell r="A1015" t="str">
            <v>c. 아스팔트 운반</v>
          </cell>
        </row>
        <row r="1016">
          <cell r="A1016" t="str">
            <v>5.39 자 재 대</v>
          </cell>
        </row>
        <row r="1017">
          <cell r="A1017" t="str">
            <v>a.시 멘 트</v>
          </cell>
        </row>
        <row r="1018">
          <cell r="A1018" t="str">
            <v>b.철    근</v>
          </cell>
        </row>
        <row r="1019">
          <cell r="A1019" t="str">
            <v>-1. H13 M/M</v>
          </cell>
        </row>
        <row r="1020">
          <cell r="A1020" t="str">
            <v>-2. H16~32 M/M</v>
          </cell>
        </row>
        <row r="1021">
          <cell r="A1021" t="str">
            <v>-3  D10 M/M</v>
          </cell>
        </row>
        <row r="1022">
          <cell r="A1022" t="str">
            <v>-4  D13 M/M</v>
          </cell>
        </row>
        <row r="1023">
          <cell r="A1023" t="str">
            <v>-5  D16~32 M/M</v>
          </cell>
        </row>
        <row r="1024">
          <cell r="A1024" t="str">
            <v>-6  Ø32 M/M</v>
          </cell>
        </row>
        <row r="1025">
          <cell r="A1025" t="str">
            <v>-7  Ø25 M/M</v>
          </cell>
        </row>
        <row r="1026">
          <cell r="A1026" t="str">
            <v>c.레 미 콘</v>
          </cell>
        </row>
        <row r="1027">
          <cell r="A1027" t="str">
            <v>-1 레 미 콘</v>
          </cell>
        </row>
        <row r="1028">
          <cell r="A1028" t="str">
            <v>-2.레 미 콘(섬유보강)</v>
          </cell>
        </row>
        <row r="1029">
          <cell r="A1029" t="str">
            <v>-3 레 미 콘</v>
          </cell>
        </row>
        <row r="1030">
          <cell r="A1030" t="str">
            <v>-4 레 미 콘</v>
          </cell>
        </row>
        <row r="1031">
          <cell r="A1031" t="str">
            <v>-5 레 미 콘</v>
          </cell>
        </row>
        <row r="1032">
          <cell r="A1032" t="str">
            <v>-6 레 미 콘</v>
          </cell>
        </row>
        <row r="1033">
          <cell r="A1033" t="str">
            <v>-7 레 미 콘</v>
          </cell>
        </row>
        <row r="1034">
          <cell r="A1034" t="str">
            <v>-8 레 미 콘</v>
          </cell>
        </row>
        <row r="1035">
          <cell r="A1035" t="str">
            <v>-9 레 미 콘</v>
          </cell>
        </row>
        <row r="1036">
          <cell r="A1036" t="str">
            <v>-10 레 미 콘</v>
          </cell>
        </row>
        <row r="1037">
          <cell r="A1037" t="str">
            <v>-11 레 미 콘</v>
          </cell>
        </row>
        <row r="1038">
          <cell r="A1038" t="str">
            <v>-12 레 미 콘</v>
          </cell>
        </row>
        <row r="1039">
          <cell r="A1039" t="str">
            <v>-13 레 미 콘</v>
          </cell>
        </row>
        <row r="1040">
          <cell r="A1040" t="str">
            <v>d.아스팔트 콘크리트</v>
          </cell>
        </row>
        <row r="1041">
          <cell r="A1041" t="str">
            <v>-1.기  층</v>
          </cell>
        </row>
        <row r="1042">
          <cell r="A1042" t="str">
            <v>-2.표  층</v>
          </cell>
        </row>
        <row r="1043">
          <cell r="A1043" t="str">
            <v>-3.캠크리트</v>
          </cell>
        </row>
        <row r="1044">
          <cell r="A1044" t="str">
            <v>e..아스팔트</v>
          </cell>
        </row>
        <row r="1045">
          <cell r="A1045" t="str">
            <v>-1.아스팔트</v>
          </cell>
        </row>
        <row r="1046">
          <cell r="A1046" t="str">
            <v>-2.아스팔트</v>
          </cell>
        </row>
        <row r="1047">
          <cell r="A1047" t="str">
            <v>f.VR관</v>
          </cell>
        </row>
        <row r="1048">
          <cell r="A1048" t="str">
            <v>-1.VR관</v>
          </cell>
        </row>
        <row r="1049">
          <cell r="A1049" t="str">
            <v>-2 VR관</v>
          </cell>
        </row>
        <row r="1050">
          <cell r="A1050" t="str">
            <v>-3.VR관</v>
          </cell>
        </row>
        <row r="1051">
          <cell r="A1051" t="str">
            <v>-4.VR관</v>
          </cell>
        </row>
        <row r="1052">
          <cell r="A1052" t="str">
            <v>-5.VR관</v>
          </cell>
        </row>
        <row r="1053">
          <cell r="A1053" t="str">
            <v>-6.VR관</v>
          </cell>
        </row>
        <row r="1054">
          <cell r="A1054" t="str">
            <v>g.흄관</v>
          </cell>
        </row>
        <row r="1055">
          <cell r="A1055" t="str">
            <v>-1.흄관</v>
          </cell>
        </row>
        <row r="1056">
          <cell r="A1056" t="str">
            <v>-2.흄관</v>
          </cell>
        </row>
        <row r="1057">
          <cell r="A1057" t="str">
            <v>h.고재대</v>
          </cell>
        </row>
        <row r="1058">
          <cell r="A1058" t="str">
            <v>간 접 노 무 비</v>
          </cell>
        </row>
        <row r="1059">
          <cell r="A1059" t="str">
            <v>산 재 보 험 료</v>
          </cell>
        </row>
        <row r="1060">
          <cell r="A1060" t="str">
            <v>안 전 관 리 비</v>
          </cell>
        </row>
        <row r="1061">
          <cell r="A1061" t="str">
            <v>기  타  경  비</v>
          </cell>
        </row>
        <row r="1062">
          <cell r="A1062" t="str">
            <v>일 반 관 리 비</v>
          </cell>
        </row>
        <row r="1063">
          <cell r="A1063" t="str">
            <v>이          윤</v>
          </cell>
        </row>
        <row r="1064">
          <cell r="A1064" t="str">
            <v>고 용 보 험 료</v>
          </cell>
        </row>
        <row r="1065">
          <cell r="A1065" t="str">
            <v>퇴직공제 부금비</v>
          </cell>
        </row>
        <row r="1066">
          <cell r="A1066" t="str">
            <v>정기안전 점검비</v>
          </cell>
        </row>
        <row r="1067">
          <cell r="A1067" t="str">
            <v>사후환경영향평가비</v>
          </cell>
        </row>
        <row r="1068">
          <cell r="A1068" t="str">
            <v>공사송해보험료</v>
          </cell>
        </row>
        <row r="1069">
          <cell r="A1069" t="str">
            <v>부 가 가 치 세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전체내역 (2)"/>
      <sheetName val="전체내역 _2_"/>
      <sheetName val="CONCRETE"/>
      <sheetName val="수리결과"/>
      <sheetName val="노임"/>
      <sheetName val="관람석제출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표지"/>
      <sheetName val="도급표지 "/>
      <sheetName val="부대표지"/>
      <sheetName val="도급표지  (3)"/>
      <sheetName val="부대표지 (3)"/>
      <sheetName val="도급표지  (2)"/>
      <sheetName val="부대표지 (2)"/>
      <sheetName val="세로"/>
      <sheetName val="토  목"/>
      <sheetName val="조  경"/>
      <sheetName val="전 기"/>
      <sheetName val="건  축"/>
      <sheetName val="건축설비"/>
      <sheetName val="기계"/>
      <sheetName val="제어계측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내역갑지"/>
      <sheetName val="가격조사서"/>
      <sheetName val="BID"/>
      <sheetName val="#REF"/>
      <sheetName val="평가데이터"/>
      <sheetName val="실행대비"/>
      <sheetName val="연결임시"/>
      <sheetName val="JUCKEYK"/>
      <sheetName val="JUCK"/>
      <sheetName val="2000전체분"/>
      <sheetName val="2000년1차"/>
      <sheetName val="청천내"/>
      <sheetName val="200"/>
      <sheetName val="충주"/>
      <sheetName val="내역서"/>
      <sheetName val="현장관리비 산출내역"/>
      <sheetName val="전기"/>
      <sheetName val="설계"/>
      <sheetName val="일위대가"/>
      <sheetName val="입출재고현황 (2)"/>
      <sheetName val="설 계"/>
      <sheetName val="내역"/>
      <sheetName val="차액보증"/>
      <sheetName val="입찰안"/>
      <sheetName val="결과조달"/>
      <sheetName val="총괄표"/>
      <sheetName val="간접실행"/>
      <sheetName val="관리비산출근거"/>
      <sheetName val="운영산출"/>
      <sheetName val="운영산출(도계경주)"/>
      <sheetName val="부대산출(도계경주)"/>
      <sheetName val="도급표지  (4)"/>
      <sheetName val="부대표지 (4)"/>
      <sheetName val="귀래 설계 공내역서"/>
      <sheetName val="o현장경비"/>
      <sheetName val="Ⅴ-2.공종별내역"/>
      <sheetName val="VII-2현장경비"/>
      <sheetName val="상용계획"/>
      <sheetName val="도급"/>
      <sheetName val="본공사"/>
      <sheetName val="집계표"/>
      <sheetName val="건축공사"/>
      <sheetName val="9509"/>
      <sheetName val="여과지동"/>
      <sheetName val="MOTOR"/>
      <sheetName val="시공여유율"/>
      <sheetName val="에너지동"/>
      <sheetName val="FILE1"/>
      <sheetName val="기초자료"/>
      <sheetName val="DATA98"/>
      <sheetName val="S0"/>
      <sheetName val="9902"/>
      <sheetName val="기타공사비"/>
      <sheetName val="관리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표지"/>
      <sheetName val="목차"/>
      <sheetName val="운영방안"/>
      <sheetName val="승진시행안"/>
      <sheetName val="년도별승진인원"/>
      <sheetName val="그룹사 97년승진률"/>
      <sheetName val="년도별승진인원 (2)"/>
      <sheetName val="년도별승진인원 (3)"/>
      <sheetName val="TO운영안변경"/>
      <sheetName val="TO운영안변경 (2)"/>
      <sheetName val="그룹현황"/>
      <sheetName val="승진대상표지"/>
      <sheetName val="부대"/>
      <sheetName val="차장"/>
      <sheetName val="과장"/>
      <sheetName val="대리"/>
      <sheetName val="4사"/>
      <sheetName val="5사남"/>
      <sheetName val="노임단가"/>
      <sheetName val="단가조사"/>
      <sheetName val="도급견적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년종합"/>
      <sheetName val="10월 현황"/>
      <sheetName val="11월현황"/>
      <sheetName val="종합현황"/>
      <sheetName val="종합"/>
      <sheetName val="수리결과"/>
      <sheetName val="단가"/>
      <sheetName val="5사남"/>
      <sheetName val="남양시작동010313100%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찰안"/>
      <sheetName val="적격"/>
      <sheetName val="평가"/>
      <sheetName val="적정"/>
      <sheetName val="관리"/>
      <sheetName val="표지"/>
      <sheetName val="총괄"/>
      <sheetName val="내역"/>
      <sheetName val="하도"/>
      <sheetName val="별지"/>
      <sheetName val="견적"/>
      <sheetName val="조사"/>
      <sheetName val="합의서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2000년1차"/>
      <sheetName val="2000전체분"/>
      <sheetName val="교통대책내역"/>
      <sheetName val="집계표"/>
      <sheetName val="99총공사내역서"/>
      <sheetName val="조명율표"/>
      <sheetName val="투찰내역"/>
      <sheetName val="조경일람"/>
      <sheetName val="내역서"/>
      <sheetName val="간접1"/>
      <sheetName val="부대공사비"/>
      <sheetName val="퍼스트"/>
      <sheetName val="차액보증"/>
      <sheetName val="#REF"/>
      <sheetName val="BID"/>
      <sheetName val="조명일위"/>
      <sheetName val="단가일람"/>
      <sheetName val="SLAB데이터"/>
      <sheetName val="노임"/>
      <sheetName val="정부노임단가"/>
      <sheetName val="접지수량"/>
      <sheetName val="약품공급2"/>
      <sheetName val="C1ㅇ"/>
      <sheetName val="실행내역"/>
      <sheetName val="지질조사"/>
      <sheetName val="원가계산서"/>
      <sheetName val="Total 단위경유량집계"/>
      <sheetName val="MOTOR"/>
      <sheetName val="CALCULATION"/>
      <sheetName val="전체제잡비"/>
      <sheetName val="산근"/>
      <sheetName val="RE9604"/>
      <sheetName val="sheet1"/>
      <sheetName val="기계경비(시간당)"/>
      <sheetName val="마산월령동골조물량변경"/>
      <sheetName val="DB"/>
      <sheetName val="조명시설"/>
      <sheetName val="DANGA"/>
      <sheetName val="일위대가"/>
      <sheetName val="설계조건"/>
      <sheetName val="건축내역"/>
      <sheetName val="단가"/>
      <sheetName val="1,2공구원가계산서"/>
      <sheetName val="2공구산출내역"/>
      <sheetName val="1공구산출내역서"/>
      <sheetName val="실행철강하도"/>
      <sheetName val="잡철물"/>
      <sheetName val="제경비"/>
      <sheetName val="구조물공"/>
      <sheetName val="부대공"/>
      <sheetName val="배수공"/>
      <sheetName val="토공"/>
      <sheetName val="포장공"/>
      <sheetName val="토공유동표(전체.당초)"/>
      <sheetName val="총공사내역서"/>
      <sheetName val="관급"/>
      <sheetName val="기본단가표"/>
      <sheetName val="재료집계표"/>
      <sheetName val="준검 내역서"/>
      <sheetName val="SIL98"/>
      <sheetName val="내역(원안-대안)"/>
      <sheetName val="내역서(전기)"/>
      <sheetName val="산출근거"/>
      <sheetName val="하남내역"/>
      <sheetName val="대포2교접속"/>
      <sheetName val="천방교접속"/>
      <sheetName val="교각1"/>
      <sheetName val="금액내역서"/>
      <sheetName val="항목(1)"/>
      <sheetName val="총괄표"/>
      <sheetName val="1001"/>
      <sheetName val="당진1,2호기전선관설치및접지4차공사내역서-을지"/>
      <sheetName val="기계내역서"/>
      <sheetName val="공사개요"/>
      <sheetName val="매입세율"/>
      <sheetName val="적점"/>
      <sheetName val="내역(중앙)"/>
      <sheetName val="품셈TABLE"/>
      <sheetName val="노임단가"/>
      <sheetName val="단위단가"/>
      <sheetName val="수량산출서"/>
      <sheetName val="공사비예산서(토목분)"/>
      <sheetName val="1.수인터널"/>
      <sheetName val="구조물수량집계표"/>
      <sheetName val="기계경비일람"/>
      <sheetName val="일위목록"/>
      <sheetName val="요율"/>
      <sheetName val="5회토적"/>
      <sheetName val="자재일람"/>
      <sheetName val="예산서"/>
      <sheetName val="NYS"/>
      <sheetName val="N賃率-職"/>
      <sheetName val="관리비비계상"/>
      <sheetName val="예가내역서"/>
      <sheetName val="경비2내역"/>
      <sheetName val="일반공사"/>
      <sheetName val="현장설명"/>
      <sheetName val="도급"/>
      <sheetName val="DATA"/>
      <sheetName val="노원열병합  건축공사기성내역서"/>
      <sheetName val="현장지지물물량"/>
      <sheetName val="운반"/>
      <sheetName val="터파기및재료"/>
      <sheetName val="초기화면"/>
      <sheetName val="폐기물"/>
      <sheetName val="인원계획"/>
      <sheetName val="4.전기"/>
      <sheetName val="hvac(제어동)"/>
      <sheetName val="BH-1 (2)"/>
      <sheetName val="도급-집계"/>
      <sheetName val="I.설계조건"/>
      <sheetName val="표  지"/>
      <sheetName val="설비2차"/>
      <sheetName val="참조-(1)"/>
      <sheetName val="원가계산서구조조정"/>
      <sheetName val="ABUT수량-A1"/>
      <sheetName val="제안서"/>
      <sheetName val="행정표준(1)"/>
      <sheetName val="행정표준(2)"/>
      <sheetName val="작성방법"/>
      <sheetName val="증감내역서"/>
      <sheetName val="세부내역"/>
      <sheetName val="총괄내역서"/>
      <sheetName val="산출내역서"/>
      <sheetName val="데이타"/>
      <sheetName val="여수토토적"/>
      <sheetName val="신호등일위대가"/>
      <sheetName val="보증수수료산출"/>
      <sheetName val="을"/>
      <sheetName val="공문"/>
      <sheetName val="일반부표"/>
      <sheetName val="ancillary"/>
      <sheetName val="금융비용"/>
      <sheetName val="오저간내역서"/>
      <sheetName val="타공종이기"/>
      <sheetName val="대전21토목내역서"/>
      <sheetName val="말뚝지지력산정"/>
      <sheetName val="이형관"/>
      <sheetName val="간접비계산"/>
      <sheetName val="001"/>
      <sheetName val="결재갑지"/>
      <sheetName val="직노"/>
      <sheetName val="자료"/>
      <sheetName val="ITEM"/>
      <sheetName val="직공비"/>
      <sheetName val="간접(90)"/>
      <sheetName val="참조"/>
      <sheetName val="문학간접"/>
      <sheetName val="1.설계조건"/>
      <sheetName val="조도계산서 (도서)"/>
      <sheetName val="3련 BOX"/>
      <sheetName val="분전반"/>
      <sheetName val="인부노임"/>
      <sheetName val="전체"/>
      <sheetName val="INPUT"/>
      <sheetName val="앉음벽 (2)"/>
      <sheetName val="6호기"/>
      <sheetName val="일위대가표"/>
      <sheetName val="98지급계획"/>
      <sheetName val="적용단가"/>
      <sheetName val="분뇨"/>
      <sheetName val="우수관매설및 우수받이"/>
      <sheetName val="간이영수증"/>
      <sheetName val="사업전망"/>
      <sheetName val="현장업무"/>
      <sheetName val="PIPING"/>
      <sheetName val="MSS 2"/>
      <sheetName val="전주2本1"/>
      <sheetName val="적용표"/>
      <sheetName val="횡배위치"/>
      <sheetName val="기초일위"/>
      <sheetName val="시설일위"/>
      <sheetName val="대비"/>
      <sheetName val="을-ATYPE"/>
      <sheetName val="제1호단위수량"/>
      <sheetName val="접지1종"/>
      <sheetName val="조경"/>
      <sheetName val="설계내역서"/>
      <sheetName val="여과지동"/>
      <sheetName val="기초자료"/>
      <sheetName val="Sheet3"/>
      <sheetName val="일위대가(가설)"/>
      <sheetName val="전기"/>
      <sheetName val="운반비"/>
      <sheetName val="2000양배"/>
      <sheetName val="보고서 기기리스트"/>
      <sheetName val="소포내역 (2)"/>
      <sheetName val="명세서"/>
      <sheetName val="설계서(7)"/>
      <sheetName val="예산서(6)"/>
      <sheetName val="견적조건"/>
      <sheetName val="실행(1)"/>
      <sheetName val="예산변경원인분석"/>
      <sheetName val="신림자금"/>
      <sheetName val="11.산출(전열)"/>
      <sheetName val="6.산출(동력)"/>
      <sheetName val="7.산출(TRAY)"/>
      <sheetName val="11.우각부 보강"/>
      <sheetName val="제출내역 (2)"/>
      <sheetName val="구조물견적서"/>
      <sheetName val="부재예실1월"/>
      <sheetName val="할증"/>
      <sheetName val="연결임시"/>
      <sheetName val="코드표"/>
      <sheetName val="프로젝트"/>
      <sheetName val="2.1  노무비 평균단가산출"/>
      <sheetName val="경비"/>
      <sheetName val="A-4"/>
      <sheetName val="I一般比"/>
      <sheetName val="내역_ver1.0"/>
      <sheetName val="자재단가비교표"/>
      <sheetName val="단가대비표"/>
      <sheetName val="plan&amp;section of foundation"/>
      <sheetName val="pile bearing capa &amp; arrenge"/>
      <sheetName val="working load at the btm ft."/>
      <sheetName val="stability check"/>
      <sheetName val="design criteria"/>
      <sheetName val="단가산출"/>
      <sheetName val="품셈"/>
      <sheetName val="현장관리비"/>
      <sheetName val="상-교대(A1-A2)"/>
      <sheetName val="일위대가(1)"/>
      <sheetName val="마산방향"/>
      <sheetName val="진주방향"/>
      <sheetName val="토목내역"/>
      <sheetName val="사급자재"/>
      <sheetName val="기계공사"/>
      <sheetName val="7. 현장관리비 "/>
      <sheetName val="6. 안전관리비"/>
      <sheetName val="봉양~조차장간고하개명(신설)"/>
      <sheetName val="소야공정계획표"/>
      <sheetName val="역T형옹벽단위수량"/>
      <sheetName val="Resource2"/>
      <sheetName val="입력데이타"/>
      <sheetName val="전기내역서(총계)"/>
      <sheetName val="내   역"/>
      <sheetName val="EUPDAT2"/>
      <sheetName val="5호광장_(만점)"/>
      <sheetName val="인천국제_(만점)_(2)"/>
      <sheetName val="Total_단위경유량집계"/>
      <sheetName val="준검_내역서"/>
      <sheetName val="토공유동표(전체_당초)"/>
      <sheetName val="1_수인터널"/>
      <sheetName val="제품원재"/>
      <sheetName val="단가조사-2"/>
      <sheetName val="내역(창신)"/>
      <sheetName val="Total"/>
      <sheetName val="건설성적"/>
      <sheetName val="재료비"/>
      <sheetName val="토목주소"/>
      <sheetName val="13LPMCC"/>
      <sheetName val="시멘트"/>
      <sheetName val="WORK"/>
      <sheetName val="자재단가"/>
      <sheetName val="배수내역"/>
      <sheetName val="배수내역 (2)"/>
      <sheetName val="측구터파기공수량집계"/>
      <sheetName val="배수공 시멘트 및 골재량 산출"/>
      <sheetName val=" HIT-&gt;HMC 견적(3900)"/>
      <sheetName val="lee"/>
      <sheetName val="집계표소트"/>
      <sheetName val="토공A"/>
      <sheetName val="투찰추정"/>
      <sheetName val="검토"/>
      <sheetName val="갑지"/>
      <sheetName val="결과조달"/>
      <sheetName val="INPUT-DATA"/>
      <sheetName val="용소리교"/>
      <sheetName val="총괄-1"/>
      <sheetName val="COVER"/>
      <sheetName val="교량"/>
      <sheetName val="Macro(차단기)"/>
      <sheetName val="8설7발"/>
      <sheetName val="현금흐름"/>
      <sheetName val="일위집계(기존)"/>
      <sheetName val="_HIT__HMC 견적_3900_"/>
      <sheetName val="날개벽수량표"/>
      <sheetName val="조건표"/>
      <sheetName val="기초수량집"/>
      <sheetName val="원가"/>
      <sheetName val="설계예산서"/>
      <sheetName val="ilch"/>
      <sheetName val="산출내역서집계표"/>
      <sheetName val="토목"/>
      <sheetName val="입력"/>
      <sheetName val="일위대가목록"/>
      <sheetName val="예산총괄"/>
      <sheetName val="공사원가계산서"/>
      <sheetName val="추가예산"/>
      <sheetName val="99-0002"/>
      <sheetName val="A 견적"/>
      <sheetName val="전기일위목록"/>
      <sheetName val="인사자료총집계"/>
      <sheetName val="설계"/>
      <sheetName val="Macro1"/>
      <sheetName val="금호"/>
      <sheetName val="수정2"/>
      <sheetName val="소비자가"/>
      <sheetName val="원가+내역"/>
      <sheetName val="JUCKEYK"/>
      <sheetName val="type-F"/>
      <sheetName val="내역원본"/>
      <sheetName val="데리네이타현황"/>
      <sheetName val="중기"/>
      <sheetName val="내역(가지)"/>
      <sheetName val="일용노임단가"/>
      <sheetName val="원계약고시공및준비구분"/>
      <sheetName val="99월별경비계획"/>
      <sheetName val="자재단가표"/>
      <sheetName val="EBSDATA"/>
      <sheetName val="부대내역"/>
      <sheetName val="설 계"/>
      <sheetName val="정렬"/>
      <sheetName val="별첨1-임식"/>
      <sheetName val="기본자료"/>
      <sheetName val="부속동"/>
      <sheetName val="APT"/>
      <sheetName val="구간별관경"/>
      <sheetName val="노임단가표"/>
      <sheetName val="5.산출(전력)"/>
      <sheetName val="공사비총괄"/>
      <sheetName val="화재 탐지 설비"/>
      <sheetName val="시설물일위"/>
      <sheetName val="기초코드"/>
      <sheetName val="계약전체내역서"/>
      <sheetName val="예정공정(2차분)"/>
      <sheetName val="총괄간지"/>
      <sheetName val="발주간지"/>
      <sheetName val="1차전체변경"/>
      <sheetName val="2차전체변경예정"/>
      <sheetName val="2차전체변경예정 (2)"/>
      <sheetName val="전체변경p"/>
      <sheetName val="04계약"/>
      <sheetName val="사용계획서"/>
      <sheetName val="04착공계약내역서"/>
      <sheetName val="04변경-상하p"/>
      <sheetName val="전체증감"/>
      <sheetName val="1차분증감"/>
      <sheetName val="잔여분증감"/>
      <sheetName val="1차사용계획서"/>
      <sheetName val="1차간지"/>
      <sheetName val="1차분계약내역서"/>
      <sheetName val="이정표토공"/>
      <sheetName val="1"/>
      <sheetName val="bearing"/>
      <sheetName val="가격조사서"/>
      <sheetName val="검암내역"/>
      <sheetName val="01AC"/>
      <sheetName val="정화조내역"/>
      <sheetName val="물량표S"/>
      <sheetName val="중기일위대가"/>
      <sheetName val="플랜트 설치"/>
      <sheetName val="광산내역"/>
      <sheetName val="70%"/>
      <sheetName val="단가조건(02년)"/>
      <sheetName val="수량산출서(전력간선_지하1)"/>
      <sheetName val="수량산출서(전력간선_지하발전)"/>
      <sheetName val="수량산출서(전력간선_지하D.C)"/>
      <sheetName val="수량산출서(전력간선_동관)"/>
      <sheetName val="수량산출서(전력간선_서관)"/>
      <sheetName val="수량산출서(전력간선_TRAY)"/>
      <sheetName val="수량산출서(특고압케이블)"/>
      <sheetName val="수량산출서(전열)"/>
      <sheetName val="편입토지조서"/>
      <sheetName val="배수통관(좌)"/>
      <sheetName val="건축공사"/>
      <sheetName val="TYPE-A"/>
      <sheetName val="6PILE  (돌출)"/>
      <sheetName val="소방사항"/>
      <sheetName val="단가집"/>
      <sheetName val="기성내역"/>
      <sheetName val="전기실-1"/>
      <sheetName val="목차 "/>
      <sheetName val="파일구성"/>
      <sheetName val="동방설계서"/>
      <sheetName val="유입량"/>
      <sheetName val="spc 배관견적"/>
      <sheetName val="1.취수장"/>
      <sheetName val="전체_1설계"/>
      <sheetName val="200"/>
      <sheetName val="SLAB"/>
      <sheetName val="단가조사표"/>
      <sheetName val="SHEET PILE단가"/>
      <sheetName val="갑지(추정)"/>
      <sheetName val="b_balju"/>
      <sheetName val="일위"/>
      <sheetName val="장비단가표"/>
      <sheetName val="asd"/>
      <sheetName val="Customer Databas"/>
      <sheetName val="CORE#2"/>
      <sheetName val="중기비"/>
      <sheetName val="신천3호용수로"/>
      <sheetName val="정산내역"/>
      <sheetName val="Cash Flow-1"/>
      <sheetName val="Y-WORK"/>
      <sheetName val="3.1공사현황 공정표"/>
      <sheetName val="단가(적용)"/>
      <sheetName val="전라자금"/>
      <sheetName val="기기리스트"/>
      <sheetName val="전기일위대가"/>
      <sheetName val="투입내역"/>
      <sheetName val="SG"/>
      <sheetName val="공정증감대ㅈ표"/>
      <sheetName val="시설물기초"/>
      <sheetName val="예가표"/>
      <sheetName val="일위대가목차"/>
      <sheetName val="지불내역(자재외)"/>
      <sheetName val="바닥판"/>
      <sheetName val="입력DATA"/>
      <sheetName val="안정계산"/>
      <sheetName val="단면검토"/>
      <sheetName val="d118"/>
      <sheetName val="계수시트"/>
      <sheetName val="FM"/>
      <sheetName val="세골재  T2 변경 현황"/>
      <sheetName val="전 기"/>
      <sheetName val="관급자재"/>
      <sheetName val="현장관리비참조"/>
      <sheetName val="공통가설"/>
      <sheetName val="원가총괄"/>
      <sheetName val="귀래 설계 공내역서"/>
      <sheetName val="내역표지"/>
      <sheetName val="재집"/>
      <sheetName val="총"/>
      <sheetName val="물량표"/>
      <sheetName val="오산갈곳"/>
      <sheetName val="견적서"/>
      <sheetName val="unit 4"/>
      <sheetName val="BH_1 _2_"/>
      <sheetName val="설계서(본관)"/>
      <sheetName val="백암비스타내역"/>
      <sheetName val="6공구(당초)"/>
      <sheetName val="공통단가"/>
      <sheetName val="1월"/>
      <sheetName val="ELEC"/>
      <sheetName val="1유리"/>
      <sheetName val="재료"/>
      <sheetName val="저장소"/>
      <sheetName val="내역집계"/>
      <sheetName val="직접경비호표"/>
      <sheetName val="공사비집계"/>
      <sheetName val="자료입력"/>
      <sheetName val="적용단위길이"/>
      <sheetName val="전기혼잡제경비(45)"/>
      <sheetName val="입찰"/>
      <sheetName val="현경"/>
      <sheetName val="#2_일위대가목록"/>
      <sheetName val="원형1호맨홀토공수량"/>
      <sheetName val="내역서1"/>
      <sheetName val="WING3"/>
      <sheetName val="전입"/>
      <sheetName val="주관사업"/>
      <sheetName val="C97상"/>
      <sheetName val="제노임"/>
      <sheetName val="제잡비"/>
      <sheetName val="개요"/>
      <sheetName val="조경수목"/>
      <sheetName val="퇴직공제부금"/>
      <sheetName val="평균노임"/>
      <sheetName val="노임 단가"/>
      <sheetName val="접속도로1"/>
      <sheetName val="퇴직금(울산천상)"/>
      <sheetName val="직재"/>
      <sheetName val="전동기"/>
      <sheetName val="일위대가(집계)"/>
      <sheetName val="수량산출서집계(1-4차)"/>
      <sheetName val="내역서 "/>
      <sheetName val="중사"/>
      <sheetName val="골조시행"/>
      <sheetName val="재료비단가"/>
      <sheetName val="PAY"/>
      <sheetName val="2000년하반기"/>
      <sheetName val="연습"/>
      <sheetName val="장비단가"/>
      <sheetName val="수지예산"/>
      <sheetName val="BH-1_(2)"/>
      <sheetName val="I_설계조건"/>
      <sheetName val="표__지"/>
      <sheetName val="노원열병합__건축공사기성내역서"/>
      <sheetName val="4_전기"/>
      <sheetName val="MSS_2"/>
      <sheetName val="시운전연료비"/>
      <sheetName val="시운전연료"/>
      <sheetName val="실행"/>
      <sheetName val="분석"/>
      <sheetName val="입찰보고"/>
      <sheetName val="8.현장관리비"/>
      <sheetName val="7.안전관리비"/>
      <sheetName val="가설건물"/>
      <sheetName val="대공종"/>
      <sheetName val="집 계 표"/>
      <sheetName val="집계장(대목_실행)"/>
      <sheetName val="POL6차-PIPING"/>
      <sheetName val="PAINT"/>
      <sheetName val="정리계획CF평가"/>
      <sheetName val="증감분석"/>
      <sheetName val="EQT-ESTN"/>
      <sheetName val="장비"/>
      <sheetName val="노무"/>
      <sheetName val="1.설계기준"/>
      <sheetName val="공기압축기실"/>
      <sheetName val="원도급"/>
      <sheetName val="하도급"/>
      <sheetName val="한전일위"/>
      <sheetName val="Sheet5"/>
      <sheetName val="101동"/>
      <sheetName val="SUMMARY(S)"/>
      <sheetName val="노임이"/>
      <sheetName val="기본일위"/>
      <sheetName val="모델명"/>
      <sheetName val="수량산출"/>
      <sheetName val="설치"/>
      <sheetName val="유림골조"/>
      <sheetName val="중기사용료산출근거"/>
      <sheetName val="단가산출1"/>
      <sheetName val="별표 "/>
      <sheetName val="인건비"/>
      <sheetName val="실행(ALT1)"/>
      <sheetName val="개인별 순위표"/>
      <sheetName val="INDEX"/>
      <sheetName val="프랜트면허"/>
      <sheetName val="냉천부속동"/>
      <sheetName val="네고율"/>
      <sheetName val="Eq. Mobilization"/>
      <sheetName val="가시설단위수량"/>
      <sheetName val="손익분석"/>
      <sheetName val="1안"/>
      <sheetName val="단가조사서"/>
      <sheetName val="준공정산"/>
      <sheetName val="상수도토공집계표"/>
      <sheetName val="건축2"/>
      <sheetName val="Sheet2"/>
      <sheetName val="덕전리"/>
      <sheetName val="1,2,3,4,5단위수량"/>
      <sheetName val="계산표지"/>
      <sheetName val="노임변동률"/>
      <sheetName val="업체자료"/>
      <sheetName val="재료값"/>
      <sheetName val="단가산출서"/>
      <sheetName val="BQ"/>
      <sheetName val="집계및폼"/>
      <sheetName val="04_10_11"/>
      <sheetName val="협력업체"/>
      <sheetName val="코드1"/>
      <sheetName val="코드2"/>
      <sheetName val="원가서"/>
      <sheetName val="건축내역서"/>
      <sheetName val="코드"/>
      <sheetName val="DATE"/>
      <sheetName val="앉음벽_(2)"/>
      <sheetName val="1_설계조건"/>
      <sheetName val="조도계산서_(도서)"/>
      <sheetName val="내역_ver1_0"/>
      <sheetName val="11_우각부_보강"/>
      <sheetName val="제출내역_(2)"/>
      <sheetName val="우수관매설및_우수받이"/>
      <sheetName val="11_산출(전열)"/>
      <sheetName val="6_산출(동력)"/>
      <sheetName val="7_산출(TRAY)"/>
      <sheetName val="plan&amp;section_of_foundation"/>
      <sheetName val="pile_bearing_capa_&amp;_arrenge"/>
      <sheetName val="working_load_at_the_btm_ft_"/>
      <sheetName val="stability_check"/>
      <sheetName val="design_criteria"/>
      <sheetName val="7__현장관리비_"/>
      <sheetName val="6__안전관리비"/>
      <sheetName val="_HIT__HMC_견적_3900_"/>
      <sheetName val="소포내역_(2)"/>
      <sheetName val="3련_BOX"/>
      <sheetName val="(1)본선수량집계"/>
      <sheetName val="Macro(전선)"/>
      <sheetName val="개산공사비"/>
      <sheetName val="재개발"/>
      <sheetName val="결재란"/>
      <sheetName val="부서코드표"/>
      <sheetName val="목차"/>
      <sheetName val="분전반일위대가"/>
      <sheetName val="직접비"/>
      <sheetName val="자재co"/>
      <sheetName val="INSTR"/>
      <sheetName val="#3_일위대가목록"/>
      <sheetName val="전기공사"/>
      <sheetName val="청천내"/>
      <sheetName val="환율change"/>
      <sheetName val="당초"/>
      <sheetName val="단가표"/>
      <sheetName val="시화점실행"/>
      <sheetName val="기별(종합)"/>
      <sheetName val="도담구내 개소별 명세"/>
      <sheetName val="AS복구"/>
      <sheetName val="중기터파기"/>
      <sheetName val="변수값"/>
      <sheetName val="중기상차"/>
      <sheetName val="합계"/>
      <sheetName val="건축"/>
      <sheetName val="미드수량"/>
      <sheetName val="부대공(BOQ)"/>
      <sheetName val="공량산출서"/>
      <sheetName val="횡배수관토공수량"/>
      <sheetName val="자금청구"/>
      <sheetName val="공사비총괄표"/>
      <sheetName val="CC16-내역서"/>
      <sheetName val="9GNG운반"/>
      <sheetName val="남양내역"/>
      <sheetName val="MAIN_TABLE"/>
      <sheetName val="TOT"/>
      <sheetName val="98수문일위"/>
      <sheetName val="손익차9월2"/>
      <sheetName val="득점현황"/>
      <sheetName val="품목납기"/>
      <sheetName val="대림경상68억"/>
      <sheetName val="TCDB"/>
      <sheetName val="3.공통공사대비"/>
      <sheetName val="sub"/>
      <sheetName val="관공일위대가"/>
      <sheetName val="관자재"/>
      <sheetName val="단가 및 재료비"/>
      <sheetName val="관접합및자재집계표"/>
      <sheetName val="단중표"/>
      <sheetName val="7"/>
      <sheetName val="投标材料清单 "/>
      <sheetName val="일위대가표48"/>
      <sheetName val="10공구일위"/>
      <sheetName val="인천제철"/>
      <sheetName val="MILL"/>
      <sheetName val="단면가정"/>
      <sheetName val="공사비산출내역"/>
      <sheetName val="토공계산서(부체도로)"/>
      <sheetName val="코드일람표2001년10월"/>
      <sheetName val="철거산출근거"/>
      <sheetName val="CODE"/>
      <sheetName val="시중노임단가"/>
      <sheetName val="장비비 명세서1"/>
      <sheetName val="입찰견적보고서"/>
      <sheetName val="RETAIL (ABOVE)"/>
      <sheetName val="지구단위계획"/>
      <sheetName val="단   산"/>
      <sheetName val="실    단"/>
      <sheetName val="점수계산1-2"/>
      <sheetName val="2000노임기준"/>
      <sheetName val="사유서제출현황-2"/>
      <sheetName val="교각계산"/>
      <sheetName val="검색방"/>
      <sheetName val="평3"/>
      <sheetName val="자동제어"/>
      <sheetName val="옥내소화전계산서"/>
      <sheetName val="단가적용"/>
      <sheetName val="통신물량"/>
      <sheetName val="-배수구조총재료"/>
      <sheetName val="입력정보"/>
      <sheetName val="세부추진"/>
      <sheetName val="상용보강"/>
      <sheetName val="2.대외공문"/>
      <sheetName val="기본"/>
      <sheetName val="단가(반정1교-원주)"/>
      <sheetName val="SHEET"/>
      <sheetName val="현관"/>
      <sheetName val="투찰가"/>
      <sheetName val="노임단가 (2)"/>
      <sheetName val="수량집계"/>
      <sheetName val="5. 현장관리비(new) "/>
      <sheetName val="원본"/>
      <sheetName val="암거"/>
      <sheetName val="VE절감"/>
      <sheetName val="청주(철골발주의뢰서)"/>
      <sheetName val="분전함신설"/>
      <sheetName val="차수"/>
      <sheetName val="식재인부"/>
      <sheetName val="일위총괄"/>
      <sheetName val="대치판정"/>
      <sheetName val="내역서비교"/>
      <sheetName val="비주거용"/>
      <sheetName val="하중계산"/>
      <sheetName val="중기사용료"/>
      <sheetName val="소화실적"/>
      <sheetName val="현금예금"/>
      <sheetName val="Sheet4"/>
      <sheetName val="심사물량"/>
      <sheetName val="인부신상자료"/>
      <sheetName val="BJJIN"/>
      <sheetName val="관리,공감"/>
      <sheetName val="Sheet6"/>
      <sheetName val="인력터파기"/>
      <sheetName val="월별수입"/>
      <sheetName val="인원"/>
      <sheetName val="48평단가"/>
      <sheetName val="57단가"/>
      <sheetName val="54평단가"/>
      <sheetName val="66평단가"/>
      <sheetName val="61단가"/>
      <sheetName val="89평단가"/>
      <sheetName val="84평단가"/>
      <sheetName val="현장관리비데이타"/>
      <sheetName val="자동세륜기"/>
      <sheetName val="입력데이타(비인쇄용)"/>
      <sheetName val="96수출"/>
      <sheetName val="내역서을지"/>
      <sheetName val="장비 (2)"/>
      <sheetName val="신고조서"/>
      <sheetName val="정산을지"/>
      <sheetName val="COST"/>
      <sheetName val="DHEQSUPT"/>
      <sheetName val="토사(PE)"/>
      <sheetName val="2련간지"/>
      <sheetName val="몰탈"/>
      <sheetName val="5.동별횡주관경"/>
      <sheetName val="1공구(입찰내역)"/>
      <sheetName val="구의33고"/>
      <sheetName val="유림총괄"/>
      <sheetName val="N賃率_職"/>
      <sheetName val="간접비(1)"/>
      <sheetName val="Macro3"/>
      <sheetName val="기본단가"/>
      <sheetName val="주beam"/>
      <sheetName val="일위_파일"/>
      <sheetName val="이토변실(A3-LINE)"/>
      <sheetName val="guard(mac)"/>
      <sheetName val="현장별"/>
      <sheetName val="1단계"/>
      <sheetName val="제수변 수량집계표(보통)"/>
      <sheetName val="기계실냉난방"/>
      <sheetName val="수량명세서"/>
      <sheetName val="위치"/>
      <sheetName val="현장경비"/>
      <sheetName val="전선 및 전선관"/>
      <sheetName val="공조기"/>
      <sheetName val="김해토지조서"/>
      <sheetName val="실지수기호표"/>
      <sheetName val="Baby일위대가"/>
      <sheetName val="골조"/>
      <sheetName val="공정코드"/>
      <sheetName val="공통(20-91)"/>
      <sheetName val="표준건축비"/>
      <sheetName val="실행(표지,갑,을)"/>
      <sheetName val="제품목록"/>
      <sheetName val="EJ"/>
      <sheetName val="7.공정표"/>
      <sheetName val="단면 (2)"/>
      <sheetName val="울산자금"/>
      <sheetName val="CM 1"/>
      <sheetName val=" 갑지"/>
      <sheetName val="확정분요약"/>
      <sheetName val="확정분세부"/>
      <sheetName val="일위(시설)"/>
      <sheetName val="노무비 근거"/>
      <sheetName val="양식_자재단가조사표"/>
      <sheetName val="실행대비"/>
      <sheetName val="용수간선"/>
      <sheetName val="부총"/>
      <sheetName val="재료비노무비"/>
      <sheetName val="A1"/>
      <sheetName val="단가조사"/>
      <sheetName val="CODE1"/>
      <sheetName val="SHL"/>
      <sheetName val="적용환율"/>
      <sheetName val="범례표"/>
      <sheetName val="가설식당"/>
      <sheetName val="이월"/>
      <sheetName val="본사인상전"/>
      <sheetName val="동해title"/>
      <sheetName val="HVAC"/>
      <sheetName val="학생내역"/>
      <sheetName val="일정"/>
      <sheetName val="일위단가"/>
      <sheetName val="기안"/>
      <sheetName val="참조 (2)"/>
      <sheetName val="도실건시"/>
      <sheetName val="제경비산출서"/>
      <sheetName val="전산망"/>
      <sheetName val="맨홀토공"/>
      <sheetName val="맨홀수량산출"/>
      <sheetName val="일위대가1"/>
      <sheetName val=""/>
      <sheetName val="공사수행방안"/>
      <sheetName val="수량산출서 (2)"/>
      <sheetName val="LF자재단가"/>
      <sheetName val="3BL공동구 수량"/>
      <sheetName val="APT내역"/>
      <sheetName val="부대시설"/>
      <sheetName val="Sheet17"/>
      <sheetName val="금리계산"/>
      <sheetName val="환경평가"/>
      <sheetName val="95MAKER"/>
      <sheetName val="계정"/>
      <sheetName val="1회"/>
      <sheetName val="구성비"/>
      <sheetName val="Sheet1 (2)"/>
      <sheetName val="산식3"/>
      <sheetName val="암거 제원표"/>
      <sheetName val="본사공가현황"/>
      <sheetName val="도수로현황"/>
      <sheetName val="도급FORM"/>
      <sheetName val="콘크리트타설집계표"/>
      <sheetName val="대운반(철재)"/>
      <sheetName val="단위수량"/>
      <sheetName val="장비집계"/>
      <sheetName val="조작대(1연)"/>
      <sheetName val="위치조서"/>
      <sheetName val="6. 수량산출서"/>
      <sheetName val="단가비교"/>
      <sheetName val="5호광장_(만점)1"/>
      <sheetName val="인천국제_(만점)_(2)1"/>
      <sheetName val="Total_단위경유량집계1"/>
      <sheetName val="준검_내역서1"/>
      <sheetName val="토공유동표(전체_당초)1"/>
      <sheetName val="BH-1_(2)1"/>
      <sheetName val="1_수인터널1"/>
      <sheetName val="4_전기1"/>
      <sheetName val="표__지1"/>
      <sheetName val="앉음벽_(2)1"/>
      <sheetName val="1_설계조건1"/>
      <sheetName val="조도계산서_(도서)1"/>
      <sheetName val="노원열병합__건축공사기성내역서1"/>
      <sheetName val="I_설계조건1"/>
      <sheetName val="MSS_21"/>
      <sheetName val="2_1__노무비_평균단가산출"/>
      <sheetName val="우수관매설및_우수받이1"/>
      <sheetName val="제출내역_(2)1"/>
      <sheetName val="내역_ver1_01"/>
      <sheetName val="plan&amp;section_of_foundation1"/>
      <sheetName val="pile_bearing_capa_&amp;_arrenge1"/>
      <sheetName val="working_load_at_the_btm_ft_1"/>
      <sheetName val="stability_check1"/>
      <sheetName val="design_criteria1"/>
      <sheetName val="11_우각부_보강1"/>
      <sheetName val="보고서_기기리스트"/>
      <sheetName val="3련_BOX1"/>
      <sheetName val="소포내역_(2)1"/>
      <sheetName val="11_산출(전열)1"/>
      <sheetName val="6_산출(동력)1"/>
      <sheetName val="7_산출(TRAY)1"/>
      <sheetName val="7__현장관리비_1"/>
      <sheetName val="6__안전관리비1"/>
      <sheetName val="배수내역_(2)"/>
      <sheetName val="배수공_시멘트_및_골재량_산출"/>
      <sheetName val="_HIT-&gt;HMC_견적(3900)"/>
      <sheetName val="_HIT__HMC_견적_3900_1"/>
      <sheetName val="A_견적"/>
      <sheetName val="내___역"/>
      <sheetName val="플랜트_설치"/>
      <sheetName val="5_산출(전력)"/>
      <sheetName val="전_기"/>
      <sheetName val="수량산출서(전력간선_지하D_C)"/>
      <sheetName val="SHEET_PILE단가"/>
      <sheetName val="1_설계기준"/>
      <sheetName val="목차_"/>
      <sheetName val="Customer_Databas"/>
      <sheetName val="집_계_표"/>
      <sheetName val="6PILE__(돌출)"/>
      <sheetName val="spc_배관견적"/>
      <sheetName val="1_취수장"/>
      <sheetName val="unit_4"/>
      <sheetName val="화재_탐지_설비"/>
      <sheetName val="2차전체변경예정_(2)"/>
      <sheetName val="Cash_Flow-1"/>
      <sheetName val="3_1공사현황_공정표"/>
      <sheetName val="세골재__T2_변경_현황"/>
      <sheetName val="BH_1__2_"/>
      <sheetName val="귀래_설계_공내역서"/>
      <sheetName val="설_계"/>
      <sheetName val="노임_단가"/>
      <sheetName val="8_현장관리비"/>
      <sheetName val="7_안전관리비"/>
      <sheetName val="별표_"/>
      <sheetName val="개인별_순위표"/>
      <sheetName val="Eq__Mobilization"/>
      <sheetName val="내역서_"/>
      <sheetName val="도담구내_개소별_명세"/>
      <sheetName val="投标材料清单_"/>
      <sheetName val="3_공통공사대비"/>
      <sheetName val="단가_및_재료비"/>
      <sheetName val="장비비_명세서1"/>
      <sheetName val="7_공정표"/>
      <sheetName val="단면_(2)"/>
      <sheetName val="5__현장관리비(new)_"/>
      <sheetName val="2_대외공문"/>
      <sheetName val="노임단가_(2)"/>
      <sheetName val="RETAIL_(ABOVE)"/>
      <sheetName val="건축기술부대조건"/>
      <sheetName val="옥외외등집계표"/>
      <sheetName val="산출"/>
      <sheetName val="소방"/>
      <sheetName val="예산코드"/>
      <sheetName val="원가입력"/>
      <sheetName val="기준"/>
      <sheetName val="철근량"/>
      <sheetName val="일위대_x0000__x0000_Ԁ_x0000_䀀"/>
      <sheetName val="일위산출근거"/>
      <sheetName val="내역서1999.8최종"/>
      <sheetName val="집계표(육상)"/>
      <sheetName val="목록표"/>
      <sheetName val="설계명세서"/>
      <sheetName val="자재"/>
      <sheetName val="산근1"/>
      <sheetName val="조립1부실적"/>
      <sheetName val="수문일1"/>
      <sheetName val="재정비내역"/>
      <sheetName val="지적고시내역"/>
      <sheetName val="B"/>
      <sheetName val="기성(1차) "/>
      <sheetName val="NOMUBI"/>
      <sheetName val="sw1"/>
      <sheetName val="목록"/>
      <sheetName val="49일위"/>
      <sheetName val="22일위"/>
      <sheetName val="I_설계조_x0000_"/>
      <sheetName val="간접"/>
      <sheetName val="기계실"/>
      <sheetName val="수우미양가(Vlookup)"/>
      <sheetName val="보고서_기기리스트1"/>
      <sheetName val="형상"/>
      <sheetName val="일위대가집계"/>
      <sheetName val="NNV"/>
      <sheetName val="제품정보"/>
      <sheetName val="상품수불(합산)"/>
      <sheetName val="동물이동통로"/>
      <sheetName val="노무비"/>
      <sheetName val="wall"/>
      <sheetName val="견적시담(송포2공구)"/>
      <sheetName val="공기압舓⿫_x0005_"/>
      <sheetName val="공기압妐&quot;姜"/>
      <sheetName val="토공 total"/>
      <sheetName val="투찰"/>
      <sheetName val="콘_재료분리(1)"/>
      <sheetName val="효율표"/>
      <sheetName val="일위대㐀븁_x0000__x0000_退"/>
      <sheetName val="비교1"/>
      <sheetName val="일위CODE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 소방공사 산출근거"/>
      <sheetName val="실행내역서(DCU)"/>
      <sheetName val="경비_원본"/>
      <sheetName val="1.CB"/>
      <sheetName val="변수"/>
      <sheetName val="전철"/>
      <sheetName val="안정검토"/>
      <sheetName val="CON'C"/>
      <sheetName val="간접비"/>
      <sheetName val="상반기손익차2총괄"/>
      <sheetName val="골재산출"/>
      <sheetName val="자재단가리스트"/>
      <sheetName val="재적표"/>
      <sheetName val="공종별(공용부위)"/>
      <sheetName val="공사실행(공용부위)"/>
      <sheetName val="공종분리"/>
      <sheetName val="실행예산보고서"/>
      <sheetName val="실행예산보고서-제출용"/>
      <sheetName val="가설"/>
      <sheetName val="설비"/>
      <sheetName val="에어컨"/>
      <sheetName val="공조설비"/>
      <sheetName val="경량"/>
      <sheetName val="금속"/>
      <sheetName val="도장"/>
      <sheetName val="대관업무"/>
      <sheetName val="대리석"/>
      <sheetName val="롤스크린"/>
      <sheetName val="목공"/>
      <sheetName val="방수"/>
      <sheetName val="베이스판넬"/>
      <sheetName val="습식및 셀프레벨링"/>
      <sheetName val="유리"/>
      <sheetName val="자동문"/>
      <sheetName val="준공청소"/>
      <sheetName val="직영노무비"/>
      <sheetName val="철거"/>
      <sheetName val="카펫트"/>
      <sheetName val="타일"/>
      <sheetName val="폐자재"/>
      <sheetName val="플로링"/>
      <sheetName val="하드웨어"/>
      <sheetName val="p-타일"/>
      <sheetName val="건축공사원가계산서"/>
      <sheetName val="건축집계표"/>
      <sheetName val="인테리어내역서"/>
      <sheetName val="1-1"/>
      <sheetName val="1차 내역서"/>
      <sheetName val="Space"/>
      <sheetName val="Final"/>
      <sheetName val="구조물"/>
      <sheetName val="대전(세창동)"/>
      <sheetName val="정보"/>
      <sheetName val="설계명세서(선로)"/>
      <sheetName val="BSD (2)"/>
      <sheetName val="바.한일양산"/>
      <sheetName val="판테온실행내역"/>
      <sheetName val="회사정보"/>
      <sheetName val="해외(원화)"/>
      <sheetName val="hvac내역서(제어동)"/>
      <sheetName val="Project Brief"/>
      <sheetName val="UNIT"/>
      <sheetName val="Breakdown"/>
      <sheetName val="UnitRate"/>
      <sheetName val="영업.일1"/>
      <sheetName val="일위대가(건축)"/>
      <sheetName val="습식및_셀프레벨링"/>
      <sheetName val="1차_내역서"/>
      <sheetName val="카쎫트"/>
      <sheetName val="COPING"/>
      <sheetName val="간선계산"/>
      <sheetName val="#REF!"/>
      <sheetName val="기기 내역서"/>
      <sheetName val="환산"/>
      <sheetName val="일산실행내역"/>
      <sheetName val="J直材4"/>
      <sheetName val="연부97-1"/>
      <sheetName val="갑지1"/>
      <sheetName val="EACT10"/>
      <sheetName val="실행간접비용"/>
      <sheetName val="부대tu"/>
      <sheetName val="시추주상도"/>
      <sheetName val="CLAUSE"/>
      <sheetName val="BOJUNGGM"/>
      <sheetName val="세금자료"/>
      <sheetName val="말고개터널조명전압강하"/>
      <sheetName val="유치원내역"/>
      <sheetName val="에어샵공사"/>
      <sheetName val="Sheet16"/>
      <sheetName val="견내"/>
      <sheetName val="5사남"/>
      <sheetName val="토공 토적표"/>
      <sheetName val="실적공사비"/>
      <sheetName val="주bea_xdcf0_"/>
      <sheetName val="일위대가 "/>
      <sheetName val="1ST"/>
      <sheetName val="4 LINE"/>
      <sheetName val="7 th"/>
      <sheetName val="CTEMCOST"/>
      <sheetName val="ELECTRIC"/>
      <sheetName val="SCHEDULE"/>
      <sheetName val="관경별내역서"/>
      <sheetName val="수배전(갑)"/>
      <sheetName val="95년12월말"/>
      <sheetName val="esc"/>
      <sheetName val="수량산출서집계"/>
      <sheetName val="맨홀수량"/>
      <sheetName val="일위대가목록표"/>
      <sheetName val="MSS"/>
      <sheetName val="정화조"/>
      <sheetName val="토공(1)"/>
      <sheetName val="준공조서갑지"/>
      <sheetName val="일위대가(계측기설치)"/>
      <sheetName val="조도계산서_(도서_x0000_"/>
      <sheetName val="04변경-상하"/>
      <sheetName val="설계서"/>
      <sheetName val="20관리비율"/>
      <sheetName val="LIST"/>
      <sheetName val="新철폐복2"/>
      <sheetName val="新철폐복3"/>
      <sheetName val="新철폐복"/>
      <sheetName val="자재집계"/>
      <sheetName val="단위중량"/>
      <sheetName val="단양 00 아파트-세부내역"/>
      <sheetName val="포장(수량)-관로부"/>
      <sheetName val="REDUCER"/>
      <sheetName val="WE'T"/>
      <sheetName val="인건-측정"/>
      <sheetName val="조직"/>
      <sheetName val="전사 (2)"/>
      <sheetName val="BA (2)"/>
      <sheetName val="CP (2)"/>
      <sheetName val="시산표"/>
      <sheetName val="전기단가조사서"/>
      <sheetName val="울산자동제어"/>
      <sheetName val="기성갑지"/>
      <sheetName val="MIJIBI"/>
      <sheetName val="0Title"/>
      <sheetName val="할빙수"/>
      <sheetName val="하수급견적대비"/>
      <sheetName val="토목내역서"/>
      <sheetName val="난간벽단위"/>
      <sheetName val="정산서"/>
      <sheetName val="변경내역"/>
      <sheetName val="전압강하자료"/>
      <sheetName val="식음료"/>
      <sheetName val="apt수량"/>
      <sheetName val="현금"/>
      <sheetName val="첨부1"/>
      <sheetName val="지급자재"/>
      <sheetName val="내역서(100%)"/>
      <sheetName val="견적의뢰서"/>
      <sheetName val="포장수량집계"/>
      <sheetName val="예산조서(전송)"/>
      <sheetName val="간접경상비"/>
      <sheetName val="현장조사"/>
      <sheetName val="J"/>
      <sheetName val="월별손익"/>
      <sheetName val="PI"/>
      <sheetName val="건축공사실행"/>
      <sheetName val="건축원가"/>
      <sheetName val="내역서2안"/>
      <sheetName val="물량내역서"/>
      <sheetName val="수목표준대가"/>
      <sheetName val="기초목"/>
      <sheetName val="database"/>
      <sheetName val="마스터원본"/>
      <sheetName val="접속도수량집계표"/>
      <sheetName val="변경명신물량 (2)"/>
      <sheetName val="감가상각비대체내역"/>
      <sheetName val="기존단가 (2)"/>
      <sheetName val="날개수집"/>
      <sheetName val="실_인건비(5월부터)"/>
      <sheetName val="현장별정리"/>
      <sheetName val="대_x0000__x0000_"/>
      <sheetName val="GDP"/>
      <sheetName val="일일입력"/>
      <sheetName val="품목등록"/>
      <sheetName val="2"/>
      <sheetName val="F4-F7"/>
      <sheetName val="FAB별"/>
      <sheetName val="아파트 "/>
      <sheetName val="현황산출서"/>
      <sheetName val="갑지.을지"/>
      <sheetName val="기타"/>
      <sheetName val="각종양식"/>
      <sheetName val="&lt;--"/>
      <sheetName val="K1자재(3차등)"/>
      <sheetName val="제수변수량"/>
      <sheetName val="송전기본"/>
      <sheetName val="물류최종8월7"/>
      <sheetName val="부대대비"/>
      <sheetName val="냉연집계"/>
      <sheetName val="15100"/>
      <sheetName val="도담구내 개소별 명柖"/>
      <sheetName val="ACMV"/>
      <sheetName val="P&amp;S"/>
      <sheetName val="danh muc vat tu"/>
      <sheetName val="Register-BG NCC"/>
      <sheetName val="Data 2"/>
      <sheetName val="TB chính"/>
      <sheetName val="AHU-PAU-FCU"/>
      <sheetName val="FANS"/>
      <sheetName val="Steel pipe"/>
      <sheetName val="Ref pipe+Ins"/>
      <sheetName val="Plastic pipe"/>
      <sheetName val="Duct"/>
      <sheetName val="Air Grilles"/>
      <sheetName val="Valves"/>
      <sheetName val="주식"/>
      <sheetName val="Cost bd-&quot;A&quot;"/>
      <sheetName val="표지 (2)"/>
      <sheetName val="집계"/>
      <sheetName val="을부담운반비"/>
      <sheetName val="간지"/>
      <sheetName val="Scenario"/>
      <sheetName val="건축집계"/>
      <sheetName val="교대(A1)"/>
      <sheetName val="유효폭의 계산"/>
      <sheetName val="다곡2교"/>
      <sheetName val="화설내"/>
      <sheetName val="수정계획3"/>
      <sheetName val="건축원가계산서"/>
      <sheetName val="가시설(TYPE-A)"/>
      <sheetName val="1-1평균터파기고(1)"/>
      <sheetName val="미납품 현황"/>
      <sheetName val=" 견적서"/>
      <sheetName val="임차비용"/>
      <sheetName val="조경수량"/>
      <sheetName val="한일양산"/>
      <sheetName val="2-2.매출분석"/>
      <sheetName val="만년달력"/>
      <sheetName val="세목별"/>
      <sheetName val="설-원가"/>
      <sheetName val="(당평)자재"/>
      <sheetName val="부하LOAD"/>
      <sheetName val="설계내역(2001)"/>
      <sheetName val="H-pile(298x299)"/>
      <sheetName val="H-pile(250x250)"/>
      <sheetName val="전도품의"/>
      <sheetName val="기준액"/>
      <sheetName val="담보"/>
      <sheetName val="I_설계조多"/>
      <sheetName val="선정요령"/>
      <sheetName val="시추조사비"/>
      <sheetName val="보할"/>
      <sheetName val="배수관연장조서"/>
      <sheetName val="내역1"/>
      <sheetName val="수량계산"/>
      <sheetName val="일위산출"/>
      <sheetName val="개요2"/>
      <sheetName val="자재테이블"/>
      <sheetName val="건축공사집계"/>
      <sheetName val="자갈,시멘트,모래산출"/>
      <sheetName val="2분기"/>
      <sheetName val="예산실적전체당월"/>
      <sheetName val="일위1"/>
      <sheetName val="하조서"/>
      <sheetName val="2002상반기노임기준"/>
      <sheetName val="STEEL BOX 단면설계(SEC.8)"/>
      <sheetName val="S0"/>
      <sheetName val="사업부구분코드"/>
      <sheetName val="급,배기팬"/>
      <sheetName val="집계장"/>
      <sheetName val="종단계산"/>
      <sheetName val="제조노임"/>
      <sheetName val="인입관수량총괄"/>
      <sheetName val="용산1(해보)"/>
      <sheetName val="영업소실적"/>
      <sheetName val="데이터유효성검사자료"/>
      <sheetName val="자격 땡겨오기"/>
      <sheetName val="설명서 "/>
      <sheetName val="FACTOR"/>
      <sheetName val="인적사항(누적)"/>
      <sheetName val="11"/>
      <sheetName val="JUCK"/>
      <sheetName val="내역_verᔈ_x0000__x0000_"/>
      <sheetName val="계산_x0000__x0000_"/>
      <sheetName val="우석문틀"/>
      <sheetName val="DTCT"/>
      <sheetName val="5호광장_(만점)2"/>
      <sheetName val="인천국제_(만점)_(2)2"/>
      <sheetName val="Total_단위경유량집계2"/>
      <sheetName val="토공유동표(전체_당초)2"/>
      <sheetName val="준검_내역서2"/>
      <sheetName val="1_수인터널2"/>
      <sheetName val="BH-1_(2)2"/>
      <sheetName val="표__지2"/>
      <sheetName val="投标材料清单_1"/>
      <sheetName val="앉음벽_(2)2"/>
      <sheetName val="4_전기2"/>
      <sheetName val="_HIT__HMC_견적_3900_2"/>
      <sheetName val="I_설계조건2"/>
      <sheetName val="7__현장관리비_2"/>
      <sheetName val="6__안전관리비2"/>
      <sheetName val="노원열병합__건축공사기성내역서2"/>
      <sheetName val="1_설계조건2"/>
      <sheetName val="조도계산서_(도서)2"/>
      <sheetName val="소포내역_(2)2"/>
      <sheetName val="MSS_22"/>
      <sheetName val="11_산출(전열)2"/>
      <sheetName val="6_산출(동력)2"/>
      <sheetName val="7_산출(TRAY)2"/>
      <sheetName val="5_산출(전력)1"/>
      <sheetName val="수량산출서(전력간선_지하D_C)1"/>
      <sheetName val="우수관매설및_우수받이2"/>
      <sheetName val="11_우각부_보강2"/>
      <sheetName val="제출내역_(2)2"/>
      <sheetName val="내___역1"/>
      <sheetName val="내역_ver1_02"/>
      <sheetName val="플랜트_설치1"/>
      <sheetName val="plan&amp;section_of_foundation2"/>
      <sheetName val="pile_bearing_capa_&amp;_arrenge2"/>
      <sheetName val="working_load_at_the_btm_ft_2"/>
      <sheetName val="stability_check2"/>
      <sheetName val="design_criteria2"/>
      <sheetName val="2_1__노무비_평균단가산출1"/>
      <sheetName val="3련_BOX2"/>
      <sheetName val="배수내역_(2)1"/>
      <sheetName val="배수공_시멘트_및_골재량_산출1"/>
      <sheetName val="A_견적1"/>
      <sheetName val="unit_41"/>
      <sheetName val="_HIT-&gt;HMC_견적(3900)1"/>
      <sheetName val="Customer_Databas1"/>
      <sheetName val="spc_배관견적1"/>
      <sheetName val="전_기1"/>
      <sheetName val="SHEET_PILE단가1"/>
      <sheetName val="목차_1"/>
      <sheetName val="화재_탐지_설비1"/>
      <sheetName val="6PILE__(돌출)1"/>
      <sheetName val="세골재__T2_변경_현황1"/>
      <sheetName val="BH_1__2_1"/>
      <sheetName val="개인별_순위표1"/>
      <sheetName val="1_취수장1"/>
      <sheetName val="Cash_Flow-11"/>
      <sheetName val="3_1공사현황_공정표1"/>
      <sheetName val="2차전체변경예정_(2)1"/>
      <sheetName val="노임_단가1"/>
      <sheetName val="내역서_1"/>
      <sheetName val="8_현장관리비1"/>
      <sheetName val="7_안전관리비1"/>
      <sheetName val="귀래_설계_공내역서1"/>
      <sheetName val="설_계1"/>
      <sheetName val="1_설계기준1"/>
      <sheetName val="집_계_표1"/>
      <sheetName val="별표_1"/>
      <sheetName val="도담구내_개소별_명세1"/>
      <sheetName val="노임단가_(2)1"/>
      <sheetName val="3_공통공사대비1"/>
      <sheetName val="단가_및_재료비1"/>
      <sheetName val="RETAIL_(ABOVE)1"/>
      <sheetName val="장비비_명세서11"/>
      <sheetName val="단___산"/>
      <sheetName val="실____단"/>
      <sheetName val="전선_및_전선관"/>
      <sheetName val="7_공정표1"/>
      <sheetName val="단면_(2)1"/>
      <sheetName val="5__현장관리비(new)_1"/>
      <sheetName val="내역서1999_8최종"/>
      <sheetName val="2_대외공문1"/>
      <sheetName val="Eq__Mobilization1"/>
      <sheetName val="노무비_근거"/>
      <sheetName val="제수변_수량집계표(보통)"/>
      <sheetName val="Sheet1_(2)"/>
      <sheetName val="장비_(2)"/>
      <sheetName val="3BL공동구_수량"/>
      <sheetName val="5_동별횡주관경"/>
      <sheetName val="암거_제원표"/>
      <sheetName val="도담구내_개소별_명柖"/>
      <sheetName val="CM_1"/>
      <sheetName val="_갑지"/>
      <sheetName val="6__수량산출서"/>
      <sheetName val="참조_(2)"/>
      <sheetName val="일위대가_"/>
      <sheetName val="4_LINE"/>
      <sheetName val="7_th"/>
      <sheetName val="danh_muc_vat_tu"/>
      <sheetName val="Register-BG_NCC"/>
      <sheetName val="Data_2"/>
      <sheetName val="TB_chính"/>
      <sheetName val="Steel_pipe"/>
      <sheetName val="Ref_pipe+Ins"/>
      <sheetName val="Plastic_pipe"/>
      <sheetName val="Air_Grilles"/>
      <sheetName val="Cost_bd-&quot;A&quot;"/>
      <sheetName val="제1영업소"/>
      <sheetName val="제2영업소"/>
      <sheetName val="제3영업소"/>
      <sheetName val="ITB COST"/>
      <sheetName val="결재_x0000_"/>
      <sheetName val="직접뀀鞖/_x0000_"/>
      <sheetName val="수완하도"/>
      <sheetName val="김포내역"/>
      <sheetName val="일위대"/>
      <sheetName val="일위대㐀븁"/>
      <sheetName val=" FURNACE현설"/>
      <sheetName val="97 사업추정(WEKI)"/>
      <sheetName val="코_x0000_"/>
      <sheetName val="LD"/>
      <sheetName val="덤프트럭계수"/>
      <sheetName val="매입"/>
      <sheetName val="4.2.1 마루높이 검토"/>
      <sheetName val="10"/>
      <sheetName val="12"/>
      <sheetName val="13"/>
      <sheetName val="14"/>
      <sheetName val="15"/>
      <sheetName val="16"/>
      <sheetName val="3"/>
      <sheetName val="4"/>
      <sheetName val="5"/>
      <sheetName val="6"/>
      <sheetName val="8"/>
      <sheetName val="9"/>
      <sheetName val="기본설계기준"/>
      <sheetName val="건명"/>
      <sheetName val="수자재단위당"/>
      <sheetName val="수계"/>
      <sheetName val="토지가격산출기초"/>
      <sheetName val="공시지가"/>
      <sheetName val="인원계획-미화"/>
      <sheetName val="안산기계장치"/>
      <sheetName val="토목도급"/>
      <sheetName val="점유현황"/>
      <sheetName val="판정1교토공"/>
      <sheetName val="WEON"/>
      <sheetName val="단가조사-1"/>
      <sheetName val="갑지_설계 내역서"/>
      <sheetName val="현장실사자료"/>
      <sheetName val="과업지시서"/>
      <sheetName val="유지정비"/>
      <sheetName val="용역인건비"/>
      <sheetName val="문10"/>
      <sheetName val="원료"/>
      <sheetName val="7_산출(⠀榅弁䘿_x0000_"/>
      <sheetName val="수량산출서 갑지"/>
      <sheetName val="기타#9"/>
      <sheetName val="미장"/>
      <sheetName val="철골"/>
      <sheetName val="재료할증"/>
      <sheetName val="관급현황"/>
      <sheetName val="기술조건"/>
      <sheetName val="1.내역(청.하역장전등)"/>
      <sheetName val="기계"/>
      <sheetName val="램머"/>
      <sheetName val="1,2,3,4_x0000__x0000_界Þ多⽬"/>
      <sheetName val="1,2,3,4_x0005__x0000__x0000__x0000__x0000_"/>
      <sheetName val="2.단면가정 (양곡1교)"/>
      <sheetName val="단가비교표_공통1"/>
      <sheetName val="05년 상"/>
      <sheetName val="영흥TL(UP,DOWN) "/>
      <sheetName val="8.PILE  (돌출)"/>
      <sheetName val="중기조종사 단위단가"/>
      <sheetName val="인구"/>
      <sheetName val="6월세계"/>
      <sheetName val="19.07월.세.계"/>
      <sheetName val="19.07항목별(시트복사금지100번쓰기)"/>
      <sheetName val="7월정리"/>
      <sheetName val="카드전표"/>
      <sheetName val="05월"/>
      <sheetName val="05월정리"/>
      <sheetName val="4월항목별"/>
      <sheetName val="19.05월"/>
      <sheetName val="용역식대명세"/>
      <sheetName val="10공-_x0000_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/>
      <sheetData sheetId="817"/>
      <sheetData sheetId="818"/>
      <sheetData sheetId="819"/>
      <sheetData sheetId="820"/>
      <sheetData sheetId="821"/>
      <sheetData sheetId="822" refreshError="1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/>
      <sheetData sheetId="920"/>
      <sheetData sheetId="921"/>
      <sheetData sheetId="922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/>
      <sheetData sheetId="1165"/>
      <sheetData sheetId="1166"/>
      <sheetData sheetId="1167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/>
      <sheetData sheetId="1466"/>
      <sheetData sheetId="1467"/>
      <sheetData sheetId="1468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M52"/>
  <sheetViews>
    <sheetView tabSelected="1" view="pageBreakPreview" zoomScaleSheetLayoutView="100" workbookViewId="0">
      <selection activeCell="D5" sqref="D5:D35"/>
    </sheetView>
  </sheetViews>
  <sheetFormatPr defaultRowHeight="16.5"/>
  <cols>
    <col min="1" max="1" width="3.21875" style="1" customWidth="1"/>
    <col min="2" max="2" width="3.44140625" style="1" customWidth="1"/>
    <col min="3" max="3" width="25.33203125" style="1" customWidth="1"/>
    <col min="4" max="4" width="22" style="2" customWidth="1"/>
    <col min="5" max="5" width="56.5546875" style="1" customWidth="1"/>
    <col min="6" max="6" width="8.77734375" style="1" hidden="1" customWidth="1"/>
    <col min="7" max="7" width="8.88671875" style="1" hidden="1" customWidth="1"/>
    <col min="8" max="8" width="14.33203125" style="2" customWidth="1"/>
    <col min="9" max="10" width="8.88671875" style="1"/>
    <col min="11" max="11" width="13.33203125" style="1" customWidth="1"/>
    <col min="12" max="12" width="14.6640625" style="1" customWidth="1"/>
    <col min="13" max="13" width="13.5546875" style="1" customWidth="1"/>
    <col min="14" max="16384" width="8.88671875" style="1"/>
  </cols>
  <sheetData>
    <row r="1" spans="1:13" ht="41.25">
      <c r="A1" s="50" t="s">
        <v>3</v>
      </c>
      <c r="B1" s="50"/>
      <c r="C1" s="50"/>
      <c r="D1" s="50"/>
      <c r="E1" s="50"/>
    </row>
    <row r="2" spans="1:13" ht="24.75" customHeight="1"/>
    <row r="3" spans="1:13" ht="17.25" thickBot="1">
      <c r="A3" s="51" t="s">
        <v>47</v>
      </c>
      <c r="B3" s="51"/>
      <c r="C3" s="46" t="s">
        <v>606</v>
      </c>
      <c r="D3" s="46"/>
      <c r="E3" s="3" t="s">
        <v>609</v>
      </c>
    </row>
    <row r="4" spans="1:13" ht="21.75" customHeight="1" thickBot="1">
      <c r="A4" s="52" t="s">
        <v>4</v>
      </c>
      <c r="B4" s="53"/>
      <c r="C4" s="4" t="s">
        <v>5</v>
      </c>
      <c r="D4" s="5" t="s">
        <v>6</v>
      </c>
      <c r="E4" s="6" t="s">
        <v>20</v>
      </c>
      <c r="F4" s="1" t="s">
        <v>2</v>
      </c>
      <c r="I4" s="7" t="s">
        <v>43</v>
      </c>
      <c r="J4" s="7" t="s">
        <v>44</v>
      </c>
      <c r="K4" s="7" t="s">
        <v>42</v>
      </c>
      <c r="L4" s="7" t="s">
        <v>46</v>
      </c>
      <c r="M4" s="7" t="s">
        <v>45</v>
      </c>
    </row>
    <row r="5" spans="1:13" ht="14.1" customHeight="1">
      <c r="A5" s="12"/>
      <c r="B5" s="47" t="s">
        <v>21</v>
      </c>
      <c r="C5" s="26" t="s">
        <v>595</v>
      </c>
      <c r="D5" s="8"/>
      <c r="E5" s="9"/>
      <c r="G5" s="1" t="s">
        <v>2</v>
      </c>
      <c r="J5" s="1">
        <v>1</v>
      </c>
      <c r="K5" s="2">
        <f>D5*J5</f>
        <v>0</v>
      </c>
      <c r="L5" s="2"/>
      <c r="M5" s="2"/>
    </row>
    <row r="6" spans="1:13" ht="14.1" customHeight="1">
      <c r="A6" s="12"/>
      <c r="B6" s="47"/>
      <c r="C6" s="17" t="s">
        <v>596</v>
      </c>
      <c r="D6" s="10"/>
      <c r="E6" s="11"/>
      <c r="K6" s="2">
        <f t="shared" ref="K6:K34" si="0">D6*J6</f>
        <v>0</v>
      </c>
      <c r="L6" s="2"/>
      <c r="M6" s="2"/>
    </row>
    <row r="7" spans="1:13" ht="14.1" customHeight="1">
      <c r="A7" s="12" t="s">
        <v>2</v>
      </c>
      <c r="B7" s="48"/>
      <c r="C7" s="17" t="s">
        <v>573</v>
      </c>
      <c r="D7" s="10"/>
      <c r="E7" s="11"/>
      <c r="K7" s="2">
        <f t="shared" si="0"/>
        <v>0</v>
      </c>
      <c r="L7" s="2"/>
      <c r="M7" s="2"/>
    </row>
    <row r="8" spans="1:13" ht="14.1" customHeight="1">
      <c r="A8" s="12" t="s">
        <v>22</v>
      </c>
      <c r="B8" s="49" t="s">
        <v>23</v>
      </c>
      <c r="C8" s="17" t="s">
        <v>597</v>
      </c>
      <c r="D8" s="10"/>
      <c r="E8" s="11"/>
      <c r="J8" s="1">
        <v>1</v>
      </c>
      <c r="K8" s="2">
        <f t="shared" si="0"/>
        <v>0</v>
      </c>
      <c r="L8" s="2"/>
      <c r="M8" s="2"/>
    </row>
    <row r="9" spans="1:13" ht="14.1" customHeight="1">
      <c r="A9" s="12"/>
      <c r="B9" s="47"/>
      <c r="C9" s="17" t="s">
        <v>572</v>
      </c>
      <c r="D9" s="10"/>
      <c r="E9" s="11" t="s">
        <v>598</v>
      </c>
      <c r="I9" s="1">
        <v>16.7</v>
      </c>
      <c r="J9" s="1">
        <v>1</v>
      </c>
      <c r="K9" s="2">
        <f t="shared" si="0"/>
        <v>0</v>
      </c>
      <c r="L9" s="2"/>
      <c r="M9" s="2"/>
    </row>
    <row r="10" spans="1:13" ht="14.1" customHeight="1">
      <c r="A10" s="12"/>
      <c r="B10" s="48"/>
      <c r="C10" s="17" t="s">
        <v>573</v>
      </c>
      <c r="D10" s="10"/>
      <c r="E10" s="11"/>
      <c r="K10" s="2">
        <f t="shared" si="0"/>
        <v>0</v>
      </c>
      <c r="L10" s="2"/>
      <c r="M10" s="2"/>
    </row>
    <row r="11" spans="1:13" ht="14.1" customHeight="1">
      <c r="A11" s="12" t="s">
        <v>2</v>
      </c>
      <c r="B11" s="13"/>
      <c r="C11" s="17" t="s">
        <v>574</v>
      </c>
      <c r="D11" s="10"/>
      <c r="E11" s="11"/>
      <c r="J11" s="1">
        <v>1</v>
      </c>
      <c r="K11" s="2">
        <f t="shared" si="0"/>
        <v>0</v>
      </c>
      <c r="L11" s="2"/>
      <c r="M11" s="2"/>
    </row>
    <row r="12" spans="1:13" ht="14.1" customHeight="1">
      <c r="A12" s="12"/>
      <c r="B12" s="13"/>
      <c r="C12" s="17" t="s">
        <v>575</v>
      </c>
      <c r="D12" s="10"/>
      <c r="E12" s="11" t="s">
        <v>576</v>
      </c>
      <c r="I12" s="1">
        <v>3.56</v>
      </c>
      <c r="J12" s="1">
        <v>1</v>
      </c>
      <c r="K12" s="2">
        <f t="shared" si="0"/>
        <v>0</v>
      </c>
      <c r="L12" s="2"/>
      <c r="M12" s="2"/>
    </row>
    <row r="13" spans="1:13" ht="14.1" customHeight="1">
      <c r="A13" s="12" t="s">
        <v>24</v>
      </c>
      <c r="B13" s="22"/>
      <c r="C13" s="17" t="s">
        <v>577</v>
      </c>
      <c r="D13" s="10"/>
      <c r="E13" s="11" t="s">
        <v>578</v>
      </c>
      <c r="I13" s="1">
        <v>1.01</v>
      </c>
      <c r="J13" s="1">
        <v>1</v>
      </c>
      <c r="K13" s="2">
        <f t="shared" si="0"/>
        <v>0</v>
      </c>
      <c r="L13" s="2"/>
      <c r="M13" s="2"/>
    </row>
    <row r="14" spans="1:13" ht="14.1" customHeight="1">
      <c r="A14" s="12"/>
      <c r="B14" s="13" t="s">
        <v>25</v>
      </c>
      <c r="C14" s="17" t="s">
        <v>583</v>
      </c>
      <c r="D14" s="10"/>
      <c r="E14" s="11" t="s">
        <v>584</v>
      </c>
      <c r="I14" s="1">
        <v>2.2999999999999998</v>
      </c>
      <c r="J14" s="1">
        <v>1</v>
      </c>
      <c r="K14" s="2">
        <f t="shared" si="0"/>
        <v>0</v>
      </c>
      <c r="L14" s="2"/>
      <c r="M14" s="2"/>
    </row>
    <row r="15" spans="1:13" ht="14.1" customHeight="1">
      <c r="A15" s="12" t="s">
        <v>2</v>
      </c>
      <c r="B15" s="13"/>
      <c r="C15" s="17" t="s">
        <v>585</v>
      </c>
      <c r="D15" s="10"/>
      <c r="E15" s="11" t="s">
        <v>607</v>
      </c>
      <c r="I15" s="1">
        <v>2.0699999999999998</v>
      </c>
      <c r="J15" s="1">
        <v>1</v>
      </c>
      <c r="K15" s="2">
        <f t="shared" si="0"/>
        <v>0</v>
      </c>
      <c r="L15" s="2"/>
      <c r="M15" s="2"/>
    </row>
    <row r="16" spans="1:13" ht="14.1" customHeight="1">
      <c r="A16" s="12"/>
      <c r="B16" s="13"/>
      <c r="C16" s="17" t="s">
        <v>586</v>
      </c>
      <c r="D16" s="10"/>
      <c r="E16" s="11" t="s">
        <v>608</v>
      </c>
      <c r="H16" s="2">
        <f>D7+D10</f>
        <v>0</v>
      </c>
      <c r="I16" s="1">
        <v>5.3</v>
      </c>
      <c r="J16" s="1">
        <v>1</v>
      </c>
      <c r="K16" s="2">
        <f t="shared" si="0"/>
        <v>0</v>
      </c>
      <c r="L16" s="2"/>
      <c r="M16" s="2"/>
    </row>
    <row r="17" spans="1:13" ht="14.1" customHeight="1">
      <c r="A17" s="12"/>
      <c r="B17" s="13"/>
      <c r="C17" s="17" t="s">
        <v>579</v>
      </c>
      <c r="D17" s="10"/>
      <c r="E17" s="11" t="s">
        <v>580</v>
      </c>
      <c r="I17" s="1">
        <v>3.5950000000000002</v>
      </c>
      <c r="J17" s="1">
        <v>1</v>
      </c>
      <c r="K17" s="2">
        <f t="shared" si="0"/>
        <v>0</v>
      </c>
      <c r="L17" s="2"/>
      <c r="M17" s="2"/>
    </row>
    <row r="18" spans="1:13" ht="14.1" customHeight="1">
      <c r="A18" s="12" t="s">
        <v>26</v>
      </c>
      <c r="B18" s="13"/>
      <c r="C18" s="17" t="s">
        <v>581</v>
      </c>
      <c r="D18" s="10"/>
      <c r="E18" s="11" t="s">
        <v>582</v>
      </c>
      <c r="I18" s="1">
        <v>4.75</v>
      </c>
      <c r="J18" s="1">
        <v>1</v>
      </c>
      <c r="K18" s="2">
        <f t="shared" si="0"/>
        <v>0</v>
      </c>
      <c r="L18" s="2"/>
      <c r="M18" s="2"/>
    </row>
    <row r="19" spans="1:13" ht="14.1" customHeight="1">
      <c r="A19" s="12" t="s">
        <v>2</v>
      </c>
      <c r="B19" s="13" t="s">
        <v>2</v>
      </c>
      <c r="C19" s="17" t="s">
        <v>587</v>
      </c>
      <c r="D19" s="10"/>
      <c r="E19" s="11" t="s">
        <v>588</v>
      </c>
      <c r="I19" s="1">
        <v>13.14</v>
      </c>
      <c r="J19" s="1">
        <v>1</v>
      </c>
      <c r="K19" s="2">
        <f t="shared" si="0"/>
        <v>0</v>
      </c>
      <c r="L19" s="2"/>
      <c r="M19" s="2"/>
    </row>
    <row r="20" spans="1:13" ht="14.1" customHeight="1">
      <c r="A20" s="12"/>
      <c r="B20" s="22"/>
      <c r="C20" s="17" t="s">
        <v>601</v>
      </c>
      <c r="D20" s="10"/>
      <c r="E20" s="11" t="s">
        <v>603</v>
      </c>
      <c r="I20" s="1">
        <v>6.0000000000000001E-3</v>
      </c>
      <c r="J20" s="1">
        <v>1</v>
      </c>
      <c r="K20" s="2">
        <f t="shared" ref="K20:K21" si="1">D20*J20</f>
        <v>0</v>
      </c>
      <c r="L20" s="2"/>
      <c r="M20" s="2"/>
    </row>
    <row r="21" spans="1:13" ht="14.1" customHeight="1">
      <c r="A21" s="12"/>
      <c r="B21" s="13"/>
      <c r="C21" s="17" t="s">
        <v>602</v>
      </c>
      <c r="D21" s="10"/>
      <c r="E21" s="11" t="s">
        <v>604</v>
      </c>
      <c r="I21" s="1">
        <v>0.09</v>
      </c>
      <c r="J21" s="1">
        <v>1</v>
      </c>
      <c r="K21" s="2">
        <f t="shared" si="1"/>
        <v>0</v>
      </c>
      <c r="L21" s="2"/>
      <c r="M21" s="2"/>
    </row>
    <row r="22" spans="1:13" ht="14.1" customHeight="1">
      <c r="A22" s="12"/>
      <c r="B22" s="13" t="s">
        <v>27</v>
      </c>
      <c r="C22" s="17" t="s">
        <v>2</v>
      </c>
      <c r="D22" s="10"/>
      <c r="E22" s="11"/>
      <c r="K22" s="2">
        <f t="shared" si="0"/>
        <v>0</v>
      </c>
      <c r="L22" s="2"/>
      <c r="M22" s="2"/>
    </row>
    <row r="23" spans="1:13" ht="14.1" customHeight="1">
      <c r="A23" s="12" t="s">
        <v>27</v>
      </c>
      <c r="B23" s="13"/>
      <c r="C23" s="17" t="s">
        <v>2</v>
      </c>
      <c r="D23" s="10"/>
      <c r="E23" s="11"/>
      <c r="K23" s="2">
        <f t="shared" si="0"/>
        <v>0</v>
      </c>
      <c r="L23" s="2"/>
      <c r="M23" s="2"/>
    </row>
    <row r="24" spans="1:13" ht="14.1" customHeight="1">
      <c r="A24" s="12"/>
      <c r="B24" s="13"/>
      <c r="C24" s="17" t="s">
        <v>2</v>
      </c>
      <c r="D24" s="10"/>
      <c r="E24" s="11"/>
      <c r="K24" s="2">
        <f t="shared" si="0"/>
        <v>0</v>
      </c>
      <c r="L24" s="2"/>
      <c r="M24" s="2"/>
    </row>
    <row r="25" spans="1:13" ht="14.1" customHeight="1">
      <c r="A25" s="12"/>
      <c r="B25" s="13"/>
      <c r="C25" s="19" t="s">
        <v>573</v>
      </c>
      <c r="D25" s="10"/>
      <c r="E25" s="11"/>
      <c r="K25" s="2">
        <f t="shared" si="0"/>
        <v>0</v>
      </c>
      <c r="L25" s="2"/>
      <c r="M25" s="2"/>
    </row>
    <row r="26" spans="1:13" ht="14.1" customHeight="1">
      <c r="A26" s="12"/>
      <c r="B26" s="39" t="s">
        <v>600</v>
      </c>
      <c r="C26" s="40"/>
      <c r="D26" s="10"/>
      <c r="E26" s="11"/>
      <c r="K26" s="2">
        <f t="shared" si="0"/>
        <v>0</v>
      </c>
      <c r="L26" s="2"/>
      <c r="M26" s="2"/>
    </row>
    <row r="27" spans="1:13" ht="14.1" customHeight="1">
      <c r="A27" s="45" t="s">
        <v>589</v>
      </c>
      <c r="B27" s="32"/>
      <c r="C27" s="32"/>
      <c r="D27" s="10"/>
      <c r="E27" s="11" t="s">
        <v>599</v>
      </c>
      <c r="H27" s="2">
        <f>D7+D10+D25</f>
        <v>0</v>
      </c>
      <c r="I27" s="1">
        <v>6.5</v>
      </c>
      <c r="J27" s="1">
        <v>1</v>
      </c>
      <c r="K27" s="2">
        <f t="shared" si="0"/>
        <v>0</v>
      </c>
      <c r="L27" s="2"/>
      <c r="M27" s="2"/>
    </row>
    <row r="28" spans="1:13" ht="14.1" customHeight="1">
      <c r="A28" s="45" t="s">
        <v>590</v>
      </c>
      <c r="B28" s="32"/>
      <c r="C28" s="32"/>
      <c r="D28" s="10"/>
      <c r="E28" s="11" t="s">
        <v>591</v>
      </c>
      <c r="I28" s="1">
        <v>15</v>
      </c>
      <c r="J28" s="1">
        <v>1</v>
      </c>
      <c r="K28" s="2">
        <f t="shared" si="0"/>
        <v>0</v>
      </c>
      <c r="L28" s="2">
        <f>TRUNC((D10+D25+D27)*I28/100)</f>
        <v>0</v>
      </c>
      <c r="M28" s="2">
        <v>100000</v>
      </c>
    </row>
    <row r="29" spans="1:13" ht="14.1" customHeight="1">
      <c r="A29" s="45" t="s">
        <v>592</v>
      </c>
      <c r="B29" s="32"/>
      <c r="C29" s="32"/>
      <c r="D29" s="10"/>
      <c r="E29" s="11"/>
      <c r="K29" s="2">
        <f t="shared" si="0"/>
        <v>0</v>
      </c>
      <c r="L29" s="2"/>
      <c r="M29" s="2"/>
    </row>
    <row r="30" spans="1:13" ht="14.1" customHeight="1">
      <c r="A30" s="45" t="s">
        <v>593</v>
      </c>
      <c r="B30" s="32"/>
      <c r="C30" s="32"/>
      <c r="D30" s="10"/>
      <c r="E30" s="11"/>
      <c r="I30" s="1">
        <v>10</v>
      </c>
      <c r="J30" s="1">
        <v>1</v>
      </c>
      <c r="K30" s="2">
        <f t="shared" si="0"/>
        <v>0</v>
      </c>
      <c r="L30" s="2"/>
      <c r="M30" s="2"/>
    </row>
    <row r="31" spans="1:13" ht="14.1" customHeight="1">
      <c r="A31" s="45" t="s">
        <v>605</v>
      </c>
      <c r="B31" s="32"/>
      <c r="C31" s="32"/>
      <c r="D31" s="10"/>
      <c r="E31" s="11"/>
      <c r="J31" s="1">
        <v>1</v>
      </c>
      <c r="K31" s="2">
        <f t="shared" si="0"/>
        <v>0</v>
      </c>
      <c r="L31" s="2"/>
      <c r="M31" s="2"/>
    </row>
    <row r="32" spans="1:13" ht="14.1" customHeight="1">
      <c r="A32" s="45" t="s">
        <v>2</v>
      </c>
      <c r="B32" s="32"/>
      <c r="C32" s="32"/>
      <c r="D32" s="10"/>
      <c r="E32" s="11"/>
      <c r="K32" s="2">
        <f t="shared" si="0"/>
        <v>0</v>
      </c>
      <c r="L32" s="2"/>
      <c r="M32" s="2"/>
    </row>
    <row r="33" spans="1:13" ht="14.1" customHeight="1">
      <c r="A33" s="41" t="s">
        <v>2</v>
      </c>
      <c r="B33" s="42"/>
      <c r="C33" s="42"/>
      <c r="D33" s="10"/>
      <c r="E33" s="11"/>
      <c r="K33" s="2">
        <f t="shared" si="0"/>
        <v>0</v>
      </c>
      <c r="L33" s="2"/>
      <c r="M33" s="2"/>
    </row>
    <row r="34" spans="1:13" ht="14.1" customHeight="1">
      <c r="A34" s="41" t="s">
        <v>2</v>
      </c>
      <c r="B34" s="42"/>
      <c r="C34" s="42"/>
      <c r="D34" s="10"/>
      <c r="E34" s="11"/>
      <c r="K34" s="2">
        <f t="shared" si="0"/>
        <v>0</v>
      </c>
      <c r="L34" s="2"/>
      <c r="M34" s="2"/>
    </row>
    <row r="35" spans="1:13" ht="14.1" customHeight="1" thickBot="1">
      <c r="A35" s="43" t="s">
        <v>594</v>
      </c>
      <c r="B35" s="44"/>
      <c r="C35" s="44"/>
      <c r="D35" s="14"/>
      <c r="E35" s="15"/>
      <c r="K35" s="2">
        <f>SUM(K5:K34)</f>
        <v>0</v>
      </c>
      <c r="L35" s="2"/>
      <c r="M35" s="2"/>
    </row>
    <row r="36" spans="1:13" ht="14.1" customHeight="1">
      <c r="K36" s="2"/>
      <c r="L36" s="2"/>
      <c r="M36" s="2"/>
    </row>
    <row r="37" spans="1:13">
      <c r="K37" s="2"/>
      <c r="L37" s="2"/>
      <c r="M37" s="2"/>
    </row>
    <row r="38" spans="1:13">
      <c r="K38" s="2"/>
      <c r="L38" s="2"/>
      <c r="M38" s="2"/>
    </row>
    <row r="39" spans="1:13">
      <c r="K39" s="2"/>
      <c r="L39" s="2"/>
      <c r="M39" s="2"/>
    </row>
    <row r="40" spans="1:13">
      <c r="K40" s="2"/>
      <c r="L40" s="2"/>
      <c r="M40" s="2"/>
    </row>
    <row r="41" spans="1:13">
      <c r="K41" s="2"/>
      <c r="L41" s="2"/>
      <c r="M41" s="2"/>
    </row>
    <row r="42" spans="1:13">
      <c r="K42" s="2"/>
      <c r="L42" s="2"/>
      <c r="M42" s="2"/>
    </row>
    <row r="43" spans="1:13">
      <c r="K43" s="2"/>
      <c r="L43" s="2"/>
      <c r="M43" s="2"/>
    </row>
    <row r="44" spans="1:13">
      <c r="K44" s="2"/>
      <c r="L44" s="2"/>
      <c r="M44" s="2"/>
    </row>
    <row r="45" spans="1:13">
      <c r="K45" s="2"/>
      <c r="L45" s="2"/>
      <c r="M45" s="2"/>
    </row>
    <row r="46" spans="1:13">
      <c r="K46" s="2"/>
      <c r="L46" s="2"/>
      <c r="M46" s="2"/>
    </row>
    <row r="47" spans="1:13">
      <c r="K47" s="2"/>
      <c r="L47" s="2"/>
      <c r="M47" s="2"/>
    </row>
    <row r="48" spans="1:13">
      <c r="K48" s="2"/>
      <c r="L48" s="2"/>
      <c r="M48" s="2"/>
    </row>
    <row r="49" spans="11:13">
      <c r="K49" s="2"/>
      <c r="L49" s="2"/>
      <c r="M49" s="2"/>
    </row>
    <row r="50" spans="11:13">
      <c r="K50" s="2"/>
      <c r="L50" s="2"/>
      <c r="M50" s="2"/>
    </row>
    <row r="51" spans="11:13">
      <c r="K51" s="2"/>
      <c r="L51" s="2"/>
      <c r="M51" s="2"/>
    </row>
    <row r="52" spans="11:13">
      <c r="K52" s="2"/>
      <c r="L52" s="2"/>
      <c r="M52" s="2"/>
    </row>
  </sheetData>
  <mergeCells count="16">
    <mergeCell ref="C3:D3"/>
    <mergeCell ref="B5:B7"/>
    <mergeCell ref="B8:B10"/>
    <mergeCell ref="A1:E1"/>
    <mergeCell ref="A3:B3"/>
    <mergeCell ref="A4:B4"/>
    <mergeCell ref="B26:C26"/>
    <mergeCell ref="A34:C34"/>
    <mergeCell ref="A35:C35"/>
    <mergeCell ref="A32:C32"/>
    <mergeCell ref="A27:C27"/>
    <mergeCell ref="A28:C28"/>
    <mergeCell ref="A29:C29"/>
    <mergeCell ref="A33:C33"/>
    <mergeCell ref="A30:C30"/>
    <mergeCell ref="A31:C31"/>
  </mergeCells>
  <phoneticPr fontId="2" type="noConversion"/>
  <printOptions horizontalCentered="1" verticalCentered="1"/>
  <pageMargins left="0.74803149606299213" right="0.35433070866141736" top="0.19685039370078741" bottom="0.39370078740157483" header="0.51181102362204722" footer="0.39370078740157483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AA81"/>
  <sheetViews>
    <sheetView view="pageBreakPreview" topLeftCell="D1" zoomScaleSheetLayoutView="100" workbookViewId="0">
      <pane ySplit="3" topLeftCell="A31" activePane="bottomLeft" state="frozen"/>
      <selection activeCell="A2" sqref="A2"/>
      <selection pane="bottomLeft" activeCell="H22" sqref="H22"/>
    </sheetView>
  </sheetViews>
  <sheetFormatPr defaultRowHeight="20.45" customHeight="1"/>
  <cols>
    <col min="1" max="1" width="5.77734375" style="1" hidden="1" customWidth="1"/>
    <col min="2" max="2" width="6.5546875" style="16" hidden="1" customWidth="1"/>
    <col min="3" max="3" width="13.6640625" style="16" hidden="1" customWidth="1"/>
    <col min="4" max="4" width="36.21875" style="16" customWidth="1"/>
    <col min="5" max="5" width="9.109375" style="1" hidden="1" customWidth="1"/>
    <col min="6" max="6" width="4.21875" style="22" customWidth="1"/>
    <col min="7" max="7" width="4.6640625" style="2" customWidth="1"/>
    <col min="8" max="8" width="13" style="2" customWidth="1"/>
    <col min="9" max="9" width="13.109375" style="2" customWidth="1"/>
    <col min="10" max="10" width="5.109375" style="2" hidden="1" customWidth="1"/>
    <col min="11" max="11" width="11.21875" style="2" bestFit="1" customWidth="1"/>
    <col min="12" max="12" width="11.5546875" style="2" customWidth="1"/>
    <col min="13" max="14" width="9.44140625" style="2" customWidth="1"/>
    <col min="15" max="15" width="8.77734375" style="2" hidden="1" customWidth="1"/>
    <col min="16" max="16" width="13.21875" style="2" customWidth="1"/>
    <col min="17" max="17" width="10.44140625" style="16" customWidth="1"/>
    <col min="18" max="16384" width="8.88671875" style="1"/>
  </cols>
  <sheetData>
    <row r="1" spans="1:27" ht="20.45" customHeight="1">
      <c r="A1" s="1" t="s">
        <v>282</v>
      </c>
      <c r="B1" s="16" t="s">
        <v>488</v>
      </c>
      <c r="C1" s="16" t="s">
        <v>564</v>
      </c>
      <c r="D1" s="54" t="s">
        <v>491</v>
      </c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AA1" s="1" t="s">
        <v>50</v>
      </c>
    </row>
    <row r="2" spans="1:27" s="22" customFormat="1" ht="20.45" customHeight="1">
      <c r="A2" s="30" t="s">
        <v>29</v>
      </c>
      <c r="B2" s="30" t="s">
        <v>8</v>
      </c>
      <c r="C2" s="30" t="s">
        <v>14</v>
      </c>
      <c r="D2" s="32" t="s">
        <v>30</v>
      </c>
      <c r="E2" s="35" t="s">
        <v>9</v>
      </c>
      <c r="F2" s="35" t="s">
        <v>0</v>
      </c>
      <c r="G2" s="34" t="s">
        <v>1</v>
      </c>
      <c r="H2" s="34" t="s">
        <v>10</v>
      </c>
      <c r="I2" s="34"/>
      <c r="J2" s="34" t="s">
        <v>11</v>
      </c>
      <c r="K2" s="34"/>
      <c r="L2" s="34"/>
      <c r="M2" s="34" t="s">
        <v>12</v>
      </c>
      <c r="N2" s="34"/>
      <c r="O2" s="18"/>
      <c r="P2" s="34" t="s">
        <v>15</v>
      </c>
      <c r="Q2" s="32" t="s">
        <v>13</v>
      </c>
    </row>
    <row r="3" spans="1:27" s="22" customFormat="1" ht="20.45" customHeight="1">
      <c r="A3" s="30"/>
      <c r="B3" s="30"/>
      <c r="C3" s="30"/>
      <c r="D3" s="33"/>
      <c r="E3" s="36"/>
      <c r="F3" s="36"/>
      <c r="G3" s="37"/>
      <c r="H3" s="20" t="s">
        <v>16</v>
      </c>
      <c r="I3" s="20" t="s">
        <v>17</v>
      </c>
      <c r="J3" s="20" t="s">
        <v>1</v>
      </c>
      <c r="K3" s="20" t="s">
        <v>16</v>
      </c>
      <c r="L3" s="20" t="s">
        <v>17</v>
      </c>
      <c r="M3" s="20" t="s">
        <v>18</v>
      </c>
      <c r="N3" s="20" t="s">
        <v>17</v>
      </c>
      <c r="O3" s="20" t="s">
        <v>19</v>
      </c>
      <c r="P3" s="37"/>
      <c r="Q3" s="33"/>
    </row>
    <row r="4" spans="1:27" ht="20.45" customHeight="1">
      <c r="B4" s="16" t="s">
        <v>283</v>
      </c>
      <c r="D4" s="27" t="s">
        <v>565</v>
      </c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9"/>
    </row>
    <row r="5" spans="1:27" ht="20.45" customHeight="1">
      <c r="B5" s="16" t="s">
        <v>566</v>
      </c>
      <c r="D5" s="21" t="s">
        <v>567</v>
      </c>
      <c r="E5" s="23"/>
      <c r="F5" s="7" t="s">
        <v>231</v>
      </c>
      <c r="G5" s="10">
        <v>1</v>
      </c>
      <c r="H5" s="10">
        <f>총괄표!I55</f>
        <v>0</v>
      </c>
      <c r="I5" s="10">
        <f t="shared" ref="I5:I28" si="0">G5*H5</f>
        <v>0</v>
      </c>
      <c r="J5" s="10"/>
      <c r="K5" s="10">
        <f>총괄표!L55</f>
        <v>0</v>
      </c>
      <c r="L5" s="10">
        <f t="shared" ref="L5:L28" si="1">G5*K5</f>
        <v>0</v>
      </c>
      <c r="M5" s="10">
        <f>총괄표!N55</f>
        <v>0</v>
      </c>
      <c r="N5" s="10">
        <f t="shared" ref="N5:N28" si="2">G5*M5</f>
        <v>0</v>
      </c>
      <c r="O5" s="10"/>
      <c r="P5" s="10">
        <f t="shared" ref="P5:P28" si="3">SUM(I5,L5,N5)</f>
        <v>0</v>
      </c>
      <c r="Q5" s="21"/>
    </row>
    <row r="6" spans="1:27" ht="20.45" customHeight="1">
      <c r="D6" s="21"/>
      <c r="E6" s="23"/>
      <c r="F6" s="7"/>
      <c r="G6" s="10"/>
      <c r="H6" s="10"/>
      <c r="I6" s="10"/>
      <c r="J6" s="10"/>
      <c r="K6" s="10"/>
      <c r="L6" s="10"/>
      <c r="M6" s="10"/>
      <c r="N6" s="10"/>
      <c r="O6" s="10"/>
      <c r="P6" s="10"/>
      <c r="Q6" s="21"/>
    </row>
    <row r="7" spans="1:27" ht="20.45" customHeight="1">
      <c r="D7" s="21"/>
      <c r="E7" s="23"/>
      <c r="F7" s="7"/>
      <c r="G7" s="10"/>
      <c r="H7" s="10"/>
      <c r="I7" s="10">
        <f t="shared" si="0"/>
        <v>0</v>
      </c>
      <c r="J7" s="10"/>
      <c r="K7" s="10"/>
      <c r="L7" s="10">
        <f t="shared" si="1"/>
        <v>0</v>
      </c>
      <c r="M7" s="10"/>
      <c r="N7" s="10">
        <f t="shared" si="2"/>
        <v>0</v>
      </c>
      <c r="O7" s="10"/>
      <c r="P7" s="10">
        <f t="shared" si="3"/>
        <v>0</v>
      </c>
      <c r="Q7" s="21"/>
    </row>
    <row r="8" spans="1:27" ht="20.45" customHeight="1">
      <c r="D8" s="21"/>
      <c r="E8" s="23"/>
      <c r="F8" s="7"/>
      <c r="G8" s="10"/>
      <c r="H8" s="10"/>
      <c r="I8" s="10">
        <f t="shared" si="0"/>
        <v>0</v>
      </c>
      <c r="J8" s="10"/>
      <c r="K8" s="10"/>
      <c r="L8" s="10">
        <f t="shared" si="1"/>
        <v>0</v>
      </c>
      <c r="M8" s="10"/>
      <c r="N8" s="10">
        <f t="shared" si="2"/>
        <v>0</v>
      </c>
      <c r="O8" s="10"/>
      <c r="P8" s="10">
        <f t="shared" si="3"/>
        <v>0</v>
      </c>
      <c r="Q8" s="21"/>
    </row>
    <row r="9" spans="1:27" ht="20.45" customHeight="1">
      <c r="D9" s="21"/>
      <c r="E9" s="23"/>
      <c r="F9" s="7"/>
      <c r="G9" s="10"/>
      <c r="H9" s="10"/>
      <c r="I9" s="10">
        <f t="shared" si="0"/>
        <v>0</v>
      </c>
      <c r="J9" s="10"/>
      <c r="K9" s="10"/>
      <c r="L9" s="10">
        <f t="shared" si="1"/>
        <v>0</v>
      </c>
      <c r="M9" s="10"/>
      <c r="N9" s="10">
        <f t="shared" si="2"/>
        <v>0</v>
      </c>
      <c r="O9" s="10"/>
      <c r="P9" s="10">
        <f t="shared" si="3"/>
        <v>0</v>
      </c>
      <c r="Q9" s="21"/>
    </row>
    <row r="10" spans="1:27" ht="20.45" customHeight="1">
      <c r="D10" s="21"/>
      <c r="E10" s="23"/>
      <c r="F10" s="7"/>
      <c r="G10" s="10"/>
      <c r="H10" s="10"/>
      <c r="I10" s="10">
        <f t="shared" si="0"/>
        <v>0</v>
      </c>
      <c r="J10" s="10"/>
      <c r="K10" s="10"/>
      <c r="L10" s="10">
        <f t="shared" si="1"/>
        <v>0</v>
      </c>
      <c r="M10" s="10"/>
      <c r="N10" s="10">
        <f t="shared" si="2"/>
        <v>0</v>
      </c>
      <c r="O10" s="10"/>
      <c r="P10" s="10">
        <f t="shared" si="3"/>
        <v>0</v>
      </c>
      <c r="Q10" s="21"/>
    </row>
    <row r="11" spans="1:27" ht="20.45" customHeight="1">
      <c r="D11" s="21"/>
      <c r="E11" s="23"/>
      <c r="F11" s="7"/>
      <c r="G11" s="10"/>
      <c r="H11" s="10"/>
      <c r="I11" s="10">
        <f t="shared" si="0"/>
        <v>0</v>
      </c>
      <c r="J11" s="10"/>
      <c r="K11" s="10"/>
      <c r="L11" s="10">
        <f t="shared" si="1"/>
        <v>0</v>
      </c>
      <c r="M11" s="10"/>
      <c r="N11" s="10">
        <f t="shared" si="2"/>
        <v>0</v>
      </c>
      <c r="O11" s="10"/>
      <c r="P11" s="10">
        <f t="shared" si="3"/>
        <v>0</v>
      </c>
      <c r="Q11" s="21"/>
    </row>
    <row r="12" spans="1:27" ht="20.45" customHeight="1">
      <c r="D12" s="21"/>
      <c r="E12" s="23"/>
      <c r="F12" s="7"/>
      <c r="G12" s="10"/>
      <c r="H12" s="10"/>
      <c r="I12" s="10">
        <f t="shared" si="0"/>
        <v>0</v>
      </c>
      <c r="J12" s="10"/>
      <c r="K12" s="10"/>
      <c r="L12" s="10">
        <f t="shared" si="1"/>
        <v>0</v>
      </c>
      <c r="M12" s="10"/>
      <c r="N12" s="10">
        <f t="shared" si="2"/>
        <v>0</v>
      </c>
      <c r="O12" s="10"/>
      <c r="P12" s="10">
        <f t="shared" si="3"/>
        <v>0</v>
      </c>
      <c r="Q12" s="21"/>
    </row>
    <row r="13" spans="1:27" ht="20.45" customHeight="1">
      <c r="D13" s="21"/>
      <c r="E13" s="23"/>
      <c r="F13" s="7"/>
      <c r="G13" s="10"/>
      <c r="H13" s="10"/>
      <c r="I13" s="10">
        <f t="shared" si="0"/>
        <v>0</v>
      </c>
      <c r="J13" s="10"/>
      <c r="K13" s="10"/>
      <c r="L13" s="10">
        <f t="shared" si="1"/>
        <v>0</v>
      </c>
      <c r="M13" s="10"/>
      <c r="N13" s="10">
        <f t="shared" si="2"/>
        <v>0</v>
      </c>
      <c r="O13" s="10"/>
      <c r="P13" s="10">
        <f t="shared" si="3"/>
        <v>0</v>
      </c>
      <c r="Q13" s="21"/>
    </row>
    <row r="14" spans="1:27" ht="20.45" customHeight="1">
      <c r="D14" s="21"/>
      <c r="E14" s="23"/>
      <c r="F14" s="7"/>
      <c r="G14" s="10"/>
      <c r="H14" s="10"/>
      <c r="I14" s="10">
        <f t="shared" si="0"/>
        <v>0</v>
      </c>
      <c r="J14" s="10"/>
      <c r="K14" s="10"/>
      <c r="L14" s="10">
        <f t="shared" si="1"/>
        <v>0</v>
      </c>
      <c r="M14" s="10"/>
      <c r="N14" s="10">
        <f t="shared" si="2"/>
        <v>0</v>
      </c>
      <c r="O14" s="10"/>
      <c r="P14" s="10">
        <f t="shared" si="3"/>
        <v>0</v>
      </c>
      <c r="Q14" s="21"/>
    </row>
    <row r="15" spans="1:27" ht="20.45" customHeight="1">
      <c r="D15" s="21"/>
      <c r="E15" s="23"/>
      <c r="F15" s="7"/>
      <c r="G15" s="10"/>
      <c r="H15" s="10"/>
      <c r="I15" s="10">
        <f t="shared" si="0"/>
        <v>0</v>
      </c>
      <c r="J15" s="10"/>
      <c r="K15" s="10"/>
      <c r="L15" s="10">
        <f t="shared" si="1"/>
        <v>0</v>
      </c>
      <c r="M15" s="10"/>
      <c r="N15" s="10">
        <f t="shared" si="2"/>
        <v>0</v>
      </c>
      <c r="O15" s="10"/>
      <c r="P15" s="10">
        <f t="shared" si="3"/>
        <v>0</v>
      </c>
      <c r="Q15" s="21"/>
    </row>
    <row r="16" spans="1:27" ht="20.45" customHeight="1">
      <c r="D16" s="21"/>
      <c r="E16" s="23"/>
      <c r="F16" s="7"/>
      <c r="G16" s="10"/>
      <c r="H16" s="10"/>
      <c r="I16" s="10">
        <f t="shared" si="0"/>
        <v>0</v>
      </c>
      <c r="J16" s="10"/>
      <c r="K16" s="10"/>
      <c r="L16" s="10">
        <f t="shared" si="1"/>
        <v>0</v>
      </c>
      <c r="M16" s="10"/>
      <c r="N16" s="10">
        <f t="shared" si="2"/>
        <v>0</v>
      </c>
      <c r="O16" s="10"/>
      <c r="P16" s="10">
        <f t="shared" si="3"/>
        <v>0</v>
      </c>
      <c r="Q16" s="21"/>
    </row>
    <row r="17" spans="2:17" ht="20.45" customHeight="1">
      <c r="D17" s="21"/>
      <c r="E17" s="23"/>
      <c r="F17" s="7"/>
      <c r="G17" s="10"/>
      <c r="H17" s="10"/>
      <c r="I17" s="10">
        <f t="shared" si="0"/>
        <v>0</v>
      </c>
      <c r="J17" s="10"/>
      <c r="K17" s="10"/>
      <c r="L17" s="10">
        <f t="shared" si="1"/>
        <v>0</v>
      </c>
      <c r="M17" s="10"/>
      <c r="N17" s="10">
        <f t="shared" si="2"/>
        <v>0</v>
      </c>
      <c r="O17" s="10"/>
      <c r="P17" s="10">
        <f t="shared" si="3"/>
        <v>0</v>
      </c>
      <c r="Q17" s="21"/>
    </row>
    <row r="18" spans="2:17" ht="20.45" customHeight="1">
      <c r="D18" s="21"/>
      <c r="E18" s="23"/>
      <c r="F18" s="7"/>
      <c r="G18" s="10"/>
      <c r="H18" s="10"/>
      <c r="I18" s="10">
        <f t="shared" si="0"/>
        <v>0</v>
      </c>
      <c r="J18" s="10"/>
      <c r="K18" s="10"/>
      <c r="L18" s="10">
        <f t="shared" si="1"/>
        <v>0</v>
      </c>
      <c r="M18" s="10"/>
      <c r="N18" s="10">
        <f t="shared" si="2"/>
        <v>0</v>
      </c>
      <c r="O18" s="10"/>
      <c r="P18" s="10">
        <f t="shared" si="3"/>
        <v>0</v>
      </c>
      <c r="Q18" s="21"/>
    </row>
    <row r="19" spans="2:17" ht="20.45" customHeight="1">
      <c r="D19" s="21"/>
      <c r="E19" s="23"/>
      <c r="F19" s="7"/>
      <c r="G19" s="10"/>
      <c r="H19" s="10"/>
      <c r="I19" s="10">
        <f t="shared" si="0"/>
        <v>0</v>
      </c>
      <c r="J19" s="10"/>
      <c r="K19" s="10"/>
      <c r="L19" s="10">
        <f t="shared" si="1"/>
        <v>0</v>
      </c>
      <c r="M19" s="10"/>
      <c r="N19" s="10">
        <f t="shared" si="2"/>
        <v>0</v>
      </c>
      <c r="O19" s="10"/>
      <c r="P19" s="10">
        <f t="shared" si="3"/>
        <v>0</v>
      </c>
      <c r="Q19" s="21"/>
    </row>
    <row r="20" spans="2:17" ht="20.45" customHeight="1">
      <c r="D20" s="21"/>
      <c r="E20" s="23"/>
      <c r="F20" s="7"/>
      <c r="G20" s="10"/>
      <c r="H20" s="10"/>
      <c r="I20" s="10">
        <f t="shared" si="0"/>
        <v>0</v>
      </c>
      <c r="J20" s="10"/>
      <c r="K20" s="10"/>
      <c r="L20" s="10">
        <f t="shared" si="1"/>
        <v>0</v>
      </c>
      <c r="M20" s="10"/>
      <c r="N20" s="10">
        <f t="shared" si="2"/>
        <v>0</v>
      </c>
      <c r="O20" s="10"/>
      <c r="P20" s="10">
        <f t="shared" si="3"/>
        <v>0</v>
      </c>
      <c r="Q20" s="21"/>
    </row>
    <row r="21" spans="2:17" ht="20.45" customHeight="1">
      <c r="D21" s="21"/>
      <c r="E21" s="23"/>
      <c r="F21" s="7"/>
      <c r="G21" s="10"/>
      <c r="H21" s="10"/>
      <c r="I21" s="10">
        <f t="shared" si="0"/>
        <v>0</v>
      </c>
      <c r="J21" s="10"/>
      <c r="K21" s="10"/>
      <c r="L21" s="10">
        <f t="shared" si="1"/>
        <v>0</v>
      </c>
      <c r="M21" s="10"/>
      <c r="N21" s="10">
        <f t="shared" si="2"/>
        <v>0</v>
      </c>
      <c r="O21" s="10"/>
      <c r="P21" s="10">
        <f t="shared" si="3"/>
        <v>0</v>
      </c>
      <c r="Q21" s="21"/>
    </row>
    <row r="22" spans="2:17" ht="20.45" customHeight="1">
      <c r="D22" s="21"/>
      <c r="E22" s="23"/>
      <c r="F22" s="7"/>
      <c r="G22" s="10"/>
      <c r="H22" s="10"/>
      <c r="I22" s="10">
        <f t="shared" si="0"/>
        <v>0</v>
      </c>
      <c r="J22" s="10"/>
      <c r="K22" s="10"/>
      <c r="L22" s="10">
        <f t="shared" si="1"/>
        <v>0</v>
      </c>
      <c r="M22" s="10"/>
      <c r="N22" s="10">
        <f t="shared" si="2"/>
        <v>0</v>
      </c>
      <c r="O22" s="10"/>
      <c r="P22" s="10">
        <f t="shared" si="3"/>
        <v>0</v>
      </c>
      <c r="Q22" s="21"/>
    </row>
    <row r="23" spans="2:17" ht="20.45" customHeight="1">
      <c r="D23" s="21"/>
      <c r="E23" s="23"/>
      <c r="F23" s="7"/>
      <c r="G23" s="10"/>
      <c r="H23" s="10"/>
      <c r="I23" s="10">
        <f t="shared" si="0"/>
        <v>0</v>
      </c>
      <c r="J23" s="10"/>
      <c r="K23" s="10"/>
      <c r="L23" s="10">
        <f t="shared" si="1"/>
        <v>0</v>
      </c>
      <c r="M23" s="10"/>
      <c r="N23" s="10">
        <f t="shared" si="2"/>
        <v>0</v>
      </c>
      <c r="O23" s="10"/>
      <c r="P23" s="10">
        <f t="shared" si="3"/>
        <v>0</v>
      </c>
      <c r="Q23" s="21"/>
    </row>
    <row r="24" spans="2:17" ht="20.45" customHeight="1">
      <c r="D24" s="21"/>
      <c r="E24" s="23"/>
      <c r="F24" s="7"/>
      <c r="G24" s="10"/>
      <c r="H24" s="10"/>
      <c r="I24" s="10">
        <f t="shared" si="0"/>
        <v>0</v>
      </c>
      <c r="J24" s="10"/>
      <c r="K24" s="10"/>
      <c r="L24" s="10">
        <f t="shared" si="1"/>
        <v>0</v>
      </c>
      <c r="M24" s="10"/>
      <c r="N24" s="10">
        <f t="shared" si="2"/>
        <v>0</v>
      </c>
      <c r="O24" s="10"/>
      <c r="P24" s="10">
        <f t="shared" si="3"/>
        <v>0</v>
      </c>
      <c r="Q24" s="21"/>
    </row>
    <row r="25" spans="2:17" ht="20.45" customHeight="1">
      <c r="D25" s="21"/>
      <c r="E25" s="23"/>
      <c r="F25" s="7"/>
      <c r="G25" s="10"/>
      <c r="H25" s="10"/>
      <c r="I25" s="10">
        <f t="shared" si="0"/>
        <v>0</v>
      </c>
      <c r="J25" s="10"/>
      <c r="K25" s="10"/>
      <c r="L25" s="10">
        <f t="shared" si="1"/>
        <v>0</v>
      </c>
      <c r="M25" s="10"/>
      <c r="N25" s="10">
        <f t="shared" si="2"/>
        <v>0</v>
      </c>
      <c r="O25" s="10"/>
      <c r="P25" s="10">
        <f t="shared" si="3"/>
        <v>0</v>
      </c>
      <c r="Q25" s="21"/>
    </row>
    <row r="26" spans="2:17" ht="20.45" customHeight="1">
      <c r="D26" s="21"/>
      <c r="E26" s="23"/>
      <c r="F26" s="7"/>
      <c r="G26" s="10"/>
      <c r="H26" s="10"/>
      <c r="I26" s="10">
        <f t="shared" si="0"/>
        <v>0</v>
      </c>
      <c r="J26" s="10"/>
      <c r="K26" s="10"/>
      <c r="L26" s="10">
        <f t="shared" si="1"/>
        <v>0</v>
      </c>
      <c r="M26" s="10"/>
      <c r="N26" s="10">
        <f t="shared" si="2"/>
        <v>0</v>
      </c>
      <c r="O26" s="10"/>
      <c r="P26" s="10">
        <f t="shared" si="3"/>
        <v>0</v>
      </c>
      <c r="Q26" s="21"/>
    </row>
    <row r="27" spans="2:17" ht="20.45" customHeight="1">
      <c r="D27" s="21"/>
      <c r="E27" s="23"/>
      <c r="F27" s="7"/>
      <c r="G27" s="10"/>
      <c r="H27" s="10"/>
      <c r="I27" s="10">
        <f t="shared" si="0"/>
        <v>0</v>
      </c>
      <c r="J27" s="10"/>
      <c r="K27" s="10"/>
      <c r="L27" s="10">
        <f t="shared" si="1"/>
        <v>0</v>
      </c>
      <c r="M27" s="10"/>
      <c r="N27" s="10">
        <f t="shared" si="2"/>
        <v>0</v>
      </c>
      <c r="O27" s="10"/>
      <c r="P27" s="10">
        <f t="shared" si="3"/>
        <v>0</v>
      </c>
      <c r="Q27" s="21"/>
    </row>
    <row r="28" spans="2:17" ht="20.45" customHeight="1">
      <c r="D28" s="21"/>
      <c r="E28" s="23"/>
      <c r="F28" s="7"/>
      <c r="G28" s="10"/>
      <c r="H28" s="10"/>
      <c r="I28" s="10">
        <f t="shared" si="0"/>
        <v>0</v>
      </c>
      <c r="J28" s="10"/>
      <c r="K28" s="10"/>
      <c r="L28" s="10">
        <f t="shared" si="1"/>
        <v>0</v>
      </c>
      <c r="M28" s="10"/>
      <c r="N28" s="10">
        <f t="shared" si="2"/>
        <v>0</v>
      </c>
      <c r="O28" s="10"/>
      <c r="P28" s="10">
        <f t="shared" si="3"/>
        <v>0</v>
      </c>
      <c r="Q28" s="21"/>
    </row>
    <row r="29" spans="2:17" ht="20.45" customHeight="1">
      <c r="C29" s="16" t="s">
        <v>569</v>
      </c>
      <c r="D29" s="21" t="s">
        <v>490</v>
      </c>
      <c r="E29" s="23"/>
      <c r="F29" s="7"/>
      <c r="G29" s="10"/>
      <c r="H29" s="10"/>
      <c r="I29" s="10">
        <f>TRUNC(SUM(I4:I28))</f>
        <v>0</v>
      </c>
      <c r="J29" s="10"/>
      <c r="K29" s="10"/>
      <c r="L29" s="10">
        <f>TRUNC(SUM(L4:L28))</f>
        <v>0</v>
      </c>
      <c r="M29" s="10"/>
      <c r="N29" s="10">
        <f>TRUNC(SUM(N4:N28))</f>
        <v>0</v>
      </c>
      <c r="O29" s="10"/>
      <c r="P29" s="10">
        <f>TRUNC(SUM(P4:P28))</f>
        <v>0</v>
      </c>
      <c r="Q29" s="21"/>
    </row>
    <row r="30" spans="2:17" ht="20.45" customHeight="1">
      <c r="B30" s="16" t="s">
        <v>283</v>
      </c>
      <c r="D30" s="27" t="s">
        <v>570</v>
      </c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9"/>
    </row>
    <row r="31" spans="2:17" ht="20.45" customHeight="1">
      <c r="B31" s="16" t="s">
        <v>493</v>
      </c>
      <c r="D31" s="21" t="s">
        <v>51</v>
      </c>
      <c r="E31" s="23"/>
      <c r="F31" s="7" t="s">
        <v>231</v>
      </c>
      <c r="G31" s="10">
        <v>1</v>
      </c>
      <c r="H31" s="10">
        <f>내역서!I55</f>
        <v>0</v>
      </c>
      <c r="I31" s="10">
        <f t="shared" ref="I31:I54" si="4">G31*H31</f>
        <v>0</v>
      </c>
      <c r="J31" s="10"/>
      <c r="K31" s="10">
        <f>내역서!L55</f>
        <v>0</v>
      </c>
      <c r="L31" s="10">
        <f t="shared" ref="L31:L54" si="5">G31*K31</f>
        <v>0</v>
      </c>
      <c r="M31" s="10">
        <f>내역서!N55</f>
        <v>0</v>
      </c>
      <c r="N31" s="10">
        <f t="shared" ref="N31:N54" si="6">G31*M31</f>
        <v>0</v>
      </c>
      <c r="O31" s="10"/>
      <c r="P31" s="10">
        <f t="shared" ref="P31:P54" si="7">SUM(I31,L31,N31)</f>
        <v>0</v>
      </c>
      <c r="Q31" s="21"/>
    </row>
    <row r="32" spans="2:17" ht="20.45" customHeight="1">
      <c r="B32" s="16" t="s">
        <v>504</v>
      </c>
      <c r="D32" s="21" t="s">
        <v>52</v>
      </c>
      <c r="E32" s="23"/>
      <c r="F32" s="7" t="s">
        <v>231</v>
      </c>
      <c r="G32" s="10">
        <v>1</v>
      </c>
      <c r="H32" s="10">
        <f>내역서!I107</f>
        <v>0</v>
      </c>
      <c r="I32" s="10">
        <f t="shared" si="4"/>
        <v>0</v>
      </c>
      <c r="J32" s="10"/>
      <c r="K32" s="10">
        <f>내역서!L107</f>
        <v>0</v>
      </c>
      <c r="L32" s="10">
        <f t="shared" si="5"/>
        <v>0</v>
      </c>
      <c r="M32" s="10">
        <f>내역서!N107</f>
        <v>0</v>
      </c>
      <c r="N32" s="10">
        <f t="shared" si="6"/>
        <v>0</v>
      </c>
      <c r="O32" s="10"/>
      <c r="P32" s="10">
        <f t="shared" si="7"/>
        <v>0</v>
      </c>
      <c r="Q32" s="21"/>
    </row>
    <row r="33" spans="2:17" ht="20.45" customHeight="1">
      <c r="B33" s="16" t="s">
        <v>509</v>
      </c>
      <c r="D33" s="21" t="s">
        <v>53</v>
      </c>
      <c r="E33" s="23"/>
      <c r="F33" s="7" t="s">
        <v>231</v>
      </c>
      <c r="G33" s="10">
        <v>1</v>
      </c>
      <c r="H33" s="10">
        <f>내역서!I133</f>
        <v>0</v>
      </c>
      <c r="I33" s="10">
        <f t="shared" si="4"/>
        <v>0</v>
      </c>
      <c r="J33" s="10"/>
      <c r="K33" s="10">
        <f>내역서!L133</f>
        <v>0</v>
      </c>
      <c r="L33" s="10">
        <f t="shared" si="5"/>
        <v>0</v>
      </c>
      <c r="M33" s="10">
        <f>내역서!N133</f>
        <v>0</v>
      </c>
      <c r="N33" s="10">
        <f t="shared" si="6"/>
        <v>0</v>
      </c>
      <c r="O33" s="10"/>
      <c r="P33" s="10">
        <f t="shared" si="7"/>
        <v>0</v>
      </c>
      <c r="Q33" s="21"/>
    </row>
    <row r="34" spans="2:17" ht="20.45" customHeight="1">
      <c r="B34" s="16" t="s">
        <v>520</v>
      </c>
      <c r="D34" s="21" t="s">
        <v>54</v>
      </c>
      <c r="E34" s="23"/>
      <c r="F34" s="7" t="s">
        <v>231</v>
      </c>
      <c r="G34" s="10">
        <v>1</v>
      </c>
      <c r="H34" s="10">
        <f>내역서!I185</f>
        <v>0</v>
      </c>
      <c r="I34" s="10">
        <f t="shared" si="4"/>
        <v>0</v>
      </c>
      <c r="J34" s="10"/>
      <c r="K34" s="10">
        <f>내역서!L185</f>
        <v>0</v>
      </c>
      <c r="L34" s="10">
        <f t="shared" si="5"/>
        <v>0</v>
      </c>
      <c r="M34" s="10">
        <f>내역서!N185</f>
        <v>0</v>
      </c>
      <c r="N34" s="10">
        <f t="shared" si="6"/>
        <v>0</v>
      </c>
      <c r="O34" s="10"/>
      <c r="P34" s="10">
        <f t="shared" si="7"/>
        <v>0</v>
      </c>
      <c r="Q34" s="21"/>
    </row>
    <row r="35" spans="2:17" ht="20.45" customHeight="1">
      <c r="B35" s="16" t="s">
        <v>551</v>
      </c>
      <c r="D35" s="21" t="s">
        <v>55</v>
      </c>
      <c r="E35" s="23"/>
      <c r="F35" s="7" t="s">
        <v>231</v>
      </c>
      <c r="G35" s="10">
        <v>1</v>
      </c>
      <c r="H35" s="10">
        <f>내역서!I211</f>
        <v>0</v>
      </c>
      <c r="I35" s="10">
        <f t="shared" si="4"/>
        <v>0</v>
      </c>
      <c r="J35" s="10"/>
      <c r="K35" s="10">
        <f>내역서!L211</f>
        <v>0</v>
      </c>
      <c r="L35" s="10">
        <f t="shared" si="5"/>
        <v>0</v>
      </c>
      <c r="M35" s="10">
        <f>내역서!N211</f>
        <v>0</v>
      </c>
      <c r="N35" s="10">
        <f t="shared" si="6"/>
        <v>0</v>
      </c>
      <c r="O35" s="10"/>
      <c r="P35" s="10">
        <f t="shared" si="7"/>
        <v>0</v>
      </c>
      <c r="Q35" s="21"/>
    </row>
    <row r="36" spans="2:17" ht="20.45" customHeight="1">
      <c r="D36" s="21"/>
      <c r="E36" s="23"/>
      <c r="F36" s="7"/>
      <c r="G36" s="10"/>
      <c r="H36" s="10"/>
      <c r="I36" s="10">
        <f t="shared" si="4"/>
        <v>0</v>
      </c>
      <c r="J36" s="10"/>
      <c r="K36" s="10"/>
      <c r="L36" s="10">
        <f t="shared" si="5"/>
        <v>0</v>
      </c>
      <c r="M36" s="10"/>
      <c r="N36" s="10">
        <f t="shared" si="6"/>
        <v>0</v>
      </c>
      <c r="O36" s="10"/>
      <c r="P36" s="10">
        <f t="shared" si="7"/>
        <v>0</v>
      </c>
      <c r="Q36" s="21"/>
    </row>
    <row r="37" spans="2:17" ht="20.45" customHeight="1">
      <c r="D37" s="21"/>
      <c r="E37" s="23"/>
      <c r="F37" s="7"/>
      <c r="G37" s="10"/>
      <c r="H37" s="10"/>
      <c r="I37" s="10">
        <f t="shared" si="4"/>
        <v>0</v>
      </c>
      <c r="J37" s="10"/>
      <c r="K37" s="10"/>
      <c r="L37" s="10">
        <f t="shared" si="5"/>
        <v>0</v>
      </c>
      <c r="M37" s="10"/>
      <c r="N37" s="10">
        <f t="shared" si="6"/>
        <v>0</v>
      </c>
      <c r="O37" s="10"/>
      <c r="P37" s="10">
        <f t="shared" si="7"/>
        <v>0</v>
      </c>
      <c r="Q37" s="21"/>
    </row>
    <row r="38" spans="2:17" ht="20.45" customHeight="1">
      <c r="D38" s="21"/>
      <c r="E38" s="23"/>
      <c r="F38" s="7"/>
      <c r="G38" s="10"/>
      <c r="H38" s="10"/>
      <c r="I38" s="10">
        <f t="shared" si="4"/>
        <v>0</v>
      </c>
      <c r="J38" s="10"/>
      <c r="K38" s="10"/>
      <c r="L38" s="10">
        <f t="shared" si="5"/>
        <v>0</v>
      </c>
      <c r="M38" s="10"/>
      <c r="N38" s="10">
        <f t="shared" si="6"/>
        <v>0</v>
      </c>
      <c r="O38" s="10"/>
      <c r="P38" s="10">
        <f t="shared" si="7"/>
        <v>0</v>
      </c>
      <c r="Q38" s="21"/>
    </row>
    <row r="39" spans="2:17" ht="20.45" customHeight="1">
      <c r="D39" s="21"/>
      <c r="E39" s="23"/>
      <c r="F39" s="7"/>
      <c r="G39" s="10"/>
      <c r="H39" s="10"/>
      <c r="I39" s="10">
        <f t="shared" si="4"/>
        <v>0</v>
      </c>
      <c r="J39" s="10"/>
      <c r="K39" s="10"/>
      <c r="L39" s="10">
        <f t="shared" si="5"/>
        <v>0</v>
      </c>
      <c r="M39" s="10"/>
      <c r="N39" s="10">
        <f t="shared" si="6"/>
        <v>0</v>
      </c>
      <c r="O39" s="10"/>
      <c r="P39" s="10">
        <f t="shared" si="7"/>
        <v>0</v>
      </c>
      <c r="Q39" s="21"/>
    </row>
    <row r="40" spans="2:17" ht="20.45" customHeight="1">
      <c r="D40" s="21"/>
      <c r="E40" s="23"/>
      <c r="F40" s="7"/>
      <c r="G40" s="10"/>
      <c r="H40" s="10"/>
      <c r="I40" s="10">
        <f t="shared" si="4"/>
        <v>0</v>
      </c>
      <c r="J40" s="10"/>
      <c r="K40" s="10"/>
      <c r="L40" s="10">
        <f t="shared" si="5"/>
        <v>0</v>
      </c>
      <c r="M40" s="10"/>
      <c r="N40" s="10">
        <f t="shared" si="6"/>
        <v>0</v>
      </c>
      <c r="O40" s="10"/>
      <c r="P40" s="10">
        <f t="shared" si="7"/>
        <v>0</v>
      </c>
      <c r="Q40" s="21"/>
    </row>
    <row r="41" spans="2:17" ht="20.45" customHeight="1">
      <c r="D41" s="21"/>
      <c r="E41" s="23"/>
      <c r="F41" s="7"/>
      <c r="G41" s="10"/>
      <c r="H41" s="10"/>
      <c r="I41" s="10">
        <f t="shared" si="4"/>
        <v>0</v>
      </c>
      <c r="J41" s="10"/>
      <c r="K41" s="10"/>
      <c r="L41" s="10">
        <f t="shared" si="5"/>
        <v>0</v>
      </c>
      <c r="M41" s="10"/>
      <c r="N41" s="10">
        <f t="shared" si="6"/>
        <v>0</v>
      </c>
      <c r="O41" s="10"/>
      <c r="P41" s="10">
        <f t="shared" si="7"/>
        <v>0</v>
      </c>
      <c r="Q41" s="21"/>
    </row>
    <row r="42" spans="2:17" ht="20.45" customHeight="1">
      <c r="D42" s="21"/>
      <c r="E42" s="23"/>
      <c r="F42" s="7"/>
      <c r="G42" s="10"/>
      <c r="H42" s="10"/>
      <c r="I42" s="10">
        <f t="shared" si="4"/>
        <v>0</v>
      </c>
      <c r="J42" s="10"/>
      <c r="K42" s="10"/>
      <c r="L42" s="10">
        <f t="shared" si="5"/>
        <v>0</v>
      </c>
      <c r="M42" s="10"/>
      <c r="N42" s="10">
        <f t="shared" si="6"/>
        <v>0</v>
      </c>
      <c r="O42" s="10"/>
      <c r="P42" s="10">
        <f t="shared" si="7"/>
        <v>0</v>
      </c>
      <c r="Q42" s="21"/>
    </row>
    <row r="43" spans="2:17" ht="20.45" customHeight="1">
      <c r="D43" s="21"/>
      <c r="E43" s="23"/>
      <c r="F43" s="7"/>
      <c r="G43" s="10"/>
      <c r="H43" s="10"/>
      <c r="I43" s="10">
        <f t="shared" si="4"/>
        <v>0</v>
      </c>
      <c r="J43" s="10"/>
      <c r="K43" s="10"/>
      <c r="L43" s="10">
        <f t="shared" si="5"/>
        <v>0</v>
      </c>
      <c r="M43" s="10"/>
      <c r="N43" s="10">
        <f t="shared" si="6"/>
        <v>0</v>
      </c>
      <c r="O43" s="10"/>
      <c r="P43" s="10">
        <f t="shared" si="7"/>
        <v>0</v>
      </c>
      <c r="Q43" s="21"/>
    </row>
    <row r="44" spans="2:17" ht="20.45" customHeight="1">
      <c r="D44" s="21"/>
      <c r="E44" s="23"/>
      <c r="F44" s="7"/>
      <c r="G44" s="10"/>
      <c r="H44" s="10"/>
      <c r="I44" s="10">
        <f t="shared" si="4"/>
        <v>0</v>
      </c>
      <c r="J44" s="10"/>
      <c r="K44" s="10"/>
      <c r="L44" s="10">
        <f t="shared" si="5"/>
        <v>0</v>
      </c>
      <c r="M44" s="10"/>
      <c r="N44" s="10">
        <f t="shared" si="6"/>
        <v>0</v>
      </c>
      <c r="O44" s="10"/>
      <c r="P44" s="10">
        <f t="shared" si="7"/>
        <v>0</v>
      </c>
      <c r="Q44" s="21"/>
    </row>
    <row r="45" spans="2:17" ht="20.45" customHeight="1">
      <c r="D45" s="21"/>
      <c r="E45" s="23"/>
      <c r="F45" s="7"/>
      <c r="G45" s="10"/>
      <c r="H45" s="10"/>
      <c r="I45" s="10">
        <f t="shared" si="4"/>
        <v>0</v>
      </c>
      <c r="J45" s="10"/>
      <c r="K45" s="10"/>
      <c r="L45" s="10">
        <f t="shared" si="5"/>
        <v>0</v>
      </c>
      <c r="M45" s="10"/>
      <c r="N45" s="10">
        <f t="shared" si="6"/>
        <v>0</v>
      </c>
      <c r="O45" s="10"/>
      <c r="P45" s="10">
        <f t="shared" si="7"/>
        <v>0</v>
      </c>
      <c r="Q45" s="21"/>
    </row>
    <row r="46" spans="2:17" ht="20.45" customHeight="1">
      <c r="D46" s="21"/>
      <c r="E46" s="23"/>
      <c r="F46" s="7"/>
      <c r="G46" s="10"/>
      <c r="H46" s="10"/>
      <c r="I46" s="10">
        <f t="shared" si="4"/>
        <v>0</v>
      </c>
      <c r="J46" s="10"/>
      <c r="K46" s="10"/>
      <c r="L46" s="10">
        <f t="shared" si="5"/>
        <v>0</v>
      </c>
      <c r="M46" s="10"/>
      <c r="N46" s="10">
        <f t="shared" si="6"/>
        <v>0</v>
      </c>
      <c r="O46" s="10"/>
      <c r="P46" s="10">
        <f t="shared" si="7"/>
        <v>0</v>
      </c>
      <c r="Q46" s="21"/>
    </row>
    <row r="47" spans="2:17" ht="20.45" customHeight="1">
      <c r="D47" s="21"/>
      <c r="E47" s="23"/>
      <c r="F47" s="7"/>
      <c r="G47" s="10"/>
      <c r="H47" s="10"/>
      <c r="I47" s="10">
        <f t="shared" si="4"/>
        <v>0</v>
      </c>
      <c r="J47" s="10"/>
      <c r="K47" s="10"/>
      <c r="L47" s="10">
        <f t="shared" si="5"/>
        <v>0</v>
      </c>
      <c r="M47" s="10"/>
      <c r="N47" s="10">
        <f t="shared" si="6"/>
        <v>0</v>
      </c>
      <c r="O47" s="10"/>
      <c r="P47" s="10">
        <f t="shared" si="7"/>
        <v>0</v>
      </c>
      <c r="Q47" s="21"/>
    </row>
    <row r="48" spans="2:17" ht="20.45" customHeight="1">
      <c r="D48" s="21"/>
      <c r="E48" s="23"/>
      <c r="F48" s="7"/>
      <c r="G48" s="10"/>
      <c r="H48" s="10"/>
      <c r="I48" s="10">
        <f t="shared" si="4"/>
        <v>0</v>
      </c>
      <c r="J48" s="10"/>
      <c r="K48" s="10"/>
      <c r="L48" s="10">
        <f t="shared" si="5"/>
        <v>0</v>
      </c>
      <c r="M48" s="10"/>
      <c r="N48" s="10">
        <f t="shared" si="6"/>
        <v>0</v>
      </c>
      <c r="O48" s="10"/>
      <c r="P48" s="10">
        <f t="shared" si="7"/>
        <v>0</v>
      </c>
      <c r="Q48" s="21"/>
    </row>
    <row r="49" spans="2:17" ht="20.45" customHeight="1">
      <c r="D49" s="21"/>
      <c r="E49" s="23"/>
      <c r="F49" s="7"/>
      <c r="G49" s="10"/>
      <c r="H49" s="10"/>
      <c r="I49" s="10">
        <f t="shared" si="4"/>
        <v>0</v>
      </c>
      <c r="J49" s="10"/>
      <c r="K49" s="10"/>
      <c r="L49" s="10">
        <f t="shared" si="5"/>
        <v>0</v>
      </c>
      <c r="M49" s="10"/>
      <c r="N49" s="10">
        <f t="shared" si="6"/>
        <v>0</v>
      </c>
      <c r="O49" s="10"/>
      <c r="P49" s="10">
        <f t="shared" si="7"/>
        <v>0</v>
      </c>
      <c r="Q49" s="21"/>
    </row>
    <row r="50" spans="2:17" ht="20.45" customHeight="1">
      <c r="D50" s="21"/>
      <c r="E50" s="23"/>
      <c r="F50" s="7"/>
      <c r="G50" s="10"/>
      <c r="H50" s="10"/>
      <c r="I50" s="10">
        <f t="shared" si="4"/>
        <v>0</v>
      </c>
      <c r="J50" s="10"/>
      <c r="K50" s="10"/>
      <c r="L50" s="10">
        <f t="shared" si="5"/>
        <v>0</v>
      </c>
      <c r="M50" s="10"/>
      <c r="N50" s="10">
        <f t="shared" si="6"/>
        <v>0</v>
      </c>
      <c r="O50" s="10"/>
      <c r="P50" s="10">
        <f t="shared" si="7"/>
        <v>0</v>
      </c>
      <c r="Q50" s="21"/>
    </row>
    <row r="51" spans="2:17" ht="20.45" customHeight="1">
      <c r="D51" s="21"/>
      <c r="E51" s="23"/>
      <c r="F51" s="7"/>
      <c r="G51" s="10"/>
      <c r="H51" s="10"/>
      <c r="I51" s="10">
        <f t="shared" si="4"/>
        <v>0</v>
      </c>
      <c r="J51" s="10"/>
      <c r="K51" s="10"/>
      <c r="L51" s="10">
        <f t="shared" si="5"/>
        <v>0</v>
      </c>
      <c r="M51" s="10"/>
      <c r="N51" s="10">
        <f t="shared" si="6"/>
        <v>0</v>
      </c>
      <c r="O51" s="10"/>
      <c r="P51" s="10">
        <f t="shared" si="7"/>
        <v>0</v>
      </c>
      <c r="Q51" s="21"/>
    </row>
    <row r="52" spans="2:17" ht="20.45" customHeight="1">
      <c r="D52" s="21"/>
      <c r="E52" s="23"/>
      <c r="F52" s="7"/>
      <c r="G52" s="10"/>
      <c r="H52" s="10"/>
      <c r="I52" s="10">
        <f t="shared" si="4"/>
        <v>0</v>
      </c>
      <c r="J52" s="10"/>
      <c r="K52" s="10"/>
      <c r="L52" s="10">
        <f t="shared" si="5"/>
        <v>0</v>
      </c>
      <c r="M52" s="10"/>
      <c r="N52" s="10">
        <f t="shared" si="6"/>
        <v>0</v>
      </c>
      <c r="O52" s="10"/>
      <c r="P52" s="10">
        <f t="shared" si="7"/>
        <v>0</v>
      </c>
      <c r="Q52" s="21"/>
    </row>
    <row r="53" spans="2:17" ht="20.45" customHeight="1">
      <c r="D53" s="21"/>
      <c r="E53" s="23"/>
      <c r="F53" s="7"/>
      <c r="G53" s="10"/>
      <c r="H53" s="10"/>
      <c r="I53" s="10">
        <f t="shared" si="4"/>
        <v>0</v>
      </c>
      <c r="J53" s="10"/>
      <c r="K53" s="10"/>
      <c r="L53" s="10">
        <f t="shared" si="5"/>
        <v>0</v>
      </c>
      <c r="M53" s="10"/>
      <c r="N53" s="10">
        <f t="shared" si="6"/>
        <v>0</v>
      </c>
      <c r="O53" s="10"/>
      <c r="P53" s="10">
        <f t="shared" si="7"/>
        <v>0</v>
      </c>
      <c r="Q53" s="21"/>
    </row>
    <row r="54" spans="2:17" ht="20.45" customHeight="1">
      <c r="D54" s="21"/>
      <c r="E54" s="23"/>
      <c r="F54" s="7"/>
      <c r="G54" s="10"/>
      <c r="H54" s="10"/>
      <c r="I54" s="10">
        <f t="shared" si="4"/>
        <v>0</v>
      </c>
      <c r="J54" s="10"/>
      <c r="K54" s="10"/>
      <c r="L54" s="10">
        <f t="shared" si="5"/>
        <v>0</v>
      </c>
      <c r="M54" s="10"/>
      <c r="N54" s="10">
        <f t="shared" si="6"/>
        <v>0</v>
      </c>
      <c r="O54" s="10"/>
      <c r="P54" s="10">
        <f t="shared" si="7"/>
        <v>0</v>
      </c>
      <c r="Q54" s="21"/>
    </row>
    <row r="55" spans="2:17" ht="20.45" customHeight="1">
      <c r="B55" s="16" t="s">
        <v>566</v>
      </c>
      <c r="C55" s="16" t="s">
        <v>569</v>
      </c>
      <c r="D55" s="21" t="s">
        <v>490</v>
      </c>
      <c r="E55" s="23"/>
      <c r="F55" s="7"/>
      <c r="G55" s="10"/>
      <c r="H55" s="10"/>
      <c r="I55" s="10">
        <f>TRUNC(SUM(I30:I54))</f>
        <v>0</v>
      </c>
      <c r="J55" s="10"/>
      <c r="K55" s="10"/>
      <c r="L55" s="10">
        <f>TRUNC(SUM(L30:L54))</f>
        <v>0</v>
      </c>
      <c r="M55" s="10"/>
      <c r="N55" s="10">
        <f>TRUNC(SUM(N30:N54))</f>
        <v>0</v>
      </c>
      <c r="O55" s="10"/>
      <c r="P55" s="10">
        <f>TRUNC(SUM(P30:P54))</f>
        <v>0</v>
      </c>
      <c r="Q55" s="21"/>
    </row>
    <row r="56" spans="2:17" ht="20.45" hidden="1" customHeight="1">
      <c r="B56" s="16" t="s">
        <v>283</v>
      </c>
      <c r="D56" s="27" t="s">
        <v>571</v>
      </c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9"/>
    </row>
    <row r="57" spans="2:17" ht="20.45" hidden="1" customHeight="1">
      <c r="B57" s="16" t="s">
        <v>553</v>
      </c>
      <c r="D57" s="21" t="s">
        <v>56</v>
      </c>
      <c r="E57" s="23"/>
      <c r="F57" s="7" t="s">
        <v>231</v>
      </c>
      <c r="G57" s="10">
        <v>1</v>
      </c>
      <c r="H57" s="10" t="e">
        <f>내역서!I263</f>
        <v>#REF!</v>
      </c>
      <c r="I57" s="10" t="e">
        <f t="shared" ref="I57:I80" si="8">G57*H57</f>
        <v>#REF!</v>
      </c>
      <c r="J57" s="10"/>
      <c r="K57" s="10" t="e">
        <f>내역서!L263</f>
        <v>#REF!</v>
      </c>
      <c r="L57" s="10" t="e">
        <f t="shared" ref="L57:L80" si="9">G57*K57</f>
        <v>#REF!</v>
      </c>
      <c r="M57" s="10" t="e">
        <f>내역서!N263</f>
        <v>#REF!</v>
      </c>
      <c r="N57" s="10" t="e">
        <f t="shared" ref="N57:N80" si="10">G57*M57</f>
        <v>#REF!</v>
      </c>
      <c r="O57" s="10"/>
      <c r="P57" s="10" t="e">
        <f t="shared" ref="P57:P80" si="11">SUM(I57,L57,N57)</f>
        <v>#REF!</v>
      </c>
      <c r="Q57" s="21"/>
    </row>
    <row r="58" spans="2:17" ht="20.45" hidden="1" customHeight="1">
      <c r="B58" s="16" t="s">
        <v>556</v>
      </c>
      <c r="D58" s="21" t="s">
        <v>57</v>
      </c>
      <c r="E58" s="23"/>
      <c r="F58" s="7" t="s">
        <v>231</v>
      </c>
      <c r="G58" s="10">
        <v>1</v>
      </c>
      <c r="H58" s="10" t="e">
        <f>내역서!I315</f>
        <v>#REF!</v>
      </c>
      <c r="I58" s="10" t="e">
        <f t="shared" si="8"/>
        <v>#REF!</v>
      </c>
      <c r="J58" s="10"/>
      <c r="K58" s="10" t="e">
        <f>내역서!L315</f>
        <v>#REF!</v>
      </c>
      <c r="L58" s="10" t="e">
        <f t="shared" si="9"/>
        <v>#REF!</v>
      </c>
      <c r="M58" s="10" t="e">
        <f>내역서!N315</f>
        <v>#REF!</v>
      </c>
      <c r="N58" s="10" t="e">
        <f t="shared" si="10"/>
        <v>#REF!</v>
      </c>
      <c r="O58" s="10"/>
      <c r="P58" s="10" t="e">
        <f t="shared" si="11"/>
        <v>#REF!</v>
      </c>
      <c r="Q58" s="21"/>
    </row>
    <row r="59" spans="2:17" ht="20.45" hidden="1" customHeight="1">
      <c r="B59" s="16" t="s">
        <v>562</v>
      </c>
      <c r="D59" s="21" t="s">
        <v>58</v>
      </c>
      <c r="E59" s="23"/>
      <c r="F59" s="7" t="s">
        <v>231</v>
      </c>
      <c r="G59" s="10">
        <v>1</v>
      </c>
      <c r="H59" s="10" t="e">
        <f>내역서!I341</f>
        <v>#REF!</v>
      </c>
      <c r="I59" s="10" t="e">
        <f t="shared" si="8"/>
        <v>#REF!</v>
      </c>
      <c r="J59" s="10"/>
      <c r="K59" s="10" t="e">
        <f>내역서!L341</f>
        <v>#REF!</v>
      </c>
      <c r="L59" s="10" t="e">
        <f t="shared" si="9"/>
        <v>#REF!</v>
      </c>
      <c r="M59" s="10" t="e">
        <f>내역서!N341</f>
        <v>#REF!</v>
      </c>
      <c r="N59" s="10" t="e">
        <f t="shared" si="10"/>
        <v>#REF!</v>
      </c>
      <c r="O59" s="10"/>
      <c r="P59" s="10" t="e">
        <f t="shared" si="11"/>
        <v>#REF!</v>
      </c>
      <c r="Q59" s="21"/>
    </row>
    <row r="60" spans="2:17" ht="20.45" hidden="1" customHeight="1">
      <c r="D60" s="21"/>
      <c r="E60" s="23"/>
      <c r="F60" s="7"/>
      <c r="G60" s="10"/>
      <c r="H60" s="10"/>
      <c r="I60" s="10">
        <f t="shared" si="8"/>
        <v>0</v>
      </c>
      <c r="J60" s="10"/>
      <c r="K60" s="10"/>
      <c r="L60" s="10">
        <f t="shared" si="9"/>
        <v>0</v>
      </c>
      <c r="M60" s="10"/>
      <c r="N60" s="10">
        <f t="shared" si="10"/>
        <v>0</v>
      </c>
      <c r="O60" s="10"/>
      <c r="P60" s="10">
        <f t="shared" si="11"/>
        <v>0</v>
      </c>
      <c r="Q60" s="21"/>
    </row>
    <row r="61" spans="2:17" ht="20.45" hidden="1" customHeight="1">
      <c r="D61" s="21"/>
      <c r="E61" s="23"/>
      <c r="F61" s="7"/>
      <c r="G61" s="10"/>
      <c r="H61" s="10"/>
      <c r="I61" s="10">
        <f t="shared" si="8"/>
        <v>0</v>
      </c>
      <c r="J61" s="10"/>
      <c r="K61" s="10"/>
      <c r="L61" s="10">
        <f t="shared" si="9"/>
        <v>0</v>
      </c>
      <c r="M61" s="10"/>
      <c r="N61" s="10">
        <f t="shared" si="10"/>
        <v>0</v>
      </c>
      <c r="O61" s="10"/>
      <c r="P61" s="10">
        <f t="shared" si="11"/>
        <v>0</v>
      </c>
      <c r="Q61" s="21"/>
    </row>
    <row r="62" spans="2:17" ht="20.45" hidden="1" customHeight="1">
      <c r="D62" s="21"/>
      <c r="E62" s="23"/>
      <c r="F62" s="7"/>
      <c r="G62" s="10"/>
      <c r="H62" s="10"/>
      <c r="I62" s="10">
        <f t="shared" si="8"/>
        <v>0</v>
      </c>
      <c r="J62" s="10"/>
      <c r="K62" s="10"/>
      <c r="L62" s="10">
        <f t="shared" si="9"/>
        <v>0</v>
      </c>
      <c r="M62" s="10"/>
      <c r="N62" s="10">
        <f t="shared" si="10"/>
        <v>0</v>
      </c>
      <c r="O62" s="10"/>
      <c r="P62" s="10">
        <f t="shared" si="11"/>
        <v>0</v>
      </c>
      <c r="Q62" s="21"/>
    </row>
    <row r="63" spans="2:17" ht="20.45" hidden="1" customHeight="1">
      <c r="D63" s="21"/>
      <c r="E63" s="23"/>
      <c r="F63" s="7"/>
      <c r="G63" s="10"/>
      <c r="H63" s="10"/>
      <c r="I63" s="10">
        <f t="shared" si="8"/>
        <v>0</v>
      </c>
      <c r="J63" s="10"/>
      <c r="K63" s="10"/>
      <c r="L63" s="10">
        <f t="shared" si="9"/>
        <v>0</v>
      </c>
      <c r="M63" s="10"/>
      <c r="N63" s="10">
        <f t="shared" si="10"/>
        <v>0</v>
      </c>
      <c r="O63" s="10"/>
      <c r="P63" s="10">
        <f t="shared" si="11"/>
        <v>0</v>
      </c>
      <c r="Q63" s="21"/>
    </row>
    <row r="64" spans="2:17" ht="20.45" hidden="1" customHeight="1">
      <c r="D64" s="21"/>
      <c r="E64" s="23"/>
      <c r="F64" s="7"/>
      <c r="G64" s="10"/>
      <c r="H64" s="10"/>
      <c r="I64" s="10">
        <f t="shared" si="8"/>
        <v>0</v>
      </c>
      <c r="J64" s="10"/>
      <c r="K64" s="10"/>
      <c r="L64" s="10">
        <f t="shared" si="9"/>
        <v>0</v>
      </c>
      <c r="M64" s="10"/>
      <c r="N64" s="10">
        <f t="shared" si="10"/>
        <v>0</v>
      </c>
      <c r="O64" s="10"/>
      <c r="P64" s="10">
        <f t="shared" si="11"/>
        <v>0</v>
      </c>
      <c r="Q64" s="21"/>
    </row>
    <row r="65" spans="4:17" ht="20.45" hidden="1" customHeight="1">
      <c r="D65" s="21"/>
      <c r="E65" s="23"/>
      <c r="F65" s="7"/>
      <c r="G65" s="10"/>
      <c r="H65" s="10"/>
      <c r="I65" s="10">
        <f t="shared" si="8"/>
        <v>0</v>
      </c>
      <c r="J65" s="10"/>
      <c r="K65" s="10"/>
      <c r="L65" s="10">
        <f t="shared" si="9"/>
        <v>0</v>
      </c>
      <c r="M65" s="10"/>
      <c r="N65" s="10">
        <f t="shared" si="10"/>
        <v>0</v>
      </c>
      <c r="O65" s="10"/>
      <c r="P65" s="10">
        <f t="shared" si="11"/>
        <v>0</v>
      </c>
      <c r="Q65" s="21"/>
    </row>
    <row r="66" spans="4:17" ht="20.45" hidden="1" customHeight="1">
      <c r="D66" s="21"/>
      <c r="E66" s="23"/>
      <c r="F66" s="7"/>
      <c r="G66" s="10"/>
      <c r="H66" s="10"/>
      <c r="I66" s="10">
        <f t="shared" si="8"/>
        <v>0</v>
      </c>
      <c r="J66" s="10"/>
      <c r="K66" s="10"/>
      <c r="L66" s="10">
        <f t="shared" si="9"/>
        <v>0</v>
      </c>
      <c r="M66" s="10"/>
      <c r="N66" s="10">
        <f t="shared" si="10"/>
        <v>0</v>
      </c>
      <c r="O66" s="10"/>
      <c r="P66" s="10">
        <f t="shared" si="11"/>
        <v>0</v>
      </c>
      <c r="Q66" s="21"/>
    </row>
    <row r="67" spans="4:17" ht="20.45" hidden="1" customHeight="1">
      <c r="D67" s="21"/>
      <c r="E67" s="23"/>
      <c r="F67" s="7"/>
      <c r="G67" s="10"/>
      <c r="H67" s="10"/>
      <c r="I67" s="10">
        <f t="shared" si="8"/>
        <v>0</v>
      </c>
      <c r="J67" s="10"/>
      <c r="K67" s="10"/>
      <c r="L67" s="10">
        <f t="shared" si="9"/>
        <v>0</v>
      </c>
      <c r="M67" s="10"/>
      <c r="N67" s="10">
        <f t="shared" si="10"/>
        <v>0</v>
      </c>
      <c r="O67" s="10"/>
      <c r="P67" s="10">
        <f t="shared" si="11"/>
        <v>0</v>
      </c>
      <c r="Q67" s="21"/>
    </row>
    <row r="68" spans="4:17" ht="20.45" hidden="1" customHeight="1">
      <c r="D68" s="21"/>
      <c r="E68" s="23"/>
      <c r="F68" s="7"/>
      <c r="G68" s="10"/>
      <c r="H68" s="10"/>
      <c r="I68" s="10">
        <f t="shared" si="8"/>
        <v>0</v>
      </c>
      <c r="J68" s="10"/>
      <c r="K68" s="10"/>
      <c r="L68" s="10">
        <f t="shared" si="9"/>
        <v>0</v>
      </c>
      <c r="M68" s="10"/>
      <c r="N68" s="10">
        <f t="shared" si="10"/>
        <v>0</v>
      </c>
      <c r="O68" s="10"/>
      <c r="P68" s="10">
        <f t="shared" si="11"/>
        <v>0</v>
      </c>
      <c r="Q68" s="21"/>
    </row>
    <row r="69" spans="4:17" ht="20.45" hidden="1" customHeight="1">
      <c r="D69" s="21"/>
      <c r="E69" s="23"/>
      <c r="F69" s="7"/>
      <c r="G69" s="10"/>
      <c r="H69" s="10"/>
      <c r="I69" s="10">
        <f t="shared" si="8"/>
        <v>0</v>
      </c>
      <c r="J69" s="10"/>
      <c r="K69" s="10"/>
      <c r="L69" s="10">
        <f t="shared" si="9"/>
        <v>0</v>
      </c>
      <c r="M69" s="10"/>
      <c r="N69" s="10">
        <f t="shared" si="10"/>
        <v>0</v>
      </c>
      <c r="O69" s="10"/>
      <c r="P69" s="10">
        <f t="shared" si="11"/>
        <v>0</v>
      </c>
      <c r="Q69" s="21"/>
    </row>
    <row r="70" spans="4:17" ht="20.45" hidden="1" customHeight="1">
      <c r="D70" s="21"/>
      <c r="E70" s="23"/>
      <c r="F70" s="7"/>
      <c r="G70" s="10"/>
      <c r="H70" s="10"/>
      <c r="I70" s="10">
        <f t="shared" si="8"/>
        <v>0</v>
      </c>
      <c r="J70" s="10"/>
      <c r="K70" s="10"/>
      <c r="L70" s="10">
        <f t="shared" si="9"/>
        <v>0</v>
      </c>
      <c r="M70" s="10"/>
      <c r="N70" s="10">
        <f t="shared" si="10"/>
        <v>0</v>
      </c>
      <c r="O70" s="10"/>
      <c r="P70" s="10">
        <f t="shared" si="11"/>
        <v>0</v>
      </c>
      <c r="Q70" s="21"/>
    </row>
    <row r="71" spans="4:17" ht="20.45" hidden="1" customHeight="1">
      <c r="D71" s="21"/>
      <c r="E71" s="23"/>
      <c r="F71" s="7"/>
      <c r="G71" s="10"/>
      <c r="H71" s="10"/>
      <c r="I71" s="10">
        <f t="shared" si="8"/>
        <v>0</v>
      </c>
      <c r="J71" s="10"/>
      <c r="K71" s="10"/>
      <c r="L71" s="10">
        <f t="shared" si="9"/>
        <v>0</v>
      </c>
      <c r="M71" s="10"/>
      <c r="N71" s="10">
        <f t="shared" si="10"/>
        <v>0</v>
      </c>
      <c r="O71" s="10"/>
      <c r="P71" s="10">
        <f t="shared" si="11"/>
        <v>0</v>
      </c>
      <c r="Q71" s="21"/>
    </row>
    <row r="72" spans="4:17" ht="20.45" hidden="1" customHeight="1">
      <c r="D72" s="21"/>
      <c r="E72" s="23"/>
      <c r="F72" s="7"/>
      <c r="G72" s="10"/>
      <c r="H72" s="10"/>
      <c r="I72" s="10">
        <f t="shared" si="8"/>
        <v>0</v>
      </c>
      <c r="J72" s="10"/>
      <c r="K72" s="10"/>
      <c r="L72" s="10">
        <f t="shared" si="9"/>
        <v>0</v>
      </c>
      <c r="M72" s="10"/>
      <c r="N72" s="10">
        <f t="shared" si="10"/>
        <v>0</v>
      </c>
      <c r="O72" s="10"/>
      <c r="P72" s="10">
        <f t="shared" si="11"/>
        <v>0</v>
      </c>
      <c r="Q72" s="21"/>
    </row>
    <row r="73" spans="4:17" ht="20.45" hidden="1" customHeight="1">
      <c r="D73" s="21"/>
      <c r="E73" s="23"/>
      <c r="F73" s="7"/>
      <c r="G73" s="10"/>
      <c r="H73" s="10"/>
      <c r="I73" s="10">
        <f t="shared" si="8"/>
        <v>0</v>
      </c>
      <c r="J73" s="10"/>
      <c r="K73" s="10"/>
      <c r="L73" s="10">
        <f t="shared" si="9"/>
        <v>0</v>
      </c>
      <c r="M73" s="10"/>
      <c r="N73" s="10">
        <f t="shared" si="10"/>
        <v>0</v>
      </c>
      <c r="O73" s="10"/>
      <c r="P73" s="10">
        <f t="shared" si="11"/>
        <v>0</v>
      </c>
      <c r="Q73" s="21"/>
    </row>
    <row r="74" spans="4:17" ht="20.45" hidden="1" customHeight="1">
      <c r="D74" s="21"/>
      <c r="E74" s="23"/>
      <c r="F74" s="7"/>
      <c r="G74" s="10"/>
      <c r="H74" s="10"/>
      <c r="I74" s="10">
        <f t="shared" si="8"/>
        <v>0</v>
      </c>
      <c r="J74" s="10"/>
      <c r="K74" s="10"/>
      <c r="L74" s="10">
        <f t="shared" si="9"/>
        <v>0</v>
      </c>
      <c r="M74" s="10"/>
      <c r="N74" s="10">
        <f t="shared" si="10"/>
        <v>0</v>
      </c>
      <c r="O74" s="10"/>
      <c r="P74" s="10">
        <f t="shared" si="11"/>
        <v>0</v>
      </c>
      <c r="Q74" s="21"/>
    </row>
    <row r="75" spans="4:17" ht="20.45" hidden="1" customHeight="1">
      <c r="D75" s="21"/>
      <c r="E75" s="23"/>
      <c r="F75" s="7"/>
      <c r="G75" s="10"/>
      <c r="H75" s="10"/>
      <c r="I75" s="10">
        <f t="shared" si="8"/>
        <v>0</v>
      </c>
      <c r="J75" s="10"/>
      <c r="K75" s="10"/>
      <c r="L75" s="10">
        <f t="shared" si="9"/>
        <v>0</v>
      </c>
      <c r="M75" s="10"/>
      <c r="N75" s="10">
        <f t="shared" si="10"/>
        <v>0</v>
      </c>
      <c r="O75" s="10"/>
      <c r="P75" s="10">
        <f t="shared" si="11"/>
        <v>0</v>
      </c>
      <c r="Q75" s="21"/>
    </row>
    <row r="76" spans="4:17" ht="20.45" hidden="1" customHeight="1">
      <c r="D76" s="21"/>
      <c r="E76" s="23"/>
      <c r="F76" s="7"/>
      <c r="G76" s="10"/>
      <c r="H76" s="10"/>
      <c r="I76" s="10">
        <f t="shared" si="8"/>
        <v>0</v>
      </c>
      <c r="J76" s="10"/>
      <c r="K76" s="10"/>
      <c r="L76" s="10">
        <f t="shared" si="9"/>
        <v>0</v>
      </c>
      <c r="M76" s="10"/>
      <c r="N76" s="10">
        <f t="shared" si="10"/>
        <v>0</v>
      </c>
      <c r="O76" s="10"/>
      <c r="P76" s="10">
        <f t="shared" si="11"/>
        <v>0</v>
      </c>
      <c r="Q76" s="21"/>
    </row>
    <row r="77" spans="4:17" ht="20.45" hidden="1" customHeight="1">
      <c r="D77" s="21"/>
      <c r="E77" s="23"/>
      <c r="F77" s="7"/>
      <c r="G77" s="10"/>
      <c r="H77" s="10"/>
      <c r="I77" s="10">
        <f t="shared" si="8"/>
        <v>0</v>
      </c>
      <c r="J77" s="10"/>
      <c r="K77" s="10"/>
      <c r="L77" s="10">
        <f t="shared" si="9"/>
        <v>0</v>
      </c>
      <c r="M77" s="10"/>
      <c r="N77" s="10">
        <f t="shared" si="10"/>
        <v>0</v>
      </c>
      <c r="O77" s="10"/>
      <c r="P77" s="10">
        <f t="shared" si="11"/>
        <v>0</v>
      </c>
      <c r="Q77" s="21"/>
    </row>
    <row r="78" spans="4:17" ht="20.45" hidden="1" customHeight="1">
      <c r="D78" s="21"/>
      <c r="E78" s="23"/>
      <c r="F78" s="7"/>
      <c r="G78" s="10"/>
      <c r="H78" s="10"/>
      <c r="I78" s="10">
        <f t="shared" si="8"/>
        <v>0</v>
      </c>
      <c r="J78" s="10"/>
      <c r="K78" s="10"/>
      <c r="L78" s="10">
        <f t="shared" si="9"/>
        <v>0</v>
      </c>
      <c r="M78" s="10"/>
      <c r="N78" s="10">
        <f t="shared" si="10"/>
        <v>0</v>
      </c>
      <c r="O78" s="10"/>
      <c r="P78" s="10">
        <f t="shared" si="11"/>
        <v>0</v>
      </c>
      <c r="Q78" s="21"/>
    </row>
    <row r="79" spans="4:17" ht="20.45" hidden="1" customHeight="1">
      <c r="D79" s="21"/>
      <c r="E79" s="23"/>
      <c r="F79" s="7"/>
      <c r="G79" s="10"/>
      <c r="H79" s="10"/>
      <c r="I79" s="10">
        <f t="shared" si="8"/>
        <v>0</v>
      </c>
      <c r="J79" s="10"/>
      <c r="K79" s="10"/>
      <c r="L79" s="10">
        <f t="shared" si="9"/>
        <v>0</v>
      </c>
      <c r="M79" s="10"/>
      <c r="N79" s="10">
        <f t="shared" si="10"/>
        <v>0</v>
      </c>
      <c r="O79" s="10"/>
      <c r="P79" s="10">
        <f t="shared" si="11"/>
        <v>0</v>
      </c>
      <c r="Q79" s="21"/>
    </row>
    <row r="80" spans="4:17" ht="20.45" hidden="1" customHeight="1">
      <c r="D80" s="21"/>
      <c r="E80" s="23"/>
      <c r="F80" s="7"/>
      <c r="G80" s="10"/>
      <c r="H80" s="10"/>
      <c r="I80" s="10">
        <f t="shared" si="8"/>
        <v>0</v>
      </c>
      <c r="J80" s="10"/>
      <c r="K80" s="10"/>
      <c r="L80" s="10">
        <f t="shared" si="9"/>
        <v>0</v>
      </c>
      <c r="M80" s="10"/>
      <c r="N80" s="10">
        <f t="shared" si="10"/>
        <v>0</v>
      </c>
      <c r="O80" s="10"/>
      <c r="P80" s="10">
        <f t="shared" si="11"/>
        <v>0</v>
      </c>
      <c r="Q80" s="21"/>
    </row>
    <row r="81" spans="2:17" ht="20.45" hidden="1" customHeight="1">
      <c r="B81" s="16" t="s">
        <v>568</v>
      </c>
      <c r="C81" s="16" t="s">
        <v>569</v>
      </c>
      <c r="D81" s="21" t="s">
        <v>490</v>
      </c>
      <c r="E81" s="23"/>
      <c r="F81" s="7"/>
      <c r="G81" s="10"/>
      <c r="H81" s="10"/>
      <c r="I81" s="10" t="e">
        <f>TRUNC(SUM(I56:I80))</f>
        <v>#REF!</v>
      </c>
      <c r="J81" s="10"/>
      <c r="K81" s="10"/>
      <c r="L81" s="10" t="e">
        <f>TRUNC(SUM(L56:L80))</f>
        <v>#REF!</v>
      </c>
      <c r="M81" s="10"/>
      <c r="N81" s="10" t="e">
        <f>TRUNC(SUM(N56:N80))</f>
        <v>#REF!</v>
      </c>
      <c r="O81" s="10"/>
      <c r="P81" s="10" t="e">
        <f>TRUNC(SUM(P56:P80))</f>
        <v>#REF!</v>
      </c>
      <c r="Q81" s="21"/>
    </row>
  </sheetData>
  <mergeCells count="16">
    <mergeCell ref="D1:Q1"/>
    <mergeCell ref="A2:A3"/>
    <mergeCell ref="Q2:Q3"/>
    <mergeCell ref="B2:B3"/>
    <mergeCell ref="C2:C3"/>
    <mergeCell ref="E2:E3"/>
    <mergeCell ref="F2:F3"/>
    <mergeCell ref="G2:G3"/>
    <mergeCell ref="H2:I2"/>
    <mergeCell ref="P2:P3"/>
    <mergeCell ref="D2:D3"/>
    <mergeCell ref="D4:Q4"/>
    <mergeCell ref="D30:Q30"/>
    <mergeCell ref="D56:Q56"/>
    <mergeCell ref="J2:L2"/>
    <mergeCell ref="M2:N2"/>
  </mergeCells>
  <phoneticPr fontId="2" type="noConversion"/>
  <printOptions horizontalCentered="1" verticalCentered="1"/>
  <pageMargins left="0.74803149606299213" right="0.35433070866141736" top="0.59055118110236227" bottom="0.59055118110236227" header="0.51181102362204722" footer="0.47244094488188981"/>
  <pageSetup paperSize="9" scale="85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AE341"/>
  <sheetViews>
    <sheetView view="pageBreakPreview" topLeftCell="D1" zoomScaleSheetLayoutView="100" workbookViewId="0">
      <pane ySplit="3" topLeftCell="A24" activePane="bottomLeft" state="frozen"/>
      <selection activeCell="A2" sqref="A2"/>
      <selection pane="bottomLeft" activeCell="U51" sqref="U51"/>
    </sheetView>
  </sheetViews>
  <sheetFormatPr defaultRowHeight="23.1" customHeight="1"/>
  <cols>
    <col min="1" max="1" width="12.109375" style="16" hidden="1" customWidth="1"/>
    <col min="2" max="2" width="17.44140625" style="16" hidden="1" customWidth="1"/>
    <col min="3" max="3" width="20.6640625" style="16" hidden="1" customWidth="1"/>
    <col min="4" max="4" width="24.33203125" style="16" customWidth="1"/>
    <col min="5" max="5" width="25.33203125" style="16" customWidth="1"/>
    <col min="6" max="6" width="4.21875" style="22" customWidth="1"/>
    <col min="7" max="7" width="10" style="1" customWidth="1"/>
    <col min="8" max="8" width="13" style="2" customWidth="1"/>
    <col min="9" max="9" width="13.21875" style="2" customWidth="1"/>
    <col min="10" max="10" width="5.5546875" style="2" hidden="1" customWidth="1"/>
    <col min="11" max="11" width="10.44140625" style="2" customWidth="1"/>
    <col min="12" max="12" width="11.77734375" style="2" customWidth="1"/>
    <col min="13" max="13" width="8.44140625" style="2" customWidth="1"/>
    <col min="14" max="14" width="9.109375" style="2" customWidth="1"/>
    <col min="15" max="15" width="6" style="2" hidden="1" customWidth="1"/>
    <col min="16" max="16" width="13" style="2" customWidth="1"/>
    <col min="17" max="17" width="11.109375" style="16" customWidth="1"/>
    <col min="18" max="26" width="8.88671875" style="1"/>
    <col min="27" max="31" width="11.77734375" style="2" customWidth="1"/>
    <col min="32" max="16384" width="8.88671875" style="1"/>
  </cols>
  <sheetData>
    <row r="1" spans="1:31" ht="23.1" customHeight="1">
      <c r="A1" s="16" t="s">
        <v>282</v>
      </c>
      <c r="B1" s="16" t="s">
        <v>563</v>
      </c>
      <c r="C1" s="16" t="s">
        <v>564</v>
      </c>
      <c r="D1" s="38" t="s">
        <v>491</v>
      </c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W1" s="31" t="s">
        <v>33</v>
      </c>
      <c r="X1" s="31"/>
      <c r="Y1" s="31"/>
      <c r="Z1" s="22"/>
      <c r="AA1" s="22" t="s">
        <v>38</v>
      </c>
      <c r="AB1" s="22"/>
      <c r="AC1" s="22"/>
      <c r="AD1" s="22"/>
      <c r="AE1" s="22"/>
    </row>
    <row r="2" spans="1:31" s="22" customFormat="1" ht="23.1" customHeight="1">
      <c r="A2" s="30" t="s">
        <v>28</v>
      </c>
      <c r="B2" s="30" t="s">
        <v>8</v>
      </c>
      <c r="C2" s="30" t="s">
        <v>7</v>
      </c>
      <c r="D2" s="32" t="s">
        <v>31</v>
      </c>
      <c r="E2" s="32" t="s">
        <v>32</v>
      </c>
      <c r="F2" s="35" t="s">
        <v>0</v>
      </c>
      <c r="G2" s="35" t="s">
        <v>1</v>
      </c>
      <c r="H2" s="34" t="s">
        <v>10</v>
      </c>
      <c r="I2" s="34"/>
      <c r="J2" s="34" t="s">
        <v>11</v>
      </c>
      <c r="K2" s="34"/>
      <c r="L2" s="34"/>
      <c r="M2" s="34" t="s">
        <v>12</v>
      </c>
      <c r="N2" s="34"/>
      <c r="O2" s="18"/>
      <c r="P2" s="34" t="s">
        <v>15</v>
      </c>
      <c r="Q2" s="32" t="s">
        <v>13</v>
      </c>
      <c r="W2" s="22" t="s">
        <v>34</v>
      </c>
      <c r="X2" s="22" t="s">
        <v>35</v>
      </c>
      <c r="Y2" s="22" t="s">
        <v>36</v>
      </c>
      <c r="Z2" s="22" t="s">
        <v>37</v>
      </c>
      <c r="AA2" s="24" t="s">
        <v>49</v>
      </c>
      <c r="AB2" s="24" t="s">
        <v>48</v>
      </c>
      <c r="AC2" s="24" t="s">
        <v>39</v>
      </c>
      <c r="AD2" s="24" t="s">
        <v>41</v>
      </c>
      <c r="AE2" s="24" t="s">
        <v>40</v>
      </c>
    </row>
    <row r="3" spans="1:31" s="22" customFormat="1" ht="23.1" customHeight="1">
      <c r="A3" s="30"/>
      <c r="B3" s="30"/>
      <c r="C3" s="30"/>
      <c r="D3" s="33"/>
      <c r="E3" s="33"/>
      <c r="F3" s="36"/>
      <c r="G3" s="36"/>
      <c r="H3" s="20" t="s">
        <v>16</v>
      </c>
      <c r="I3" s="20" t="s">
        <v>17</v>
      </c>
      <c r="J3" s="20" t="s">
        <v>1</v>
      </c>
      <c r="K3" s="20" t="s">
        <v>16</v>
      </c>
      <c r="L3" s="20" t="s">
        <v>17</v>
      </c>
      <c r="M3" s="20" t="s">
        <v>18</v>
      </c>
      <c r="N3" s="20" t="s">
        <v>17</v>
      </c>
      <c r="O3" s="20" t="s">
        <v>19</v>
      </c>
      <c r="P3" s="37"/>
      <c r="Q3" s="33"/>
      <c r="W3" s="1"/>
      <c r="X3" s="1"/>
      <c r="Y3" s="1"/>
      <c r="Z3" s="1"/>
      <c r="AA3" s="2"/>
      <c r="AB3" s="2"/>
      <c r="AC3" s="2"/>
      <c r="AD3" s="2" t="e">
        <f xml:space="preserve"> IF(#REF! =0, "1",#REF!)</f>
        <v>#REF!</v>
      </c>
      <c r="AE3" s="2" t="e">
        <f xml:space="preserve"> IF(#REF! =0, "1",#REF!)</f>
        <v>#REF!</v>
      </c>
    </row>
    <row r="4" spans="1:31" ht="23.1" customHeight="1">
      <c r="B4" s="16" t="s">
        <v>283</v>
      </c>
      <c r="D4" s="27" t="s">
        <v>492</v>
      </c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9"/>
    </row>
    <row r="5" spans="1:31" ht="23.1" customHeight="1">
      <c r="A5" s="16" t="s">
        <v>317</v>
      </c>
      <c r="B5" s="16" t="s">
        <v>493</v>
      </c>
      <c r="C5" s="16" t="s">
        <v>318</v>
      </c>
      <c r="D5" s="21" t="s">
        <v>59</v>
      </c>
      <c r="E5" s="21" t="s">
        <v>60</v>
      </c>
      <c r="F5" s="7" t="s">
        <v>61</v>
      </c>
      <c r="G5" s="23">
        <v>2061</v>
      </c>
      <c r="H5" s="10"/>
      <c r="I5" s="25"/>
      <c r="J5" s="10"/>
      <c r="K5" s="10"/>
      <c r="L5" s="25"/>
      <c r="M5" s="10"/>
      <c r="N5" s="25"/>
      <c r="O5" s="10"/>
      <c r="P5" s="10"/>
      <c r="Q5" s="21" t="s">
        <v>319</v>
      </c>
      <c r="AB5" s="2">
        <f>G5*H5</f>
        <v>0</v>
      </c>
      <c r="AC5" s="2">
        <f t="shared" ref="AC5:AC14" si="0">G5*H5</f>
        <v>0</v>
      </c>
    </row>
    <row r="6" spans="1:31" ht="23.1" customHeight="1">
      <c r="A6" s="16" t="s">
        <v>320</v>
      </c>
      <c r="B6" s="16" t="s">
        <v>493</v>
      </c>
      <c r="C6" s="16" t="s">
        <v>321</v>
      </c>
      <c r="D6" s="21" t="s">
        <v>59</v>
      </c>
      <c r="E6" s="21" t="s">
        <v>62</v>
      </c>
      <c r="F6" s="7" t="s">
        <v>61</v>
      </c>
      <c r="G6" s="23">
        <v>105</v>
      </c>
      <c r="H6" s="10"/>
      <c r="I6" s="10"/>
      <c r="J6" s="10"/>
      <c r="K6" s="10"/>
      <c r="L6" s="10"/>
      <c r="M6" s="10"/>
      <c r="N6" s="10"/>
      <c r="O6" s="10"/>
      <c r="P6" s="10"/>
      <c r="Q6" s="21" t="s">
        <v>322</v>
      </c>
      <c r="AB6" s="2">
        <f>G6*H6</f>
        <v>0</v>
      </c>
      <c r="AC6" s="2">
        <f t="shared" si="0"/>
        <v>0</v>
      </c>
    </row>
    <row r="7" spans="1:31" ht="23.1" customHeight="1">
      <c r="A7" s="16" t="s">
        <v>341</v>
      </c>
      <c r="B7" s="16" t="s">
        <v>493</v>
      </c>
      <c r="C7" s="16" t="s">
        <v>342</v>
      </c>
      <c r="D7" s="21" t="s">
        <v>70</v>
      </c>
      <c r="E7" s="21" t="s">
        <v>71</v>
      </c>
      <c r="F7" s="7" t="s">
        <v>61</v>
      </c>
      <c r="G7" s="23">
        <v>35</v>
      </c>
      <c r="H7" s="10"/>
      <c r="I7" s="10"/>
      <c r="J7" s="10"/>
      <c r="K7" s="10"/>
      <c r="L7" s="10"/>
      <c r="M7" s="10"/>
      <c r="N7" s="10"/>
      <c r="O7" s="10"/>
      <c r="P7" s="10"/>
      <c r="Q7" s="21" t="s">
        <v>343</v>
      </c>
      <c r="AC7" s="2">
        <f t="shared" si="0"/>
        <v>0</v>
      </c>
    </row>
    <row r="8" spans="1:31" ht="23.1" customHeight="1">
      <c r="A8" s="16" t="s">
        <v>344</v>
      </c>
      <c r="B8" s="16" t="s">
        <v>493</v>
      </c>
      <c r="C8" s="16" t="s">
        <v>345</v>
      </c>
      <c r="D8" s="21" t="s">
        <v>72</v>
      </c>
      <c r="E8" s="21" t="s">
        <v>73</v>
      </c>
      <c r="F8" s="7" t="s">
        <v>61</v>
      </c>
      <c r="G8" s="23">
        <v>2157</v>
      </c>
      <c r="H8" s="10"/>
      <c r="I8" s="10"/>
      <c r="J8" s="10"/>
      <c r="K8" s="10"/>
      <c r="L8" s="10"/>
      <c r="M8" s="10"/>
      <c r="N8" s="10"/>
      <c r="O8" s="10"/>
      <c r="P8" s="10"/>
      <c r="Q8" s="21" t="s">
        <v>346</v>
      </c>
      <c r="AC8" s="2">
        <f t="shared" si="0"/>
        <v>0</v>
      </c>
    </row>
    <row r="9" spans="1:31" ht="23.1" customHeight="1">
      <c r="A9" s="16" t="s">
        <v>347</v>
      </c>
      <c r="B9" s="16" t="s">
        <v>493</v>
      </c>
      <c r="C9" s="16" t="s">
        <v>348</v>
      </c>
      <c r="D9" s="21" t="s">
        <v>72</v>
      </c>
      <c r="E9" s="21" t="s">
        <v>74</v>
      </c>
      <c r="F9" s="7" t="s">
        <v>61</v>
      </c>
      <c r="G9" s="23">
        <v>39</v>
      </c>
      <c r="H9" s="10"/>
      <c r="I9" s="10"/>
      <c r="J9" s="10"/>
      <c r="K9" s="10"/>
      <c r="L9" s="10"/>
      <c r="M9" s="10"/>
      <c r="N9" s="10"/>
      <c r="O9" s="10"/>
      <c r="P9" s="10"/>
      <c r="Q9" s="21" t="s">
        <v>349</v>
      </c>
      <c r="AC9" s="2">
        <f t="shared" si="0"/>
        <v>0</v>
      </c>
    </row>
    <row r="10" spans="1:31" ht="23.1" customHeight="1">
      <c r="A10" s="16" t="s">
        <v>350</v>
      </c>
      <c r="B10" s="16" t="s">
        <v>493</v>
      </c>
      <c r="C10" s="16" t="s">
        <v>351</v>
      </c>
      <c r="D10" s="21" t="s">
        <v>75</v>
      </c>
      <c r="E10" s="21" t="s">
        <v>76</v>
      </c>
      <c r="F10" s="7" t="s">
        <v>61</v>
      </c>
      <c r="G10" s="23">
        <v>780</v>
      </c>
      <c r="H10" s="10"/>
      <c r="I10" s="10"/>
      <c r="J10" s="10"/>
      <c r="K10" s="10"/>
      <c r="L10" s="10"/>
      <c r="M10" s="10"/>
      <c r="N10" s="10"/>
      <c r="O10" s="10"/>
      <c r="P10" s="10"/>
      <c r="Q10" s="21" t="s">
        <v>352</v>
      </c>
      <c r="AC10" s="2">
        <f t="shared" si="0"/>
        <v>0</v>
      </c>
    </row>
    <row r="11" spans="1:31" ht="23.1" customHeight="1">
      <c r="A11" s="16" t="s">
        <v>494</v>
      </c>
      <c r="B11" s="16" t="s">
        <v>493</v>
      </c>
      <c r="C11" s="16" t="s">
        <v>80</v>
      </c>
      <c r="D11" s="21" t="s">
        <v>78</v>
      </c>
      <c r="E11" s="21" t="s">
        <v>81</v>
      </c>
      <c r="F11" s="7" t="s">
        <v>61</v>
      </c>
      <c r="G11" s="23">
        <v>487</v>
      </c>
      <c r="H11" s="10"/>
      <c r="I11" s="10"/>
      <c r="J11" s="10"/>
      <c r="K11" s="10"/>
      <c r="L11" s="10"/>
      <c r="M11" s="10"/>
      <c r="N11" s="10"/>
      <c r="O11" s="10"/>
      <c r="P11" s="10"/>
      <c r="Q11" s="21"/>
      <c r="AC11" s="2">
        <f t="shared" si="0"/>
        <v>0</v>
      </c>
    </row>
    <row r="12" spans="1:31" ht="23.1" customHeight="1">
      <c r="A12" s="16" t="s">
        <v>495</v>
      </c>
      <c r="B12" s="16" t="s">
        <v>493</v>
      </c>
      <c r="C12" s="16" t="s">
        <v>84</v>
      </c>
      <c r="D12" s="21" t="s">
        <v>78</v>
      </c>
      <c r="E12" s="21" t="s">
        <v>85</v>
      </c>
      <c r="F12" s="7" t="s">
        <v>61</v>
      </c>
      <c r="G12" s="23">
        <v>105</v>
      </c>
      <c r="H12" s="10"/>
      <c r="I12" s="10"/>
      <c r="J12" s="10"/>
      <c r="K12" s="10"/>
      <c r="L12" s="10"/>
      <c r="M12" s="10"/>
      <c r="N12" s="10"/>
      <c r="O12" s="10"/>
      <c r="P12" s="10"/>
      <c r="Q12" s="21"/>
      <c r="AC12" s="2">
        <f t="shared" si="0"/>
        <v>0</v>
      </c>
    </row>
    <row r="13" spans="1:31" ht="23.1" customHeight="1">
      <c r="A13" s="16" t="s">
        <v>496</v>
      </c>
      <c r="B13" s="16" t="s">
        <v>493</v>
      </c>
      <c r="C13" s="16" t="s">
        <v>91</v>
      </c>
      <c r="D13" s="21" t="s">
        <v>78</v>
      </c>
      <c r="E13" s="21" t="s">
        <v>92</v>
      </c>
      <c r="F13" s="7" t="s">
        <v>61</v>
      </c>
      <c r="G13" s="23">
        <v>1565</v>
      </c>
      <c r="H13" s="10"/>
      <c r="I13" s="10"/>
      <c r="J13" s="10"/>
      <c r="K13" s="10"/>
      <c r="L13" s="10"/>
      <c r="M13" s="10"/>
      <c r="N13" s="10"/>
      <c r="O13" s="10"/>
      <c r="P13" s="10"/>
      <c r="Q13" s="21"/>
      <c r="AC13" s="2">
        <f t="shared" si="0"/>
        <v>0</v>
      </c>
    </row>
    <row r="14" spans="1:31" ht="23.1" customHeight="1">
      <c r="A14" s="16" t="s">
        <v>497</v>
      </c>
      <c r="B14" s="16" t="s">
        <v>493</v>
      </c>
      <c r="C14" s="16" t="s">
        <v>93</v>
      </c>
      <c r="D14" s="21" t="s">
        <v>78</v>
      </c>
      <c r="E14" s="21" t="s">
        <v>94</v>
      </c>
      <c r="F14" s="7" t="s">
        <v>61</v>
      </c>
      <c r="G14" s="23">
        <v>105</v>
      </c>
      <c r="H14" s="10"/>
      <c r="I14" s="10"/>
      <c r="J14" s="10"/>
      <c r="K14" s="10"/>
      <c r="L14" s="10"/>
      <c r="M14" s="10"/>
      <c r="N14" s="10"/>
      <c r="O14" s="10"/>
      <c r="P14" s="10"/>
      <c r="Q14" s="21"/>
      <c r="AC14" s="2">
        <f t="shared" si="0"/>
        <v>0</v>
      </c>
    </row>
    <row r="15" spans="1:31" ht="23.1" customHeight="1">
      <c r="A15" s="16" t="s">
        <v>365</v>
      </c>
      <c r="B15" s="16" t="s">
        <v>493</v>
      </c>
      <c r="C15" s="16" t="s">
        <v>366</v>
      </c>
      <c r="D15" s="21" t="s">
        <v>102</v>
      </c>
      <c r="E15" s="21" t="s">
        <v>103</v>
      </c>
      <c r="F15" s="7" t="s">
        <v>104</v>
      </c>
      <c r="G15" s="23">
        <v>14</v>
      </c>
      <c r="H15" s="10"/>
      <c r="I15" s="10"/>
      <c r="J15" s="10"/>
      <c r="K15" s="10"/>
      <c r="L15" s="10"/>
      <c r="M15" s="10"/>
      <c r="N15" s="10"/>
      <c r="O15" s="10"/>
      <c r="P15" s="10"/>
      <c r="Q15" s="21" t="s">
        <v>367</v>
      </c>
    </row>
    <row r="16" spans="1:31" ht="23.1" customHeight="1">
      <c r="A16" s="16" t="s">
        <v>368</v>
      </c>
      <c r="B16" s="16" t="s">
        <v>493</v>
      </c>
      <c r="C16" s="16" t="s">
        <v>369</v>
      </c>
      <c r="D16" s="21" t="s">
        <v>105</v>
      </c>
      <c r="E16" s="21" t="s">
        <v>106</v>
      </c>
      <c r="F16" s="7" t="s">
        <v>104</v>
      </c>
      <c r="G16" s="23">
        <v>16</v>
      </c>
      <c r="H16" s="10"/>
      <c r="I16" s="10"/>
      <c r="J16" s="10"/>
      <c r="K16" s="10"/>
      <c r="L16" s="10"/>
      <c r="M16" s="10"/>
      <c r="N16" s="10"/>
      <c r="O16" s="10"/>
      <c r="P16" s="10"/>
      <c r="Q16" s="21" t="s">
        <v>370</v>
      </c>
    </row>
    <row r="17" spans="1:29" ht="23.1" customHeight="1">
      <c r="A17" s="16" t="s">
        <v>371</v>
      </c>
      <c r="B17" s="16" t="s">
        <v>493</v>
      </c>
      <c r="C17" s="16" t="s">
        <v>372</v>
      </c>
      <c r="D17" s="21" t="s">
        <v>107</v>
      </c>
      <c r="E17" s="21" t="s">
        <v>108</v>
      </c>
      <c r="F17" s="7" t="s">
        <v>61</v>
      </c>
      <c r="G17" s="23">
        <v>2005</v>
      </c>
      <c r="H17" s="10"/>
      <c r="I17" s="10"/>
      <c r="J17" s="10"/>
      <c r="K17" s="10"/>
      <c r="L17" s="10"/>
      <c r="M17" s="10"/>
      <c r="N17" s="10"/>
      <c r="O17" s="10"/>
      <c r="P17" s="10"/>
      <c r="Q17" s="21" t="s">
        <v>373</v>
      </c>
    </row>
    <row r="18" spans="1:29" ht="23.1" customHeight="1">
      <c r="A18" s="16" t="s">
        <v>377</v>
      </c>
      <c r="B18" s="16" t="s">
        <v>493</v>
      </c>
      <c r="C18" s="16" t="s">
        <v>378</v>
      </c>
      <c r="D18" s="21" t="s">
        <v>109</v>
      </c>
      <c r="E18" s="21" t="s">
        <v>111</v>
      </c>
      <c r="F18" s="7" t="s">
        <v>104</v>
      </c>
      <c r="G18" s="23">
        <v>24</v>
      </c>
      <c r="H18" s="10"/>
      <c r="I18" s="10"/>
      <c r="J18" s="10"/>
      <c r="K18" s="10"/>
      <c r="L18" s="10"/>
      <c r="M18" s="10"/>
      <c r="N18" s="10"/>
      <c r="O18" s="10"/>
      <c r="P18" s="10"/>
      <c r="Q18" s="21" t="s">
        <v>379</v>
      </c>
    </row>
    <row r="19" spans="1:29" ht="23.1" customHeight="1">
      <c r="A19" s="16" t="s">
        <v>308</v>
      </c>
      <c r="B19" s="16" t="s">
        <v>493</v>
      </c>
      <c r="C19" s="16" t="s">
        <v>309</v>
      </c>
      <c r="D19" s="21" t="s">
        <v>311</v>
      </c>
      <c r="E19" s="21" t="s">
        <v>312</v>
      </c>
      <c r="F19" s="7" t="s">
        <v>231</v>
      </c>
      <c r="G19" s="23">
        <v>2</v>
      </c>
      <c r="H19" s="10"/>
      <c r="I19" s="10"/>
      <c r="J19" s="10"/>
      <c r="K19" s="10"/>
      <c r="L19" s="10"/>
      <c r="M19" s="10"/>
      <c r="N19" s="10"/>
      <c r="O19" s="10"/>
      <c r="P19" s="10"/>
      <c r="Q19" s="21" t="s">
        <v>310</v>
      </c>
    </row>
    <row r="20" spans="1:29" ht="23.1" customHeight="1">
      <c r="A20" s="16" t="s">
        <v>313</v>
      </c>
      <c r="B20" s="16" t="s">
        <v>493</v>
      </c>
      <c r="C20" s="16" t="s">
        <v>314</v>
      </c>
      <c r="D20" s="21" t="s">
        <v>311</v>
      </c>
      <c r="E20" s="21" t="s">
        <v>316</v>
      </c>
      <c r="F20" s="7" t="s">
        <v>231</v>
      </c>
      <c r="G20" s="23">
        <v>43</v>
      </c>
      <c r="H20" s="10"/>
      <c r="I20" s="10"/>
      <c r="J20" s="10"/>
      <c r="K20" s="10"/>
      <c r="L20" s="10"/>
      <c r="M20" s="10"/>
      <c r="N20" s="10"/>
      <c r="O20" s="10"/>
      <c r="P20" s="10"/>
      <c r="Q20" s="21" t="s">
        <v>315</v>
      </c>
    </row>
    <row r="21" spans="1:29" ht="23.1" customHeight="1">
      <c r="A21" s="16" t="s">
        <v>284</v>
      </c>
      <c r="B21" s="16" t="s">
        <v>493</v>
      </c>
      <c r="C21" s="16" t="s">
        <v>285</v>
      </c>
      <c r="D21" s="21" t="s">
        <v>287</v>
      </c>
      <c r="E21" s="21" t="s">
        <v>288</v>
      </c>
      <c r="F21" s="7" t="s">
        <v>119</v>
      </c>
      <c r="G21" s="23">
        <v>794.59100000000001</v>
      </c>
      <c r="H21" s="10"/>
      <c r="I21" s="10"/>
      <c r="J21" s="10"/>
      <c r="K21" s="10"/>
      <c r="L21" s="10"/>
      <c r="M21" s="10"/>
      <c r="N21" s="10"/>
      <c r="O21" s="10"/>
      <c r="P21" s="10"/>
      <c r="Q21" s="21" t="s">
        <v>286</v>
      </c>
    </row>
    <row r="22" spans="1:29" ht="23.1" customHeight="1">
      <c r="A22" s="16" t="s">
        <v>289</v>
      </c>
      <c r="B22" s="16" t="s">
        <v>493</v>
      </c>
      <c r="C22" s="16" t="s">
        <v>290</v>
      </c>
      <c r="D22" s="21" t="s">
        <v>292</v>
      </c>
      <c r="E22" s="21" t="s">
        <v>288</v>
      </c>
      <c r="F22" s="7" t="s">
        <v>119</v>
      </c>
      <c r="G22" s="23">
        <v>767.46</v>
      </c>
      <c r="H22" s="10"/>
      <c r="I22" s="10"/>
      <c r="J22" s="10"/>
      <c r="K22" s="10"/>
      <c r="L22" s="10"/>
      <c r="M22" s="10"/>
      <c r="N22" s="10"/>
      <c r="O22" s="10"/>
      <c r="P22" s="10"/>
      <c r="Q22" s="21" t="s">
        <v>291</v>
      </c>
    </row>
    <row r="23" spans="1:29" ht="23.1" customHeight="1">
      <c r="A23" s="16" t="s">
        <v>293</v>
      </c>
      <c r="B23" s="16" t="s">
        <v>493</v>
      </c>
      <c r="C23" s="16" t="s">
        <v>294</v>
      </c>
      <c r="D23" s="21" t="s">
        <v>296</v>
      </c>
      <c r="E23" s="21" t="s">
        <v>297</v>
      </c>
      <c r="F23" s="7" t="s">
        <v>119</v>
      </c>
      <c r="G23" s="23">
        <v>27.131</v>
      </c>
      <c r="H23" s="10"/>
      <c r="I23" s="10"/>
      <c r="J23" s="10"/>
      <c r="K23" s="10"/>
      <c r="L23" s="10"/>
      <c r="M23" s="10"/>
      <c r="N23" s="10"/>
      <c r="O23" s="10"/>
      <c r="P23" s="10"/>
      <c r="Q23" s="21" t="s">
        <v>295</v>
      </c>
    </row>
    <row r="24" spans="1:29" ht="23.1" customHeight="1">
      <c r="A24" s="16" t="s">
        <v>389</v>
      </c>
      <c r="B24" s="16" t="s">
        <v>493</v>
      </c>
      <c r="C24" s="16" t="s">
        <v>390</v>
      </c>
      <c r="D24" s="21" t="s">
        <v>124</v>
      </c>
      <c r="E24" s="21" t="s">
        <v>125</v>
      </c>
      <c r="F24" s="7" t="s">
        <v>126</v>
      </c>
      <c r="G24" s="23">
        <v>4</v>
      </c>
      <c r="H24" s="10"/>
      <c r="I24" s="10"/>
      <c r="J24" s="10"/>
      <c r="K24" s="10"/>
      <c r="L24" s="10"/>
      <c r="M24" s="10"/>
      <c r="N24" s="10"/>
      <c r="O24" s="10"/>
      <c r="P24" s="10"/>
      <c r="Q24" s="21" t="s">
        <v>391</v>
      </c>
    </row>
    <row r="25" spans="1:29" ht="23.1" customHeight="1">
      <c r="A25" s="16" t="s">
        <v>498</v>
      </c>
      <c r="B25" s="16" t="s">
        <v>493</v>
      </c>
      <c r="C25" s="16" t="s">
        <v>127</v>
      </c>
      <c r="D25" s="21" t="s">
        <v>128</v>
      </c>
      <c r="E25" s="21"/>
      <c r="F25" s="7" t="s">
        <v>126</v>
      </c>
      <c r="G25" s="23">
        <v>12</v>
      </c>
      <c r="H25" s="10"/>
      <c r="I25" s="10"/>
      <c r="J25" s="10"/>
      <c r="K25" s="10"/>
      <c r="L25" s="10"/>
      <c r="M25" s="10"/>
      <c r="N25" s="10"/>
      <c r="O25" s="10"/>
      <c r="P25" s="10"/>
      <c r="Q25" s="21"/>
    </row>
    <row r="26" spans="1:29" ht="23.1" customHeight="1">
      <c r="A26" s="16" t="s">
        <v>404</v>
      </c>
      <c r="B26" s="16" t="s">
        <v>493</v>
      </c>
      <c r="C26" s="16" t="s">
        <v>405</v>
      </c>
      <c r="D26" s="21" t="s">
        <v>147</v>
      </c>
      <c r="E26" s="21" t="s">
        <v>149</v>
      </c>
      <c r="F26" s="7" t="s">
        <v>61</v>
      </c>
      <c r="G26" s="23">
        <v>473</v>
      </c>
      <c r="H26" s="10"/>
      <c r="I26" s="10"/>
      <c r="J26" s="10"/>
      <c r="K26" s="10"/>
      <c r="L26" s="10"/>
      <c r="M26" s="10"/>
      <c r="N26" s="10"/>
      <c r="O26" s="10"/>
      <c r="P26" s="10"/>
      <c r="Q26" s="21" t="s">
        <v>406</v>
      </c>
      <c r="AC26" s="2">
        <f>G26*H26</f>
        <v>0</v>
      </c>
    </row>
    <row r="27" spans="1:29" ht="23.1" customHeight="1">
      <c r="A27" s="16" t="s">
        <v>410</v>
      </c>
      <c r="B27" s="16" t="s">
        <v>493</v>
      </c>
      <c r="C27" s="16" t="s">
        <v>411</v>
      </c>
      <c r="D27" s="21" t="s">
        <v>147</v>
      </c>
      <c r="E27" s="21" t="s">
        <v>151</v>
      </c>
      <c r="F27" s="7" t="s">
        <v>61</v>
      </c>
      <c r="G27" s="23">
        <v>114</v>
      </c>
      <c r="H27" s="10"/>
      <c r="I27" s="10"/>
      <c r="J27" s="10"/>
      <c r="K27" s="10"/>
      <c r="L27" s="10"/>
      <c r="M27" s="10"/>
      <c r="N27" s="10"/>
      <c r="O27" s="10"/>
      <c r="P27" s="10"/>
      <c r="Q27" s="21" t="s">
        <v>412</v>
      </c>
      <c r="AC27" s="2">
        <f>G27*H27</f>
        <v>0</v>
      </c>
    </row>
    <row r="28" spans="1:29" ht="23.1" customHeight="1">
      <c r="A28" s="16" t="s">
        <v>419</v>
      </c>
      <c r="B28" s="16" t="s">
        <v>493</v>
      </c>
      <c r="C28" s="16" t="s">
        <v>420</v>
      </c>
      <c r="D28" s="21" t="s">
        <v>147</v>
      </c>
      <c r="E28" s="21" t="s">
        <v>154</v>
      </c>
      <c r="F28" s="7" t="s">
        <v>61</v>
      </c>
      <c r="G28" s="23">
        <v>1520</v>
      </c>
      <c r="H28" s="10"/>
      <c r="I28" s="10"/>
      <c r="J28" s="10"/>
      <c r="K28" s="10"/>
      <c r="L28" s="10"/>
      <c r="M28" s="10"/>
      <c r="N28" s="10"/>
      <c r="O28" s="10"/>
      <c r="P28" s="10"/>
      <c r="Q28" s="21" t="s">
        <v>421</v>
      </c>
      <c r="AC28" s="2">
        <f>G28*H28</f>
        <v>0</v>
      </c>
    </row>
    <row r="29" spans="1:29" ht="23.1" customHeight="1">
      <c r="A29" s="16" t="s">
        <v>422</v>
      </c>
      <c r="B29" s="16" t="s">
        <v>493</v>
      </c>
      <c r="C29" s="16" t="s">
        <v>423</v>
      </c>
      <c r="D29" s="21" t="s">
        <v>147</v>
      </c>
      <c r="E29" s="21" t="s">
        <v>155</v>
      </c>
      <c r="F29" s="7" t="s">
        <v>61</v>
      </c>
      <c r="G29" s="23">
        <v>102</v>
      </c>
      <c r="H29" s="10"/>
      <c r="I29" s="10"/>
      <c r="J29" s="10"/>
      <c r="K29" s="10"/>
      <c r="L29" s="10"/>
      <c r="M29" s="10"/>
      <c r="N29" s="10"/>
      <c r="O29" s="10"/>
      <c r="P29" s="10"/>
      <c r="Q29" s="21" t="s">
        <v>424</v>
      </c>
      <c r="AC29" s="2">
        <f>G29*H29</f>
        <v>0</v>
      </c>
    </row>
    <row r="30" spans="1:29" ht="23.1" customHeight="1">
      <c r="A30" s="16" t="s">
        <v>425</v>
      </c>
      <c r="B30" s="16" t="s">
        <v>493</v>
      </c>
      <c r="C30" s="16" t="s">
        <v>426</v>
      </c>
      <c r="D30" s="21" t="s">
        <v>156</v>
      </c>
      <c r="E30" s="21" t="s">
        <v>157</v>
      </c>
      <c r="F30" s="7" t="s">
        <v>104</v>
      </c>
      <c r="G30" s="23">
        <v>43</v>
      </c>
      <c r="H30" s="10"/>
      <c r="I30" s="10"/>
      <c r="J30" s="10"/>
      <c r="K30" s="10"/>
      <c r="L30" s="10"/>
      <c r="M30" s="10"/>
      <c r="N30" s="10"/>
      <c r="O30" s="10"/>
      <c r="P30" s="10"/>
      <c r="Q30" s="21" t="s">
        <v>427</v>
      </c>
    </row>
    <row r="31" spans="1:29" ht="23.1" customHeight="1">
      <c r="A31" s="16" t="s">
        <v>428</v>
      </c>
      <c r="B31" s="16" t="s">
        <v>493</v>
      </c>
      <c r="C31" s="16" t="s">
        <v>429</v>
      </c>
      <c r="D31" s="21" t="s">
        <v>158</v>
      </c>
      <c r="E31" s="21" t="s">
        <v>159</v>
      </c>
      <c r="F31" s="7" t="s">
        <v>104</v>
      </c>
      <c r="G31" s="23">
        <v>2</v>
      </c>
      <c r="H31" s="10"/>
      <c r="I31" s="10"/>
      <c r="J31" s="10"/>
      <c r="K31" s="10"/>
      <c r="L31" s="10"/>
      <c r="M31" s="10"/>
      <c r="N31" s="10"/>
      <c r="O31" s="10"/>
      <c r="P31" s="10"/>
      <c r="Q31" s="21" t="s">
        <v>430</v>
      </c>
    </row>
    <row r="32" spans="1:29" ht="23.1" customHeight="1">
      <c r="A32" s="16" t="s">
        <v>434</v>
      </c>
      <c r="B32" s="16" t="s">
        <v>493</v>
      </c>
      <c r="C32" s="16" t="s">
        <v>435</v>
      </c>
      <c r="D32" s="21" t="s">
        <v>161</v>
      </c>
      <c r="E32" s="21" t="s">
        <v>162</v>
      </c>
      <c r="F32" s="7" t="s">
        <v>104</v>
      </c>
      <c r="G32" s="23">
        <v>2</v>
      </c>
      <c r="H32" s="10"/>
      <c r="I32" s="10"/>
      <c r="J32" s="10"/>
      <c r="K32" s="10"/>
      <c r="L32" s="10"/>
      <c r="M32" s="10"/>
      <c r="N32" s="10"/>
      <c r="O32" s="10"/>
      <c r="P32" s="10"/>
      <c r="Q32" s="21" t="s">
        <v>436</v>
      </c>
    </row>
    <row r="33" spans="1:31" ht="23.1" customHeight="1">
      <c r="A33" s="16" t="s">
        <v>437</v>
      </c>
      <c r="B33" s="16" t="s">
        <v>493</v>
      </c>
      <c r="C33" s="16" t="s">
        <v>438</v>
      </c>
      <c r="D33" s="21" t="s">
        <v>163</v>
      </c>
      <c r="E33" s="21" t="s">
        <v>164</v>
      </c>
      <c r="F33" s="7" t="s">
        <v>104</v>
      </c>
      <c r="G33" s="23">
        <v>43</v>
      </c>
      <c r="H33" s="10"/>
      <c r="I33" s="10"/>
      <c r="J33" s="10"/>
      <c r="K33" s="10"/>
      <c r="L33" s="10"/>
      <c r="M33" s="10"/>
      <c r="N33" s="10"/>
      <c r="O33" s="10"/>
      <c r="P33" s="10"/>
      <c r="Q33" s="21" t="s">
        <v>439</v>
      </c>
    </row>
    <row r="34" spans="1:31" ht="23.1" customHeight="1">
      <c r="A34" s="16" t="s">
        <v>440</v>
      </c>
      <c r="B34" s="16" t="s">
        <v>493</v>
      </c>
      <c r="C34" s="16" t="s">
        <v>441</v>
      </c>
      <c r="D34" s="21" t="s">
        <v>165</v>
      </c>
      <c r="E34" s="21" t="s">
        <v>166</v>
      </c>
      <c r="F34" s="7" t="s">
        <v>104</v>
      </c>
      <c r="G34" s="23">
        <v>2</v>
      </c>
      <c r="H34" s="10"/>
      <c r="I34" s="10"/>
      <c r="J34" s="10"/>
      <c r="K34" s="10"/>
      <c r="L34" s="10"/>
      <c r="M34" s="10"/>
      <c r="N34" s="10"/>
      <c r="O34" s="10"/>
      <c r="P34" s="10"/>
      <c r="Q34" s="21" t="s">
        <v>442</v>
      </c>
    </row>
    <row r="35" spans="1:31" ht="23.1" customHeight="1">
      <c r="A35" s="16" t="s">
        <v>499</v>
      </c>
      <c r="B35" s="16" t="s">
        <v>493</v>
      </c>
      <c r="C35" s="16" t="s">
        <v>168</v>
      </c>
      <c r="D35" s="21" t="s">
        <v>169</v>
      </c>
      <c r="E35" s="21" t="s">
        <v>170</v>
      </c>
      <c r="F35" s="7" t="s">
        <v>104</v>
      </c>
      <c r="G35" s="23">
        <v>43</v>
      </c>
      <c r="H35" s="10"/>
      <c r="I35" s="10"/>
      <c r="J35" s="10"/>
      <c r="K35" s="10"/>
      <c r="L35" s="10"/>
      <c r="M35" s="10"/>
      <c r="N35" s="10"/>
      <c r="O35" s="10"/>
      <c r="P35" s="10"/>
      <c r="Q35" s="21"/>
    </row>
    <row r="36" spans="1:31" ht="23.1" customHeight="1">
      <c r="A36" s="16" t="s">
        <v>446</v>
      </c>
      <c r="B36" s="16" t="s">
        <v>493</v>
      </c>
      <c r="C36" s="16" t="s">
        <v>447</v>
      </c>
      <c r="D36" s="21" t="s">
        <v>171</v>
      </c>
      <c r="E36" s="21" t="s">
        <v>172</v>
      </c>
      <c r="F36" s="7" t="s">
        <v>104</v>
      </c>
      <c r="G36" s="23">
        <v>45</v>
      </c>
      <c r="H36" s="10"/>
      <c r="I36" s="10"/>
      <c r="J36" s="10"/>
      <c r="K36" s="10"/>
      <c r="L36" s="10"/>
      <c r="M36" s="10"/>
      <c r="N36" s="10"/>
      <c r="O36" s="10"/>
      <c r="P36" s="10"/>
      <c r="Q36" s="21" t="s">
        <v>448</v>
      </c>
    </row>
    <row r="37" spans="1:31" ht="23.1" customHeight="1">
      <c r="A37" s="16" t="s">
        <v>449</v>
      </c>
      <c r="B37" s="16" t="s">
        <v>493</v>
      </c>
      <c r="C37" s="16" t="s">
        <v>450</v>
      </c>
      <c r="D37" s="21" t="s">
        <v>173</v>
      </c>
      <c r="E37" s="21" t="s">
        <v>174</v>
      </c>
      <c r="F37" s="7" t="s">
        <v>104</v>
      </c>
      <c r="G37" s="23">
        <v>2</v>
      </c>
      <c r="H37" s="10"/>
      <c r="I37" s="10"/>
      <c r="J37" s="10"/>
      <c r="K37" s="10"/>
      <c r="L37" s="10"/>
      <c r="M37" s="10"/>
      <c r="N37" s="10"/>
      <c r="O37" s="10"/>
      <c r="P37" s="10"/>
      <c r="Q37" s="21" t="s">
        <v>451</v>
      </c>
    </row>
    <row r="38" spans="1:31" ht="23.1" customHeight="1">
      <c r="A38" s="16" t="s">
        <v>458</v>
      </c>
      <c r="B38" s="16" t="s">
        <v>493</v>
      </c>
      <c r="C38" s="16" t="s">
        <v>459</v>
      </c>
      <c r="D38" s="21" t="s">
        <v>204</v>
      </c>
      <c r="E38" s="21" t="s">
        <v>205</v>
      </c>
      <c r="F38" s="7" t="s">
        <v>104</v>
      </c>
      <c r="G38" s="23">
        <v>45</v>
      </c>
      <c r="H38" s="10"/>
      <c r="I38" s="10"/>
      <c r="J38" s="10"/>
      <c r="K38" s="10"/>
      <c r="L38" s="10"/>
      <c r="M38" s="10"/>
      <c r="N38" s="10"/>
      <c r="O38" s="10"/>
      <c r="P38" s="10"/>
      <c r="Q38" s="21" t="s">
        <v>460</v>
      </c>
    </row>
    <row r="39" spans="1:31" ht="23.1" customHeight="1">
      <c r="A39" s="16" t="s">
        <v>500</v>
      </c>
      <c r="B39" s="16" t="s">
        <v>493</v>
      </c>
      <c r="C39" s="16" t="s">
        <v>206</v>
      </c>
      <c r="D39" s="21" t="s">
        <v>204</v>
      </c>
      <c r="E39" s="21" t="s">
        <v>207</v>
      </c>
      <c r="F39" s="7" t="s">
        <v>104</v>
      </c>
      <c r="G39" s="23">
        <v>34</v>
      </c>
      <c r="H39" s="10"/>
      <c r="I39" s="10"/>
      <c r="J39" s="10"/>
      <c r="K39" s="10"/>
      <c r="L39" s="10"/>
      <c r="M39" s="10"/>
      <c r="N39" s="10"/>
      <c r="O39" s="10"/>
      <c r="P39" s="10"/>
      <c r="Q39" s="21"/>
    </row>
    <row r="40" spans="1:31" ht="23.1" customHeight="1">
      <c r="A40" s="16" t="s">
        <v>501</v>
      </c>
      <c r="B40" s="16" t="s">
        <v>493</v>
      </c>
      <c r="C40" s="16" t="s">
        <v>208</v>
      </c>
      <c r="D40" s="21" t="s">
        <v>209</v>
      </c>
      <c r="E40" s="21" t="s">
        <v>210</v>
      </c>
      <c r="F40" s="7" t="s">
        <v>211</v>
      </c>
      <c r="G40" s="23">
        <v>21</v>
      </c>
      <c r="H40" s="10"/>
      <c r="I40" s="10"/>
      <c r="J40" s="10"/>
      <c r="K40" s="10"/>
      <c r="L40" s="10"/>
      <c r="M40" s="10"/>
      <c r="N40" s="10"/>
      <c r="O40" s="10"/>
      <c r="P40" s="10"/>
      <c r="Q40" s="21"/>
    </row>
    <row r="41" spans="1:31" ht="23.1" customHeight="1">
      <c r="A41" s="16" t="s">
        <v>482</v>
      </c>
      <c r="B41" s="16" t="s">
        <v>493</v>
      </c>
      <c r="C41" s="16" t="s">
        <v>483</v>
      </c>
      <c r="D41" s="21" t="s">
        <v>266</v>
      </c>
      <c r="E41" s="21" t="s">
        <v>267</v>
      </c>
      <c r="F41" s="7" t="s">
        <v>104</v>
      </c>
      <c r="G41" s="23">
        <v>2</v>
      </c>
      <c r="H41" s="10"/>
      <c r="I41" s="10"/>
      <c r="J41" s="10"/>
      <c r="K41" s="10"/>
      <c r="L41" s="10"/>
      <c r="M41" s="10"/>
      <c r="N41" s="10"/>
      <c r="O41" s="10"/>
      <c r="P41" s="10"/>
      <c r="Q41" s="21" t="s">
        <v>484</v>
      </c>
    </row>
    <row r="42" spans="1:31" ht="23.1" customHeight="1">
      <c r="A42" s="16" t="s">
        <v>485</v>
      </c>
      <c r="B42" s="16" t="s">
        <v>493</v>
      </c>
      <c r="C42" s="16" t="s">
        <v>486</v>
      </c>
      <c r="D42" s="21" t="s">
        <v>276</v>
      </c>
      <c r="E42" s="21" t="s">
        <v>277</v>
      </c>
      <c r="F42" s="7" t="s">
        <v>104</v>
      </c>
      <c r="G42" s="23">
        <v>6</v>
      </c>
      <c r="H42" s="10"/>
      <c r="I42" s="10"/>
      <c r="J42" s="10"/>
      <c r="K42" s="10"/>
      <c r="L42" s="10"/>
      <c r="M42" s="10"/>
      <c r="N42" s="10"/>
      <c r="O42" s="10"/>
      <c r="P42" s="10"/>
      <c r="Q42" s="21" t="s">
        <v>487</v>
      </c>
    </row>
    <row r="43" spans="1:31" ht="23.1" customHeight="1">
      <c r="A43" s="16" t="s">
        <v>502</v>
      </c>
      <c r="B43" s="16" t="s">
        <v>493</v>
      </c>
      <c r="C43" s="16" t="s">
        <v>278</v>
      </c>
      <c r="D43" s="21" t="s">
        <v>279</v>
      </c>
      <c r="E43" s="21" t="s">
        <v>280</v>
      </c>
      <c r="F43" s="7" t="s">
        <v>104</v>
      </c>
      <c r="G43" s="23">
        <v>6</v>
      </c>
      <c r="H43" s="10"/>
      <c r="I43" s="10"/>
      <c r="J43" s="10"/>
      <c r="K43" s="10"/>
      <c r="L43" s="10"/>
      <c r="M43" s="10"/>
      <c r="N43" s="10"/>
      <c r="O43" s="10"/>
      <c r="P43" s="10"/>
      <c r="Q43" s="21"/>
    </row>
    <row r="44" spans="1:31" ht="23.1" customHeight="1">
      <c r="D44" s="21"/>
      <c r="E44" s="21"/>
      <c r="F44" s="7"/>
      <c r="G44" s="23"/>
      <c r="H44" s="10"/>
      <c r="I44" s="10"/>
      <c r="J44" s="10"/>
      <c r="K44" s="10"/>
      <c r="L44" s="10"/>
      <c r="M44" s="10"/>
      <c r="N44" s="10"/>
      <c r="O44" s="10"/>
      <c r="P44" s="10"/>
      <c r="Q44" s="21"/>
      <c r="AE44" s="2">
        <f>TRUNC(SUM(AE4:AE43))</f>
        <v>0</v>
      </c>
    </row>
    <row r="45" spans="1:31" ht="23.1" customHeight="1">
      <c r="D45" s="21"/>
      <c r="E45" s="21"/>
      <c r="F45" s="7"/>
      <c r="G45" s="23"/>
      <c r="H45" s="10"/>
      <c r="I45" s="10"/>
      <c r="J45" s="10"/>
      <c r="K45" s="10"/>
      <c r="L45" s="10"/>
      <c r="M45" s="10"/>
      <c r="N45" s="10"/>
      <c r="O45" s="10"/>
      <c r="P45" s="10"/>
      <c r="Q45" s="21"/>
    </row>
    <row r="46" spans="1:31" ht="23.1" customHeight="1">
      <c r="D46" s="21"/>
      <c r="E46" s="21"/>
      <c r="F46" s="7"/>
      <c r="G46" s="23"/>
      <c r="H46" s="10"/>
      <c r="I46" s="10"/>
      <c r="J46" s="10"/>
      <c r="K46" s="10"/>
      <c r="L46" s="10"/>
      <c r="M46" s="10"/>
      <c r="N46" s="10"/>
      <c r="O46" s="10"/>
      <c r="P46" s="10"/>
      <c r="Q46" s="21"/>
    </row>
    <row r="47" spans="1:31" ht="23.1" customHeight="1">
      <c r="D47" s="21"/>
      <c r="E47" s="21"/>
      <c r="F47" s="7"/>
      <c r="G47" s="23"/>
      <c r="H47" s="10"/>
      <c r="I47" s="10"/>
      <c r="J47" s="10"/>
      <c r="K47" s="10"/>
      <c r="L47" s="10"/>
      <c r="M47" s="10"/>
      <c r="N47" s="10"/>
      <c r="O47" s="10"/>
      <c r="P47" s="10"/>
      <c r="Q47" s="21"/>
    </row>
    <row r="48" spans="1:31" ht="23.1" customHeight="1">
      <c r="D48" s="21"/>
      <c r="E48" s="21"/>
      <c r="F48" s="7"/>
      <c r="G48" s="23"/>
      <c r="H48" s="10"/>
      <c r="I48" s="10"/>
      <c r="J48" s="10"/>
      <c r="K48" s="10"/>
      <c r="L48" s="10"/>
      <c r="M48" s="10"/>
      <c r="N48" s="10"/>
      <c r="O48" s="10"/>
      <c r="P48" s="10"/>
      <c r="Q48" s="21"/>
    </row>
    <row r="49" spans="1:29" ht="23.1" customHeight="1">
      <c r="D49" s="21"/>
      <c r="E49" s="21"/>
      <c r="F49" s="7"/>
      <c r="G49" s="23"/>
      <c r="H49" s="10"/>
      <c r="I49" s="10"/>
      <c r="J49" s="10"/>
      <c r="K49" s="10"/>
      <c r="L49" s="10"/>
      <c r="M49" s="10"/>
      <c r="N49" s="10"/>
      <c r="O49" s="10"/>
      <c r="P49" s="10"/>
      <c r="Q49" s="21"/>
    </row>
    <row r="50" spans="1:29" ht="23.1" customHeight="1">
      <c r="D50" s="21"/>
      <c r="E50" s="21"/>
      <c r="F50" s="7"/>
      <c r="G50" s="23"/>
      <c r="H50" s="10"/>
      <c r="I50" s="10"/>
      <c r="J50" s="10"/>
      <c r="K50" s="10"/>
      <c r="L50" s="10"/>
      <c r="M50" s="10"/>
      <c r="N50" s="10"/>
      <c r="O50" s="10"/>
      <c r="P50" s="10"/>
      <c r="Q50" s="21"/>
    </row>
    <row r="51" spans="1:29" ht="23.1" customHeight="1">
      <c r="D51" s="21"/>
      <c r="E51" s="21"/>
      <c r="F51" s="7"/>
      <c r="G51" s="23"/>
      <c r="H51" s="10"/>
      <c r="I51" s="10"/>
      <c r="J51" s="10"/>
      <c r="K51" s="10"/>
      <c r="L51" s="10"/>
      <c r="M51" s="10"/>
      <c r="N51" s="10"/>
      <c r="O51" s="10"/>
      <c r="P51" s="10"/>
      <c r="Q51" s="21"/>
    </row>
    <row r="52" spans="1:29" ht="23.1" customHeight="1">
      <c r="D52" s="21"/>
      <c r="E52" s="21"/>
      <c r="F52" s="7"/>
      <c r="G52" s="23"/>
      <c r="H52" s="10"/>
      <c r="I52" s="10"/>
      <c r="J52" s="10"/>
      <c r="K52" s="10"/>
      <c r="L52" s="10"/>
      <c r="M52" s="10"/>
      <c r="N52" s="10"/>
      <c r="O52" s="10"/>
      <c r="P52" s="10"/>
      <c r="Q52" s="21"/>
    </row>
    <row r="53" spans="1:29" ht="23.1" customHeight="1">
      <c r="D53" s="21"/>
      <c r="E53" s="21"/>
      <c r="F53" s="7"/>
      <c r="G53" s="23"/>
      <c r="H53" s="10"/>
      <c r="I53" s="10"/>
      <c r="J53" s="10"/>
      <c r="K53" s="10"/>
      <c r="L53" s="10"/>
      <c r="M53" s="10"/>
      <c r="N53" s="10"/>
      <c r="O53" s="10"/>
      <c r="P53" s="10"/>
      <c r="Q53" s="21"/>
    </row>
    <row r="54" spans="1:29" ht="23.1" customHeight="1">
      <c r="D54" s="21"/>
      <c r="E54" s="21"/>
      <c r="F54" s="7"/>
      <c r="G54" s="23"/>
      <c r="H54" s="10"/>
      <c r="I54" s="10"/>
      <c r="J54" s="10"/>
      <c r="K54" s="10"/>
      <c r="L54" s="10"/>
      <c r="M54" s="10"/>
      <c r="N54" s="10"/>
      <c r="O54" s="10"/>
      <c r="P54" s="10"/>
      <c r="Q54" s="21"/>
    </row>
    <row r="55" spans="1:29" ht="23.1" customHeight="1">
      <c r="B55" s="16" t="s">
        <v>489</v>
      </c>
      <c r="D55" s="21" t="s">
        <v>490</v>
      </c>
      <c r="E55" s="21"/>
      <c r="F55" s="7"/>
      <c r="G55" s="23"/>
      <c r="H55" s="10"/>
      <c r="I55" s="10"/>
      <c r="J55" s="10"/>
      <c r="K55" s="10"/>
      <c r="L55" s="10"/>
      <c r="M55" s="10"/>
      <c r="N55" s="10"/>
      <c r="O55" s="10"/>
      <c r="P55" s="10"/>
      <c r="Q55" s="21"/>
    </row>
    <row r="56" spans="1:29" ht="23.1" customHeight="1">
      <c r="B56" s="16" t="s">
        <v>283</v>
      </c>
      <c r="D56" s="27" t="s">
        <v>503</v>
      </c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9"/>
    </row>
    <row r="57" spans="1:29" ht="23.1" customHeight="1">
      <c r="A57" s="16" t="s">
        <v>317</v>
      </c>
      <c r="B57" s="16" t="s">
        <v>504</v>
      </c>
      <c r="C57" s="16" t="s">
        <v>318</v>
      </c>
      <c r="D57" s="21" t="s">
        <v>59</v>
      </c>
      <c r="E57" s="21" t="s">
        <v>60</v>
      </c>
      <c r="F57" s="7" t="s">
        <v>61</v>
      </c>
      <c r="G57" s="23">
        <v>558</v>
      </c>
      <c r="H57" s="10"/>
      <c r="I57" s="10"/>
      <c r="J57" s="10"/>
      <c r="K57" s="10"/>
      <c r="L57" s="10"/>
      <c r="M57" s="10"/>
      <c r="N57" s="10"/>
      <c r="O57" s="10"/>
      <c r="P57" s="10"/>
      <c r="Q57" s="21" t="s">
        <v>319</v>
      </c>
      <c r="AB57" s="2">
        <f>G57*H57</f>
        <v>0</v>
      </c>
      <c r="AC57" s="2">
        <f t="shared" ref="AC57:AC63" si="1">G57*H57</f>
        <v>0</v>
      </c>
    </row>
    <row r="58" spans="1:29" ht="23.1" customHeight="1">
      <c r="A58" s="16" t="s">
        <v>341</v>
      </c>
      <c r="B58" s="16" t="s">
        <v>504</v>
      </c>
      <c r="C58" s="16" t="s">
        <v>342</v>
      </c>
      <c r="D58" s="21" t="s">
        <v>70</v>
      </c>
      <c r="E58" s="21" t="s">
        <v>71</v>
      </c>
      <c r="F58" s="7" t="s">
        <v>61</v>
      </c>
      <c r="G58" s="23">
        <v>528</v>
      </c>
      <c r="H58" s="10"/>
      <c r="I58" s="10"/>
      <c r="J58" s="10"/>
      <c r="K58" s="10"/>
      <c r="L58" s="10"/>
      <c r="M58" s="10"/>
      <c r="N58" s="10"/>
      <c r="O58" s="10"/>
      <c r="P58" s="10"/>
      <c r="Q58" s="21" t="s">
        <v>343</v>
      </c>
      <c r="AC58" s="2">
        <f t="shared" si="1"/>
        <v>0</v>
      </c>
    </row>
    <row r="59" spans="1:29" ht="23.1" customHeight="1">
      <c r="A59" s="16" t="s">
        <v>347</v>
      </c>
      <c r="B59" s="16" t="s">
        <v>504</v>
      </c>
      <c r="C59" s="16" t="s">
        <v>348</v>
      </c>
      <c r="D59" s="21" t="s">
        <v>72</v>
      </c>
      <c r="E59" s="21" t="s">
        <v>74</v>
      </c>
      <c r="F59" s="7" t="s">
        <v>61</v>
      </c>
      <c r="G59" s="23">
        <v>19</v>
      </c>
      <c r="H59" s="10"/>
      <c r="I59" s="10"/>
      <c r="J59" s="10"/>
      <c r="K59" s="10"/>
      <c r="L59" s="10"/>
      <c r="M59" s="10"/>
      <c r="N59" s="10"/>
      <c r="O59" s="10"/>
      <c r="P59" s="10"/>
      <c r="Q59" s="21" t="s">
        <v>349</v>
      </c>
      <c r="AC59" s="2">
        <f t="shared" si="1"/>
        <v>0</v>
      </c>
    </row>
    <row r="60" spans="1:29" ht="23.1" customHeight="1">
      <c r="A60" s="16" t="s">
        <v>350</v>
      </c>
      <c r="B60" s="16" t="s">
        <v>504</v>
      </c>
      <c r="C60" s="16" t="s">
        <v>351</v>
      </c>
      <c r="D60" s="21" t="s">
        <v>75</v>
      </c>
      <c r="E60" s="21" t="s">
        <v>76</v>
      </c>
      <c r="F60" s="7" t="s">
        <v>61</v>
      </c>
      <c r="G60" s="23">
        <v>132</v>
      </c>
      <c r="H60" s="10"/>
      <c r="I60" s="10"/>
      <c r="J60" s="10"/>
      <c r="K60" s="10"/>
      <c r="L60" s="10"/>
      <c r="M60" s="10"/>
      <c r="N60" s="10"/>
      <c r="O60" s="10"/>
      <c r="P60" s="10"/>
      <c r="Q60" s="21" t="s">
        <v>352</v>
      </c>
      <c r="AC60" s="2">
        <f t="shared" si="1"/>
        <v>0</v>
      </c>
    </row>
    <row r="61" spans="1:29" ht="23.1" customHeight="1">
      <c r="A61" s="16" t="s">
        <v>505</v>
      </c>
      <c r="B61" s="16" t="s">
        <v>504</v>
      </c>
      <c r="C61" s="16" t="s">
        <v>77</v>
      </c>
      <c r="D61" s="21" t="s">
        <v>78</v>
      </c>
      <c r="E61" s="21" t="s">
        <v>79</v>
      </c>
      <c r="F61" s="7" t="s">
        <v>61</v>
      </c>
      <c r="G61" s="23">
        <v>109</v>
      </c>
      <c r="H61" s="10"/>
      <c r="I61" s="10"/>
      <c r="J61" s="10"/>
      <c r="K61" s="10"/>
      <c r="L61" s="10"/>
      <c r="M61" s="10"/>
      <c r="N61" s="10"/>
      <c r="O61" s="10"/>
      <c r="P61" s="10"/>
      <c r="Q61" s="21"/>
      <c r="AC61" s="2">
        <f t="shared" si="1"/>
        <v>0</v>
      </c>
    </row>
    <row r="62" spans="1:29" ht="23.1" customHeight="1">
      <c r="A62" s="16" t="s">
        <v>506</v>
      </c>
      <c r="B62" s="16" t="s">
        <v>504</v>
      </c>
      <c r="C62" s="16" t="s">
        <v>82</v>
      </c>
      <c r="D62" s="21" t="s">
        <v>78</v>
      </c>
      <c r="E62" s="21" t="s">
        <v>83</v>
      </c>
      <c r="F62" s="7" t="s">
        <v>61</v>
      </c>
      <c r="G62" s="23">
        <v>105</v>
      </c>
      <c r="H62" s="10"/>
      <c r="I62" s="10"/>
      <c r="J62" s="10"/>
      <c r="K62" s="10"/>
      <c r="L62" s="10"/>
      <c r="M62" s="10"/>
      <c r="N62" s="10"/>
      <c r="O62" s="10"/>
      <c r="P62" s="10"/>
      <c r="Q62" s="21"/>
      <c r="AC62" s="2">
        <f t="shared" si="1"/>
        <v>0</v>
      </c>
    </row>
    <row r="63" spans="1:29" ht="23.1" customHeight="1">
      <c r="A63" s="16" t="s">
        <v>507</v>
      </c>
      <c r="B63" s="16" t="s">
        <v>504</v>
      </c>
      <c r="C63" s="16" t="s">
        <v>89</v>
      </c>
      <c r="D63" s="21" t="s">
        <v>78</v>
      </c>
      <c r="E63" s="21" t="s">
        <v>90</v>
      </c>
      <c r="F63" s="7" t="s">
        <v>61</v>
      </c>
      <c r="G63" s="23">
        <v>387</v>
      </c>
      <c r="H63" s="10"/>
      <c r="I63" s="10"/>
      <c r="J63" s="10"/>
      <c r="K63" s="10"/>
      <c r="L63" s="10"/>
      <c r="M63" s="10"/>
      <c r="N63" s="10"/>
      <c r="O63" s="10"/>
      <c r="P63" s="10"/>
      <c r="Q63" s="21"/>
      <c r="AC63" s="2">
        <f t="shared" si="1"/>
        <v>0</v>
      </c>
    </row>
    <row r="64" spans="1:29" ht="23.1" customHeight="1">
      <c r="A64" s="16" t="s">
        <v>365</v>
      </c>
      <c r="B64" s="16" t="s">
        <v>504</v>
      </c>
      <c r="C64" s="16" t="s">
        <v>366</v>
      </c>
      <c r="D64" s="21" t="s">
        <v>102</v>
      </c>
      <c r="E64" s="21" t="s">
        <v>103</v>
      </c>
      <c r="F64" s="7" t="s">
        <v>104</v>
      </c>
      <c r="G64" s="23">
        <v>27</v>
      </c>
      <c r="H64" s="10"/>
      <c r="I64" s="10"/>
      <c r="J64" s="10"/>
      <c r="K64" s="10"/>
      <c r="L64" s="10"/>
      <c r="M64" s="10"/>
      <c r="N64" s="10"/>
      <c r="O64" s="10"/>
      <c r="P64" s="10"/>
      <c r="Q64" s="21" t="s">
        <v>367</v>
      </c>
    </row>
    <row r="65" spans="1:29" ht="23.1" customHeight="1">
      <c r="A65" s="16" t="s">
        <v>368</v>
      </c>
      <c r="B65" s="16" t="s">
        <v>504</v>
      </c>
      <c r="C65" s="16" t="s">
        <v>369</v>
      </c>
      <c r="D65" s="21" t="s">
        <v>105</v>
      </c>
      <c r="E65" s="21" t="s">
        <v>106</v>
      </c>
      <c r="F65" s="7" t="s">
        <v>104</v>
      </c>
      <c r="G65" s="23">
        <v>8</v>
      </c>
      <c r="H65" s="10"/>
      <c r="I65" s="10"/>
      <c r="J65" s="10"/>
      <c r="K65" s="10"/>
      <c r="L65" s="10"/>
      <c r="M65" s="10"/>
      <c r="N65" s="10"/>
      <c r="O65" s="10"/>
      <c r="P65" s="10"/>
      <c r="Q65" s="21" t="s">
        <v>370</v>
      </c>
    </row>
    <row r="66" spans="1:29" ht="23.1" customHeight="1">
      <c r="A66" s="16" t="s">
        <v>371</v>
      </c>
      <c r="B66" s="16" t="s">
        <v>504</v>
      </c>
      <c r="C66" s="16" t="s">
        <v>372</v>
      </c>
      <c r="D66" s="21" t="s">
        <v>107</v>
      </c>
      <c r="E66" s="21" t="s">
        <v>108</v>
      </c>
      <c r="F66" s="7" t="s">
        <v>61</v>
      </c>
      <c r="G66" s="23">
        <v>498</v>
      </c>
      <c r="H66" s="10"/>
      <c r="I66" s="10"/>
      <c r="J66" s="10"/>
      <c r="K66" s="10"/>
      <c r="L66" s="10"/>
      <c r="M66" s="10"/>
      <c r="N66" s="10"/>
      <c r="O66" s="10"/>
      <c r="P66" s="10"/>
      <c r="Q66" s="21" t="s">
        <v>373</v>
      </c>
    </row>
    <row r="67" spans="1:29" ht="23.1" customHeight="1">
      <c r="A67" s="16" t="s">
        <v>374</v>
      </c>
      <c r="B67" s="16" t="s">
        <v>504</v>
      </c>
      <c r="C67" s="16" t="s">
        <v>375</v>
      </c>
      <c r="D67" s="21" t="s">
        <v>109</v>
      </c>
      <c r="E67" s="21" t="s">
        <v>110</v>
      </c>
      <c r="F67" s="7" t="s">
        <v>104</v>
      </c>
      <c r="G67" s="23">
        <v>4</v>
      </c>
      <c r="H67" s="10"/>
      <c r="I67" s="10"/>
      <c r="J67" s="10"/>
      <c r="K67" s="10"/>
      <c r="L67" s="10"/>
      <c r="M67" s="10"/>
      <c r="N67" s="10"/>
      <c r="O67" s="10"/>
      <c r="P67" s="10"/>
      <c r="Q67" s="21" t="s">
        <v>376</v>
      </c>
    </row>
    <row r="68" spans="1:29" ht="23.1" customHeight="1">
      <c r="A68" s="16" t="s">
        <v>377</v>
      </c>
      <c r="B68" s="16" t="s">
        <v>504</v>
      </c>
      <c r="C68" s="16" t="s">
        <v>378</v>
      </c>
      <c r="D68" s="21" t="s">
        <v>109</v>
      </c>
      <c r="E68" s="21" t="s">
        <v>111</v>
      </c>
      <c r="F68" s="7" t="s">
        <v>104</v>
      </c>
      <c r="G68" s="23">
        <v>4</v>
      </c>
      <c r="H68" s="10"/>
      <c r="I68" s="10"/>
      <c r="J68" s="10"/>
      <c r="K68" s="10"/>
      <c r="L68" s="10"/>
      <c r="M68" s="10"/>
      <c r="N68" s="10"/>
      <c r="O68" s="10"/>
      <c r="P68" s="10"/>
      <c r="Q68" s="21" t="s">
        <v>379</v>
      </c>
    </row>
    <row r="69" spans="1:29" ht="23.1" customHeight="1">
      <c r="A69" s="16" t="s">
        <v>308</v>
      </c>
      <c r="B69" s="16" t="s">
        <v>504</v>
      </c>
      <c r="C69" s="16" t="s">
        <v>309</v>
      </c>
      <c r="D69" s="21" t="s">
        <v>311</v>
      </c>
      <c r="E69" s="21" t="s">
        <v>312</v>
      </c>
      <c r="F69" s="7" t="s">
        <v>231</v>
      </c>
      <c r="G69" s="23">
        <v>21</v>
      </c>
      <c r="H69" s="10"/>
      <c r="I69" s="10"/>
      <c r="J69" s="10"/>
      <c r="K69" s="10"/>
      <c r="L69" s="10"/>
      <c r="M69" s="10"/>
      <c r="N69" s="10"/>
      <c r="O69" s="10"/>
      <c r="P69" s="10"/>
      <c r="Q69" s="21" t="s">
        <v>310</v>
      </c>
    </row>
    <row r="70" spans="1:29" ht="23.1" customHeight="1">
      <c r="A70" s="16" t="s">
        <v>284</v>
      </c>
      <c r="B70" s="16" t="s">
        <v>504</v>
      </c>
      <c r="C70" s="16" t="s">
        <v>285</v>
      </c>
      <c r="D70" s="21" t="s">
        <v>287</v>
      </c>
      <c r="E70" s="21" t="s">
        <v>288</v>
      </c>
      <c r="F70" s="7" t="s">
        <v>119</v>
      </c>
      <c r="G70" s="23">
        <v>176.48</v>
      </c>
      <c r="H70" s="10"/>
      <c r="I70" s="10"/>
      <c r="J70" s="10"/>
      <c r="K70" s="10"/>
      <c r="L70" s="10"/>
      <c r="M70" s="10"/>
      <c r="N70" s="10"/>
      <c r="O70" s="10"/>
      <c r="P70" s="10"/>
      <c r="Q70" s="21" t="s">
        <v>286</v>
      </c>
    </row>
    <row r="71" spans="1:29" ht="23.1" customHeight="1">
      <c r="A71" s="16" t="s">
        <v>289</v>
      </c>
      <c r="B71" s="16" t="s">
        <v>504</v>
      </c>
      <c r="C71" s="16" t="s">
        <v>290</v>
      </c>
      <c r="D71" s="21" t="s">
        <v>292</v>
      </c>
      <c r="E71" s="21" t="s">
        <v>288</v>
      </c>
      <c r="F71" s="7" t="s">
        <v>119</v>
      </c>
      <c r="G71" s="23">
        <v>175.42</v>
      </c>
      <c r="H71" s="10"/>
      <c r="I71" s="10"/>
      <c r="J71" s="10"/>
      <c r="K71" s="10"/>
      <c r="L71" s="10"/>
      <c r="M71" s="10"/>
      <c r="N71" s="10"/>
      <c r="O71" s="10"/>
      <c r="P71" s="10"/>
      <c r="Q71" s="21" t="s">
        <v>291</v>
      </c>
    </row>
    <row r="72" spans="1:29" ht="23.1" customHeight="1">
      <c r="A72" s="16" t="s">
        <v>293</v>
      </c>
      <c r="B72" s="16" t="s">
        <v>504</v>
      </c>
      <c r="C72" s="16" t="s">
        <v>294</v>
      </c>
      <c r="D72" s="21" t="s">
        <v>296</v>
      </c>
      <c r="E72" s="21" t="s">
        <v>297</v>
      </c>
      <c r="F72" s="7" t="s">
        <v>119</v>
      </c>
      <c r="G72" s="23">
        <v>1.06</v>
      </c>
      <c r="H72" s="10"/>
      <c r="I72" s="10"/>
      <c r="J72" s="10"/>
      <c r="K72" s="10"/>
      <c r="L72" s="10"/>
      <c r="M72" s="10"/>
      <c r="N72" s="10"/>
      <c r="O72" s="10"/>
      <c r="P72" s="10"/>
      <c r="Q72" s="21" t="s">
        <v>295</v>
      </c>
    </row>
    <row r="73" spans="1:29" ht="23.1" customHeight="1">
      <c r="A73" s="16" t="s">
        <v>389</v>
      </c>
      <c r="B73" s="16" t="s">
        <v>504</v>
      </c>
      <c r="C73" s="16" t="s">
        <v>390</v>
      </c>
      <c r="D73" s="21" t="s">
        <v>124</v>
      </c>
      <c r="E73" s="21" t="s">
        <v>125</v>
      </c>
      <c r="F73" s="7" t="s">
        <v>126</v>
      </c>
      <c r="G73" s="23">
        <v>2</v>
      </c>
      <c r="H73" s="10"/>
      <c r="I73" s="10"/>
      <c r="J73" s="10"/>
      <c r="K73" s="10"/>
      <c r="L73" s="10"/>
      <c r="M73" s="10"/>
      <c r="N73" s="10"/>
      <c r="O73" s="10"/>
      <c r="P73" s="10"/>
      <c r="Q73" s="21" t="s">
        <v>391</v>
      </c>
    </row>
    <row r="74" spans="1:29" ht="23.1" customHeight="1">
      <c r="A74" s="16" t="s">
        <v>498</v>
      </c>
      <c r="B74" s="16" t="s">
        <v>504</v>
      </c>
      <c r="C74" s="16" t="s">
        <v>127</v>
      </c>
      <c r="D74" s="21" t="s">
        <v>128</v>
      </c>
      <c r="E74" s="21"/>
      <c r="F74" s="7" t="s">
        <v>126</v>
      </c>
      <c r="G74" s="23">
        <v>6</v>
      </c>
      <c r="H74" s="10"/>
      <c r="I74" s="10"/>
      <c r="J74" s="10"/>
      <c r="K74" s="10"/>
      <c r="L74" s="10"/>
      <c r="M74" s="10"/>
      <c r="N74" s="10"/>
      <c r="O74" s="10"/>
      <c r="P74" s="10"/>
      <c r="Q74" s="21"/>
    </row>
    <row r="75" spans="1:29" ht="23.1" customHeight="1">
      <c r="A75" s="16" t="s">
        <v>401</v>
      </c>
      <c r="B75" s="16" t="s">
        <v>504</v>
      </c>
      <c r="C75" s="16" t="s">
        <v>402</v>
      </c>
      <c r="D75" s="21" t="s">
        <v>147</v>
      </c>
      <c r="E75" s="21" t="s">
        <v>148</v>
      </c>
      <c r="F75" s="7" t="s">
        <v>61</v>
      </c>
      <c r="G75" s="23">
        <v>106</v>
      </c>
      <c r="H75" s="10"/>
      <c r="I75" s="10"/>
      <c r="J75" s="10"/>
      <c r="K75" s="10"/>
      <c r="L75" s="10"/>
      <c r="M75" s="10"/>
      <c r="N75" s="10"/>
      <c r="O75" s="10"/>
      <c r="P75" s="10"/>
      <c r="Q75" s="21" t="s">
        <v>403</v>
      </c>
      <c r="AC75" s="2">
        <f>G75*H75</f>
        <v>0</v>
      </c>
    </row>
    <row r="76" spans="1:29" ht="23.1" customHeight="1">
      <c r="A76" s="16" t="s">
        <v>407</v>
      </c>
      <c r="B76" s="16" t="s">
        <v>504</v>
      </c>
      <c r="C76" s="16" t="s">
        <v>408</v>
      </c>
      <c r="D76" s="21" t="s">
        <v>147</v>
      </c>
      <c r="E76" s="21" t="s">
        <v>150</v>
      </c>
      <c r="F76" s="7" t="s">
        <v>61</v>
      </c>
      <c r="G76" s="23">
        <v>114</v>
      </c>
      <c r="H76" s="10"/>
      <c r="I76" s="10"/>
      <c r="J76" s="10"/>
      <c r="K76" s="10"/>
      <c r="L76" s="10"/>
      <c r="M76" s="10"/>
      <c r="N76" s="10"/>
      <c r="O76" s="10"/>
      <c r="P76" s="10"/>
      <c r="Q76" s="21" t="s">
        <v>409</v>
      </c>
      <c r="AC76" s="2">
        <f>G76*H76</f>
        <v>0</v>
      </c>
    </row>
    <row r="77" spans="1:29" ht="23.1" customHeight="1">
      <c r="A77" s="16" t="s">
        <v>416</v>
      </c>
      <c r="B77" s="16" t="s">
        <v>504</v>
      </c>
      <c r="C77" s="16" t="s">
        <v>417</v>
      </c>
      <c r="D77" s="21" t="s">
        <v>147</v>
      </c>
      <c r="E77" s="21" t="s">
        <v>153</v>
      </c>
      <c r="F77" s="7" t="s">
        <v>61</v>
      </c>
      <c r="G77" s="23">
        <v>376</v>
      </c>
      <c r="H77" s="10"/>
      <c r="I77" s="10"/>
      <c r="J77" s="10"/>
      <c r="K77" s="10"/>
      <c r="L77" s="10"/>
      <c r="M77" s="10"/>
      <c r="N77" s="10"/>
      <c r="O77" s="10"/>
      <c r="P77" s="10"/>
      <c r="Q77" s="21" t="s">
        <v>418</v>
      </c>
      <c r="AC77" s="2">
        <f>G77*H77</f>
        <v>0</v>
      </c>
    </row>
    <row r="78" spans="1:29" ht="23.1" customHeight="1">
      <c r="A78" s="16" t="s">
        <v>428</v>
      </c>
      <c r="B78" s="16" t="s">
        <v>504</v>
      </c>
      <c r="C78" s="16" t="s">
        <v>429</v>
      </c>
      <c r="D78" s="21" t="s">
        <v>158</v>
      </c>
      <c r="E78" s="21" t="s">
        <v>159</v>
      </c>
      <c r="F78" s="7" t="s">
        <v>104</v>
      </c>
      <c r="G78" s="23">
        <v>21</v>
      </c>
      <c r="H78" s="10"/>
      <c r="I78" s="10"/>
      <c r="J78" s="10"/>
      <c r="K78" s="10"/>
      <c r="L78" s="10"/>
      <c r="M78" s="10"/>
      <c r="N78" s="10"/>
      <c r="O78" s="10"/>
      <c r="P78" s="10"/>
      <c r="Q78" s="21" t="s">
        <v>430</v>
      </c>
    </row>
    <row r="79" spans="1:29" ht="23.1" customHeight="1">
      <c r="A79" s="16" t="s">
        <v>434</v>
      </c>
      <c r="B79" s="16" t="s">
        <v>504</v>
      </c>
      <c r="C79" s="16" t="s">
        <v>435</v>
      </c>
      <c r="D79" s="21" t="s">
        <v>161</v>
      </c>
      <c r="E79" s="21" t="s">
        <v>162</v>
      </c>
      <c r="F79" s="7" t="s">
        <v>104</v>
      </c>
      <c r="G79" s="23">
        <v>21</v>
      </c>
      <c r="H79" s="10"/>
      <c r="I79" s="10"/>
      <c r="J79" s="10"/>
      <c r="K79" s="10"/>
      <c r="L79" s="10"/>
      <c r="M79" s="10"/>
      <c r="N79" s="10"/>
      <c r="O79" s="10"/>
      <c r="P79" s="10"/>
      <c r="Q79" s="21" t="s">
        <v>436</v>
      </c>
    </row>
    <row r="80" spans="1:29" ht="23.1" customHeight="1">
      <c r="A80" s="16" t="s">
        <v>440</v>
      </c>
      <c r="B80" s="16" t="s">
        <v>504</v>
      </c>
      <c r="C80" s="16" t="s">
        <v>441</v>
      </c>
      <c r="D80" s="21" t="s">
        <v>165</v>
      </c>
      <c r="E80" s="21" t="s">
        <v>166</v>
      </c>
      <c r="F80" s="7" t="s">
        <v>104</v>
      </c>
      <c r="G80" s="23">
        <v>2</v>
      </c>
      <c r="H80" s="10"/>
      <c r="I80" s="10"/>
      <c r="J80" s="10"/>
      <c r="K80" s="10"/>
      <c r="L80" s="10"/>
      <c r="M80" s="10"/>
      <c r="N80" s="10"/>
      <c r="O80" s="10"/>
      <c r="P80" s="10"/>
      <c r="Q80" s="21" t="s">
        <v>442</v>
      </c>
    </row>
    <row r="81" spans="1:31" ht="23.1" customHeight="1">
      <c r="A81" s="16" t="s">
        <v>446</v>
      </c>
      <c r="B81" s="16" t="s">
        <v>504</v>
      </c>
      <c r="C81" s="16" t="s">
        <v>447</v>
      </c>
      <c r="D81" s="21" t="s">
        <v>171</v>
      </c>
      <c r="E81" s="21" t="s">
        <v>172</v>
      </c>
      <c r="F81" s="7" t="s">
        <v>104</v>
      </c>
      <c r="G81" s="23">
        <v>21</v>
      </c>
      <c r="H81" s="10"/>
      <c r="I81" s="10"/>
      <c r="J81" s="10"/>
      <c r="K81" s="10"/>
      <c r="L81" s="10"/>
      <c r="M81" s="10"/>
      <c r="N81" s="10"/>
      <c r="O81" s="10"/>
      <c r="P81" s="10"/>
      <c r="Q81" s="21" t="s">
        <v>448</v>
      </c>
    </row>
    <row r="82" spans="1:31" ht="23.1" customHeight="1">
      <c r="A82" s="16" t="s">
        <v>449</v>
      </c>
      <c r="B82" s="16" t="s">
        <v>504</v>
      </c>
      <c r="C82" s="16" t="s">
        <v>450</v>
      </c>
      <c r="D82" s="21" t="s">
        <v>173</v>
      </c>
      <c r="E82" s="21" t="s">
        <v>174</v>
      </c>
      <c r="F82" s="7" t="s">
        <v>104</v>
      </c>
      <c r="G82" s="23">
        <v>21</v>
      </c>
      <c r="H82" s="10"/>
      <c r="I82" s="10"/>
      <c r="J82" s="10"/>
      <c r="K82" s="10"/>
      <c r="L82" s="10"/>
      <c r="M82" s="10"/>
      <c r="N82" s="10"/>
      <c r="O82" s="10"/>
      <c r="P82" s="10"/>
      <c r="Q82" s="21" t="s">
        <v>451</v>
      </c>
    </row>
    <row r="83" spans="1:31" ht="23.1" customHeight="1">
      <c r="A83" s="16" t="s">
        <v>458</v>
      </c>
      <c r="B83" s="16" t="s">
        <v>504</v>
      </c>
      <c r="C83" s="16" t="s">
        <v>459</v>
      </c>
      <c r="D83" s="21" t="s">
        <v>204</v>
      </c>
      <c r="E83" s="21" t="s">
        <v>205</v>
      </c>
      <c r="F83" s="7" t="s">
        <v>104</v>
      </c>
      <c r="G83" s="23">
        <v>21</v>
      </c>
      <c r="H83" s="10"/>
      <c r="I83" s="10"/>
      <c r="J83" s="10"/>
      <c r="K83" s="10"/>
      <c r="L83" s="10"/>
      <c r="M83" s="10"/>
      <c r="N83" s="10"/>
      <c r="O83" s="10"/>
      <c r="P83" s="10"/>
      <c r="Q83" s="21" t="s">
        <v>460</v>
      </c>
    </row>
    <row r="84" spans="1:31" ht="23.1" customHeight="1">
      <c r="A84" s="16" t="s">
        <v>500</v>
      </c>
      <c r="B84" s="16" t="s">
        <v>504</v>
      </c>
      <c r="C84" s="16" t="s">
        <v>206</v>
      </c>
      <c r="D84" s="21" t="s">
        <v>204</v>
      </c>
      <c r="E84" s="21" t="s">
        <v>207</v>
      </c>
      <c r="F84" s="7" t="s">
        <v>104</v>
      </c>
      <c r="G84" s="23">
        <v>16</v>
      </c>
      <c r="H84" s="10"/>
      <c r="I84" s="10"/>
      <c r="J84" s="10"/>
      <c r="K84" s="10"/>
      <c r="L84" s="10"/>
      <c r="M84" s="10"/>
      <c r="N84" s="10"/>
      <c r="O84" s="10"/>
      <c r="P84" s="10"/>
      <c r="Q84" s="21"/>
    </row>
    <row r="85" spans="1:31" ht="23.1" customHeight="1">
      <c r="A85" s="16" t="s">
        <v>501</v>
      </c>
      <c r="B85" s="16" t="s">
        <v>504</v>
      </c>
      <c r="C85" s="16" t="s">
        <v>208</v>
      </c>
      <c r="D85" s="21" t="s">
        <v>209</v>
      </c>
      <c r="E85" s="21" t="s">
        <v>210</v>
      </c>
      <c r="F85" s="7" t="s">
        <v>211</v>
      </c>
      <c r="G85" s="23">
        <v>9</v>
      </c>
      <c r="H85" s="10"/>
      <c r="I85" s="10"/>
      <c r="J85" s="10"/>
      <c r="K85" s="10"/>
      <c r="L85" s="10"/>
      <c r="M85" s="10"/>
      <c r="N85" s="10"/>
      <c r="O85" s="10"/>
      <c r="P85" s="10"/>
      <c r="Q85" s="21"/>
    </row>
    <row r="86" spans="1:31" ht="23.1" customHeight="1">
      <c r="A86" s="16" t="s">
        <v>482</v>
      </c>
      <c r="B86" s="16" t="s">
        <v>504</v>
      </c>
      <c r="C86" s="16" t="s">
        <v>483</v>
      </c>
      <c r="D86" s="21" t="s">
        <v>266</v>
      </c>
      <c r="E86" s="21" t="s">
        <v>267</v>
      </c>
      <c r="F86" s="7" t="s">
        <v>104</v>
      </c>
      <c r="G86" s="23">
        <v>2</v>
      </c>
      <c r="H86" s="10"/>
      <c r="I86" s="10"/>
      <c r="J86" s="10"/>
      <c r="K86" s="10"/>
      <c r="L86" s="10"/>
      <c r="M86" s="10"/>
      <c r="N86" s="10"/>
      <c r="O86" s="10"/>
      <c r="P86" s="10"/>
      <c r="Q86" s="21" t="s">
        <v>484</v>
      </c>
    </row>
    <row r="87" spans="1:31" ht="23.1" customHeight="1">
      <c r="A87" s="16" t="s">
        <v>485</v>
      </c>
      <c r="B87" s="16" t="s">
        <v>504</v>
      </c>
      <c r="C87" s="16" t="s">
        <v>486</v>
      </c>
      <c r="D87" s="21" t="s">
        <v>276</v>
      </c>
      <c r="E87" s="21" t="s">
        <v>277</v>
      </c>
      <c r="F87" s="7" t="s">
        <v>104</v>
      </c>
      <c r="G87" s="23">
        <v>2</v>
      </c>
      <c r="H87" s="10"/>
      <c r="I87" s="10"/>
      <c r="J87" s="10"/>
      <c r="K87" s="10"/>
      <c r="L87" s="10"/>
      <c r="M87" s="10"/>
      <c r="N87" s="10"/>
      <c r="O87" s="10"/>
      <c r="P87" s="10"/>
      <c r="Q87" s="21" t="s">
        <v>487</v>
      </c>
    </row>
    <row r="88" spans="1:31" ht="23.1" customHeight="1">
      <c r="A88" s="16" t="s">
        <v>502</v>
      </c>
      <c r="B88" s="16" t="s">
        <v>504</v>
      </c>
      <c r="C88" s="16" t="s">
        <v>278</v>
      </c>
      <c r="D88" s="21" t="s">
        <v>279</v>
      </c>
      <c r="E88" s="21" t="s">
        <v>280</v>
      </c>
      <c r="F88" s="7" t="s">
        <v>104</v>
      </c>
      <c r="G88" s="23">
        <v>2</v>
      </c>
      <c r="H88" s="10"/>
      <c r="I88" s="10"/>
      <c r="J88" s="10"/>
      <c r="K88" s="10"/>
      <c r="L88" s="10"/>
      <c r="M88" s="10"/>
      <c r="N88" s="10"/>
      <c r="O88" s="10"/>
      <c r="P88" s="10"/>
      <c r="Q88" s="21"/>
    </row>
    <row r="89" spans="1:31" ht="23.1" customHeight="1">
      <c r="D89" s="21"/>
      <c r="E89" s="21"/>
      <c r="F89" s="7"/>
      <c r="G89" s="23"/>
      <c r="H89" s="10"/>
      <c r="I89" s="10"/>
      <c r="J89" s="10"/>
      <c r="K89" s="10"/>
      <c r="L89" s="10"/>
      <c r="M89" s="10"/>
      <c r="N89" s="10"/>
      <c r="O89" s="10"/>
      <c r="P89" s="10"/>
      <c r="Q89" s="21"/>
      <c r="AE89" s="2">
        <f>TRUNC(SUM(AE56:AE88))</f>
        <v>0</v>
      </c>
    </row>
    <row r="90" spans="1:31" ht="23.1" customHeight="1">
      <c r="D90" s="21"/>
      <c r="E90" s="21"/>
      <c r="F90" s="7"/>
      <c r="G90" s="23"/>
      <c r="H90" s="10"/>
      <c r="I90" s="10"/>
      <c r="J90" s="10"/>
      <c r="K90" s="10"/>
      <c r="L90" s="10"/>
      <c r="M90" s="10"/>
      <c r="N90" s="10"/>
      <c r="O90" s="10"/>
      <c r="P90" s="10"/>
      <c r="Q90" s="21"/>
    </row>
    <row r="91" spans="1:31" ht="23.1" customHeight="1">
      <c r="D91" s="21"/>
      <c r="E91" s="21"/>
      <c r="F91" s="7"/>
      <c r="G91" s="23"/>
      <c r="H91" s="10"/>
      <c r="I91" s="10"/>
      <c r="J91" s="10"/>
      <c r="K91" s="10"/>
      <c r="L91" s="10"/>
      <c r="M91" s="10"/>
      <c r="N91" s="10"/>
      <c r="O91" s="10"/>
      <c r="P91" s="10"/>
      <c r="Q91" s="21"/>
    </row>
    <row r="92" spans="1:31" ht="23.1" customHeight="1">
      <c r="D92" s="21"/>
      <c r="E92" s="21"/>
      <c r="F92" s="7"/>
      <c r="G92" s="23"/>
      <c r="H92" s="10"/>
      <c r="I92" s="10"/>
      <c r="J92" s="10"/>
      <c r="K92" s="10"/>
      <c r="L92" s="10"/>
      <c r="M92" s="10"/>
      <c r="N92" s="10"/>
      <c r="O92" s="10"/>
      <c r="P92" s="10"/>
      <c r="Q92" s="21"/>
    </row>
    <row r="93" spans="1:31" ht="23.1" customHeight="1">
      <c r="D93" s="21"/>
      <c r="E93" s="21"/>
      <c r="F93" s="7"/>
      <c r="G93" s="23"/>
      <c r="H93" s="10"/>
      <c r="I93" s="10"/>
      <c r="J93" s="10"/>
      <c r="K93" s="10"/>
      <c r="L93" s="10"/>
      <c r="M93" s="10"/>
      <c r="N93" s="10"/>
      <c r="O93" s="10"/>
      <c r="P93" s="10"/>
      <c r="Q93" s="21"/>
    </row>
    <row r="94" spans="1:31" ht="23.1" customHeight="1">
      <c r="D94" s="21"/>
      <c r="E94" s="21"/>
      <c r="F94" s="7"/>
      <c r="G94" s="23"/>
      <c r="H94" s="10"/>
      <c r="I94" s="10"/>
      <c r="J94" s="10"/>
      <c r="K94" s="10"/>
      <c r="L94" s="10"/>
      <c r="M94" s="10"/>
      <c r="N94" s="10"/>
      <c r="O94" s="10"/>
      <c r="P94" s="10"/>
      <c r="Q94" s="21"/>
    </row>
    <row r="95" spans="1:31" ht="23.1" customHeight="1">
      <c r="D95" s="21"/>
      <c r="E95" s="21"/>
      <c r="F95" s="7"/>
      <c r="G95" s="23"/>
      <c r="H95" s="10"/>
      <c r="I95" s="10"/>
      <c r="J95" s="10"/>
      <c r="K95" s="10"/>
      <c r="L95" s="10"/>
      <c r="M95" s="10"/>
      <c r="N95" s="10"/>
      <c r="O95" s="10"/>
      <c r="P95" s="10"/>
      <c r="Q95" s="21"/>
    </row>
    <row r="96" spans="1:31" ht="23.1" customHeight="1">
      <c r="D96" s="21"/>
      <c r="E96" s="21"/>
      <c r="F96" s="7"/>
      <c r="G96" s="23"/>
      <c r="H96" s="10"/>
      <c r="I96" s="10"/>
      <c r="J96" s="10"/>
      <c r="K96" s="10"/>
      <c r="L96" s="10"/>
      <c r="M96" s="10"/>
      <c r="N96" s="10"/>
      <c r="O96" s="10"/>
      <c r="P96" s="10"/>
      <c r="Q96" s="21"/>
    </row>
    <row r="97" spans="1:29" ht="23.1" customHeight="1">
      <c r="D97" s="21"/>
      <c r="E97" s="21"/>
      <c r="F97" s="7"/>
      <c r="G97" s="23"/>
      <c r="H97" s="10"/>
      <c r="I97" s="10"/>
      <c r="J97" s="10"/>
      <c r="K97" s="10"/>
      <c r="L97" s="10"/>
      <c r="M97" s="10"/>
      <c r="N97" s="10"/>
      <c r="O97" s="10"/>
      <c r="P97" s="10"/>
      <c r="Q97" s="21"/>
    </row>
    <row r="98" spans="1:29" ht="23.1" customHeight="1">
      <c r="D98" s="21"/>
      <c r="E98" s="21"/>
      <c r="F98" s="7"/>
      <c r="G98" s="23"/>
      <c r="H98" s="10"/>
      <c r="I98" s="10"/>
      <c r="J98" s="10"/>
      <c r="K98" s="10"/>
      <c r="L98" s="10"/>
      <c r="M98" s="10"/>
      <c r="N98" s="10"/>
      <c r="O98" s="10"/>
      <c r="P98" s="10"/>
      <c r="Q98" s="21"/>
    </row>
    <row r="99" spans="1:29" ht="23.1" customHeight="1">
      <c r="D99" s="21"/>
      <c r="E99" s="21"/>
      <c r="F99" s="7"/>
      <c r="G99" s="23"/>
      <c r="H99" s="10"/>
      <c r="I99" s="10"/>
      <c r="J99" s="10"/>
      <c r="K99" s="10"/>
      <c r="L99" s="10"/>
      <c r="M99" s="10"/>
      <c r="N99" s="10"/>
      <c r="O99" s="10"/>
      <c r="P99" s="10"/>
      <c r="Q99" s="21"/>
    </row>
    <row r="100" spans="1:29" ht="23.1" customHeight="1">
      <c r="D100" s="21"/>
      <c r="E100" s="21"/>
      <c r="F100" s="7"/>
      <c r="G100" s="23"/>
      <c r="H100" s="10"/>
      <c r="I100" s="10"/>
      <c r="J100" s="10"/>
      <c r="K100" s="10"/>
      <c r="L100" s="10"/>
      <c r="M100" s="10"/>
      <c r="N100" s="10"/>
      <c r="O100" s="10"/>
      <c r="P100" s="10"/>
      <c r="Q100" s="21"/>
    </row>
    <row r="101" spans="1:29" ht="23.1" customHeight="1">
      <c r="D101" s="21"/>
      <c r="E101" s="21"/>
      <c r="F101" s="7"/>
      <c r="G101" s="23"/>
      <c r="H101" s="10"/>
      <c r="I101" s="10"/>
      <c r="J101" s="10"/>
      <c r="K101" s="10"/>
      <c r="L101" s="10"/>
      <c r="M101" s="10"/>
      <c r="N101" s="10"/>
      <c r="O101" s="10"/>
      <c r="P101" s="10"/>
      <c r="Q101" s="21"/>
    </row>
    <row r="102" spans="1:29" ht="23.1" customHeight="1">
      <c r="D102" s="21"/>
      <c r="E102" s="21"/>
      <c r="F102" s="7"/>
      <c r="G102" s="23"/>
      <c r="H102" s="10"/>
      <c r="I102" s="10"/>
      <c r="J102" s="10"/>
      <c r="K102" s="10"/>
      <c r="L102" s="10"/>
      <c r="M102" s="10"/>
      <c r="N102" s="10"/>
      <c r="O102" s="10"/>
      <c r="P102" s="10"/>
      <c r="Q102" s="21"/>
    </row>
    <row r="103" spans="1:29" ht="23.1" customHeight="1">
      <c r="D103" s="21"/>
      <c r="E103" s="21"/>
      <c r="F103" s="7"/>
      <c r="G103" s="23"/>
      <c r="H103" s="10"/>
      <c r="I103" s="10"/>
      <c r="J103" s="10"/>
      <c r="K103" s="10"/>
      <c r="L103" s="10"/>
      <c r="M103" s="10"/>
      <c r="N103" s="10"/>
      <c r="O103" s="10"/>
      <c r="P103" s="10"/>
      <c r="Q103" s="21"/>
    </row>
    <row r="104" spans="1:29" ht="23.1" customHeight="1">
      <c r="D104" s="21"/>
      <c r="E104" s="21"/>
      <c r="F104" s="7"/>
      <c r="G104" s="23"/>
      <c r="H104" s="10"/>
      <c r="I104" s="10"/>
      <c r="J104" s="10"/>
      <c r="K104" s="10"/>
      <c r="L104" s="10"/>
      <c r="M104" s="10"/>
      <c r="N104" s="10"/>
      <c r="O104" s="10"/>
      <c r="P104" s="10"/>
      <c r="Q104" s="21"/>
    </row>
    <row r="105" spans="1:29" ht="23.1" customHeight="1">
      <c r="D105" s="21"/>
      <c r="E105" s="21"/>
      <c r="F105" s="7"/>
      <c r="G105" s="23"/>
      <c r="H105" s="10"/>
      <c r="I105" s="10"/>
      <c r="J105" s="10"/>
      <c r="K105" s="10"/>
      <c r="L105" s="10"/>
      <c r="M105" s="10"/>
      <c r="N105" s="10"/>
      <c r="O105" s="10"/>
      <c r="P105" s="10"/>
      <c r="Q105" s="21"/>
    </row>
    <row r="106" spans="1:29" ht="23.1" customHeight="1">
      <c r="D106" s="21"/>
      <c r="E106" s="21"/>
      <c r="F106" s="7"/>
      <c r="G106" s="23"/>
      <c r="H106" s="10"/>
      <c r="I106" s="10"/>
      <c r="J106" s="10"/>
      <c r="K106" s="10"/>
      <c r="L106" s="10"/>
      <c r="M106" s="10"/>
      <c r="N106" s="10"/>
      <c r="O106" s="10"/>
      <c r="P106" s="10"/>
      <c r="Q106" s="21"/>
    </row>
    <row r="107" spans="1:29" ht="23.1" customHeight="1">
      <c r="B107" s="16" t="s">
        <v>489</v>
      </c>
      <c r="D107" s="21" t="s">
        <v>490</v>
      </c>
      <c r="E107" s="21"/>
      <c r="F107" s="7"/>
      <c r="G107" s="23"/>
      <c r="H107" s="10"/>
      <c r="I107" s="10"/>
      <c r="J107" s="10"/>
      <c r="K107" s="10"/>
      <c r="L107" s="10"/>
      <c r="M107" s="10"/>
      <c r="N107" s="10"/>
      <c r="O107" s="10"/>
      <c r="P107" s="10"/>
      <c r="Q107" s="21"/>
    </row>
    <row r="108" spans="1:29" ht="23.1" customHeight="1">
      <c r="B108" s="16" t="s">
        <v>283</v>
      </c>
      <c r="D108" s="27" t="s">
        <v>508</v>
      </c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9"/>
    </row>
    <row r="109" spans="1:29" ht="23.1" customHeight="1">
      <c r="A109" s="16" t="s">
        <v>320</v>
      </c>
      <c r="B109" s="16" t="s">
        <v>509</v>
      </c>
      <c r="C109" s="16" t="s">
        <v>321</v>
      </c>
      <c r="D109" s="21" t="s">
        <v>59</v>
      </c>
      <c r="E109" s="21" t="s">
        <v>62</v>
      </c>
      <c r="F109" s="7" t="s">
        <v>61</v>
      </c>
      <c r="G109" s="23">
        <v>119</v>
      </c>
      <c r="H109" s="10"/>
      <c r="I109" s="10"/>
      <c r="J109" s="10"/>
      <c r="K109" s="10"/>
      <c r="L109" s="10"/>
      <c r="M109" s="10"/>
      <c r="N109" s="10"/>
      <c r="O109" s="10"/>
      <c r="P109" s="10"/>
      <c r="Q109" s="21" t="s">
        <v>322</v>
      </c>
      <c r="AB109" s="2">
        <f>G109*H109</f>
        <v>0</v>
      </c>
      <c r="AC109" s="2">
        <f t="shared" ref="AC109:AC114" si="2">G109*H109</f>
        <v>0</v>
      </c>
    </row>
    <row r="110" spans="1:29" ht="23.1" customHeight="1">
      <c r="A110" s="16" t="s">
        <v>326</v>
      </c>
      <c r="B110" s="16" t="s">
        <v>509</v>
      </c>
      <c r="C110" s="16" t="s">
        <v>327</v>
      </c>
      <c r="D110" s="21" t="s">
        <v>59</v>
      </c>
      <c r="E110" s="21" t="s">
        <v>64</v>
      </c>
      <c r="F110" s="7" t="s">
        <v>61</v>
      </c>
      <c r="G110" s="23">
        <v>11</v>
      </c>
      <c r="H110" s="10"/>
      <c r="I110" s="10"/>
      <c r="J110" s="10"/>
      <c r="K110" s="10"/>
      <c r="L110" s="10"/>
      <c r="M110" s="10"/>
      <c r="N110" s="10"/>
      <c r="O110" s="10"/>
      <c r="P110" s="10"/>
      <c r="Q110" s="21" t="s">
        <v>328</v>
      </c>
      <c r="AB110" s="2">
        <f>G110*H110</f>
        <v>0</v>
      </c>
      <c r="AC110" s="2">
        <f t="shared" si="2"/>
        <v>0</v>
      </c>
    </row>
    <row r="111" spans="1:29" ht="23.1" customHeight="1">
      <c r="A111" s="16" t="s">
        <v>329</v>
      </c>
      <c r="B111" s="16" t="s">
        <v>509</v>
      </c>
      <c r="C111" s="16" t="s">
        <v>330</v>
      </c>
      <c r="D111" s="21" t="s">
        <v>59</v>
      </c>
      <c r="E111" s="21" t="s">
        <v>65</v>
      </c>
      <c r="F111" s="7" t="s">
        <v>61</v>
      </c>
      <c r="G111" s="23">
        <v>51</v>
      </c>
      <c r="H111" s="10"/>
      <c r="I111" s="10"/>
      <c r="J111" s="10"/>
      <c r="K111" s="10"/>
      <c r="L111" s="10"/>
      <c r="M111" s="10"/>
      <c r="N111" s="10"/>
      <c r="O111" s="10"/>
      <c r="P111" s="10"/>
      <c r="Q111" s="21" t="s">
        <v>331</v>
      </c>
      <c r="AB111" s="2">
        <f>G111*H111</f>
        <v>0</v>
      </c>
      <c r="AC111" s="2">
        <f t="shared" si="2"/>
        <v>0</v>
      </c>
    </row>
    <row r="112" spans="1:29" ht="23.1" customHeight="1">
      <c r="A112" s="16" t="s">
        <v>341</v>
      </c>
      <c r="B112" s="16" t="s">
        <v>509</v>
      </c>
      <c r="C112" s="16" t="s">
        <v>342</v>
      </c>
      <c r="D112" s="21" t="s">
        <v>70</v>
      </c>
      <c r="E112" s="21" t="s">
        <v>71</v>
      </c>
      <c r="F112" s="7" t="s">
        <v>61</v>
      </c>
      <c r="G112" s="23">
        <v>60</v>
      </c>
      <c r="H112" s="10"/>
      <c r="I112" s="10"/>
      <c r="J112" s="10"/>
      <c r="K112" s="10"/>
      <c r="L112" s="10"/>
      <c r="M112" s="10"/>
      <c r="N112" s="10"/>
      <c r="O112" s="10"/>
      <c r="P112" s="10"/>
      <c r="Q112" s="21" t="s">
        <v>343</v>
      </c>
      <c r="AC112" s="2">
        <f t="shared" si="2"/>
        <v>0</v>
      </c>
    </row>
    <row r="113" spans="1:29" ht="23.1" customHeight="1">
      <c r="A113" s="16" t="s">
        <v>505</v>
      </c>
      <c r="B113" s="16" t="s">
        <v>509</v>
      </c>
      <c r="C113" s="16" t="s">
        <v>77</v>
      </c>
      <c r="D113" s="21" t="s">
        <v>78</v>
      </c>
      <c r="E113" s="21" t="s">
        <v>79</v>
      </c>
      <c r="F113" s="7" t="s">
        <v>61</v>
      </c>
      <c r="G113" s="23">
        <v>115</v>
      </c>
      <c r="H113" s="10"/>
      <c r="I113" s="10"/>
      <c r="J113" s="10"/>
      <c r="K113" s="10"/>
      <c r="L113" s="10"/>
      <c r="M113" s="10"/>
      <c r="N113" s="10"/>
      <c r="O113" s="10"/>
      <c r="P113" s="10"/>
      <c r="Q113" s="21"/>
      <c r="AC113" s="2">
        <f t="shared" si="2"/>
        <v>0</v>
      </c>
    </row>
    <row r="114" spans="1:29" ht="23.1" customHeight="1">
      <c r="A114" s="16" t="s">
        <v>356</v>
      </c>
      <c r="B114" s="16" t="s">
        <v>509</v>
      </c>
      <c r="C114" s="16" t="s">
        <v>357</v>
      </c>
      <c r="D114" s="21" t="s">
        <v>95</v>
      </c>
      <c r="E114" s="21" t="s">
        <v>96</v>
      </c>
      <c r="F114" s="7" t="s">
        <v>61</v>
      </c>
      <c r="G114" s="23">
        <v>142</v>
      </c>
      <c r="H114" s="10"/>
      <c r="I114" s="10"/>
      <c r="J114" s="10"/>
      <c r="K114" s="10"/>
      <c r="L114" s="10"/>
      <c r="M114" s="10"/>
      <c r="N114" s="10"/>
      <c r="O114" s="10"/>
      <c r="P114" s="10"/>
      <c r="Q114" s="21" t="s">
        <v>358</v>
      </c>
      <c r="AC114" s="2">
        <f t="shared" si="2"/>
        <v>0</v>
      </c>
    </row>
    <row r="115" spans="1:29" ht="23.1" customHeight="1">
      <c r="A115" s="16" t="s">
        <v>362</v>
      </c>
      <c r="B115" s="16" t="s">
        <v>509</v>
      </c>
      <c r="C115" s="16" t="s">
        <v>363</v>
      </c>
      <c r="D115" s="21" t="s">
        <v>99</v>
      </c>
      <c r="E115" s="21" t="s">
        <v>100</v>
      </c>
      <c r="F115" s="7" t="s">
        <v>101</v>
      </c>
      <c r="G115" s="23">
        <v>2</v>
      </c>
      <c r="H115" s="10"/>
      <c r="I115" s="10"/>
      <c r="J115" s="10"/>
      <c r="K115" s="10"/>
      <c r="L115" s="10"/>
      <c r="M115" s="10"/>
      <c r="N115" s="10"/>
      <c r="O115" s="10"/>
      <c r="P115" s="10"/>
      <c r="Q115" s="21" t="s">
        <v>364</v>
      </c>
    </row>
    <row r="116" spans="1:29" ht="23.1" customHeight="1">
      <c r="A116" s="16" t="s">
        <v>365</v>
      </c>
      <c r="B116" s="16" t="s">
        <v>509</v>
      </c>
      <c r="C116" s="16" t="s">
        <v>366</v>
      </c>
      <c r="D116" s="21" t="s">
        <v>102</v>
      </c>
      <c r="E116" s="21" t="s">
        <v>103</v>
      </c>
      <c r="F116" s="7" t="s">
        <v>104</v>
      </c>
      <c r="G116" s="23">
        <v>3</v>
      </c>
      <c r="H116" s="10"/>
      <c r="I116" s="10"/>
      <c r="J116" s="10"/>
      <c r="K116" s="10"/>
      <c r="L116" s="10"/>
      <c r="M116" s="10"/>
      <c r="N116" s="10"/>
      <c r="O116" s="10"/>
      <c r="P116" s="10"/>
      <c r="Q116" s="21" t="s">
        <v>367</v>
      </c>
    </row>
    <row r="117" spans="1:29" ht="23.1" customHeight="1">
      <c r="A117" s="16" t="s">
        <v>371</v>
      </c>
      <c r="B117" s="16" t="s">
        <v>509</v>
      </c>
      <c r="C117" s="16" t="s">
        <v>372</v>
      </c>
      <c r="D117" s="21" t="s">
        <v>107</v>
      </c>
      <c r="E117" s="21" t="s">
        <v>108</v>
      </c>
      <c r="F117" s="7" t="s">
        <v>61</v>
      </c>
      <c r="G117" s="23">
        <v>136</v>
      </c>
      <c r="H117" s="10"/>
      <c r="I117" s="10"/>
      <c r="J117" s="10"/>
      <c r="K117" s="10"/>
      <c r="L117" s="10"/>
      <c r="M117" s="10"/>
      <c r="N117" s="10"/>
      <c r="O117" s="10"/>
      <c r="P117" s="10"/>
      <c r="Q117" s="21" t="s">
        <v>373</v>
      </c>
    </row>
    <row r="118" spans="1:29" ht="23.1" customHeight="1">
      <c r="A118" s="16" t="s">
        <v>510</v>
      </c>
      <c r="B118" s="16" t="s">
        <v>509</v>
      </c>
      <c r="C118" s="16" t="s">
        <v>121</v>
      </c>
      <c r="D118" s="21" t="s">
        <v>122</v>
      </c>
      <c r="E118" s="21" t="s">
        <v>123</v>
      </c>
      <c r="F118" s="7" t="s">
        <v>119</v>
      </c>
      <c r="G118" s="23">
        <v>6.7830000000000004</v>
      </c>
      <c r="H118" s="10"/>
      <c r="I118" s="10"/>
      <c r="J118" s="10"/>
      <c r="K118" s="10"/>
      <c r="L118" s="10"/>
      <c r="M118" s="10"/>
      <c r="N118" s="10"/>
      <c r="O118" s="10"/>
      <c r="P118" s="10"/>
      <c r="Q118" s="21"/>
    </row>
    <row r="119" spans="1:29" ht="23.1" customHeight="1">
      <c r="A119" s="16" t="s">
        <v>284</v>
      </c>
      <c r="B119" s="16" t="s">
        <v>509</v>
      </c>
      <c r="C119" s="16" t="s">
        <v>285</v>
      </c>
      <c r="D119" s="21" t="s">
        <v>287</v>
      </c>
      <c r="E119" s="21" t="s">
        <v>288</v>
      </c>
      <c r="F119" s="7" t="s">
        <v>119</v>
      </c>
      <c r="G119" s="23">
        <v>86.376000000000005</v>
      </c>
      <c r="H119" s="10"/>
      <c r="I119" s="10"/>
      <c r="J119" s="10"/>
      <c r="K119" s="10"/>
      <c r="L119" s="10"/>
      <c r="M119" s="10"/>
      <c r="N119" s="10"/>
      <c r="O119" s="10"/>
      <c r="P119" s="10"/>
      <c r="Q119" s="21" t="s">
        <v>286</v>
      </c>
    </row>
    <row r="120" spans="1:29" ht="23.1" customHeight="1">
      <c r="A120" s="16" t="s">
        <v>289</v>
      </c>
      <c r="B120" s="16" t="s">
        <v>509</v>
      </c>
      <c r="C120" s="16" t="s">
        <v>290</v>
      </c>
      <c r="D120" s="21" t="s">
        <v>292</v>
      </c>
      <c r="E120" s="21" t="s">
        <v>288</v>
      </c>
      <c r="F120" s="7" t="s">
        <v>119</v>
      </c>
      <c r="G120" s="23">
        <v>79.593000000000004</v>
      </c>
      <c r="H120" s="10"/>
      <c r="I120" s="10"/>
      <c r="J120" s="10"/>
      <c r="K120" s="10"/>
      <c r="L120" s="10"/>
      <c r="M120" s="10"/>
      <c r="N120" s="10"/>
      <c r="O120" s="10"/>
      <c r="P120" s="10"/>
      <c r="Q120" s="21" t="s">
        <v>291</v>
      </c>
    </row>
    <row r="121" spans="1:29" ht="23.1" customHeight="1">
      <c r="A121" s="16" t="s">
        <v>293</v>
      </c>
      <c r="B121" s="16" t="s">
        <v>509</v>
      </c>
      <c r="C121" s="16" t="s">
        <v>294</v>
      </c>
      <c r="D121" s="21" t="s">
        <v>296</v>
      </c>
      <c r="E121" s="21" t="s">
        <v>297</v>
      </c>
      <c r="F121" s="7" t="s">
        <v>119</v>
      </c>
      <c r="G121" s="23">
        <v>6.7830000000000004</v>
      </c>
      <c r="H121" s="10"/>
      <c r="I121" s="10"/>
      <c r="J121" s="10"/>
      <c r="K121" s="10"/>
      <c r="L121" s="10"/>
      <c r="M121" s="10"/>
      <c r="N121" s="10"/>
      <c r="O121" s="10"/>
      <c r="P121" s="10"/>
      <c r="Q121" s="21" t="s">
        <v>295</v>
      </c>
    </row>
    <row r="122" spans="1:29" ht="23.1" customHeight="1">
      <c r="A122" s="16" t="s">
        <v>298</v>
      </c>
      <c r="B122" s="16" t="s">
        <v>509</v>
      </c>
      <c r="C122" s="16" t="s">
        <v>299</v>
      </c>
      <c r="D122" s="21" t="s">
        <v>301</v>
      </c>
      <c r="E122" s="21" t="s">
        <v>302</v>
      </c>
      <c r="F122" s="7" t="s">
        <v>119</v>
      </c>
      <c r="G122" s="23">
        <v>6.7830000000000004</v>
      </c>
      <c r="H122" s="10"/>
      <c r="I122" s="10"/>
      <c r="J122" s="10"/>
      <c r="K122" s="10"/>
      <c r="L122" s="10"/>
      <c r="M122" s="10"/>
      <c r="N122" s="10"/>
      <c r="O122" s="10"/>
      <c r="P122" s="10"/>
      <c r="Q122" s="21" t="s">
        <v>300</v>
      </c>
    </row>
    <row r="123" spans="1:29" ht="23.1" customHeight="1">
      <c r="A123" s="16" t="s">
        <v>303</v>
      </c>
      <c r="B123" s="16" t="s">
        <v>509</v>
      </c>
      <c r="C123" s="16" t="s">
        <v>304</v>
      </c>
      <c r="D123" s="21" t="s">
        <v>306</v>
      </c>
      <c r="E123" s="21" t="s">
        <v>307</v>
      </c>
      <c r="F123" s="7" t="s">
        <v>120</v>
      </c>
      <c r="G123" s="23">
        <v>24</v>
      </c>
      <c r="H123" s="10"/>
      <c r="I123" s="10"/>
      <c r="J123" s="10"/>
      <c r="K123" s="10"/>
      <c r="L123" s="10"/>
      <c r="M123" s="10"/>
      <c r="N123" s="10"/>
      <c r="O123" s="10"/>
      <c r="P123" s="10"/>
      <c r="Q123" s="21" t="s">
        <v>305</v>
      </c>
    </row>
    <row r="124" spans="1:29" ht="23.1" customHeight="1">
      <c r="A124" s="16" t="s">
        <v>511</v>
      </c>
      <c r="B124" s="16" t="s">
        <v>509</v>
      </c>
      <c r="C124" s="16" t="s">
        <v>129</v>
      </c>
      <c r="D124" s="21" t="s">
        <v>130</v>
      </c>
      <c r="E124" s="21"/>
      <c r="F124" s="7" t="s">
        <v>104</v>
      </c>
      <c r="G124" s="23">
        <v>6</v>
      </c>
      <c r="H124" s="10"/>
      <c r="I124" s="10"/>
      <c r="J124" s="10"/>
      <c r="K124" s="10"/>
      <c r="L124" s="10"/>
      <c r="M124" s="10"/>
      <c r="N124" s="10"/>
      <c r="O124" s="10"/>
      <c r="P124" s="10"/>
      <c r="Q124" s="21"/>
    </row>
    <row r="125" spans="1:29" ht="23.1" customHeight="1">
      <c r="A125" s="16" t="s">
        <v>512</v>
      </c>
      <c r="B125" s="16" t="s">
        <v>509</v>
      </c>
      <c r="C125" s="16" t="s">
        <v>141</v>
      </c>
      <c r="D125" s="21" t="s">
        <v>142</v>
      </c>
      <c r="E125" s="21" t="s">
        <v>143</v>
      </c>
      <c r="F125" s="7" t="s">
        <v>104</v>
      </c>
      <c r="G125" s="23">
        <v>3</v>
      </c>
      <c r="H125" s="10"/>
      <c r="I125" s="10"/>
      <c r="J125" s="10"/>
      <c r="K125" s="10"/>
      <c r="L125" s="10"/>
      <c r="M125" s="10"/>
      <c r="N125" s="10"/>
      <c r="O125" s="10"/>
      <c r="P125" s="10"/>
      <c r="Q125" s="21"/>
    </row>
    <row r="126" spans="1:29" ht="23.1" customHeight="1">
      <c r="A126" s="16" t="s">
        <v>401</v>
      </c>
      <c r="B126" s="16" t="s">
        <v>509</v>
      </c>
      <c r="C126" s="16" t="s">
        <v>402</v>
      </c>
      <c r="D126" s="21" t="s">
        <v>147</v>
      </c>
      <c r="E126" s="21" t="s">
        <v>148</v>
      </c>
      <c r="F126" s="7" t="s">
        <v>61</v>
      </c>
      <c r="G126" s="23">
        <v>112</v>
      </c>
      <c r="H126" s="10"/>
      <c r="I126" s="10"/>
      <c r="J126" s="10"/>
      <c r="K126" s="10"/>
      <c r="L126" s="10"/>
      <c r="M126" s="10"/>
      <c r="N126" s="10"/>
      <c r="O126" s="10"/>
      <c r="P126" s="10"/>
      <c r="Q126" s="21" t="s">
        <v>403</v>
      </c>
      <c r="AC126" s="2">
        <f>G126*H126</f>
        <v>0</v>
      </c>
    </row>
    <row r="127" spans="1:29" ht="23.1" customHeight="1">
      <c r="A127" s="16" t="s">
        <v>452</v>
      </c>
      <c r="B127" s="16" t="s">
        <v>509</v>
      </c>
      <c r="C127" s="16" t="s">
        <v>453</v>
      </c>
      <c r="D127" s="21" t="s">
        <v>184</v>
      </c>
      <c r="E127" s="21" t="s">
        <v>185</v>
      </c>
      <c r="F127" s="7" t="s">
        <v>104</v>
      </c>
      <c r="G127" s="23">
        <v>6</v>
      </c>
      <c r="H127" s="10"/>
      <c r="I127" s="10"/>
      <c r="J127" s="10"/>
      <c r="K127" s="10"/>
      <c r="L127" s="10"/>
      <c r="M127" s="10"/>
      <c r="N127" s="10"/>
      <c r="O127" s="10"/>
      <c r="P127" s="10"/>
      <c r="Q127" s="21" t="s">
        <v>454</v>
      </c>
    </row>
    <row r="128" spans="1:29" ht="23.1" customHeight="1">
      <c r="A128" s="16" t="s">
        <v>513</v>
      </c>
      <c r="B128" s="16" t="s">
        <v>509</v>
      </c>
      <c r="C128" s="16" t="s">
        <v>241</v>
      </c>
      <c r="D128" s="21" t="s">
        <v>242</v>
      </c>
      <c r="E128" s="21"/>
      <c r="F128" s="7" t="s">
        <v>104</v>
      </c>
      <c r="G128" s="23">
        <v>4</v>
      </c>
      <c r="H128" s="10"/>
      <c r="I128" s="10"/>
      <c r="J128" s="10"/>
      <c r="K128" s="10"/>
      <c r="L128" s="10"/>
      <c r="M128" s="10"/>
      <c r="N128" s="10"/>
      <c r="O128" s="10"/>
      <c r="P128" s="10"/>
      <c r="Q128" s="21"/>
    </row>
    <row r="129" spans="1:31" ht="23.1" customHeight="1">
      <c r="A129" s="16" t="s">
        <v>514</v>
      </c>
      <c r="B129" s="16" t="s">
        <v>509</v>
      </c>
      <c r="C129" s="16" t="s">
        <v>243</v>
      </c>
      <c r="D129" s="21" t="s">
        <v>244</v>
      </c>
      <c r="E129" s="21"/>
      <c r="F129" s="7" t="s">
        <v>104</v>
      </c>
      <c r="G129" s="23">
        <v>1</v>
      </c>
      <c r="H129" s="10"/>
      <c r="I129" s="10"/>
      <c r="J129" s="10"/>
      <c r="K129" s="10"/>
      <c r="L129" s="10"/>
      <c r="M129" s="10"/>
      <c r="N129" s="10"/>
      <c r="O129" s="10"/>
      <c r="P129" s="10"/>
      <c r="Q129" s="21"/>
    </row>
    <row r="130" spans="1:31" ht="23.1" customHeight="1">
      <c r="A130" s="16" t="s">
        <v>470</v>
      </c>
      <c r="B130" s="16" t="s">
        <v>509</v>
      </c>
      <c r="C130" s="16" t="s">
        <v>471</v>
      </c>
      <c r="D130" s="21" t="s">
        <v>245</v>
      </c>
      <c r="E130" s="21" t="s">
        <v>246</v>
      </c>
      <c r="F130" s="7" t="s">
        <v>104</v>
      </c>
      <c r="G130" s="23">
        <v>1</v>
      </c>
      <c r="H130" s="10"/>
      <c r="I130" s="10"/>
      <c r="J130" s="10"/>
      <c r="K130" s="10"/>
      <c r="L130" s="10"/>
      <c r="M130" s="10"/>
      <c r="N130" s="10"/>
      <c r="O130" s="10"/>
      <c r="P130" s="10"/>
      <c r="Q130" s="21" t="s">
        <v>472</v>
      </c>
    </row>
    <row r="131" spans="1:31" ht="23.1" customHeight="1">
      <c r="A131" s="16" t="s">
        <v>473</v>
      </c>
      <c r="B131" s="16" t="s">
        <v>509</v>
      </c>
      <c r="C131" s="16" t="s">
        <v>474</v>
      </c>
      <c r="D131" s="21" t="s">
        <v>245</v>
      </c>
      <c r="E131" s="21" t="s">
        <v>247</v>
      </c>
      <c r="F131" s="7" t="s">
        <v>104</v>
      </c>
      <c r="G131" s="23">
        <v>2</v>
      </c>
      <c r="H131" s="10"/>
      <c r="I131" s="10"/>
      <c r="J131" s="10"/>
      <c r="K131" s="10"/>
      <c r="L131" s="10"/>
      <c r="M131" s="10"/>
      <c r="N131" s="10"/>
      <c r="O131" s="10"/>
      <c r="P131" s="10"/>
      <c r="Q131" s="21" t="s">
        <v>475</v>
      </c>
    </row>
    <row r="132" spans="1:31" ht="23.1" customHeight="1">
      <c r="A132" s="16" t="s">
        <v>515</v>
      </c>
      <c r="B132" s="16" t="s">
        <v>509</v>
      </c>
      <c r="C132" s="16" t="s">
        <v>516</v>
      </c>
      <c r="D132" s="21" t="s">
        <v>517</v>
      </c>
      <c r="E132" s="21" t="s">
        <v>518</v>
      </c>
      <c r="F132" s="7" t="s">
        <v>211</v>
      </c>
      <c r="G132" s="23">
        <v>9</v>
      </c>
      <c r="H132" s="10"/>
      <c r="I132" s="10"/>
      <c r="J132" s="10"/>
      <c r="K132" s="10"/>
      <c r="L132" s="10"/>
      <c r="M132" s="10"/>
      <c r="N132" s="10"/>
      <c r="O132" s="10"/>
      <c r="P132" s="10"/>
      <c r="Q132" s="21"/>
    </row>
    <row r="133" spans="1:31" ht="23.1" customHeight="1">
      <c r="B133" s="16" t="s">
        <v>489</v>
      </c>
      <c r="D133" s="21" t="s">
        <v>490</v>
      </c>
      <c r="E133" s="21"/>
      <c r="F133" s="7"/>
      <c r="G133" s="23"/>
      <c r="H133" s="10"/>
      <c r="I133" s="10"/>
      <c r="J133" s="10"/>
      <c r="K133" s="10"/>
      <c r="L133" s="10"/>
      <c r="M133" s="10"/>
      <c r="N133" s="10"/>
      <c r="O133" s="10"/>
      <c r="P133" s="10"/>
      <c r="Q133" s="21"/>
      <c r="AE133" s="2">
        <f>TRUNC(SUM(AE108:AE132))</f>
        <v>0</v>
      </c>
    </row>
    <row r="134" spans="1:31" ht="23.1" customHeight="1">
      <c r="B134" s="16" t="s">
        <v>283</v>
      </c>
      <c r="D134" s="27" t="s">
        <v>519</v>
      </c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9"/>
    </row>
    <row r="135" spans="1:31" ht="23.1" customHeight="1">
      <c r="A135" s="16" t="s">
        <v>332</v>
      </c>
      <c r="B135" s="16" t="s">
        <v>520</v>
      </c>
      <c r="C135" s="16" t="s">
        <v>333</v>
      </c>
      <c r="D135" s="21" t="s">
        <v>59</v>
      </c>
      <c r="E135" s="21" t="s">
        <v>66</v>
      </c>
      <c r="F135" s="7" t="s">
        <v>61</v>
      </c>
      <c r="G135" s="23">
        <v>136</v>
      </c>
      <c r="H135" s="10"/>
      <c r="I135" s="10"/>
      <c r="J135" s="10"/>
      <c r="K135" s="10"/>
      <c r="L135" s="10"/>
      <c r="M135" s="10"/>
      <c r="N135" s="10"/>
      <c r="O135" s="10"/>
      <c r="P135" s="10"/>
      <c r="Q135" s="21" t="s">
        <v>334</v>
      </c>
      <c r="AB135" s="2">
        <f>G135*H135</f>
        <v>0</v>
      </c>
      <c r="AC135" s="2">
        <f t="shared" ref="AC135:AC141" si="3">G135*H135</f>
        <v>0</v>
      </c>
    </row>
    <row r="136" spans="1:31" ht="23.1" customHeight="1">
      <c r="A136" s="16" t="s">
        <v>335</v>
      </c>
      <c r="B136" s="16" t="s">
        <v>520</v>
      </c>
      <c r="C136" s="16" t="s">
        <v>336</v>
      </c>
      <c r="D136" s="21" t="s">
        <v>59</v>
      </c>
      <c r="E136" s="21" t="s">
        <v>67</v>
      </c>
      <c r="F136" s="7" t="s">
        <v>61</v>
      </c>
      <c r="G136" s="23">
        <v>136</v>
      </c>
      <c r="H136" s="10"/>
      <c r="I136" s="10"/>
      <c r="J136" s="10"/>
      <c r="K136" s="10"/>
      <c r="L136" s="10"/>
      <c r="M136" s="10"/>
      <c r="N136" s="10"/>
      <c r="O136" s="10"/>
      <c r="P136" s="10"/>
      <c r="Q136" s="21" t="s">
        <v>337</v>
      </c>
      <c r="AB136" s="2">
        <f>G136*H136</f>
        <v>0</v>
      </c>
      <c r="AC136" s="2">
        <f t="shared" si="3"/>
        <v>0</v>
      </c>
    </row>
    <row r="137" spans="1:31" ht="23.1" customHeight="1">
      <c r="A137" s="16" t="s">
        <v>338</v>
      </c>
      <c r="B137" s="16" t="s">
        <v>520</v>
      </c>
      <c r="C137" s="16" t="s">
        <v>339</v>
      </c>
      <c r="D137" s="21" t="s">
        <v>68</v>
      </c>
      <c r="E137" s="21" t="s">
        <v>69</v>
      </c>
      <c r="F137" s="7" t="s">
        <v>61</v>
      </c>
      <c r="G137" s="23">
        <v>440</v>
      </c>
      <c r="H137" s="10"/>
      <c r="I137" s="10"/>
      <c r="J137" s="10"/>
      <c r="K137" s="10"/>
      <c r="L137" s="10"/>
      <c r="M137" s="10"/>
      <c r="N137" s="10"/>
      <c r="O137" s="10"/>
      <c r="P137" s="10"/>
      <c r="Q137" s="21" t="s">
        <v>340</v>
      </c>
      <c r="AB137" s="2">
        <f>G137*H137</f>
        <v>0</v>
      </c>
      <c r="AC137" s="2">
        <f t="shared" si="3"/>
        <v>0</v>
      </c>
    </row>
    <row r="138" spans="1:31" ht="23.1" customHeight="1">
      <c r="A138" s="16" t="s">
        <v>341</v>
      </c>
      <c r="B138" s="16" t="s">
        <v>520</v>
      </c>
      <c r="C138" s="16" t="s">
        <v>342</v>
      </c>
      <c r="D138" s="21" t="s">
        <v>70</v>
      </c>
      <c r="E138" s="21" t="s">
        <v>71</v>
      </c>
      <c r="F138" s="7" t="s">
        <v>61</v>
      </c>
      <c r="G138" s="23">
        <v>3</v>
      </c>
      <c r="H138" s="10"/>
      <c r="I138" s="10"/>
      <c r="J138" s="10"/>
      <c r="K138" s="10"/>
      <c r="L138" s="10"/>
      <c r="M138" s="10"/>
      <c r="N138" s="10"/>
      <c r="O138" s="10"/>
      <c r="P138" s="10"/>
      <c r="Q138" s="21" t="s">
        <v>343</v>
      </c>
      <c r="AC138" s="2">
        <f t="shared" si="3"/>
        <v>0</v>
      </c>
    </row>
    <row r="139" spans="1:31" ht="23.1" customHeight="1">
      <c r="A139" s="16" t="s">
        <v>347</v>
      </c>
      <c r="B139" s="16" t="s">
        <v>520</v>
      </c>
      <c r="C139" s="16" t="s">
        <v>348</v>
      </c>
      <c r="D139" s="21" t="s">
        <v>72</v>
      </c>
      <c r="E139" s="21" t="s">
        <v>74</v>
      </c>
      <c r="F139" s="7" t="s">
        <v>61</v>
      </c>
      <c r="G139" s="23">
        <v>29</v>
      </c>
      <c r="H139" s="10"/>
      <c r="I139" s="10"/>
      <c r="J139" s="10"/>
      <c r="K139" s="10"/>
      <c r="L139" s="10"/>
      <c r="M139" s="10"/>
      <c r="N139" s="10"/>
      <c r="O139" s="10"/>
      <c r="P139" s="10"/>
      <c r="Q139" s="21" t="s">
        <v>349</v>
      </c>
      <c r="AC139" s="2">
        <f t="shared" si="3"/>
        <v>0</v>
      </c>
    </row>
    <row r="140" spans="1:31" ht="23.1" customHeight="1">
      <c r="A140" s="16" t="s">
        <v>353</v>
      </c>
      <c r="B140" s="16" t="s">
        <v>520</v>
      </c>
      <c r="C140" s="16" t="s">
        <v>354</v>
      </c>
      <c r="D140" s="21" t="s">
        <v>75</v>
      </c>
      <c r="E140" s="21" t="s">
        <v>88</v>
      </c>
      <c r="F140" s="7" t="s">
        <v>61</v>
      </c>
      <c r="G140" s="23">
        <v>139</v>
      </c>
      <c r="H140" s="10"/>
      <c r="I140" s="10"/>
      <c r="J140" s="10"/>
      <c r="K140" s="10"/>
      <c r="L140" s="10"/>
      <c r="M140" s="10"/>
      <c r="N140" s="10"/>
      <c r="O140" s="10"/>
      <c r="P140" s="10"/>
      <c r="Q140" s="21" t="s">
        <v>355</v>
      </c>
      <c r="AC140" s="2">
        <f t="shared" si="3"/>
        <v>0</v>
      </c>
    </row>
    <row r="141" spans="1:31" ht="23.1" customHeight="1">
      <c r="A141" s="16" t="s">
        <v>359</v>
      </c>
      <c r="B141" s="16" t="s">
        <v>520</v>
      </c>
      <c r="C141" s="16" t="s">
        <v>360</v>
      </c>
      <c r="D141" s="21" t="s">
        <v>97</v>
      </c>
      <c r="E141" s="21" t="s">
        <v>98</v>
      </c>
      <c r="F141" s="7" t="s">
        <v>61</v>
      </c>
      <c r="G141" s="23">
        <v>548</v>
      </c>
      <c r="H141" s="10"/>
      <c r="I141" s="10"/>
      <c r="J141" s="10"/>
      <c r="K141" s="10"/>
      <c r="L141" s="10"/>
      <c r="M141" s="10"/>
      <c r="N141" s="10"/>
      <c r="O141" s="10"/>
      <c r="P141" s="10"/>
      <c r="Q141" s="21" t="s">
        <v>361</v>
      </c>
      <c r="AC141" s="2">
        <f t="shared" si="3"/>
        <v>0</v>
      </c>
    </row>
    <row r="142" spans="1:31" ht="23.1" customHeight="1">
      <c r="A142" s="16" t="s">
        <v>365</v>
      </c>
      <c r="B142" s="16" t="s">
        <v>520</v>
      </c>
      <c r="C142" s="16" t="s">
        <v>366</v>
      </c>
      <c r="D142" s="21" t="s">
        <v>102</v>
      </c>
      <c r="E142" s="21" t="s">
        <v>103</v>
      </c>
      <c r="F142" s="7" t="s">
        <v>104</v>
      </c>
      <c r="G142" s="23">
        <v>12</v>
      </c>
      <c r="H142" s="10"/>
      <c r="I142" s="10"/>
      <c r="J142" s="10"/>
      <c r="K142" s="10"/>
      <c r="L142" s="10"/>
      <c r="M142" s="10"/>
      <c r="N142" s="10"/>
      <c r="O142" s="10"/>
      <c r="P142" s="10"/>
      <c r="Q142" s="21" t="s">
        <v>367</v>
      </c>
    </row>
    <row r="143" spans="1:31" ht="23.1" customHeight="1">
      <c r="A143" s="16" t="s">
        <v>368</v>
      </c>
      <c r="B143" s="16" t="s">
        <v>520</v>
      </c>
      <c r="C143" s="16" t="s">
        <v>369</v>
      </c>
      <c r="D143" s="21" t="s">
        <v>105</v>
      </c>
      <c r="E143" s="21" t="s">
        <v>106</v>
      </c>
      <c r="F143" s="7" t="s">
        <v>104</v>
      </c>
      <c r="G143" s="23">
        <v>12</v>
      </c>
      <c r="H143" s="10"/>
      <c r="I143" s="10"/>
      <c r="J143" s="10"/>
      <c r="K143" s="10"/>
      <c r="L143" s="10"/>
      <c r="M143" s="10"/>
      <c r="N143" s="10"/>
      <c r="O143" s="10"/>
      <c r="P143" s="10"/>
      <c r="Q143" s="21" t="s">
        <v>370</v>
      </c>
    </row>
    <row r="144" spans="1:31" ht="23.1" customHeight="1">
      <c r="A144" s="16" t="s">
        <v>371</v>
      </c>
      <c r="B144" s="16" t="s">
        <v>520</v>
      </c>
      <c r="C144" s="16" t="s">
        <v>372</v>
      </c>
      <c r="D144" s="21" t="s">
        <v>107</v>
      </c>
      <c r="E144" s="21" t="s">
        <v>108</v>
      </c>
      <c r="F144" s="7" t="s">
        <v>61</v>
      </c>
      <c r="G144" s="23">
        <v>666</v>
      </c>
      <c r="H144" s="10"/>
      <c r="I144" s="10"/>
      <c r="J144" s="10"/>
      <c r="K144" s="10"/>
      <c r="L144" s="10"/>
      <c r="M144" s="10"/>
      <c r="N144" s="10"/>
      <c r="O144" s="10"/>
      <c r="P144" s="10"/>
      <c r="Q144" s="21" t="s">
        <v>373</v>
      </c>
    </row>
    <row r="145" spans="1:17" ht="23.1" customHeight="1">
      <c r="A145" s="16" t="s">
        <v>383</v>
      </c>
      <c r="B145" s="16" t="s">
        <v>520</v>
      </c>
      <c r="C145" s="16" t="s">
        <v>384</v>
      </c>
      <c r="D145" s="21" t="s">
        <v>113</v>
      </c>
      <c r="E145" s="21" t="s">
        <v>114</v>
      </c>
      <c r="F145" s="7" t="s">
        <v>115</v>
      </c>
      <c r="G145" s="23">
        <v>6</v>
      </c>
      <c r="H145" s="10"/>
      <c r="I145" s="10"/>
      <c r="J145" s="10"/>
      <c r="K145" s="10"/>
      <c r="L145" s="10"/>
      <c r="M145" s="10"/>
      <c r="N145" s="10"/>
      <c r="O145" s="10"/>
      <c r="P145" s="10"/>
      <c r="Q145" s="21" t="s">
        <v>385</v>
      </c>
    </row>
    <row r="146" spans="1:17" ht="23.1" customHeight="1">
      <c r="A146" s="16" t="s">
        <v>386</v>
      </c>
      <c r="B146" s="16" t="s">
        <v>520</v>
      </c>
      <c r="C146" s="16" t="s">
        <v>387</v>
      </c>
      <c r="D146" s="21" t="s">
        <v>116</v>
      </c>
      <c r="E146" s="21" t="s">
        <v>117</v>
      </c>
      <c r="F146" s="7" t="s">
        <v>118</v>
      </c>
      <c r="G146" s="23">
        <v>6</v>
      </c>
      <c r="H146" s="10"/>
      <c r="I146" s="10"/>
      <c r="J146" s="10"/>
      <c r="K146" s="10"/>
      <c r="L146" s="10"/>
      <c r="M146" s="10"/>
      <c r="N146" s="10"/>
      <c r="O146" s="10"/>
      <c r="P146" s="10"/>
      <c r="Q146" s="21" t="s">
        <v>388</v>
      </c>
    </row>
    <row r="147" spans="1:17" ht="23.1" customHeight="1">
      <c r="A147" s="16" t="s">
        <v>284</v>
      </c>
      <c r="B147" s="16" t="s">
        <v>520</v>
      </c>
      <c r="C147" s="16" t="s">
        <v>285</v>
      </c>
      <c r="D147" s="21" t="s">
        <v>287</v>
      </c>
      <c r="E147" s="21" t="s">
        <v>288</v>
      </c>
      <c r="F147" s="7" t="s">
        <v>119</v>
      </c>
      <c r="G147" s="23">
        <v>259.26</v>
      </c>
      <c r="H147" s="10"/>
      <c r="I147" s="10"/>
      <c r="J147" s="10"/>
      <c r="K147" s="10"/>
      <c r="L147" s="10"/>
      <c r="M147" s="10"/>
      <c r="N147" s="10"/>
      <c r="O147" s="10"/>
      <c r="P147" s="10"/>
      <c r="Q147" s="21" t="s">
        <v>286</v>
      </c>
    </row>
    <row r="148" spans="1:17" ht="23.1" customHeight="1">
      <c r="A148" s="16" t="s">
        <v>289</v>
      </c>
      <c r="B148" s="16" t="s">
        <v>520</v>
      </c>
      <c r="C148" s="16" t="s">
        <v>290</v>
      </c>
      <c r="D148" s="21" t="s">
        <v>292</v>
      </c>
      <c r="E148" s="21" t="s">
        <v>288</v>
      </c>
      <c r="F148" s="7" t="s">
        <v>119</v>
      </c>
      <c r="G148" s="23">
        <v>248.88</v>
      </c>
      <c r="H148" s="10"/>
      <c r="I148" s="10"/>
      <c r="J148" s="10"/>
      <c r="K148" s="10"/>
      <c r="L148" s="10"/>
      <c r="M148" s="10"/>
      <c r="N148" s="10"/>
      <c r="O148" s="10"/>
      <c r="P148" s="10"/>
      <c r="Q148" s="21" t="s">
        <v>291</v>
      </c>
    </row>
    <row r="149" spans="1:17" ht="23.1" customHeight="1">
      <c r="A149" s="16" t="s">
        <v>293</v>
      </c>
      <c r="B149" s="16" t="s">
        <v>520</v>
      </c>
      <c r="C149" s="16" t="s">
        <v>294</v>
      </c>
      <c r="D149" s="21" t="s">
        <v>296</v>
      </c>
      <c r="E149" s="21" t="s">
        <v>297</v>
      </c>
      <c r="F149" s="7" t="s">
        <v>119</v>
      </c>
      <c r="G149" s="23">
        <v>10.38</v>
      </c>
      <c r="H149" s="10"/>
      <c r="I149" s="10"/>
      <c r="J149" s="10"/>
      <c r="K149" s="10"/>
      <c r="L149" s="10"/>
      <c r="M149" s="10"/>
      <c r="N149" s="10"/>
      <c r="O149" s="10"/>
      <c r="P149" s="10"/>
      <c r="Q149" s="21" t="s">
        <v>295</v>
      </c>
    </row>
    <row r="150" spans="1:17" ht="23.1" customHeight="1">
      <c r="A150" s="16" t="s">
        <v>521</v>
      </c>
      <c r="B150" s="16" t="s">
        <v>520</v>
      </c>
      <c r="C150" s="16" t="s">
        <v>144</v>
      </c>
      <c r="D150" s="21" t="s">
        <v>145</v>
      </c>
      <c r="E150" s="21" t="s">
        <v>146</v>
      </c>
      <c r="F150" s="7" t="s">
        <v>104</v>
      </c>
      <c r="G150" s="23">
        <v>6</v>
      </c>
      <c r="H150" s="10"/>
      <c r="I150" s="10"/>
      <c r="J150" s="10"/>
      <c r="K150" s="10"/>
      <c r="L150" s="10"/>
      <c r="M150" s="10"/>
      <c r="N150" s="10"/>
      <c r="O150" s="10"/>
      <c r="P150" s="10"/>
      <c r="Q150" s="21"/>
    </row>
    <row r="151" spans="1:17" ht="23.1" customHeight="1">
      <c r="A151" s="16" t="s">
        <v>434</v>
      </c>
      <c r="B151" s="16" t="s">
        <v>520</v>
      </c>
      <c r="C151" s="16" t="s">
        <v>435</v>
      </c>
      <c r="D151" s="21" t="s">
        <v>161</v>
      </c>
      <c r="E151" s="21" t="s">
        <v>162</v>
      </c>
      <c r="F151" s="7" t="s">
        <v>104</v>
      </c>
      <c r="G151" s="23">
        <v>3</v>
      </c>
      <c r="H151" s="10"/>
      <c r="I151" s="10"/>
      <c r="J151" s="10"/>
      <c r="K151" s="10"/>
      <c r="L151" s="10"/>
      <c r="M151" s="10"/>
      <c r="N151" s="10"/>
      <c r="O151" s="10"/>
      <c r="P151" s="10"/>
      <c r="Q151" s="21" t="s">
        <v>436</v>
      </c>
    </row>
    <row r="152" spans="1:17" ht="23.1" customHeight="1">
      <c r="A152" s="16" t="s">
        <v>522</v>
      </c>
      <c r="B152" s="16" t="s">
        <v>520</v>
      </c>
      <c r="C152" s="16" t="s">
        <v>175</v>
      </c>
      <c r="D152" s="21" t="s">
        <v>176</v>
      </c>
      <c r="E152" s="21" t="s">
        <v>177</v>
      </c>
      <c r="F152" s="7" t="s">
        <v>104</v>
      </c>
      <c r="G152" s="23">
        <v>2</v>
      </c>
      <c r="H152" s="10"/>
      <c r="I152" s="10"/>
      <c r="J152" s="10"/>
      <c r="K152" s="10"/>
      <c r="L152" s="10"/>
      <c r="M152" s="10"/>
      <c r="N152" s="10"/>
      <c r="O152" s="10"/>
      <c r="P152" s="10"/>
      <c r="Q152" s="21"/>
    </row>
    <row r="153" spans="1:17" ht="23.1" customHeight="1">
      <c r="A153" s="16" t="s">
        <v>523</v>
      </c>
      <c r="B153" s="16" t="s">
        <v>520</v>
      </c>
      <c r="C153" s="16" t="s">
        <v>178</v>
      </c>
      <c r="D153" s="21" t="s">
        <v>179</v>
      </c>
      <c r="E153" s="21" t="s">
        <v>180</v>
      </c>
      <c r="F153" s="7" t="s">
        <v>104</v>
      </c>
      <c r="G153" s="23">
        <v>2</v>
      </c>
      <c r="H153" s="10"/>
      <c r="I153" s="10"/>
      <c r="J153" s="10"/>
      <c r="K153" s="10"/>
      <c r="L153" s="10"/>
      <c r="M153" s="10"/>
      <c r="N153" s="10"/>
      <c r="O153" s="10"/>
      <c r="P153" s="10"/>
      <c r="Q153" s="21"/>
    </row>
    <row r="154" spans="1:17" ht="23.1" customHeight="1">
      <c r="A154" s="16" t="s">
        <v>524</v>
      </c>
      <c r="B154" s="16" t="s">
        <v>520</v>
      </c>
      <c r="C154" s="16" t="s">
        <v>181</v>
      </c>
      <c r="D154" s="21" t="s">
        <v>182</v>
      </c>
      <c r="E154" s="21" t="s">
        <v>183</v>
      </c>
      <c r="F154" s="7" t="s">
        <v>104</v>
      </c>
      <c r="G154" s="23">
        <v>20</v>
      </c>
      <c r="H154" s="10"/>
      <c r="I154" s="10"/>
      <c r="J154" s="10"/>
      <c r="K154" s="10"/>
      <c r="L154" s="10"/>
      <c r="M154" s="10"/>
      <c r="N154" s="10"/>
      <c r="O154" s="10"/>
      <c r="P154" s="10"/>
      <c r="Q154" s="21"/>
    </row>
    <row r="155" spans="1:17" ht="23.1" customHeight="1">
      <c r="A155" s="16" t="s">
        <v>525</v>
      </c>
      <c r="B155" s="16" t="s">
        <v>520</v>
      </c>
      <c r="C155" s="16" t="s">
        <v>189</v>
      </c>
      <c r="D155" s="21" t="s">
        <v>190</v>
      </c>
      <c r="E155" s="21" t="s">
        <v>191</v>
      </c>
      <c r="F155" s="7" t="s">
        <v>104</v>
      </c>
      <c r="G155" s="23">
        <v>3</v>
      </c>
      <c r="H155" s="10"/>
      <c r="I155" s="10"/>
      <c r="J155" s="10"/>
      <c r="K155" s="10"/>
      <c r="L155" s="10"/>
      <c r="M155" s="10"/>
      <c r="N155" s="10"/>
      <c r="O155" s="10"/>
      <c r="P155" s="10"/>
      <c r="Q155" s="21"/>
    </row>
    <row r="156" spans="1:17" ht="23.1" customHeight="1">
      <c r="A156" s="16" t="s">
        <v>526</v>
      </c>
      <c r="B156" s="16" t="s">
        <v>520</v>
      </c>
      <c r="C156" s="16" t="s">
        <v>192</v>
      </c>
      <c r="D156" s="21" t="s">
        <v>193</v>
      </c>
      <c r="E156" s="21" t="s">
        <v>194</v>
      </c>
      <c r="F156" s="7" t="s">
        <v>104</v>
      </c>
      <c r="G156" s="23">
        <v>3</v>
      </c>
      <c r="H156" s="10"/>
      <c r="I156" s="10"/>
      <c r="J156" s="10"/>
      <c r="K156" s="10"/>
      <c r="L156" s="10"/>
      <c r="M156" s="10"/>
      <c r="N156" s="10"/>
      <c r="O156" s="10"/>
      <c r="P156" s="10"/>
      <c r="Q156" s="21"/>
    </row>
    <row r="157" spans="1:17" ht="23.1" customHeight="1">
      <c r="A157" s="16" t="s">
        <v>527</v>
      </c>
      <c r="B157" s="16" t="s">
        <v>520</v>
      </c>
      <c r="C157" s="16" t="s">
        <v>195</v>
      </c>
      <c r="D157" s="21" t="s">
        <v>196</v>
      </c>
      <c r="E157" s="21" t="s">
        <v>197</v>
      </c>
      <c r="F157" s="7" t="s">
        <v>104</v>
      </c>
      <c r="G157" s="23">
        <v>3</v>
      </c>
      <c r="H157" s="10"/>
      <c r="I157" s="10"/>
      <c r="J157" s="10"/>
      <c r="K157" s="10"/>
      <c r="L157" s="10"/>
      <c r="M157" s="10"/>
      <c r="N157" s="10"/>
      <c r="O157" s="10"/>
      <c r="P157" s="10"/>
      <c r="Q157" s="21"/>
    </row>
    <row r="158" spans="1:17" ht="23.1" customHeight="1">
      <c r="A158" s="16" t="s">
        <v>528</v>
      </c>
      <c r="B158" s="16" t="s">
        <v>520</v>
      </c>
      <c r="C158" s="16" t="s">
        <v>198</v>
      </c>
      <c r="D158" s="21" t="s">
        <v>199</v>
      </c>
      <c r="E158" s="21" t="s">
        <v>200</v>
      </c>
      <c r="F158" s="7" t="s">
        <v>104</v>
      </c>
      <c r="G158" s="23">
        <v>90</v>
      </c>
      <c r="H158" s="10"/>
      <c r="I158" s="10"/>
      <c r="J158" s="10"/>
      <c r="K158" s="10"/>
      <c r="L158" s="10"/>
      <c r="M158" s="10"/>
      <c r="N158" s="10"/>
      <c r="O158" s="10"/>
      <c r="P158" s="10"/>
      <c r="Q158" s="21"/>
    </row>
    <row r="159" spans="1:17" ht="23.1" customHeight="1">
      <c r="A159" s="16" t="s">
        <v>529</v>
      </c>
      <c r="B159" s="16" t="s">
        <v>520</v>
      </c>
      <c r="C159" s="16" t="s">
        <v>201</v>
      </c>
      <c r="D159" s="21" t="s">
        <v>202</v>
      </c>
      <c r="E159" s="21" t="s">
        <v>203</v>
      </c>
      <c r="F159" s="7" t="s">
        <v>104</v>
      </c>
      <c r="G159" s="23">
        <v>3</v>
      </c>
      <c r="H159" s="10"/>
      <c r="I159" s="10"/>
      <c r="J159" s="10"/>
      <c r="K159" s="10"/>
      <c r="L159" s="10"/>
      <c r="M159" s="10"/>
      <c r="N159" s="10"/>
      <c r="O159" s="10"/>
      <c r="P159" s="10"/>
      <c r="Q159" s="21"/>
    </row>
    <row r="160" spans="1:17" ht="23.1" customHeight="1">
      <c r="A160" s="16" t="s">
        <v>501</v>
      </c>
      <c r="B160" s="16" t="s">
        <v>520</v>
      </c>
      <c r="C160" s="16" t="s">
        <v>208</v>
      </c>
      <c r="D160" s="21" t="s">
        <v>209</v>
      </c>
      <c r="E160" s="21" t="s">
        <v>210</v>
      </c>
      <c r="F160" s="7" t="s">
        <v>211</v>
      </c>
      <c r="G160" s="23">
        <v>1</v>
      </c>
      <c r="H160" s="10"/>
      <c r="I160" s="10"/>
      <c r="J160" s="10"/>
      <c r="K160" s="10"/>
      <c r="L160" s="10"/>
      <c r="M160" s="10"/>
      <c r="N160" s="10"/>
      <c r="O160" s="10"/>
      <c r="P160" s="10"/>
      <c r="Q160" s="21"/>
    </row>
    <row r="161" spans="1:17" ht="23.1" customHeight="1">
      <c r="A161" s="16" t="s">
        <v>530</v>
      </c>
      <c r="B161" s="16" t="s">
        <v>520</v>
      </c>
      <c r="C161" s="16" t="s">
        <v>212</v>
      </c>
      <c r="D161" s="21" t="s">
        <v>213</v>
      </c>
      <c r="E161" s="21" t="s">
        <v>214</v>
      </c>
      <c r="F161" s="7" t="s">
        <v>104</v>
      </c>
      <c r="G161" s="23">
        <v>5</v>
      </c>
      <c r="H161" s="10"/>
      <c r="I161" s="10"/>
      <c r="J161" s="10"/>
      <c r="K161" s="10"/>
      <c r="L161" s="10"/>
      <c r="M161" s="10"/>
      <c r="N161" s="10"/>
      <c r="O161" s="10"/>
      <c r="P161" s="10"/>
      <c r="Q161" s="21"/>
    </row>
    <row r="162" spans="1:17" ht="23.1" customHeight="1">
      <c r="A162" s="16" t="s">
        <v>531</v>
      </c>
      <c r="B162" s="16" t="s">
        <v>520</v>
      </c>
      <c r="C162" s="16" t="s">
        <v>215</v>
      </c>
      <c r="D162" s="21" t="s">
        <v>216</v>
      </c>
      <c r="E162" s="21" t="s">
        <v>217</v>
      </c>
      <c r="F162" s="7" t="s">
        <v>104</v>
      </c>
      <c r="G162" s="23">
        <v>3</v>
      </c>
      <c r="H162" s="10"/>
      <c r="I162" s="10"/>
      <c r="J162" s="10"/>
      <c r="K162" s="10"/>
      <c r="L162" s="10"/>
      <c r="M162" s="10"/>
      <c r="N162" s="10"/>
      <c r="O162" s="10"/>
      <c r="P162" s="10"/>
      <c r="Q162" s="21"/>
    </row>
    <row r="163" spans="1:17" ht="23.1" customHeight="1">
      <c r="A163" s="16" t="s">
        <v>532</v>
      </c>
      <c r="B163" s="16" t="s">
        <v>520</v>
      </c>
      <c r="C163" s="16" t="s">
        <v>226</v>
      </c>
      <c r="D163" s="21" t="s">
        <v>227</v>
      </c>
      <c r="E163" s="21" t="s">
        <v>228</v>
      </c>
      <c r="F163" s="7" t="s">
        <v>104</v>
      </c>
      <c r="G163" s="23">
        <v>9</v>
      </c>
      <c r="H163" s="10"/>
      <c r="I163" s="10"/>
      <c r="J163" s="10"/>
      <c r="K163" s="10"/>
      <c r="L163" s="10"/>
      <c r="M163" s="10"/>
      <c r="N163" s="10"/>
      <c r="O163" s="10"/>
      <c r="P163" s="10"/>
      <c r="Q163" s="21"/>
    </row>
    <row r="164" spans="1:17" ht="23.1" customHeight="1">
      <c r="A164" s="16" t="s">
        <v>533</v>
      </c>
      <c r="B164" s="16" t="s">
        <v>520</v>
      </c>
      <c r="C164" s="16" t="s">
        <v>229</v>
      </c>
      <c r="D164" s="21" t="s">
        <v>227</v>
      </c>
      <c r="E164" s="21" t="s">
        <v>230</v>
      </c>
      <c r="F164" s="7" t="s">
        <v>104</v>
      </c>
      <c r="G164" s="23">
        <v>3</v>
      </c>
      <c r="H164" s="10"/>
      <c r="I164" s="10"/>
      <c r="J164" s="10"/>
      <c r="K164" s="10"/>
      <c r="L164" s="10"/>
      <c r="M164" s="10"/>
      <c r="N164" s="10"/>
      <c r="O164" s="10"/>
      <c r="P164" s="10"/>
      <c r="Q164" s="21"/>
    </row>
    <row r="165" spans="1:17" ht="23.1" customHeight="1">
      <c r="A165" s="16" t="s">
        <v>534</v>
      </c>
      <c r="B165" s="16" t="s">
        <v>520</v>
      </c>
      <c r="C165" s="16" t="s">
        <v>234</v>
      </c>
      <c r="D165" s="21" t="s">
        <v>235</v>
      </c>
      <c r="E165" s="21" t="s">
        <v>236</v>
      </c>
      <c r="F165" s="7" t="s">
        <v>104</v>
      </c>
      <c r="G165" s="23">
        <v>3</v>
      </c>
      <c r="H165" s="10"/>
      <c r="I165" s="10"/>
      <c r="J165" s="10"/>
      <c r="K165" s="10"/>
      <c r="L165" s="10"/>
      <c r="M165" s="10"/>
      <c r="N165" s="10"/>
      <c r="O165" s="10"/>
      <c r="P165" s="10"/>
      <c r="Q165" s="21"/>
    </row>
    <row r="166" spans="1:17" ht="23.1" customHeight="1">
      <c r="A166" s="16" t="s">
        <v>535</v>
      </c>
      <c r="B166" s="16" t="s">
        <v>520</v>
      </c>
      <c r="C166" s="16" t="s">
        <v>237</v>
      </c>
      <c r="D166" s="21" t="s">
        <v>235</v>
      </c>
      <c r="E166" s="21" t="s">
        <v>238</v>
      </c>
      <c r="F166" s="7" t="s">
        <v>104</v>
      </c>
      <c r="G166" s="23">
        <v>3</v>
      </c>
      <c r="H166" s="10"/>
      <c r="I166" s="10"/>
      <c r="J166" s="10"/>
      <c r="K166" s="10"/>
      <c r="L166" s="10"/>
      <c r="M166" s="10"/>
      <c r="N166" s="10"/>
      <c r="O166" s="10"/>
      <c r="P166" s="10"/>
      <c r="Q166" s="21"/>
    </row>
    <row r="167" spans="1:17" ht="23.1" customHeight="1">
      <c r="A167" s="16" t="s">
        <v>536</v>
      </c>
      <c r="B167" s="16" t="s">
        <v>520</v>
      </c>
      <c r="C167" s="16" t="s">
        <v>239</v>
      </c>
      <c r="D167" s="21" t="s">
        <v>240</v>
      </c>
      <c r="E167" s="21" t="s">
        <v>196</v>
      </c>
      <c r="F167" s="7" t="s">
        <v>104</v>
      </c>
      <c r="G167" s="23">
        <v>1</v>
      </c>
      <c r="H167" s="10"/>
      <c r="I167" s="10"/>
      <c r="J167" s="10"/>
      <c r="K167" s="10"/>
      <c r="L167" s="10"/>
      <c r="M167" s="10"/>
      <c r="N167" s="10"/>
      <c r="O167" s="10"/>
      <c r="P167" s="10"/>
      <c r="Q167" s="21"/>
    </row>
    <row r="168" spans="1:17" ht="23.1" customHeight="1">
      <c r="A168" s="16" t="s">
        <v>537</v>
      </c>
      <c r="B168" s="16" t="s">
        <v>520</v>
      </c>
      <c r="C168" s="16" t="s">
        <v>252</v>
      </c>
      <c r="D168" s="21" t="s">
        <v>253</v>
      </c>
      <c r="E168" s="21" t="s">
        <v>254</v>
      </c>
      <c r="F168" s="7" t="s">
        <v>104</v>
      </c>
      <c r="G168" s="23">
        <v>30</v>
      </c>
      <c r="H168" s="10"/>
      <c r="I168" s="10"/>
      <c r="J168" s="10"/>
      <c r="K168" s="10"/>
      <c r="L168" s="10"/>
      <c r="M168" s="10"/>
      <c r="N168" s="10"/>
      <c r="O168" s="10"/>
      <c r="P168" s="10"/>
      <c r="Q168" s="21"/>
    </row>
    <row r="169" spans="1:17" ht="23.1" customHeight="1">
      <c r="A169" s="16" t="s">
        <v>538</v>
      </c>
      <c r="B169" s="16" t="s">
        <v>520</v>
      </c>
      <c r="C169" s="16" t="s">
        <v>255</v>
      </c>
      <c r="D169" s="21" t="s">
        <v>253</v>
      </c>
      <c r="E169" s="21" t="s">
        <v>256</v>
      </c>
      <c r="F169" s="7" t="s">
        <v>104</v>
      </c>
      <c r="G169" s="23">
        <v>30</v>
      </c>
      <c r="H169" s="10"/>
      <c r="I169" s="10"/>
      <c r="J169" s="10"/>
      <c r="K169" s="10"/>
      <c r="L169" s="10"/>
      <c r="M169" s="10"/>
      <c r="N169" s="10"/>
      <c r="O169" s="10"/>
      <c r="P169" s="10"/>
      <c r="Q169" s="21"/>
    </row>
    <row r="170" spans="1:17" ht="23.1" customHeight="1">
      <c r="A170" s="16" t="s">
        <v>539</v>
      </c>
      <c r="B170" s="16" t="s">
        <v>520</v>
      </c>
      <c r="C170" s="16" t="s">
        <v>257</v>
      </c>
      <c r="D170" s="21" t="s">
        <v>258</v>
      </c>
      <c r="E170" s="21" t="s">
        <v>259</v>
      </c>
      <c r="F170" s="7" t="s">
        <v>104</v>
      </c>
      <c r="G170" s="23">
        <v>16</v>
      </c>
      <c r="H170" s="10"/>
      <c r="I170" s="10"/>
      <c r="J170" s="10"/>
      <c r="K170" s="10"/>
      <c r="L170" s="10"/>
      <c r="M170" s="10"/>
      <c r="N170" s="10"/>
      <c r="O170" s="10"/>
      <c r="P170" s="10"/>
      <c r="Q170" s="21"/>
    </row>
    <row r="171" spans="1:17" ht="23.1" customHeight="1">
      <c r="A171" s="16" t="s">
        <v>540</v>
      </c>
      <c r="B171" s="16" t="s">
        <v>520</v>
      </c>
      <c r="C171" s="16" t="s">
        <v>260</v>
      </c>
      <c r="D171" s="21" t="s">
        <v>258</v>
      </c>
      <c r="E171" s="21" t="s">
        <v>261</v>
      </c>
      <c r="F171" s="7" t="s">
        <v>104</v>
      </c>
      <c r="G171" s="23">
        <v>12</v>
      </c>
      <c r="H171" s="10"/>
      <c r="I171" s="10"/>
      <c r="J171" s="10"/>
      <c r="K171" s="10"/>
      <c r="L171" s="10"/>
      <c r="M171" s="10"/>
      <c r="N171" s="10"/>
      <c r="O171" s="10"/>
      <c r="P171" s="10"/>
      <c r="Q171" s="21"/>
    </row>
    <row r="172" spans="1:17" ht="23.1" customHeight="1">
      <c r="A172" s="16" t="s">
        <v>541</v>
      </c>
      <c r="B172" s="16" t="s">
        <v>520</v>
      </c>
      <c r="C172" s="16" t="s">
        <v>262</v>
      </c>
      <c r="D172" s="21" t="s">
        <v>258</v>
      </c>
      <c r="E172" s="21" t="s">
        <v>263</v>
      </c>
      <c r="F172" s="7" t="s">
        <v>104</v>
      </c>
      <c r="G172" s="23">
        <v>9</v>
      </c>
      <c r="H172" s="10"/>
      <c r="I172" s="10"/>
      <c r="J172" s="10"/>
      <c r="K172" s="10"/>
      <c r="L172" s="10"/>
      <c r="M172" s="10"/>
      <c r="N172" s="10"/>
      <c r="O172" s="10"/>
      <c r="P172" s="10"/>
      <c r="Q172" s="21"/>
    </row>
    <row r="173" spans="1:17" ht="23.1" customHeight="1">
      <c r="A173" s="16" t="s">
        <v>542</v>
      </c>
      <c r="B173" s="16" t="s">
        <v>520</v>
      </c>
      <c r="C173" s="16" t="s">
        <v>264</v>
      </c>
      <c r="D173" s="21" t="s">
        <v>258</v>
      </c>
      <c r="E173" s="21" t="s">
        <v>265</v>
      </c>
      <c r="F173" s="7" t="s">
        <v>104</v>
      </c>
      <c r="G173" s="23">
        <v>3</v>
      </c>
      <c r="H173" s="10"/>
      <c r="I173" s="10"/>
      <c r="J173" s="10"/>
      <c r="K173" s="10"/>
      <c r="L173" s="10"/>
      <c r="M173" s="10"/>
      <c r="N173" s="10"/>
      <c r="O173" s="10"/>
      <c r="P173" s="10"/>
      <c r="Q173" s="21"/>
    </row>
    <row r="174" spans="1:17" ht="23.1" customHeight="1">
      <c r="A174" s="16" t="s">
        <v>543</v>
      </c>
      <c r="B174" s="16" t="s">
        <v>520</v>
      </c>
      <c r="C174" s="16" t="s">
        <v>268</v>
      </c>
      <c r="D174" s="21" t="s">
        <v>269</v>
      </c>
      <c r="E174" s="21" t="s">
        <v>270</v>
      </c>
      <c r="F174" s="7" t="s">
        <v>104</v>
      </c>
      <c r="G174" s="23">
        <v>9</v>
      </c>
      <c r="H174" s="10"/>
      <c r="I174" s="10"/>
      <c r="J174" s="10"/>
      <c r="K174" s="10"/>
      <c r="L174" s="10"/>
      <c r="M174" s="10"/>
      <c r="N174" s="10"/>
      <c r="O174" s="10"/>
      <c r="P174" s="10"/>
      <c r="Q174" s="21"/>
    </row>
    <row r="175" spans="1:17" ht="23.1" customHeight="1">
      <c r="A175" s="16" t="s">
        <v>544</v>
      </c>
      <c r="B175" s="16" t="s">
        <v>520</v>
      </c>
      <c r="C175" s="16" t="s">
        <v>271</v>
      </c>
      <c r="D175" s="21" t="s">
        <v>272</v>
      </c>
      <c r="E175" s="21" t="s">
        <v>273</v>
      </c>
      <c r="F175" s="7" t="s">
        <v>104</v>
      </c>
      <c r="G175" s="23">
        <v>6</v>
      </c>
      <c r="H175" s="10"/>
      <c r="I175" s="10"/>
      <c r="J175" s="10"/>
      <c r="K175" s="10"/>
      <c r="L175" s="10"/>
      <c r="M175" s="10"/>
      <c r="N175" s="10"/>
      <c r="O175" s="10"/>
      <c r="P175" s="10"/>
      <c r="Q175" s="21"/>
    </row>
    <row r="176" spans="1:17" ht="23.1" customHeight="1">
      <c r="A176" s="16" t="s">
        <v>545</v>
      </c>
      <c r="B176" s="16" t="s">
        <v>520</v>
      </c>
      <c r="C176" s="16" t="s">
        <v>274</v>
      </c>
      <c r="D176" s="21" t="s">
        <v>272</v>
      </c>
      <c r="E176" s="21" t="s">
        <v>275</v>
      </c>
      <c r="F176" s="7" t="s">
        <v>104</v>
      </c>
      <c r="G176" s="23">
        <v>3</v>
      </c>
      <c r="H176" s="10"/>
      <c r="I176" s="10"/>
      <c r="J176" s="10"/>
      <c r="K176" s="10"/>
      <c r="L176" s="10"/>
      <c r="M176" s="10"/>
      <c r="N176" s="10"/>
      <c r="O176" s="10"/>
      <c r="P176" s="10"/>
      <c r="Q176" s="21"/>
    </row>
    <row r="177" spans="1:31" ht="23.1" customHeight="1">
      <c r="A177" s="16" t="s">
        <v>546</v>
      </c>
      <c r="B177" s="16" t="s">
        <v>520</v>
      </c>
      <c r="C177" s="16" t="s">
        <v>547</v>
      </c>
      <c r="D177" s="21" t="s">
        <v>281</v>
      </c>
      <c r="E177" s="21" t="s">
        <v>548</v>
      </c>
      <c r="F177" s="7"/>
      <c r="G177" s="23">
        <v>6</v>
      </c>
      <c r="H177" s="10"/>
      <c r="I177" s="10"/>
      <c r="J177" s="10"/>
      <c r="K177" s="10"/>
      <c r="L177" s="10"/>
      <c r="M177" s="10"/>
      <c r="N177" s="10"/>
      <c r="O177" s="10"/>
      <c r="P177" s="10"/>
      <c r="Q177" s="21"/>
    </row>
    <row r="178" spans="1:31" ht="23.1" customHeight="1">
      <c r="D178" s="21"/>
      <c r="E178" s="21"/>
      <c r="F178" s="7"/>
      <c r="G178" s="23"/>
      <c r="H178" s="10"/>
      <c r="I178" s="10"/>
      <c r="J178" s="10"/>
      <c r="K178" s="10"/>
      <c r="L178" s="10"/>
      <c r="M178" s="10"/>
      <c r="N178" s="10"/>
      <c r="O178" s="10"/>
      <c r="P178" s="10"/>
      <c r="Q178" s="21"/>
      <c r="AE178" s="2">
        <f>TRUNC(SUM(AE134:AE177))</f>
        <v>0</v>
      </c>
    </row>
    <row r="179" spans="1:31" ht="23.1" customHeight="1">
      <c r="D179" s="21"/>
      <c r="E179" s="21"/>
      <c r="F179" s="7"/>
      <c r="G179" s="23"/>
      <c r="H179" s="10"/>
      <c r="I179" s="10"/>
      <c r="J179" s="10"/>
      <c r="K179" s="10"/>
      <c r="L179" s="10"/>
      <c r="M179" s="10"/>
      <c r="N179" s="10"/>
      <c r="O179" s="10"/>
      <c r="P179" s="10"/>
      <c r="Q179" s="21"/>
    </row>
    <row r="180" spans="1:31" ht="23.1" customHeight="1">
      <c r="D180" s="21"/>
      <c r="E180" s="21"/>
      <c r="F180" s="7"/>
      <c r="G180" s="23"/>
      <c r="H180" s="10"/>
      <c r="I180" s="10"/>
      <c r="J180" s="10"/>
      <c r="K180" s="10"/>
      <c r="L180" s="10"/>
      <c r="M180" s="10"/>
      <c r="N180" s="10"/>
      <c r="O180" s="10"/>
      <c r="P180" s="10"/>
      <c r="Q180" s="21"/>
    </row>
    <row r="181" spans="1:31" ht="23.1" customHeight="1">
      <c r="D181" s="21"/>
      <c r="E181" s="21"/>
      <c r="F181" s="7"/>
      <c r="G181" s="23"/>
      <c r="H181" s="10"/>
      <c r="I181" s="10"/>
      <c r="J181" s="10"/>
      <c r="K181" s="10"/>
      <c r="L181" s="10"/>
      <c r="M181" s="10"/>
      <c r="N181" s="10"/>
      <c r="O181" s="10"/>
      <c r="P181" s="10"/>
      <c r="Q181" s="21"/>
    </row>
    <row r="182" spans="1:31" ht="23.1" customHeight="1">
      <c r="D182" s="21"/>
      <c r="E182" s="21"/>
      <c r="F182" s="7"/>
      <c r="G182" s="23"/>
      <c r="H182" s="10"/>
      <c r="I182" s="10"/>
      <c r="J182" s="10"/>
      <c r="K182" s="10"/>
      <c r="L182" s="10"/>
      <c r="M182" s="10"/>
      <c r="N182" s="10"/>
      <c r="O182" s="10"/>
      <c r="P182" s="10"/>
      <c r="Q182" s="21"/>
    </row>
    <row r="183" spans="1:31" ht="23.1" customHeight="1">
      <c r="D183" s="21"/>
      <c r="E183" s="21"/>
      <c r="F183" s="7"/>
      <c r="G183" s="23"/>
      <c r="H183" s="10"/>
      <c r="I183" s="10"/>
      <c r="J183" s="10"/>
      <c r="K183" s="10"/>
      <c r="L183" s="10"/>
      <c r="M183" s="10"/>
      <c r="N183" s="10"/>
      <c r="O183" s="10"/>
      <c r="P183" s="10"/>
      <c r="Q183" s="21"/>
    </row>
    <row r="184" spans="1:31" ht="23.1" customHeight="1">
      <c r="D184" s="21"/>
      <c r="E184" s="21"/>
      <c r="F184" s="7"/>
      <c r="G184" s="23"/>
      <c r="H184" s="10"/>
      <c r="I184" s="10"/>
      <c r="J184" s="10"/>
      <c r="K184" s="10"/>
      <c r="L184" s="10"/>
      <c r="M184" s="10"/>
      <c r="N184" s="10"/>
      <c r="O184" s="10"/>
      <c r="P184" s="10"/>
      <c r="Q184" s="21"/>
    </row>
    <row r="185" spans="1:31" ht="23.1" customHeight="1">
      <c r="B185" s="16" t="s">
        <v>489</v>
      </c>
      <c r="D185" s="21" t="s">
        <v>490</v>
      </c>
      <c r="E185" s="21"/>
      <c r="F185" s="7"/>
      <c r="G185" s="23"/>
      <c r="H185" s="10"/>
      <c r="I185" s="10"/>
      <c r="J185" s="10"/>
      <c r="K185" s="10"/>
      <c r="L185" s="10"/>
      <c r="M185" s="10"/>
      <c r="N185" s="10"/>
      <c r="O185" s="10"/>
      <c r="P185" s="10"/>
      <c r="Q185" s="21"/>
    </row>
    <row r="186" spans="1:31" ht="23.1" customHeight="1">
      <c r="B186" s="16" t="s">
        <v>283</v>
      </c>
      <c r="D186" s="27" t="s">
        <v>549</v>
      </c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9"/>
    </row>
    <row r="187" spans="1:31" ht="23.1" customHeight="1">
      <c r="A187" s="16" t="s">
        <v>550</v>
      </c>
      <c r="B187" s="16" t="s">
        <v>551</v>
      </c>
      <c r="C187" s="16" t="s">
        <v>223</v>
      </c>
      <c r="D187" s="21" t="s">
        <v>224</v>
      </c>
      <c r="E187" s="21"/>
      <c r="F187" s="7" t="s">
        <v>225</v>
      </c>
      <c r="G187" s="23">
        <v>1</v>
      </c>
      <c r="H187" s="10"/>
      <c r="I187" s="10"/>
      <c r="J187" s="10"/>
      <c r="K187" s="10"/>
      <c r="L187" s="10"/>
      <c r="M187" s="10"/>
      <c r="N187" s="10"/>
      <c r="O187" s="10"/>
      <c r="P187" s="10"/>
      <c r="Q187" s="21"/>
    </row>
    <row r="188" spans="1:31" ht="23.1" customHeight="1">
      <c r="D188" s="21"/>
      <c r="E188" s="21"/>
      <c r="F188" s="7"/>
      <c r="G188" s="23"/>
      <c r="H188" s="10"/>
      <c r="I188" s="10">
        <f t="shared" ref="I188:I210" si="4">TRUNC(G188*H188)</f>
        <v>0</v>
      </c>
      <c r="J188" s="10"/>
      <c r="K188" s="10"/>
      <c r="L188" s="10">
        <f t="shared" ref="L188:L210" si="5">TRUNC(G188*K188)</f>
        <v>0</v>
      </c>
      <c r="M188" s="10"/>
      <c r="N188" s="10">
        <f t="shared" ref="N188:N210" si="6">TRUNC(G188*M188)</f>
        <v>0</v>
      </c>
      <c r="O188" s="10"/>
      <c r="P188" s="10">
        <f t="shared" ref="P188:P210" si="7">SUM(I188,L188,N188)</f>
        <v>0</v>
      </c>
      <c r="Q188" s="21"/>
      <c r="AE188" s="2">
        <f>TRUNC(SUM(AE186:AE187))</f>
        <v>0</v>
      </c>
    </row>
    <row r="189" spans="1:31" ht="23.1" customHeight="1">
      <c r="D189" s="21"/>
      <c r="E189" s="21"/>
      <c r="F189" s="7"/>
      <c r="G189" s="23"/>
      <c r="H189" s="10"/>
      <c r="I189" s="10">
        <f t="shared" si="4"/>
        <v>0</v>
      </c>
      <c r="J189" s="10"/>
      <c r="K189" s="10"/>
      <c r="L189" s="10">
        <f t="shared" si="5"/>
        <v>0</v>
      </c>
      <c r="M189" s="10"/>
      <c r="N189" s="10">
        <f t="shared" si="6"/>
        <v>0</v>
      </c>
      <c r="O189" s="10"/>
      <c r="P189" s="10">
        <f t="shared" si="7"/>
        <v>0</v>
      </c>
      <c r="Q189" s="21"/>
    </row>
    <row r="190" spans="1:31" ht="23.1" customHeight="1">
      <c r="D190" s="21"/>
      <c r="E190" s="21"/>
      <c r="F190" s="7"/>
      <c r="G190" s="23"/>
      <c r="H190" s="10"/>
      <c r="I190" s="10">
        <f t="shared" si="4"/>
        <v>0</v>
      </c>
      <c r="J190" s="10"/>
      <c r="K190" s="10"/>
      <c r="L190" s="10">
        <f t="shared" si="5"/>
        <v>0</v>
      </c>
      <c r="M190" s="10"/>
      <c r="N190" s="10">
        <f t="shared" si="6"/>
        <v>0</v>
      </c>
      <c r="O190" s="10"/>
      <c r="P190" s="10">
        <f t="shared" si="7"/>
        <v>0</v>
      </c>
      <c r="Q190" s="21"/>
    </row>
    <row r="191" spans="1:31" ht="23.1" customHeight="1">
      <c r="D191" s="21"/>
      <c r="E191" s="21"/>
      <c r="F191" s="7"/>
      <c r="G191" s="23"/>
      <c r="H191" s="10"/>
      <c r="I191" s="10">
        <f t="shared" si="4"/>
        <v>0</v>
      </c>
      <c r="J191" s="10"/>
      <c r="K191" s="10"/>
      <c r="L191" s="10">
        <f t="shared" si="5"/>
        <v>0</v>
      </c>
      <c r="M191" s="10"/>
      <c r="N191" s="10">
        <f t="shared" si="6"/>
        <v>0</v>
      </c>
      <c r="O191" s="10"/>
      <c r="P191" s="10">
        <f t="shared" si="7"/>
        <v>0</v>
      </c>
      <c r="Q191" s="21"/>
    </row>
    <row r="192" spans="1:31" ht="23.1" customHeight="1">
      <c r="D192" s="21"/>
      <c r="E192" s="21"/>
      <c r="F192" s="7"/>
      <c r="G192" s="23"/>
      <c r="H192" s="10"/>
      <c r="I192" s="10">
        <f t="shared" si="4"/>
        <v>0</v>
      </c>
      <c r="J192" s="10"/>
      <c r="K192" s="10"/>
      <c r="L192" s="10">
        <f t="shared" si="5"/>
        <v>0</v>
      </c>
      <c r="M192" s="10"/>
      <c r="N192" s="10">
        <f t="shared" si="6"/>
        <v>0</v>
      </c>
      <c r="O192" s="10"/>
      <c r="P192" s="10">
        <f t="shared" si="7"/>
        <v>0</v>
      </c>
      <c r="Q192" s="21"/>
    </row>
    <row r="193" spans="4:17" ht="23.1" customHeight="1">
      <c r="D193" s="21"/>
      <c r="E193" s="21"/>
      <c r="F193" s="7"/>
      <c r="G193" s="23"/>
      <c r="H193" s="10"/>
      <c r="I193" s="10">
        <f t="shared" si="4"/>
        <v>0</v>
      </c>
      <c r="J193" s="10"/>
      <c r="K193" s="10"/>
      <c r="L193" s="10">
        <f t="shared" si="5"/>
        <v>0</v>
      </c>
      <c r="M193" s="10"/>
      <c r="N193" s="10">
        <f t="shared" si="6"/>
        <v>0</v>
      </c>
      <c r="O193" s="10"/>
      <c r="P193" s="10">
        <f t="shared" si="7"/>
        <v>0</v>
      </c>
      <c r="Q193" s="21"/>
    </row>
    <row r="194" spans="4:17" ht="23.1" customHeight="1">
      <c r="D194" s="21"/>
      <c r="E194" s="21"/>
      <c r="F194" s="7"/>
      <c r="G194" s="23"/>
      <c r="H194" s="10"/>
      <c r="I194" s="10">
        <f t="shared" si="4"/>
        <v>0</v>
      </c>
      <c r="J194" s="10"/>
      <c r="K194" s="10"/>
      <c r="L194" s="10">
        <f t="shared" si="5"/>
        <v>0</v>
      </c>
      <c r="M194" s="10"/>
      <c r="N194" s="10">
        <f t="shared" si="6"/>
        <v>0</v>
      </c>
      <c r="O194" s="10"/>
      <c r="P194" s="10">
        <f t="shared" si="7"/>
        <v>0</v>
      </c>
      <c r="Q194" s="21"/>
    </row>
    <row r="195" spans="4:17" ht="23.1" customHeight="1">
      <c r="D195" s="21"/>
      <c r="E195" s="21"/>
      <c r="F195" s="7"/>
      <c r="G195" s="23"/>
      <c r="H195" s="10"/>
      <c r="I195" s="10">
        <f t="shared" si="4"/>
        <v>0</v>
      </c>
      <c r="J195" s="10"/>
      <c r="K195" s="10"/>
      <c r="L195" s="10">
        <f t="shared" si="5"/>
        <v>0</v>
      </c>
      <c r="M195" s="10"/>
      <c r="N195" s="10">
        <f t="shared" si="6"/>
        <v>0</v>
      </c>
      <c r="O195" s="10"/>
      <c r="P195" s="10">
        <f t="shared" si="7"/>
        <v>0</v>
      </c>
      <c r="Q195" s="21"/>
    </row>
    <row r="196" spans="4:17" ht="23.1" customHeight="1">
      <c r="D196" s="21"/>
      <c r="E196" s="21"/>
      <c r="F196" s="7"/>
      <c r="G196" s="23"/>
      <c r="H196" s="10"/>
      <c r="I196" s="10">
        <f t="shared" si="4"/>
        <v>0</v>
      </c>
      <c r="J196" s="10"/>
      <c r="K196" s="10"/>
      <c r="L196" s="10">
        <f t="shared" si="5"/>
        <v>0</v>
      </c>
      <c r="M196" s="10"/>
      <c r="N196" s="10">
        <f t="shared" si="6"/>
        <v>0</v>
      </c>
      <c r="O196" s="10"/>
      <c r="P196" s="10">
        <f t="shared" si="7"/>
        <v>0</v>
      </c>
      <c r="Q196" s="21"/>
    </row>
    <row r="197" spans="4:17" ht="23.1" customHeight="1">
      <c r="D197" s="21"/>
      <c r="E197" s="21"/>
      <c r="F197" s="7"/>
      <c r="G197" s="23"/>
      <c r="H197" s="10"/>
      <c r="I197" s="10">
        <f t="shared" si="4"/>
        <v>0</v>
      </c>
      <c r="J197" s="10"/>
      <c r="K197" s="10"/>
      <c r="L197" s="10">
        <f t="shared" si="5"/>
        <v>0</v>
      </c>
      <c r="M197" s="10"/>
      <c r="N197" s="10">
        <f t="shared" si="6"/>
        <v>0</v>
      </c>
      <c r="O197" s="10"/>
      <c r="P197" s="10">
        <f t="shared" si="7"/>
        <v>0</v>
      </c>
      <c r="Q197" s="21"/>
    </row>
    <row r="198" spans="4:17" ht="23.1" customHeight="1">
      <c r="D198" s="21"/>
      <c r="E198" s="21"/>
      <c r="F198" s="7"/>
      <c r="G198" s="23"/>
      <c r="H198" s="10"/>
      <c r="I198" s="10">
        <f t="shared" si="4"/>
        <v>0</v>
      </c>
      <c r="J198" s="10"/>
      <c r="K198" s="10"/>
      <c r="L198" s="10">
        <f t="shared" si="5"/>
        <v>0</v>
      </c>
      <c r="M198" s="10"/>
      <c r="N198" s="10">
        <f t="shared" si="6"/>
        <v>0</v>
      </c>
      <c r="O198" s="10"/>
      <c r="P198" s="10">
        <f t="shared" si="7"/>
        <v>0</v>
      </c>
      <c r="Q198" s="21"/>
    </row>
    <row r="199" spans="4:17" ht="23.1" customHeight="1">
      <c r="D199" s="21"/>
      <c r="E199" s="21"/>
      <c r="F199" s="7"/>
      <c r="G199" s="23"/>
      <c r="H199" s="10"/>
      <c r="I199" s="10">
        <f t="shared" si="4"/>
        <v>0</v>
      </c>
      <c r="J199" s="10"/>
      <c r="K199" s="10"/>
      <c r="L199" s="10">
        <f t="shared" si="5"/>
        <v>0</v>
      </c>
      <c r="M199" s="10"/>
      <c r="N199" s="10">
        <f t="shared" si="6"/>
        <v>0</v>
      </c>
      <c r="O199" s="10"/>
      <c r="P199" s="10">
        <f t="shared" si="7"/>
        <v>0</v>
      </c>
      <c r="Q199" s="21"/>
    </row>
    <row r="200" spans="4:17" ht="23.1" customHeight="1">
      <c r="D200" s="21"/>
      <c r="E200" s="21"/>
      <c r="F200" s="7"/>
      <c r="G200" s="23"/>
      <c r="H200" s="10"/>
      <c r="I200" s="10">
        <f t="shared" si="4"/>
        <v>0</v>
      </c>
      <c r="J200" s="10"/>
      <c r="K200" s="10"/>
      <c r="L200" s="10">
        <f t="shared" si="5"/>
        <v>0</v>
      </c>
      <c r="M200" s="10"/>
      <c r="N200" s="10">
        <f t="shared" si="6"/>
        <v>0</v>
      </c>
      <c r="O200" s="10"/>
      <c r="P200" s="10">
        <f t="shared" si="7"/>
        <v>0</v>
      </c>
      <c r="Q200" s="21"/>
    </row>
    <row r="201" spans="4:17" ht="23.1" customHeight="1">
      <c r="D201" s="21"/>
      <c r="E201" s="21"/>
      <c r="F201" s="7"/>
      <c r="G201" s="23"/>
      <c r="H201" s="10"/>
      <c r="I201" s="10">
        <f t="shared" si="4"/>
        <v>0</v>
      </c>
      <c r="J201" s="10"/>
      <c r="K201" s="10"/>
      <c r="L201" s="10">
        <f t="shared" si="5"/>
        <v>0</v>
      </c>
      <c r="M201" s="10"/>
      <c r="N201" s="10">
        <f t="shared" si="6"/>
        <v>0</v>
      </c>
      <c r="O201" s="10"/>
      <c r="P201" s="10">
        <f t="shared" si="7"/>
        <v>0</v>
      </c>
      <c r="Q201" s="21"/>
    </row>
    <row r="202" spans="4:17" ht="23.1" customHeight="1">
      <c r="D202" s="21"/>
      <c r="E202" s="21"/>
      <c r="F202" s="7"/>
      <c r="G202" s="23"/>
      <c r="H202" s="10"/>
      <c r="I202" s="10">
        <f t="shared" si="4"/>
        <v>0</v>
      </c>
      <c r="J202" s="10"/>
      <c r="K202" s="10"/>
      <c r="L202" s="10">
        <f t="shared" si="5"/>
        <v>0</v>
      </c>
      <c r="M202" s="10"/>
      <c r="N202" s="10">
        <f t="shared" si="6"/>
        <v>0</v>
      </c>
      <c r="O202" s="10"/>
      <c r="P202" s="10">
        <f t="shared" si="7"/>
        <v>0</v>
      </c>
      <c r="Q202" s="21"/>
    </row>
    <row r="203" spans="4:17" ht="23.1" customHeight="1">
      <c r="D203" s="21"/>
      <c r="E203" s="21"/>
      <c r="F203" s="7"/>
      <c r="G203" s="23"/>
      <c r="H203" s="10"/>
      <c r="I203" s="10">
        <f t="shared" si="4"/>
        <v>0</v>
      </c>
      <c r="J203" s="10"/>
      <c r="K203" s="10"/>
      <c r="L203" s="10">
        <f t="shared" si="5"/>
        <v>0</v>
      </c>
      <c r="M203" s="10"/>
      <c r="N203" s="10">
        <f t="shared" si="6"/>
        <v>0</v>
      </c>
      <c r="O203" s="10"/>
      <c r="P203" s="10">
        <f t="shared" si="7"/>
        <v>0</v>
      </c>
      <c r="Q203" s="21"/>
    </row>
    <row r="204" spans="4:17" ht="23.1" customHeight="1">
      <c r="D204" s="21"/>
      <c r="E204" s="21"/>
      <c r="F204" s="7"/>
      <c r="G204" s="23"/>
      <c r="H204" s="10"/>
      <c r="I204" s="10">
        <f t="shared" si="4"/>
        <v>0</v>
      </c>
      <c r="J204" s="10"/>
      <c r="K204" s="10"/>
      <c r="L204" s="10">
        <f t="shared" si="5"/>
        <v>0</v>
      </c>
      <c r="M204" s="10"/>
      <c r="N204" s="10">
        <f t="shared" si="6"/>
        <v>0</v>
      </c>
      <c r="O204" s="10"/>
      <c r="P204" s="10">
        <f t="shared" si="7"/>
        <v>0</v>
      </c>
      <c r="Q204" s="21"/>
    </row>
    <row r="205" spans="4:17" ht="23.1" customHeight="1">
      <c r="D205" s="21"/>
      <c r="E205" s="21"/>
      <c r="F205" s="7"/>
      <c r="G205" s="23"/>
      <c r="H205" s="10"/>
      <c r="I205" s="10">
        <f t="shared" si="4"/>
        <v>0</v>
      </c>
      <c r="J205" s="10"/>
      <c r="K205" s="10"/>
      <c r="L205" s="10">
        <f t="shared" si="5"/>
        <v>0</v>
      </c>
      <c r="M205" s="10"/>
      <c r="N205" s="10">
        <f t="shared" si="6"/>
        <v>0</v>
      </c>
      <c r="O205" s="10"/>
      <c r="P205" s="10">
        <f t="shared" si="7"/>
        <v>0</v>
      </c>
      <c r="Q205" s="21"/>
    </row>
    <row r="206" spans="4:17" ht="23.1" customHeight="1">
      <c r="D206" s="21"/>
      <c r="E206" s="21"/>
      <c r="F206" s="7"/>
      <c r="G206" s="23"/>
      <c r="H206" s="10"/>
      <c r="I206" s="10">
        <f t="shared" si="4"/>
        <v>0</v>
      </c>
      <c r="J206" s="10"/>
      <c r="K206" s="10"/>
      <c r="L206" s="10">
        <f t="shared" si="5"/>
        <v>0</v>
      </c>
      <c r="M206" s="10"/>
      <c r="N206" s="10">
        <f t="shared" si="6"/>
        <v>0</v>
      </c>
      <c r="O206" s="10"/>
      <c r="P206" s="10">
        <f t="shared" si="7"/>
        <v>0</v>
      </c>
      <c r="Q206" s="21"/>
    </row>
    <row r="207" spans="4:17" ht="23.1" customHeight="1">
      <c r="D207" s="21"/>
      <c r="E207" s="21"/>
      <c r="F207" s="7"/>
      <c r="G207" s="23"/>
      <c r="H207" s="10"/>
      <c r="I207" s="10">
        <f t="shared" si="4"/>
        <v>0</v>
      </c>
      <c r="J207" s="10"/>
      <c r="K207" s="10"/>
      <c r="L207" s="10">
        <f t="shared" si="5"/>
        <v>0</v>
      </c>
      <c r="M207" s="10"/>
      <c r="N207" s="10">
        <f t="shared" si="6"/>
        <v>0</v>
      </c>
      <c r="O207" s="10"/>
      <c r="P207" s="10">
        <f t="shared" si="7"/>
        <v>0</v>
      </c>
      <c r="Q207" s="21"/>
    </row>
    <row r="208" spans="4:17" ht="23.1" customHeight="1">
      <c r="D208" s="21"/>
      <c r="E208" s="21"/>
      <c r="F208" s="7"/>
      <c r="G208" s="23"/>
      <c r="H208" s="10"/>
      <c r="I208" s="10">
        <f t="shared" si="4"/>
        <v>0</v>
      </c>
      <c r="J208" s="10"/>
      <c r="K208" s="10"/>
      <c r="L208" s="10">
        <f t="shared" si="5"/>
        <v>0</v>
      </c>
      <c r="M208" s="10"/>
      <c r="N208" s="10">
        <f t="shared" si="6"/>
        <v>0</v>
      </c>
      <c r="O208" s="10"/>
      <c r="P208" s="10">
        <f t="shared" si="7"/>
        <v>0</v>
      </c>
      <c r="Q208" s="21"/>
    </row>
    <row r="209" spans="1:29" ht="23.1" customHeight="1">
      <c r="D209" s="21"/>
      <c r="E209" s="21"/>
      <c r="F209" s="7"/>
      <c r="G209" s="23"/>
      <c r="H209" s="10"/>
      <c r="I209" s="10">
        <f t="shared" si="4"/>
        <v>0</v>
      </c>
      <c r="J209" s="10"/>
      <c r="K209" s="10"/>
      <c r="L209" s="10">
        <f t="shared" si="5"/>
        <v>0</v>
      </c>
      <c r="M209" s="10"/>
      <c r="N209" s="10">
        <f t="shared" si="6"/>
        <v>0</v>
      </c>
      <c r="O209" s="10"/>
      <c r="P209" s="10">
        <f t="shared" si="7"/>
        <v>0</v>
      </c>
      <c r="Q209" s="21"/>
    </row>
    <row r="210" spans="1:29" ht="23.1" customHeight="1">
      <c r="D210" s="21"/>
      <c r="E210" s="21"/>
      <c r="F210" s="7"/>
      <c r="G210" s="23"/>
      <c r="H210" s="10"/>
      <c r="I210" s="10">
        <f t="shared" si="4"/>
        <v>0</v>
      </c>
      <c r="J210" s="10"/>
      <c r="K210" s="10"/>
      <c r="L210" s="10">
        <f t="shared" si="5"/>
        <v>0</v>
      </c>
      <c r="M210" s="10"/>
      <c r="N210" s="10">
        <f t="shared" si="6"/>
        <v>0</v>
      </c>
      <c r="O210" s="10"/>
      <c r="P210" s="10">
        <f t="shared" si="7"/>
        <v>0</v>
      </c>
      <c r="Q210" s="21"/>
    </row>
    <row r="211" spans="1:29" ht="23.1" customHeight="1">
      <c r="B211" s="16" t="s">
        <v>489</v>
      </c>
      <c r="D211" s="21" t="s">
        <v>490</v>
      </c>
      <c r="E211" s="21"/>
      <c r="F211" s="7"/>
      <c r="G211" s="23"/>
      <c r="H211" s="10"/>
      <c r="I211" s="10">
        <f>TRUNC(SUM(I186:I210))</f>
        <v>0</v>
      </c>
      <c r="J211" s="10"/>
      <c r="K211" s="10"/>
      <c r="L211" s="10">
        <f>TRUNC(SUM(L186:L210))</f>
        <v>0</v>
      </c>
      <c r="M211" s="10"/>
      <c r="N211" s="10">
        <f>TRUNC(SUM(N186:N210))</f>
        <v>0</v>
      </c>
      <c r="O211" s="10"/>
      <c r="P211" s="10">
        <f>TRUNC(SUM(P186:P210))</f>
        <v>0</v>
      </c>
      <c r="Q211" s="21"/>
    </row>
    <row r="212" spans="1:29" ht="23.1" customHeight="1">
      <c r="B212" s="16" t="s">
        <v>283</v>
      </c>
      <c r="D212" s="27" t="s">
        <v>552</v>
      </c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9"/>
    </row>
    <row r="213" spans="1:29" ht="23.1" customHeight="1">
      <c r="A213" s="16" t="s">
        <v>317</v>
      </c>
      <c r="B213" s="16" t="s">
        <v>553</v>
      </c>
      <c r="C213" s="16" t="s">
        <v>318</v>
      </c>
      <c r="D213" s="21" t="s">
        <v>59</v>
      </c>
      <c r="E213" s="21" t="s">
        <v>60</v>
      </c>
      <c r="F213" s="7" t="s">
        <v>61</v>
      </c>
      <c r="G213" s="23">
        <v>1313</v>
      </c>
      <c r="H213" s="10" t="e">
        <f>#REF!</f>
        <v>#REF!</v>
      </c>
      <c r="I213" s="10" t="e">
        <f t="shared" ref="I213:I244" si="8">TRUNC(G213*H213)</f>
        <v>#REF!</v>
      </c>
      <c r="J213" s="10">
        <v>1313</v>
      </c>
      <c r="K213" s="10" t="e">
        <f>#REF!</f>
        <v>#REF!</v>
      </c>
      <c r="L213" s="10" t="e">
        <f t="shared" ref="L213:L244" si="9">TRUNC(G213*K213)</f>
        <v>#REF!</v>
      </c>
      <c r="M213" s="10" t="e">
        <f>#REF!</f>
        <v>#REF!</v>
      </c>
      <c r="N213" s="10" t="e">
        <f t="shared" ref="N213:N244" si="10">TRUNC(G213*M213)</f>
        <v>#REF!</v>
      </c>
      <c r="O213" s="10"/>
      <c r="P213" s="10" t="e">
        <f t="shared" ref="P213:P244" si="11">SUM(I213,L213,N213)</f>
        <v>#REF!</v>
      </c>
      <c r="Q213" s="21" t="s">
        <v>319</v>
      </c>
      <c r="AB213" s="2" t="e">
        <f>G213*H213</f>
        <v>#REF!</v>
      </c>
      <c r="AC213" s="2" t="e">
        <f t="shared" ref="AC213:AC220" si="12">G213*H213</f>
        <v>#REF!</v>
      </c>
    </row>
    <row r="214" spans="1:29" ht="23.1" customHeight="1">
      <c r="A214" s="16" t="s">
        <v>341</v>
      </c>
      <c r="B214" s="16" t="s">
        <v>553</v>
      </c>
      <c r="C214" s="16" t="s">
        <v>342</v>
      </c>
      <c r="D214" s="21" t="s">
        <v>70</v>
      </c>
      <c r="E214" s="21" t="s">
        <v>71</v>
      </c>
      <c r="F214" s="7" t="s">
        <v>61</v>
      </c>
      <c r="G214" s="23">
        <v>16</v>
      </c>
      <c r="H214" s="10" t="e">
        <f>#REF!</f>
        <v>#REF!</v>
      </c>
      <c r="I214" s="10" t="e">
        <f t="shared" si="8"/>
        <v>#REF!</v>
      </c>
      <c r="J214" s="10">
        <v>16</v>
      </c>
      <c r="K214" s="10" t="e">
        <f>#REF!</f>
        <v>#REF!</v>
      </c>
      <c r="L214" s="10" t="e">
        <f t="shared" si="9"/>
        <v>#REF!</v>
      </c>
      <c r="M214" s="10" t="e">
        <f>#REF!</f>
        <v>#REF!</v>
      </c>
      <c r="N214" s="10" t="e">
        <f t="shared" si="10"/>
        <v>#REF!</v>
      </c>
      <c r="O214" s="10"/>
      <c r="P214" s="10" t="e">
        <f t="shared" si="11"/>
        <v>#REF!</v>
      </c>
      <c r="Q214" s="21" t="s">
        <v>343</v>
      </c>
      <c r="AC214" s="2" t="e">
        <f t="shared" si="12"/>
        <v>#REF!</v>
      </c>
    </row>
    <row r="215" spans="1:29" ht="23.1" customHeight="1">
      <c r="A215" s="16" t="s">
        <v>344</v>
      </c>
      <c r="B215" s="16" t="s">
        <v>553</v>
      </c>
      <c r="C215" s="16" t="s">
        <v>345</v>
      </c>
      <c r="D215" s="21" t="s">
        <v>72</v>
      </c>
      <c r="E215" s="21" t="s">
        <v>73</v>
      </c>
      <c r="F215" s="7" t="s">
        <v>61</v>
      </c>
      <c r="G215" s="23">
        <v>1392</v>
      </c>
      <c r="H215" s="10" t="e">
        <f>#REF!</f>
        <v>#REF!</v>
      </c>
      <c r="I215" s="10" t="e">
        <f t="shared" si="8"/>
        <v>#REF!</v>
      </c>
      <c r="J215" s="10">
        <v>1392</v>
      </c>
      <c r="K215" s="10" t="e">
        <f>#REF!</f>
        <v>#REF!</v>
      </c>
      <c r="L215" s="10" t="e">
        <f t="shared" si="9"/>
        <v>#REF!</v>
      </c>
      <c r="M215" s="10" t="e">
        <f>#REF!</f>
        <v>#REF!</v>
      </c>
      <c r="N215" s="10" t="e">
        <f t="shared" si="10"/>
        <v>#REF!</v>
      </c>
      <c r="O215" s="10"/>
      <c r="P215" s="10" t="e">
        <f t="shared" si="11"/>
        <v>#REF!</v>
      </c>
      <c r="Q215" s="21" t="s">
        <v>346</v>
      </c>
      <c r="AC215" s="2" t="e">
        <f t="shared" si="12"/>
        <v>#REF!</v>
      </c>
    </row>
    <row r="216" spans="1:29" ht="23.1" customHeight="1">
      <c r="A216" s="16" t="s">
        <v>347</v>
      </c>
      <c r="B216" s="16" t="s">
        <v>553</v>
      </c>
      <c r="C216" s="16" t="s">
        <v>348</v>
      </c>
      <c r="D216" s="21" t="s">
        <v>72</v>
      </c>
      <c r="E216" s="21" t="s">
        <v>74</v>
      </c>
      <c r="F216" s="7" t="s">
        <v>61</v>
      </c>
      <c r="G216" s="23">
        <v>9</v>
      </c>
      <c r="H216" s="10" t="e">
        <f>#REF!</f>
        <v>#REF!</v>
      </c>
      <c r="I216" s="10" t="e">
        <f t="shared" si="8"/>
        <v>#REF!</v>
      </c>
      <c r="J216" s="10">
        <v>9</v>
      </c>
      <c r="K216" s="10" t="e">
        <f>#REF!</f>
        <v>#REF!</v>
      </c>
      <c r="L216" s="10" t="e">
        <f t="shared" si="9"/>
        <v>#REF!</v>
      </c>
      <c r="M216" s="10" t="e">
        <f>#REF!</f>
        <v>#REF!</v>
      </c>
      <c r="N216" s="10" t="e">
        <f t="shared" si="10"/>
        <v>#REF!</v>
      </c>
      <c r="O216" s="10"/>
      <c r="P216" s="10" t="e">
        <f t="shared" si="11"/>
        <v>#REF!</v>
      </c>
      <c r="Q216" s="21" t="s">
        <v>349</v>
      </c>
      <c r="AC216" s="2" t="e">
        <f t="shared" si="12"/>
        <v>#REF!</v>
      </c>
    </row>
    <row r="217" spans="1:29" ht="23.1" customHeight="1">
      <c r="A217" s="16" t="s">
        <v>350</v>
      </c>
      <c r="B217" s="16" t="s">
        <v>553</v>
      </c>
      <c r="C217" s="16" t="s">
        <v>351</v>
      </c>
      <c r="D217" s="21" t="s">
        <v>75</v>
      </c>
      <c r="E217" s="21" t="s">
        <v>76</v>
      </c>
      <c r="F217" s="7" t="s">
        <v>61</v>
      </c>
      <c r="G217" s="23">
        <v>517</v>
      </c>
      <c r="H217" s="10" t="e">
        <f>#REF!</f>
        <v>#REF!</v>
      </c>
      <c r="I217" s="10" t="e">
        <f t="shared" si="8"/>
        <v>#REF!</v>
      </c>
      <c r="J217" s="10">
        <v>517</v>
      </c>
      <c r="K217" s="10" t="e">
        <f>#REF!</f>
        <v>#REF!</v>
      </c>
      <c r="L217" s="10" t="e">
        <f t="shared" si="9"/>
        <v>#REF!</v>
      </c>
      <c r="M217" s="10" t="e">
        <f>#REF!</f>
        <v>#REF!</v>
      </c>
      <c r="N217" s="10" t="e">
        <f t="shared" si="10"/>
        <v>#REF!</v>
      </c>
      <c r="O217" s="10"/>
      <c r="P217" s="10" t="e">
        <f t="shared" si="11"/>
        <v>#REF!</v>
      </c>
      <c r="Q217" s="21" t="s">
        <v>352</v>
      </c>
      <c r="AC217" s="2" t="e">
        <f t="shared" si="12"/>
        <v>#REF!</v>
      </c>
    </row>
    <row r="218" spans="1:29" ht="23.1" customHeight="1">
      <c r="A218" s="16" t="s">
        <v>494</v>
      </c>
      <c r="B218" s="16" t="s">
        <v>553</v>
      </c>
      <c r="C218" s="16" t="s">
        <v>80</v>
      </c>
      <c r="D218" s="21" t="s">
        <v>78</v>
      </c>
      <c r="E218" s="21" t="s">
        <v>81</v>
      </c>
      <c r="F218" s="7" t="s">
        <v>61</v>
      </c>
      <c r="G218" s="23">
        <v>263</v>
      </c>
      <c r="H218" s="10" t="e">
        <f>#REF!</f>
        <v>#REF!</v>
      </c>
      <c r="I218" s="10" t="e">
        <f t="shared" si="8"/>
        <v>#REF!</v>
      </c>
      <c r="J218" s="10">
        <v>256</v>
      </c>
      <c r="K218" s="10" t="e">
        <f>#REF!</f>
        <v>#REF!</v>
      </c>
      <c r="L218" s="10" t="e">
        <f t="shared" si="9"/>
        <v>#REF!</v>
      </c>
      <c r="M218" s="10" t="e">
        <f>#REF!</f>
        <v>#REF!</v>
      </c>
      <c r="N218" s="10" t="e">
        <f t="shared" si="10"/>
        <v>#REF!</v>
      </c>
      <c r="O218" s="10"/>
      <c r="P218" s="10" t="e">
        <f t="shared" si="11"/>
        <v>#REF!</v>
      </c>
      <c r="Q218" s="21"/>
      <c r="AC218" s="2" t="e">
        <f t="shared" si="12"/>
        <v>#REF!</v>
      </c>
    </row>
    <row r="219" spans="1:29" ht="23.1" customHeight="1">
      <c r="A219" s="16" t="s">
        <v>554</v>
      </c>
      <c r="B219" s="16" t="s">
        <v>553</v>
      </c>
      <c r="C219" s="16" t="s">
        <v>86</v>
      </c>
      <c r="D219" s="21" t="s">
        <v>78</v>
      </c>
      <c r="E219" s="21" t="s">
        <v>87</v>
      </c>
      <c r="F219" s="7" t="s">
        <v>61</v>
      </c>
      <c r="G219" s="23">
        <v>52</v>
      </c>
      <c r="H219" s="10" t="e">
        <f>#REF!</f>
        <v>#REF!</v>
      </c>
      <c r="I219" s="10" t="e">
        <f t="shared" si="8"/>
        <v>#REF!</v>
      </c>
      <c r="J219" s="10">
        <v>51</v>
      </c>
      <c r="K219" s="10" t="e">
        <f>#REF!</f>
        <v>#REF!</v>
      </c>
      <c r="L219" s="10" t="e">
        <f t="shared" si="9"/>
        <v>#REF!</v>
      </c>
      <c r="M219" s="10" t="e">
        <f>#REF!</f>
        <v>#REF!</v>
      </c>
      <c r="N219" s="10" t="e">
        <f t="shared" si="10"/>
        <v>#REF!</v>
      </c>
      <c r="O219" s="10"/>
      <c r="P219" s="10" t="e">
        <f t="shared" si="11"/>
        <v>#REF!</v>
      </c>
      <c r="Q219" s="21"/>
      <c r="AC219" s="2" t="e">
        <f t="shared" si="12"/>
        <v>#REF!</v>
      </c>
    </row>
    <row r="220" spans="1:29" ht="23.1" customHeight="1">
      <c r="A220" s="16" t="s">
        <v>496</v>
      </c>
      <c r="B220" s="16" t="s">
        <v>553</v>
      </c>
      <c r="C220" s="16" t="s">
        <v>91</v>
      </c>
      <c r="D220" s="21" t="s">
        <v>78</v>
      </c>
      <c r="E220" s="21" t="s">
        <v>92</v>
      </c>
      <c r="F220" s="7" t="s">
        <v>61</v>
      </c>
      <c r="G220" s="23">
        <v>1056</v>
      </c>
      <c r="H220" s="10" t="e">
        <f>#REF!</f>
        <v>#REF!</v>
      </c>
      <c r="I220" s="10" t="e">
        <f t="shared" si="8"/>
        <v>#REF!</v>
      </c>
      <c r="J220" s="10">
        <v>1026</v>
      </c>
      <c r="K220" s="10" t="e">
        <f>#REF!</f>
        <v>#REF!</v>
      </c>
      <c r="L220" s="10" t="e">
        <f t="shared" si="9"/>
        <v>#REF!</v>
      </c>
      <c r="M220" s="10" t="e">
        <f>#REF!</f>
        <v>#REF!</v>
      </c>
      <c r="N220" s="10" t="e">
        <f t="shared" si="10"/>
        <v>#REF!</v>
      </c>
      <c r="O220" s="10"/>
      <c r="P220" s="10" t="e">
        <f t="shared" si="11"/>
        <v>#REF!</v>
      </c>
      <c r="Q220" s="21"/>
      <c r="AC220" s="2" t="e">
        <f t="shared" si="12"/>
        <v>#REF!</v>
      </c>
    </row>
    <row r="221" spans="1:29" ht="23.1" customHeight="1">
      <c r="A221" s="16" t="s">
        <v>365</v>
      </c>
      <c r="B221" s="16" t="s">
        <v>553</v>
      </c>
      <c r="C221" s="16" t="s">
        <v>366</v>
      </c>
      <c r="D221" s="21" t="s">
        <v>102</v>
      </c>
      <c r="E221" s="21" t="s">
        <v>103</v>
      </c>
      <c r="F221" s="7" t="s">
        <v>104</v>
      </c>
      <c r="G221" s="23">
        <v>3</v>
      </c>
      <c r="H221" s="10" t="e">
        <f>#REF!</f>
        <v>#REF!</v>
      </c>
      <c r="I221" s="10" t="e">
        <f t="shared" si="8"/>
        <v>#REF!</v>
      </c>
      <c r="J221" s="10">
        <v>3</v>
      </c>
      <c r="K221" s="10" t="e">
        <f>#REF!</f>
        <v>#REF!</v>
      </c>
      <c r="L221" s="10" t="e">
        <f t="shared" si="9"/>
        <v>#REF!</v>
      </c>
      <c r="M221" s="10" t="e">
        <f>#REF!</f>
        <v>#REF!</v>
      </c>
      <c r="N221" s="10" t="e">
        <f t="shared" si="10"/>
        <v>#REF!</v>
      </c>
      <c r="O221" s="10"/>
      <c r="P221" s="10" t="e">
        <f t="shared" si="11"/>
        <v>#REF!</v>
      </c>
      <c r="Q221" s="21" t="s">
        <v>367</v>
      </c>
    </row>
    <row r="222" spans="1:29" ht="23.1" customHeight="1">
      <c r="A222" s="16" t="s">
        <v>368</v>
      </c>
      <c r="B222" s="16" t="s">
        <v>553</v>
      </c>
      <c r="C222" s="16" t="s">
        <v>369</v>
      </c>
      <c r="D222" s="21" t="s">
        <v>105</v>
      </c>
      <c r="E222" s="21" t="s">
        <v>106</v>
      </c>
      <c r="F222" s="7" t="s">
        <v>104</v>
      </c>
      <c r="G222" s="23">
        <v>4</v>
      </c>
      <c r="H222" s="10" t="e">
        <f>#REF!</f>
        <v>#REF!</v>
      </c>
      <c r="I222" s="10" t="e">
        <f t="shared" si="8"/>
        <v>#REF!</v>
      </c>
      <c r="J222" s="10">
        <v>4</v>
      </c>
      <c r="K222" s="10" t="e">
        <f>#REF!</f>
        <v>#REF!</v>
      </c>
      <c r="L222" s="10" t="e">
        <f t="shared" si="9"/>
        <v>#REF!</v>
      </c>
      <c r="M222" s="10" t="e">
        <f>#REF!</f>
        <v>#REF!</v>
      </c>
      <c r="N222" s="10" t="e">
        <f t="shared" si="10"/>
        <v>#REF!</v>
      </c>
      <c r="O222" s="10"/>
      <c r="P222" s="10" t="e">
        <f t="shared" si="11"/>
        <v>#REF!</v>
      </c>
      <c r="Q222" s="21" t="s">
        <v>370</v>
      </c>
    </row>
    <row r="223" spans="1:29" ht="23.1" customHeight="1">
      <c r="A223" s="16" t="s">
        <v>371</v>
      </c>
      <c r="B223" s="16" t="s">
        <v>553</v>
      </c>
      <c r="C223" s="16" t="s">
        <v>372</v>
      </c>
      <c r="D223" s="21" t="s">
        <v>107</v>
      </c>
      <c r="E223" s="21" t="s">
        <v>108</v>
      </c>
      <c r="F223" s="7" t="s">
        <v>61</v>
      </c>
      <c r="G223" s="23">
        <v>1216</v>
      </c>
      <c r="H223" s="10" t="e">
        <f>#REF!</f>
        <v>#REF!</v>
      </c>
      <c r="I223" s="10" t="e">
        <f t="shared" si="8"/>
        <v>#REF!</v>
      </c>
      <c r="J223" s="10">
        <v>1216</v>
      </c>
      <c r="K223" s="10" t="e">
        <f>#REF!</f>
        <v>#REF!</v>
      </c>
      <c r="L223" s="10" t="e">
        <f t="shared" si="9"/>
        <v>#REF!</v>
      </c>
      <c r="M223" s="10" t="e">
        <f>#REF!</f>
        <v>#REF!</v>
      </c>
      <c r="N223" s="10" t="e">
        <f t="shared" si="10"/>
        <v>#REF!</v>
      </c>
      <c r="O223" s="10"/>
      <c r="P223" s="10" t="e">
        <f t="shared" si="11"/>
        <v>#REF!</v>
      </c>
      <c r="Q223" s="21" t="s">
        <v>373</v>
      </c>
    </row>
    <row r="224" spans="1:29" ht="23.1" customHeight="1">
      <c r="A224" s="16" t="s">
        <v>380</v>
      </c>
      <c r="B224" s="16" t="s">
        <v>553</v>
      </c>
      <c r="C224" s="16" t="s">
        <v>381</v>
      </c>
      <c r="D224" s="21" t="s">
        <v>109</v>
      </c>
      <c r="E224" s="21" t="s">
        <v>112</v>
      </c>
      <c r="F224" s="7" t="s">
        <v>104</v>
      </c>
      <c r="G224" s="23">
        <v>4</v>
      </c>
      <c r="H224" s="10" t="e">
        <f>#REF!</f>
        <v>#REF!</v>
      </c>
      <c r="I224" s="10" t="e">
        <f t="shared" si="8"/>
        <v>#REF!</v>
      </c>
      <c r="J224" s="10">
        <v>4</v>
      </c>
      <c r="K224" s="10" t="e">
        <f>#REF!</f>
        <v>#REF!</v>
      </c>
      <c r="L224" s="10" t="e">
        <f t="shared" si="9"/>
        <v>#REF!</v>
      </c>
      <c r="M224" s="10" t="e">
        <f>#REF!</f>
        <v>#REF!</v>
      </c>
      <c r="N224" s="10" t="e">
        <f t="shared" si="10"/>
        <v>#REF!</v>
      </c>
      <c r="O224" s="10"/>
      <c r="P224" s="10" t="e">
        <f t="shared" si="11"/>
        <v>#REF!</v>
      </c>
      <c r="Q224" s="21" t="s">
        <v>382</v>
      </c>
    </row>
    <row r="225" spans="1:29" ht="23.1" customHeight="1">
      <c r="A225" s="16" t="s">
        <v>313</v>
      </c>
      <c r="B225" s="16" t="s">
        <v>553</v>
      </c>
      <c r="C225" s="16" t="s">
        <v>314</v>
      </c>
      <c r="D225" s="21" t="s">
        <v>311</v>
      </c>
      <c r="E225" s="21" t="s">
        <v>316</v>
      </c>
      <c r="F225" s="7" t="s">
        <v>231</v>
      </c>
      <c r="G225" s="23">
        <v>29</v>
      </c>
      <c r="H225" s="10" t="e">
        <f>#REF!</f>
        <v>#REF!</v>
      </c>
      <c r="I225" s="10" t="e">
        <f t="shared" si="8"/>
        <v>#REF!</v>
      </c>
      <c r="J225" s="10">
        <v>29</v>
      </c>
      <c r="K225" s="10" t="e">
        <f>#REF!</f>
        <v>#REF!</v>
      </c>
      <c r="L225" s="10" t="e">
        <f t="shared" si="9"/>
        <v>#REF!</v>
      </c>
      <c r="M225" s="10" t="e">
        <f>#REF!</f>
        <v>#REF!</v>
      </c>
      <c r="N225" s="10" t="e">
        <f t="shared" si="10"/>
        <v>#REF!</v>
      </c>
      <c r="O225" s="10"/>
      <c r="P225" s="10" t="e">
        <f t="shared" si="11"/>
        <v>#REF!</v>
      </c>
      <c r="Q225" s="21" t="s">
        <v>315</v>
      </c>
    </row>
    <row r="226" spans="1:29" ht="23.1" customHeight="1">
      <c r="A226" s="16" t="s">
        <v>284</v>
      </c>
      <c r="B226" s="16" t="s">
        <v>553</v>
      </c>
      <c r="C226" s="16" t="s">
        <v>285</v>
      </c>
      <c r="D226" s="21" t="s">
        <v>287</v>
      </c>
      <c r="E226" s="21" t="s">
        <v>288</v>
      </c>
      <c r="F226" s="7" t="s">
        <v>119</v>
      </c>
      <c r="G226" s="23">
        <v>529.22</v>
      </c>
      <c r="H226" s="10" t="e">
        <f>#REF!</f>
        <v>#REF!</v>
      </c>
      <c r="I226" s="10" t="e">
        <f t="shared" si="8"/>
        <v>#REF!</v>
      </c>
      <c r="J226" s="10">
        <v>529.22</v>
      </c>
      <c r="K226" s="10" t="e">
        <f>#REF!</f>
        <v>#REF!</v>
      </c>
      <c r="L226" s="10" t="e">
        <f t="shared" si="9"/>
        <v>#REF!</v>
      </c>
      <c r="M226" s="10" t="e">
        <f>#REF!</f>
        <v>#REF!</v>
      </c>
      <c r="N226" s="10" t="e">
        <f t="shared" si="10"/>
        <v>#REF!</v>
      </c>
      <c r="O226" s="10"/>
      <c r="P226" s="10" t="e">
        <f t="shared" si="11"/>
        <v>#REF!</v>
      </c>
      <c r="Q226" s="21" t="s">
        <v>286</v>
      </c>
    </row>
    <row r="227" spans="1:29" ht="23.1" customHeight="1">
      <c r="A227" s="16" t="s">
        <v>289</v>
      </c>
      <c r="B227" s="16" t="s">
        <v>553</v>
      </c>
      <c r="C227" s="16" t="s">
        <v>290</v>
      </c>
      <c r="D227" s="21" t="s">
        <v>292</v>
      </c>
      <c r="E227" s="21" t="s">
        <v>288</v>
      </c>
      <c r="F227" s="7" t="s">
        <v>119</v>
      </c>
      <c r="G227" s="23">
        <v>499.78</v>
      </c>
      <c r="H227" s="10" t="e">
        <f>#REF!</f>
        <v>#REF!</v>
      </c>
      <c r="I227" s="10" t="e">
        <f t="shared" si="8"/>
        <v>#REF!</v>
      </c>
      <c r="J227" s="10">
        <v>499.78</v>
      </c>
      <c r="K227" s="10" t="e">
        <f>#REF!</f>
        <v>#REF!</v>
      </c>
      <c r="L227" s="10" t="e">
        <f t="shared" si="9"/>
        <v>#REF!</v>
      </c>
      <c r="M227" s="10" t="e">
        <f>#REF!</f>
        <v>#REF!</v>
      </c>
      <c r="N227" s="10" t="e">
        <f t="shared" si="10"/>
        <v>#REF!</v>
      </c>
      <c r="O227" s="10"/>
      <c r="P227" s="10" t="e">
        <f t="shared" si="11"/>
        <v>#REF!</v>
      </c>
      <c r="Q227" s="21" t="s">
        <v>291</v>
      </c>
    </row>
    <row r="228" spans="1:29" ht="23.1" customHeight="1">
      <c r="A228" s="16" t="s">
        <v>293</v>
      </c>
      <c r="B228" s="16" t="s">
        <v>553</v>
      </c>
      <c r="C228" s="16" t="s">
        <v>294</v>
      </c>
      <c r="D228" s="21" t="s">
        <v>296</v>
      </c>
      <c r="E228" s="21" t="s">
        <v>297</v>
      </c>
      <c r="F228" s="7" t="s">
        <v>119</v>
      </c>
      <c r="G228" s="23">
        <v>29.44</v>
      </c>
      <c r="H228" s="10" t="e">
        <f>#REF!</f>
        <v>#REF!</v>
      </c>
      <c r="I228" s="10" t="e">
        <f t="shared" si="8"/>
        <v>#REF!</v>
      </c>
      <c r="J228" s="10">
        <v>29.44</v>
      </c>
      <c r="K228" s="10" t="e">
        <f>#REF!</f>
        <v>#REF!</v>
      </c>
      <c r="L228" s="10" t="e">
        <f t="shared" si="9"/>
        <v>#REF!</v>
      </c>
      <c r="M228" s="10" t="e">
        <f>#REF!</f>
        <v>#REF!</v>
      </c>
      <c r="N228" s="10" t="e">
        <f t="shared" si="10"/>
        <v>#REF!</v>
      </c>
      <c r="O228" s="10"/>
      <c r="P228" s="10" t="e">
        <f t="shared" si="11"/>
        <v>#REF!</v>
      </c>
      <c r="Q228" s="21" t="s">
        <v>295</v>
      </c>
    </row>
    <row r="229" spans="1:29" ht="23.1" customHeight="1">
      <c r="A229" s="16" t="s">
        <v>389</v>
      </c>
      <c r="B229" s="16" t="s">
        <v>553</v>
      </c>
      <c r="C229" s="16" t="s">
        <v>390</v>
      </c>
      <c r="D229" s="21" t="s">
        <v>124</v>
      </c>
      <c r="E229" s="21" t="s">
        <v>125</v>
      </c>
      <c r="F229" s="7" t="s">
        <v>126</v>
      </c>
      <c r="G229" s="23">
        <v>1</v>
      </c>
      <c r="H229" s="10" t="e">
        <f>#REF!</f>
        <v>#REF!</v>
      </c>
      <c r="I229" s="10" t="e">
        <f t="shared" si="8"/>
        <v>#REF!</v>
      </c>
      <c r="J229" s="10">
        <v>1</v>
      </c>
      <c r="K229" s="10" t="e">
        <f>#REF!</f>
        <v>#REF!</v>
      </c>
      <c r="L229" s="10" t="e">
        <f t="shared" si="9"/>
        <v>#REF!</v>
      </c>
      <c r="M229" s="10" t="e">
        <f>#REF!</f>
        <v>#REF!</v>
      </c>
      <c r="N229" s="10" t="e">
        <f t="shared" si="10"/>
        <v>#REF!</v>
      </c>
      <c r="O229" s="10"/>
      <c r="P229" s="10" t="e">
        <f t="shared" si="11"/>
        <v>#REF!</v>
      </c>
      <c r="Q229" s="21" t="s">
        <v>391</v>
      </c>
    </row>
    <row r="230" spans="1:29" ht="23.1" customHeight="1">
      <c r="A230" s="16" t="s">
        <v>498</v>
      </c>
      <c r="B230" s="16" t="s">
        <v>553</v>
      </c>
      <c r="C230" s="16" t="s">
        <v>127</v>
      </c>
      <c r="D230" s="21" t="s">
        <v>128</v>
      </c>
      <c r="E230" s="21"/>
      <c r="F230" s="7" t="s">
        <v>126</v>
      </c>
      <c r="G230" s="23">
        <v>3</v>
      </c>
      <c r="H230" s="10" t="e">
        <f>#REF!</f>
        <v>#REF!</v>
      </c>
      <c r="I230" s="10" t="e">
        <f t="shared" si="8"/>
        <v>#REF!</v>
      </c>
      <c r="J230" s="10">
        <v>3</v>
      </c>
      <c r="K230" s="10" t="e">
        <f>#REF!</f>
        <v>#REF!</v>
      </c>
      <c r="L230" s="10" t="e">
        <f t="shared" si="9"/>
        <v>#REF!</v>
      </c>
      <c r="M230" s="10" t="e">
        <f>#REF!</f>
        <v>#REF!</v>
      </c>
      <c r="N230" s="10" t="e">
        <f t="shared" si="10"/>
        <v>#REF!</v>
      </c>
      <c r="O230" s="10"/>
      <c r="P230" s="10" t="e">
        <f t="shared" si="11"/>
        <v>#REF!</v>
      </c>
      <c r="Q230" s="21"/>
    </row>
    <row r="231" spans="1:29" ht="23.1" customHeight="1">
      <c r="A231" s="16" t="s">
        <v>404</v>
      </c>
      <c r="B231" s="16" t="s">
        <v>553</v>
      </c>
      <c r="C231" s="16" t="s">
        <v>405</v>
      </c>
      <c r="D231" s="21" t="s">
        <v>147</v>
      </c>
      <c r="E231" s="21" t="s">
        <v>149</v>
      </c>
      <c r="F231" s="7" t="s">
        <v>61</v>
      </c>
      <c r="G231" s="23">
        <v>256</v>
      </c>
      <c r="H231" s="10" t="e">
        <f>#REF!</f>
        <v>#REF!</v>
      </c>
      <c r="I231" s="10" t="e">
        <f t="shared" si="8"/>
        <v>#REF!</v>
      </c>
      <c r="J231" s="10">
        <v>256</v>
      </c>
      <c r="K231" s="10" t="e">
        <f>#REF!</f>
        <v>#REF!</v>
      </c>
      <c r="L231" s="10" t="e">
        <f t="shared" si="9"/>
        <v>#REF!</v>
      </c>
      <c r="M231" s="10" t="e">
        <f>#REF!</f>
        <v>#REF!</v>
      </c>
      <c r="N231" s="10" t="e">
        <f t="shared" si="10"/>
        <v>#REF!</v>
      </c>
      <c r="O231" s="10"/>
      <c r="P231" s="10" t="e">
        <f t="shared" si="11"/>
        <v>#REF!</v>
      </c>
      <c r="Q231" s="21" t="s">
        <v>406</v>
      </c>
      <c r="AC231" s="2" t="e">
        <f>G231*H231</f>
        <v>#REF!</v>
      </c>
    </row>
    <row r="232" spans="1:29" ht="23.1" customHeight="1">
      <c r="A232" s="16" t="s">
        <v>413</v>
      </c>
      <c r="B232" s="16" t="s">
        <v>553</v>
      </c>
      <c r="C232" s="16" t="s">
        <v>414</v>
      </c>
      <c r="D232" s="21" t="s">
        <v>147</v>
      </c>
      <c r="E232" s="21" t="s">
        <v>152</v>
      </c>
      <c r="F232" s="7" t="s">
        <v>61</v>
      </c>
      <c r="G232" s="23">
        <v>57</v>
      </c>
      <c r="H232" s="10" t="e">
        <f>#REF!</f>
        <v>#REF!</v>
      </c>
      <c r="I232" s="10" t="e">
        <f t="shared" si="8"/>
        <v>#REF!</v>
      </c>
      <c r="J232" s="10">
        <v>57</v>
      </c>
      <c r="K232" s="10" t="e">
        <f>#REF!</f>
        <v>#REF!</v>
      </c>
      <c r="L232" s="10" t="e">
        <f t="shared" si="9"/>
        <v>#REF!</v>
      </c>
      <c r="M232" s="10" t="e">
        <f>#REF!</f>
        <v>#REF!</v>
      </c>
      <c r="N232" s="10" t="e">
        <f t="shared" si="10"/>
        <v>#REF!</v>
      </c>
      <c r="O232" s="10"/>
      <c r="P232" s="10" t="e">
        <f t="shared" si="11"/>
        <v>#REF!</v>
      </c>
      <c r="Q232" s="21" t="s">
        <v>415</v>
      </c>
      <c r="AC232" s="2" t="e">
        <f>G232*H232</f>
        <v>#REF!</v>
      </c>
    </row>
    <row r="233" spans="1:29" ht="23.1" customHeight="1">
      <c r="A233" s="16" t="s">
        <v>419</v>
      </c>
      <c r="B233" s="16" t="s">
        <v>553</v>
      </c>
      <c r="C233" s="16" t="s">
        <v>420</v>
      </c>
      <c r="D233" s="21" t="s">
        <v>147</v>
      </c>
      <c r="E233" s="21" t="s">
        <v>154</v>
      </c>
      <c r="F233" s="7" t="s">
        <v>61</v>
      </c>
      <c r="G233" s="23">
        <v>1026</v>
      </c>
      <c r="H233" s="10" t="e">
        <f>#REF!</f>
        <v>#REF!</v>
      </c>
      <c r="I233" s="10" t="e">
        <f t="shared" si="8"/>
        <v>#REF!</v>
      </c>
      <c r="J233" s="10">
        <v>1026</v>
      </c>
      <c r="K233" s="10" t="e">
        <f>#REF!</f>
        <v>#REF!</v>
      </c>
      <c r="L233" s="10" t="e">
        <f t="shared" si="9"/>
        <v>#REF!</v>
      </c>
      <c r="M233" s="10" t="e">
        <f>#REF!</f>
        <v>#REF!</v>
      </c>
      <c r="N233" s="10" t="e">
        <f t="shared" si="10"/>
        <v>#REF!</v>
      </c>
      <c r="O233" s="10"/>
      <c r="P233" s="10" t="e">
        <f t="shared" si="11"/>
        <v>#REF!</v>
      </c>
      <c r="Q233" s="21" t="s">
        <v>421</v>
      </c>
      <c r="AC233" s="2" t="e">
        <f>G233*H233</f>
        <v>#REF!</v>
      </c>
    </row>
    <row r="234" spans="1:29" ht="23.1" customHeight="1">
      <c r="A234" s="16" t="s">
        <v>425</v>
      </c>
      <c r="B234" s="16" t="s">
        <v>553</v>
      </c>
      <c r="C234" s="16" t="s">
        <v>426</v>
      </c>
      <c r="D234" s="21" t="s">
        <v>156</v>
      </c>
      <c r="E234" s="21" t="s">
        <v>157</v>
      </c>
      <c r="F234" s="7" t="s">
        <v>104</v>
      </c>
      <c r="G234" s="23">
        <v>29</v>
      </c>
      <c r="H234" s="10" t="e">
        <f>#REF!</f>
        <v>#REF!</v>
      </c>
      <c r="I234" s="10" t="e">
        <f t="shared" si="8"/>
        <v>#REF!</v>
      </c>
      <c r="J234" s="10">
        <v>29</v>
      </c>
      <c r="K234" s="10" t="e">
        <f>#REF!</f>
        <v>#REF!</v>
      </c>
      <c r="L234" s="10" t="e">
        <f t="shared" si="9"/>
        <v>#REF!</v>
      </c>
      <c r="M234" s="10" t="e">
        <f>#REF!</f>
        <v>#REF!</v>
      </c>
      <c r="N234" s="10" t="e">
        <f t="shared" si="10"/>
        <v>#REF!</v>
      </c>
      <c r="O234" s="10"/>
      <c r="P234" s="10" t="e">
        <f t="shared" si="11"/>
        <v>#REF!</v>
      </c>
      <c r="Q234" s="21" t="s">
        <v>427</v>
      </c>
    </row>
    <row r="235" spans="1:29" ht="23.1" customHeight="1">
      <c r="A235" s="16" t="s">
        <v>437</v>
      </c>
      <c r="B235" s="16" t="s">
        <v>553</v>
      </c>
      <c r="C235" s="16" t="s">
        <v>438</v>
      </c>
      <c r="D235" s="21" t="s">
        <v>163</v>
      </c>
      <c r="E235" s="21" t="s">
        <v>164</v>
      </c>
      <c r="F235" s="7" t="s">
        <v>104</v>
      </c>
      <c r="G235" s="23">
        <v>50</v>
      </c>
      <c r="H235" s="10" t="e">
        <f>#REF!</f>
        <v>#REF!</v>
      </c>
      <c r="I235" s="10" t="e">
        <f t="shared" si="8"/>
        <v>#REF!</v>
      </c>
      <c r="J235" s="10">
        <v>50</v>
      </c>
      <c r="K235" s="10" t="e">
        <f>#REF!</f>
        <v>#REF!</v>
      </c>
      <c r="L235" s="10" t="e">
        <f t="shared" si="9"/>
        <v>#REF!</v>
      </c>
      <c r="M235" s="10" t="e">
        <f>#REF!</f>
        <v>#REF!</v>
      </c>
      <c r="N235" s="10" t="e">
        <f t="shared" si="10"/>
        <v>#REF!</v>
      </c>
      <c r="O235" s="10"/>
      <c r="P235" s="10" t="e">
        <f t="shared" si="11"/>
        <v>#REF!</v>
      </c>
      <c r="Q235" s="21" t="s">
        <v>439</v>
      </c>
    </row>
    <row r="236" spans="1:29" ht="23.1" customHeight="1">
      <c r="A236" s="16" t="s">
        <v>443</v>
      </c>
      <c r="B236" s="16" t="s">
        <v>553</v>
      </c>
      <c r="C236" s="16" t="s">
        <v>444</v>
      </c>
      <c r="D236" s="21" t="s">
        <v>165</v>
      </c>
      <c r="E236" s="21" t="s">
        <v>167</v>
      </c>
      <c r="F236" s="7" t="s">
        <v>104</v>
      </c>
      <c r="G236" s="23">
        <v>1</v>
      </c>
      <c r="H236" s="10" t="e">
        <f>#REF!</f>
        <v>#REF!</v>
      </c>
      <c r="I236" s="10" t="e">
        <f t="shared" si="8"/>
        <v>#REF!</v>
      </c>
      <c r="J236" s="10">
        <v>1</v>
      </c>
      <c r="K236" s="10" t="e">
        <f>#REF!</f>
        <v>#REF!</v>
      </c>
      <c r="L236" s="10" t="e">
        <f t="shared" si="9"/>
        <v>#REF!</v>
      </c>
      <c r="M236" s="10" t="e">
        <f>#REF!</f>
        <v>#REF!</v>
      </c>
      <c r="N236" s="10" t="e">
        <f t="shared" si="10"/>
        <v>#REF!</v>
      </c>
      <c r="O236" s="10"/>
      <c r="P236" s="10" t="e">
        <f t="shared" si="11"/>
        <v>#REF!</v>
      </c>
      <c r="Q236" s="21" t="s">
        <v>445</v>
      </c>
    </row>
    <row r="237" spans="1:29" ht="23.1" customHeight="1">
      <c r="A237" s="16" t="s">
        <v>499</v>
      </c>
      <c r="B237" s="16" t="s">
        <v>553</v>
      </c>
      <c r="C237" s="16" t="s">
        <v>168</v>
      </c>
      <c r="D237" s="21" t="s">
        <v>169</v>
      </c>
      <c r="E237" s="21" t="s">
        <v>170</v>
      </c>
      <c r="F237" s="7" t="s">
        <v>104</v>
      </c>
      <c r="G237" s="23">
        <v>29</v>
      </c>
      <c r="H237" s="10" t="e">
        <f>#REF!</f>
        <v>#REF!</v>
      </c>
      <c r="I237" s="10" t="e">
        <f t="shared" si="8"/>
        <v>#REF!</v>
      </c>
      <c r="J237" s="10">
        <v>29</v>
      </c>
      <c r="K237" s="10" t="e">
        <f>#REF!</f>
        <v>#REF!</v>
      </c>
      <c r="L237" s="10" t="e">
        <f t="shared" si="9"/>
        <v>#REF!</v>
      </c>
      <c r="M237" s="10" t="e">
        <f>#REF!</f>
        <v>#REF!</v>
      </c>
      <c r="N237" s="10" t="e">
        <f t="shared" si="10"/>
        <v>#REF!</v>
      </c>
      <c r="O237" s="10"/>
      <c r="P237" s="10" t="e">
        <f t="shared" si="11"/>
        <v>#REF!</v>
      </c>
      <c r="Q237" s="21"/>
    </row>
    <row r="238" spans="1:29" ht="23.1" customHeight="1">
      <c r="A238" s="16" t="s">
        <v>446</v>
      </c>
      <c r="B238" s="16" t="s">
        <v>553</v>
      </c>
      <c r="C238" s="16" t="s">
        <v>447</v>
      </c>
      <c r="D238" s="21" t="s">
        <v>171</v>
      </c>
      <c r="E238" s="21" t="s">
        <v>172</v>
      </c>
      <c r="F238" s="7" t="s">
        <v>104</v>
      </c>
      <c r="G238" s="23">
        <v>29</v>
      </c>
      <c r="H238" s="10" t="e">
        <f>#REF!</f>
        <v>#REF!</v>
      </c>
      <c r="I238" s="10" t="e">
        <f t="shared" si="8"/>
        <v>#REF!</v>
      </c>
      <c r="J238" s="10">
        <v>29</v>
      </c>
      <c r="K238" s="10" t="e">
        <f>#REF!</f>
        <v>#REF!</v>
      </c>
      <c r="L238" s="10" t="e">
        <f t="shared" si="9"/>
        <v>#REF!</v>
      </c>
      <c r="M238" s="10" t="e">
        <f>#REF!</f>
        <v>#REF!</v>
      </c>
      <c r="N238" s="10" t="e">
        <f t="shared" si="10"/>
        <v>#REF!</v>
      </c>
      <c r="O238" s="10"/>
      <c r="P238" s="10" t="e">
        <f t="shared" si="11"/>
        <v>#REF!</v>
      </c>
      <c r="Q238" s="21" t="s">
        <v>448</v>
      </c>
    </row>
    <row r="239" spans="1:29" ht="23.1" customHeight="1">
      <c r="A239" s="16" t="s">
        <v>458</v>
      </c>
      <c r="B239" s="16" t="s">
        <v>553</v>
      </c>
      <c r="C239" s="16" t="s">
        <v>459</v>
      </c>
      <c r="D239" s="21" t="s">
        <v>204</v>
      </c>
      <c r="E239" s="21" t="s">
        <v>205</v>
      </c>
      <c r="F239" s="7" t="s">
        <v>104</v>
      </c>
      <c r="G239" s="23">
        <v>29</v>
      </c>
      <c r="H239" s="10" t="e">
        <f>#REF!</f>
        <v>#REF!</v>
      </c>
      <c r="I239" s="10" t="e">
        <f t="shared" si="8"/>
        <v>#REF!</v>
      </c>
      <c r="J239" s="10">
        <v>29</v>
      </c>
      <c r="K239" s="10" t="e">
        <f>#REF!</f>
        <v>#REF!</v>
      </c>
      <c r="L239" s="10" t="e">
        <f t="shared" si="9"/>
        <v>#REF!</v>
      </c>
      <c r="M239" s="10" t="e">
        <f>#REF!</f>
        <v>#REF!</v>
      </c>
      <c r="N239" s="10" t="e">
        <f t="shared" si="10"/>
        <v>#REF!</v>
      </c>
      <c r="O239" s="10"/>
      <c r="P239" s="10" t="e">
        <f t="shared" si="11"/>
        <v>#REF!</v>
      </c>
      <c r="Q239" s="21" t="s">
        <v>460</v>
      </c>
    </row>
    <row r="240" spans="1:29" ht="23.1" customHeight="1">
      <c r="A240" s="16" t="s">
        <v>500</v>
      </c>
      <c r="B240" s="16" t="s">
        <v>553</v>
      </c>
      <c r="C240" s="16" t="s">
        <v>206</v>
      </c>
      <c r="D240" s="21" t="s">
        <v>204</v>
      </c>
      <c r="E240" s="21" t="s">
        <v>207</v>
      </c>
      <c r="F240" s="7" t="s">
        <v>104</v>
      </c>
      <c r="G240" s="23">
        <v>39</v>
      </c>
      <c r="H240" s="10" t="e">
        <f>#REF!</f>
        <v>#REF!</v>
      </c>
      <c r="I240" s="10" t="e">
        <f t="shared" si="8"/>
        <v>#REF!</v>
      </c>
      <c r="J240" s="10">
        <v>39</v>
      </c>
      <c r="K240" s="10" t="e">
        <f>#REF!</f>
        <v>#REF!</v>
      </c>
      <c r="L240" s="10" t="e">
        <f t="shared" si="9"/>
        <v>#REF!</v>
      </c>
      <c r="M240" s="10" t="e">
        <f>#REF!</f>
        <v>#REF!</v>
      </c>
      <c r="N240" s="10" t="e">
        <f t="shared" si="10"/>
        <v>#REF!</v>
      </c>
      <c r="O240" s="10"/>
      <c r="P240" s="10" t="e">
        <f t="shared" si="11"/>
        <v>#REF!</v>
      </c>
      <c r="Q240" s="21"/>
    </row>
    <row r="241" spans="1:31" ht="23.1" customHeight="1">
      <c r="A241" s="16" t="s">
        <v>501</v>
      </c>
      <c r="B241" s="16" t="s">
        <v>553</v>
      </c>
      <c r="C241" s="16" t="s">
        <v>208</v>
      </c>
      <c r="D241" s="21" t="s">
        <v>209</v>
      </c>
      <c r="E241" s="21" t="s">
        <v>210</v>
      </c>
      <c r="F241" s="7" t="s">
        <v>211</v>
      </c>
      <c r="G241" s="23">
        <v>22</v>
      </c>
      <c r="H241" s="10" t="e">
        <f>#REF!</f>
        <v>#REF!</v>
      </c>
      <c r="I241" s="10" t="e">
        <f t="shared" si="8"/>
        <v>#REF!</v>
      </c>
      <c r="J241" s="10">
        <v>22</v>
      </c>
      <c r="K241" s="10" t="e">
        <f>#REF!</f>
        <v>#REF!</v>
      </c>
      <c r="L241" s="10" t="e">
        <f t="shared" si="9"/>
        <v>#REF!</v>
      </c>
      <c r="M241" s="10" t="e">
        <f>#REF!</f>
        <v>#REF!</v>
      </c>
      <c r="N241" s="10" t="e">
        <f t="shared" si="10"/>
        <v>#REF!</v>
      </c>
      <c r="O241" s="10"/>
      <c r="P241" s="10" t="e">
        <f t="shared" si="11"/>
        <v>#REF!</v>
      </c>
      <c r="Q241" s="21"/>
    </row>
    <row r="242" spans="1:31" ht="23.1" customHeight="1">
      <c r="A242" s="16" t="s">
        <v>482</v>
      </c>
      <c r="B242" s="16" t="s">
        <v>553</v>
      </c>
      <c r="C242" s="16" t="s">
        <v>483</v>
      </c>
      <c r="D242" s="21" t="s">
        <v>266</v>
      </c>
      <c r="E242" s="21" t="s">
        <v>267</v>
      </c>
      <c r="F242" s="7" t="s">
        <v>104</v>
      </c>
      <c r="G242" s="23">
        <v>1</v>
      </c>
      <c r="H242" s="10" t="e">
        <f>#REF!</f>
        <v>#REF!</v>
      </c>
      <c r="I242" s="10" t="e">
        <f t="shared" si="8"/>
        <v>#REF!</v>
      </c>
      <c r="J242" s="10">
        <v>1</v>
      </c>
      <c r="K242" s="10" t="e">
        <f>#REF!</f>
        <v>#REF!</v>
      </c>
      <c r="L242" s="10" t="e">
        <f t="shared" si="9"/>
        <v>#REF!</v>
      </c>
      <c r="M242" s="10" t="e">
        <f>#REF!</f>
        <v>#REF!</v>
      </c>
      <c r="N242" s="10" t="e">
        <f t="shared" si="10"/>
        <v>#REF!</v>
      </c>
      <c r="O242" s="10"/>
      <c r="P242" s="10" t="e">
        <f t="shared" si="11"/>
        <v>#REF!</v>
      </c>
      <c r="Q242" s="21" t="s">
        <v>484</v>
      </c>
    </row>
    <row r="243" spans="1:31" ht="23.1" customHeight="1">
      <c r="A243" s="16" t="s">
        <v>485</v>
      </c>
      <c r="B243" s="16" t="s">
        <v>553</v>
      </c>
      <c r="C243" s="16" t="s">
        <v>486</v>
      </c>
      <c r="D243" s="21" t="s">
        <v>276</v>
      </c>
      <c r="E243" s="21" t="s">
        <v>277</v>
      </c>
      <c r="F243" s="7" t="s">
        <v>104</v>
      </c>
      <c r="G243" s="23">
        <v>3</v>
      </c>
      <c r="H243" s="10" t="e">
        <f>#REF!</f>
        <v>#REF!</v>
      </c>
      <c r="I243" s="10" t="e">
        <f t="shared" si="8"/>
        <v>#REF!</v>
      </c>
      <c r="J243" s="10">
        <v>3</v>
      </c>
      <c r="K243" s="10" t="e">
        <f>#REF!</f>
        <v>#REF!</v>
      </c>
      <c r="L243" s="10" t="e">
        <f t="shared" si="9"/>
        <v>#REF!</v>
      </c>
      <c r="M243" s="10" t="e">
        <f>#REF!</f>
        <v>#REF!</v>
      </c>
      <c r="N243" s="10" t="e">
        <f t="shared" si="10"/>
        <v>#REF!</v>
      </c>
      <c r="O243" s="10"/>
      <c r="P243" s="10" t="e">
        <f t="shared" si="11"/>
        <v>#REF!</v>
      </c>
      <c r="Q243" s="21" t="s">
        <v>487</v>
      </c>
    </row>
    <row r="244" spans="1:31" ht="23.1" customHeight="1">
      <c r="A244" s="16" t="s">
        <v>502</v>
      </c>
      <c r="B244" s="16" t="s">
        <v>553</v>
      </c>
      <c r="C244" s="16" t="s">
        <v>278</v>
      </c>
      <c r="D244" s="21" t="s">
        <v>279</v>
      </c>
      <c r="E244" s="21" t="s">
        <v>280</v>
      </c>
      <c r="F244" s="7" t="s">
        <v>104</v>
      </c>
      <c r="G244" s="23">
        <v>3</v>
      </c>
      <c r="H244" s="10" t="e">
        <f>#REF!</f>
        <v>#REF!</v>
      </c>
      <c r="I244" s="10" t="e">
        <f t="shared" si="8"/>
        <v>#REF!</v>
      </c>
      <c r="J244" s="10">
        <v>3</v>
      </c>
      <c r="K244" s="10" t="e">
        <f>#REF!</f>
        <v>#REF!</v>
      </c>
      <c r="L244" s="10" t="e">
        <f t="shared" si="9"/>
        <v>#REF!</v>
      </c>
      <c r="M244" s="10" t="e">
        <f>#REF!</f>
        <v>#REF!</v>
      </c>
      <c r="N244" s="10" t="e">
        <f t="shared" si="10"/>
        <v>#REF!</v>
      </c>
      <c r="O244" s="10"/>
      <c r="P244" s="10" t="e">
        <f t="shared" si="11"/>
        <v>#REF!</v>
      </c>
      <c r="Q244" s="21"/>
    </row>
    <row r="245" spans="1:31" ht="23.1" customHeight="1">
      <c r="D245" s="21"/>
      <c r="E245" s="21"/>
      <c r="F245" s="7"/>
      <c r="G245" s="23"/>
      <c r="H245" s="10"/>
      <c r="I245" s="10">
        <f t="shared" ref="I245:I262" si="13">TRUNC(G245*H245)</f>
        <v>0</v>
      </c>
      <c r="J245" s="10"/>
      <c r="K245" s="10"/>
      <c r="L245" s="10">
        <f t="shared" ref="L245:L262" si="14">TRUNC(G245*K245)</f>
        <v>0</v>
      </c>
      <c r="M245" s="10"/>
      <c r="N245" s="10">
        <f t="shared" ref="N245:N262" si="15">TRUNC(G245*M245)</f>
        <v>0</v>
      </c>
      <c r="O245" s="10"/>
      <c r="P245" s="10">
        <f t="shared" ref="P245:P262" si="16">SUM(I245,L245,N245)</f>
        <v>0</v>
      </c>
      <c r="Q245" s="21"/>
      <c r="AE245" s="2">
        <f>TRUNC(SUM(AE212:AE244))</f>
        <v>0</v>
      </c>
    </row>
    <row r="246" spans="1:31" ht="23.1" customHeight="1">
      <c r="D246" s="21"/>
      <c r="E246" s="21"/>
      <c r="F246" s="7"/>
      <c r="G246" s="23"/>
      <c r="H246" s="10"/>
      <c r="I246" s="10">
        <f t="shared" si="13"/>
        <v>0</v>
      </c>
      <c r="J246" s="10"/>
      <c r="K246" s="10"/>
      <c r="L246" s="10">
        <f t="shared" si="14"/>
        <v>0</v>
      </c>
      <c r="M246" s="10"/>
      <c r="N246" s="10">
        <f t="shared" si="15"/>
        <v>0</v>
      </c>
      <c r="O246" s="10"/>
      <c r="P246" s="10">
        <f t="shared" si="16"/>
        <v>0</v>
      </c>
      <c r="Q246" s="21"/>
    </row>
    <row r="247" spans="1:31" ht="23.1" customHeight="1">
      <c r="D247" s="21"/>
      <c r="E247" s="21"/>
      <c r="F247" s="7"/>
      <c r="G247" s="23"/>
      <c r="H247" s="10"/>
      <c r="I247" s="10">
        <f t="shared" si="13"/>
        <v>0</v>
      </c>
      <c r="J247" s="10"/>
      <c r="K247" s="10"/>
      <c r="L247" s="10">
        <f t="shared" si="14"/>
        <v>0</v>
      </c>
      <c r="M247" s="10"/>
      <c r="N247" s="10">
        <f t="shared" si="15"/>
        <v>0</v>
      </c>
      <c r="O247" s="10"/>
      <c r="P247" s="10">
        <f t="shared" si="16"/>
        <v>0</v>
      </c>
      <c r="Q247" s="21"/>
    </row>
    <row r="248" spans="1:31" ht="23.1" customHeight="1">
      <c r="D248" s="21"/>
      <c r="E248" s="21"/>
      <c r="F248" s="7"/>
      <c r="G248" s="23"/>
      <c r="H248" s="10"/>
      <c r="I248" s="10">
        <f t="shared" si="13"/>
        <v>0</v>
      </c>
      <c r="J248" s="10"/>
      <c r="K248" s="10"/>
      <c r="L248" s="10">
        <f t="shared" si="14"/>
        <v>0</v>
      </c>
      <c r="M248" s="10"/>
      <c r="N248" s="10">
        <f t="shared" si="15"/>
        <v>0</v>
      </c>
      <c r="O248" s="10"/>
      <c r="P248" s="10">
        <f t="shared" si="16"/>
        <v>0</v>
      </c>
      <c r="Q248" s="21"/>
    </row>
    <row r="249" spans="1:31" ht="23.1" customHeight="1">
      <c r="D249" s="21"/>
      <c r="E249" s="21"/>
      <c r="F249" s="7"/>
      <c r="G249" s="23"/>
      <c r="H249" s="10"/>
      <c r="I249" s="10">
        <f t="shared" si="13"/>
        <v>0</v>
      </c>
      <c r="J249" s="10"/>
      <c r="K249" s="10"/>
      <c r="L249" s="10">
        <f t="shared" si="14"/>
        <v>0</v>
      </c>
      <c r="M249" s="10"/>
      <c r="N249" s="10">
        <f t="shared" si="15"/>
        <v>0</v>
      </c>
      <c r="O249" s="10"/>
      <c r="P249" s="10">
        <f t="shared" si="16"/>
        <v>0</v>
      </c>
      <c r="Q249" s="21"/>
    </row>
    <row r="250" spans="1:31" ht="23.1" customHeight="1">
      <c r="D250" s="21"/>
      <c r="E250" s="21"/>
      <c r="F250" s="7"/>
      <c r="G250" s="23"/>
      <c r="H250" s="10"/>
      <c r="I250" s="10">
        <f t="shared" si="13"/>
        <v>0</v>
      </c>
      <c r="J250" s="10"/>
      <c r="K250" s="10"/>
      <c r="L250" s="10">
        <f t="shared" si="14"/>
        <v>0</v>
      </c>
      <c r="M250" s="10"/>
      <c r="N250" s="10">
        <f t="shared" si="15"/>
        <v>0</v>
      </c>
      <c r="O250" s="10"/>
      <c r="P250" s="10">
        <f t="shared" si="16"/>
        <v>0</v>
      </c>
      <c r="Q250" s="21"/>
    </row>
    <row r="251" spans="1:31" ht="23.1" customHeight="1">
      <c r="D251" s="21"/>
      <c r="E251" s="21"/>
      <c r="F251" s="7"/>
      <c r="G251" s="23"/>
      <c r="H251" s="10"/>
      <c r="I251" s="10">
        <f t="shared" si="13"/>
        <v>0</v>
      </c>
      <c r="J251" s="10"/>
      <c r="K251" s="10"/>
      <c r="L251" s="10">
        <f t="shared" si="14"/>
        <v>0</v>
      </c>
      <c r="M251" s="10"/>
      <c r="N251" s="10">
        <f t="shared" si="15"/>
        <v>0</v>
      </c>
      <c r="O251" s="10"/>
      <c r="P251" s="10">
        <f t="shared" si="16"/>
        <v>0</v>
      </c>
      <c r="Q251" s="21"/>
    </row>
    <row r="252" spans="1:31" ht="23.1" customHeight="1">
      <c r="D252" s="21"/>
      <c r="E252" s="21"/>
      <c r="F252" s="7"/>
      <c r="G252" s="23"/>
      <c r="H252" s="10"/>
      <c r="I252" s="10">
        <f t="shared" si="13"/>
        <v>0</v>
      </c>
      <c r="J252" s="10"/>
      <c r="K252" s="10"/>
      <c r="L252" s="10">
        <f t="shared" si="14"/>
        <v>0</v>
      </c>
      <c r="M252" s="10"/>
      <c r="N252" s="10">
        <f t="shared" si="15"/>
        <v>0</v>
      </c>
      <c r="O252" s="10"/>
      <c r="P252" s="10">
        <f t="shared" si="16"/>
        <v>0</v>
      </c>
      <c r="Q252" s="21"/>
    </row>
    <row r="253" spans="1:31" ht="23.1" customHeight="1">
      <c r="D253" s="21"/>
      <c r="E253" s="21"/>
      <c r="F253" s="7"/>
      <c r="G253" s="23"/>
      <c r="H253" s="10"/>
      <c r="I253" s="10">
        <f t="shared" si="13"/>
        <v>0</v>
      </c>
      <c r="J253" s="10"/>
      <c r="K253" s="10"/>
      <c r="L253" s="10">
        <f t="shared" si="14"/>
        <v>0</v>
      </c>
      <c r="M253" s="10"/>
      <c r="N253" s="10">
        <f t="shared" si="15"/>
        <v>0</v>
      </c>
      <c r="O253" s="10"/>
      <c r="P253" s="10">
        <f t="shared" si="16"/>
        <v>0</v>
      </c>
      <c r="Q253" s="21"/>
    </row>
    <row r="254" spans="1:31" ht="23.1" customHeight="1">
      <c r="D254" s="21"/>
      <c r="E254" s="21"/>
      <c r="F254" s="7"/>
      <c r="G254" s="23"/>
      <c r="H254" s="10"/>
      <c r="I254" s="10">
        <f t="shared" si="13"/>
        <v>0</v>
      </c>
      <c r="J254" s="10"/>
      <c r="K254" s="10"/>
      <c r="L254" s="10">
        <f t="shared" si="14"/>
        <v>0</v>
      </c>
      <c r="M254" s="10"/>
      <c r="N254" s="10">
        <f t="shared" si="15"/>
        <v>0</v>
      </c>
      <c r="O254" s="10"/>
      <c r="P254" s="10">
        <f t="shared" si="16"/>
        <v>0</v>
      </c>
      <c r="Q254" s="21"/>
    </row>
    <row r="255" spans="1:31" ht="23.1" customHeight="1">
      <c r="D255" s="21"/>
      <c r="E255" s="21"/>
      <c r="F255" s="7"/>
      <c r="G255" s="23"/>
      <c r="H255" s="10"/>
      <c r="I255" s="10">
        <f t="shared" si="13"/>
        <v>0</v>
      </c>
      <c r="J255" s="10"/>
      <c r="K255" s="10"/>
      <c r="L255" s="10">
        <f t="shared" si="14"/>
        <v>0</v>
      </c>
      <c r="M255" s="10"/>
      <c r="N255" s="10">
        <f t="shared" si="15"/>
        <v>0</v>
      </c>
      <c r="O255" s="10"/>
      <c r="P255" s="10">
        <f t="shared" si="16"/>
        <v>0</v>
      </c>
      <c r="Q255" s="21"/>
    </row>
    <row r="256" spans="1:31" ht="23.1" customHeight="1">
      <c r="D256" s="21"/>
      <c r="E256" s="21"/>
      <c r="F256" s="7"/>
      <c r="G256" s="23"/>
      <c r="H256" s="10"/>
      <c r="I256" s="10">
        <f t="shared" si="13"/>
        <v>0</v>
      </c>
      <c r="J256" s="10"/>
      <c r="K256" s="10"/>
      <c r="L256" s="10">
        <f t="shared" si="14"/>
        <v>0</v>
      </c>
      <c r="M256" s="10"/>
      <c r="N256" s="10">
        <f t="shared" si="15"/>
        <v>0</v>
      </c>
      <c r="O256" s="10"/>
      <c r="P256" s="10">
        <f t="shared" si="16"/>
        <v>0</v>
      </c>
      <c r="Q256" s="21"/>
    </row>
    <row r="257" spans="1:29" ht="23.1" customHeight="1">
      <c r="D257" s="21"/>
      <c r="E257" s="21"/>
      <c r="F257" s="7"/>
      <c r="G257" s="23"/>
      <c r="H257" s="10"/>
      <c r="I257" s="10">
        <f t="shared" si="13"/>
        <v>0</v>
      </c>
      <c r="J257" s="10"/>
      <c r="K257" s="10"/>
      <c r="L257" s="10">
        <f t="shared" si="14"/>
        <v>0</v>
      </c>
      <c r="M257" s="10"/>
      <c r="N257" s="10">
        <f t="shared" si="15"/>
        <v>0</v>
      </c>
      <c r="O257" s="10"/>
      <c r="P257" s="10">
        <f t="shared" si="16"/>
        <v>0</v>
      </c>
      <c r="Q257" s="21"/>
    </row>
    <row r="258" spans="1:29" ht="23.1" customHeight="1">
      <c r="D258" s="21"/>
      <c r="E258" s="21"/>
      <c r="F258" s="7"/>
      <c r="G258" s="23"/>
      <c r="H258" s="10"/>
      <c r="I258" s="10">
        <f t="shared" si="13"/>
        <v>0</v>
      </c>
      <c r="J258" s="10"/>
      <c r="K258" s="10"/>
      <c r="L258" s="10">
        <f t="shared" si="14"/>
        <v>0</v>
      </c>
      <c r="M258" s="10"/>
      <c r="N258" s="10">
        <f t="shared" si="15"/>
        <v>0</v>
      </c>
      <c r="O258" s="10"/>
      <c r="P258" s="10">
        <f t="shared" si="16"/>
        <v>0</v>
      </c>
      <c r="Q258" s="21"/>
    </row>
    <row r="259" spans="1:29" ht="23.1" customHeight="1">
      <c r="D259" s="21"/>
      <c r="E259" s="21"/>
      <c r="F259" s="7"/>
      <c r="G259" s="23"/>
      <c r="H259" s="10"/>
      <c r="I259" s="10">
        <f t="shared" si="13"/>
        <v>0</v>
      </c>
      <c r="J259" s="10"/>
      <c r="K259" s="10"/>
      <c r="L259" s="10">
        <f t="shared" si="14"/>
        <v>0</v>
      </c>
      <c r="M259" s="10"/>
      <c r="N259" s="10">
        <f t="shared" si="15"/>
        <v>0</v>
      </c>
      <c r="O259" s="10"/>
      <c r="P259" s="10">
        <f t="shared" si="16"/>
        <v>0</v>
      </c>
      <c r="Q259" s="21"/>
    </row>
    <row r="260" spans="1:29" ht="23.1" customHeight="1">
      <c r="D260" s="21"/>
      <c r="E260" s="21"/>
      <c r="F260" s="7"/>
      <c r="G260" s="23"/>
      <c r="H260" s="10"/>
      <c r="I260" s="10">
        <f t="shared" si="13"/>
        <v>0</v>
      </c>
      <c r="J260" s="10"/>
      <c r="K260" s="10"/>
      <c r="L260" s="10">
        <f t="shared" si="14"/>
        <v>0</v>
      </c>
      <c r="M260" s="10"/>
      <c r="N260" s="10">
        <f t="shared" si="15"/>
        <v>0</v>
      </c>
      <c r="O260" s="10"/>
      <c r="P260" s="10">
        <f t="shared" si="16"/>
        <v>0</v>
      </c>
      <c r="Q260" s="21"/>
    </row>
    <row r="261" spans="1:29" ht="23.1" customHeight="1">
      <c r="D261" s="21"/>
      <c r="E261" s="21"/>
      <c r="F261" s="7"/>
      <c r="G261" s="23"/>
      <c r="H261" s="10"/>
      <c r="I261" s="10">
        <f t="shared" si="13"/>
        <v>0</v>
      </c>
      <c r="J261" s="10"/>
      <c r="K261" s="10"/>
      <c r="L261" s="10">
        <f t="shared" si="14"/>
        <v>0</v>
      </c>
      <c r="M261" s="10"/>
      <c r="N261" s="10">
        <f t="shared" si="15"/>
        <v>0</v>
      </c>
      <c r="O261" s="10"/>
      <c r="P261" s="10">
        <f t="shared" si="16"/>
        <v>0</v>
      </c>
      <c r="Q261" s="21"/>
    </row>
    <row r="262" spans="1:29" ht="23.1" customHeight="1">
      <c r="D262" s="21"/>
      <c r="E262" s="21"/>
      <c r="F262" s="7"/>
      <c r="G262" s="23"/>
      <c r="H262" s="10"/>
      <c r="I262" s="10">
        <f t="shared" si="13"/>
        <v>0</v>
      </c>
      <c r="J262" s="10"/>
      <c r="K262" s="10"/>
      <c r="L262" s="10">
        <f t="shared" si="14"/>
        <v>0</v>
      </c>
      <c r="M262" s="10"/>
      <c r="N262" s="10">
        <f t="shared" si="15"/>
        <v>0</v>
      </c>
      <c r="O262" s="10"/>
      <c r="P262" s="10">
        <f t="shared" si="16"/>
        <v>0</v>
      </c>
      <c r="Q262" s="21"/>
    </row>
    <row r="263" spans="1:29" ht="23.1" customHeight="1">
      <c r="B263" s="16" t="s">
        <v>489</v>
      </c>
      <c r="D263" s="21" t="s">
        <v>490</v>
      </c>
      <c r="E263" s="21"/>
      <c r="F263" s="7"/>
      <c r="G263" s="23"/>
      <c r="H263" s="10"/>
      <c r="I263" s="10" t="e">
        <f>TRUNC(SUM(I212:I262))</f>
        <v>#REF!</v>
      </c>
      <c r="J263" s="10"/>
      <c r="K263" s="10"/>
      <c r="L263" s="10" t="e">
        <f>TRUNC(SUM(L212:L262))</f>
        <v>#REF!</v>
      </c>
      <c r="M263" s="10"/>
      <c r="N263" s="10" t="e">
        <f>TRUNC(SUM(N212:N262))</f>
        <v>#REF!</v>
      </c>
      <c r="O263" s="10"/>
      <c r="P263" s="10" t="e">
        <f>TRUNC(SUM(P212:P262))</f>
        <v>#REF!</v>
      </c>
      <c r="Q263" s="21"/>
    </row>
    <row r="264" spans="1:29" ht="23.1" customHeight="1">
      <c r="B264" s="16" t="s">
        <v>283</v>
      </c>
      <c r="D264" s="27" t="s">
        <v>555</v>
      </c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9"/>
    </row>
    <row r="265" spans="1:29" ht="23.1" customHeight="1">
      <c r="A265" s="16" t="s">
        <v>320</v>
      </c>
      <c r="B265" s="16" t="s">
        <v>556</v>
      </c>
      <c r="C265" s="16" t="s">
        <v>321</v>
      </c>
      <c r="D265" s="21" t="s">
        <v>59</v>
      </c>
      <c r="E265" s="21" t="s">
        <v>62</v>
      </c>
      <c r="F265" s="7" t="s">
        <v>61</v>
      </c>
      <c r="G265" s="23">
        <v>74</v>
      </c>
      <c r="H265" s="10" t="e">
        <f>#REF!</f>
        <v>#REF!</v>
      </c>
      <c r="I265" s="10" t="e">
        <f t="shared" ref="I265:I296" si="17">TRUNC(G265*H265)</f>
        <v>#REF!</v>
      </c>
      <c r="J265" s="10">
        <v>74</v>
      </c>
      <c r="K265" s="10" t="e">
        <f>#REF!</f>
        <v>#REF!</v>
      </c>
      <c r="L265" s="10" t="e">
        <f t="shared" ref="L265:L296" si="18">TRUNC(G265*K265)</f>
        <v>#REF!</v>
      </c>
      <c r="M265" s="10" t="e">
        <f>#REF!</f>
        <v>#REF!</v>
      </c>
      <c r="N265" s="10" t="e">
        <f t="shared" ref="N265:N296" si="19">TRUNC(G265*M265)</f>
        <v>#REF!</v>
      </c>
      <c r="O265" s="10"/>
      <c r="P265" s="10" t="e">
        <f t="shared" ref="P265:P296" si="20">SUM(I265,L265,N265)</f>
        <v>#REF!</v>
      </c>
      <c r="Q265" s="21" t="s">
        <v>322</v>
      </c>
      <c r="AB265" s="2" t="e">
        <f>G265*H265</f>
        <v>#REF!</v>
      </c>
      <c r="AC265" s="2" t="e">
        <f t="shared" ref="AC265:AC271" si="21">G265*H265</f>
        <v>#REF!</v>
      </c>
    </row>
    <row r="266" spans="1:29" ht="23.1" customHeight="1">
      <c r="A266" s="16" t="s">
        <v>323</v>
      </c>
      <c r="B266" s="16" t="s">
        <v>556</v>
      </c>
      <c r="C266" s="16" t="s">
        <v>324</v>
      </c>
      <c r="D266" s="21" t="s">
        <v>59</v>
      </c>
      <c r="E266" s="21" t="s">
        <v>63</v>
      </c>
      <c r="F266" s="7" t="s">
        <v>61</v>
      </c>
      <c r="G266" s="23">
        <v>11</v>
      </c>
      <c r="H266" s="10" t="e">
        <f>#REF!</f>
        <v>#REF!</v>
      </c>
      <c r="I266" s="10" t="e">
        <f t="shared" si="17"/>
        <v>#REF!</v>
      </c>
      <c r="J266" s="10">
        <v>11</v>
      </c>
      <c r="K266" s="10" t="e">
        <f>#REF!</f>
        <v>#REF!</v>
      </c>
      <c r="L266" s="10" t="e">
        <f t="shared" si="18"/>
        <v>#REF!</v>
      </c>
      <c r="M266" s="10" t="e">
        <f>#REF!</f>
        <v>#REF!</v>
      </c>
      <c r="N266" s="10" t="e">
        <f t="shared" si="19"/>
        <v>#REF!</v>
      </c>
      <c r="O266" s="10"/>
      <c r="P266" s="10" t="e">
        <f t="shared" si="20"/>
        <v>#REF!</v>
      </c>
      <c r="Q266" s="21" t="s">
        <v>325</v>
      </c>
      <c r="AB266" s="2" t="e">
        <f>G266*H266</f>
        <v>#REF!</v>
      </c>
      <c r="AC266" s="2" t="e">
        <f t="shared" si="21"/>
        <v>#REF!</v>
      </c>
    </row>
    <row r="267" spans="1:29" ht="23.1" customHeight="1">
      <c r="A267" s="16" t="s">
        <v>326</v>
      </c>
      <c r="B267" s="16" t="s">
        <v>556</v>
      </c>
      <c r="C267" s="16" t="s">
        <v>327</v>
      </c>
      <c r="D267" s="21" t="s">
        <v>59</v>
      </c>
      <c r="E267" s="21" t="s">
        <v>64</v>
      </c>
      <c r="F267" s="7" t="s">
        <v>61</v>
      </c>
      <c r="G267" s="23">
        <v>17</v>
      </c>
      <c r="H267" s="10" t="e">
        <f>#REF!</f>
        <v>#REF!</v>
      </c>
      <c r="I267" s="10" t="e">
        <f t="shared" si="17"/>
        <v>#REF!</v>
      </c>
      <c r="J267" s="10">
        <v>17</v>
      </c>
      <c r="K267" s="10" t="e">
        <f>#REF!</f>
        <v>#REF!</v>
      </c>
      <c r="L267" s="10" t="e">
        <f t="shared" si="18"/>
        <v>#REF!</v>
      </c>
      <c r="M267" s="10" t="e">
        <f>#REF!</f>
        <v>#REF!</v>
      </c>
      <c r="N267" s="10" t="e">
        <f t="shared" si="19"/>
        <v>#REF!</v>
      </c>
      <c r="O267" s="10"/>
      <c r="P267" s="10" t="e">
        <f t="shared" si="20"/>
        <v>#REF!</v>
      </c>
      <c r="Q267" s="21" t="s">
        <v>328</v>
      </c>
      <c r="AB267" s="2" t="e">
        <f>G267*H267</f>
        <v>#REF!</v>
      </c>
      <c r="AC267" s="2" t="e">
        <f t="shared" si="21"/>
        <v>#REF!</v>
      </c>
    </row>
    <row r="268" spans="1:29" ht="23.1" customHeight="1">
      <c r="A268" s="16" t="s">
        <v>329</v>
      </c>
      <c r="B268" s="16" t="s">
        <v>556</v>
      </c>
      <c r="C268" s="16" t="s">
        <v>330</v>
      </c>
      <c r="D268" s="21" t="s">
        <v>59</v>
      </c>
      <c r="E268" s="21" t="s">
        <v>65</v>
      </c>
      <c r="F268" s="7" t="s">
        <v>61</v>
      </c>
      <c r="G268" s="23">
        <v>123</v>
      </c>
      <c r="H268" s="10" t="e">
        <f>#REF!</f>
        <v>#REF!</v>
      </c>
      <c r="I268" s="10" t="e">
        <f t="shared" si="17"/>
        <v>#REF!</v>
      </c>
      <c r="J268" s="10">
        <v>123</v>
      </c>
      <c r="K268" s="10" t="e">
        <f>#REF!</f>
        <v>#REF!</v>
      </c>
      <c r="L268" s="10" t="e">
        <f t="shared" si="18"/>
        <v>#REF!</v>
      </c>
      <c r="M268" s="10" t="e">
        <f>#REF!</f>
        <v>#REF!</v>
      </c>
      <c r="N268" s="10" t="e">
        <f t="shared" si="19"/>
        <v>#REF!</v>
      </c>
      <c r="O268" s="10"/>
      <c r="P268" s="10" t="e">
        <f t="shared" si="20"/>
        <v>#REF!</v>
      </c>
      <c r="Q268" s="21" t="s">
        <v>331</v>
      </c>
      <c r="AB268" s="2" t="e">
        <f>G268*H268</f>
        <v>#REF!</v>
      </c>
      <c r="AC268" s="2" t="e">
        <f t="shared" si="21"/>
        <v>#REF!</v>
      </c>
    </row>
    <row r="269" spans="1:29" ht="23.1" customHeight="1">
      <c r="A269" s="16" t="s">
        <v>341</v>
      </c>
      <c r="B269" s="16" t="s">
        <v>556</v>
      </c>
      <c r="C269" s="16" t="s">
        <v>342</v>
      </c>
      <c r="D269" s="21" t="s">
        <v>70</v>
      </c>
      <c r="E269" s="21" t="s">
        <v>71</v>
      </c>
      <c r="F269" s="7" t="s">
        <v>61</v>
      </c>
      <c r="G269" s="23">
        <v>123</v>
      </c>
      <c r="H269" s="10" t="e">
        <f>#REF!</f>
        <v>#REF!</v>
      </c>
      <c r="I269" s="10" t="e">
        <f t="shared" si="17"/>
        <v>#REF!</v>
      </c>
      <c r="J269" s="10">
        <v>123</v>
      </c>
      <c r="K269" s="10" t="e">
        <f>#REF!</f>
        <v>#REF!</v>
      </c>
      <c r="L269" s="10" t="e">
        <f t="shared" si="18"/>
        <v>#REF!</v>
      </c>
      <c r="M269" s="10" t="e">
        <f>#REF!</f>
        <v>#REF!</v>
      </c>
      <c r="N269" s="10" t="e">
        <f t="shared" si="19"/>
        <v>#REF!</v>
      </c>
      <c r="O269" s="10"/>
      <c r="P269" s="10" t="e">
        <f t="shared" si="20"/>
        <v>#REF!</v>
      </c>
      <c r="Q269" s="21" t="s">
        <v>343</v>
      </c>
      <c r="AC269" s="2" t="e">
        <f t="shared" si="21"/>
        <v>#REF!</v>
      </c>
    </row>
    <row r="270" spans="1:29" ht="23.1" customHeight="1">
      <c r="A270" s="16" t="s">
        <v>505</v>
      </c>
      <c r="B270" s="16" t="s">
        <v>556</v>
      </c>
      <c r="C270" s="16" t="s">
        <v>77</v>
      </c>
      <c r="D270" s="21" t="s">
        <v>78</v>
      </c>
      <c r="E270" s="21" t="s">
        <v>79</v>
      </c>
      <c r="F270" s="7" t="s">
        <v>61</v>
      </c>
      <c r="G270" s="23">
        <v>57</v>
      </c>
      <c r="H270" s="10" t="e">
        <f>#REF!</f>
        <v>#REF!</v>
      </c>
      <c r="I270" s="10" t="e">
        <f t="shared" si="17"/>
        <v>#REF!</v>
      </c>
      <c r="J270" s="10">
        <v>56</v>
      </c>
      <c r="K270" s="10" t="e">
        <f>#REF!</f>
        <v>#REF!</v>
      </c>
      <c r="L270" s="10" t="e">
        <f t="shared" si="18"/>
        <v>#REF!</v>
      </c>
      <c r="M270" s="10" t="e">
        <f>#REF!</f>
        <v>#REF!</v>
      </c>
      <c r="N270" s="10" t="e">
        <f t="shared" si="19"/>
        <v>#REF!</v>
      </c>
      <c r="O270" s="10"/>
      <c r="P270" s="10" t="e">
        <f t="shared" si="20"/>
        <v>#REF!</v>
      </c>
      <c r="Q270" s="21"/>
      <c r="AC270" s="2" t="e">
        <f t="shared" si="21"/>
        <v>#REF!</v>
      </c>
    </row>
    <row r="271" spans="1:29" ht="23.1" customHeight="1">
      <c r="A271" s="16" t="s">
        <v>356</v>
      </c>
      <c r="B271" s="16" t="s">
        <v>556</v>
      </c>
      <c r="C271" s="16" t="s">
        <v>357</v>
      </c>
      <c r="D271" s="21" t="s">
        <v>95</v>
      </c>
      <c r="E271" s="21" t="s">
        <v>96</v>
      </c>
      <c r="F271" s="7" t="s">
        <v>61</v>
      </c>
      <c r="G271" s="23">
        <v>308</v>
      </c>
      <c r="H271" s="10" t="e">
        <f>#REF!</f>
        <v>#REF!</v>
      </c>
      <c r="I271" s="10" t="e">
        <f t="shared" si="17"/>
        <v>#REF!</v>
      </c>
      <c r="J271" s="10">
        <v>308</v>
      </c>
      <c r="K271" s="10" t="e">
        <f>#REF!</f>
        <v>#REF!</v>
      </c>
      <c r="L271" s="10" t="e">
        <f t="shared" si="18"/>
        <v>#REF!</v>
      </c>
      <c r="M271" s="10" t="e">
        <f>#REF!</f>
        <v>#REF!</v>
      </c>
      <c r="N271" s="10" t="e">
        <f t="shared" si="19"/>
        <v>#REF!</v>
      </c>
      <c r="O271" s="10"/>
      <c r="P271" s="10" t="e">
        <f t="shared" si="20"/>
        <v>#REF!</v>
      </c>
      <c r="Q271" s="21" t="s">
        <v>358</v>
      </c>
      <c r="AC271" s="2" t="e">
        <f t="shared" si="21"/>
        <v>#REF!</v>
      </c>
    </row>
    <row r="272" spans="1:29" ht="23.1" customHeight="1">
      <c r="A272" s="16" t="s">
        <v>365</v>
      </c>
      <c r="B272" s="16" t="s">
        <v>556</v>
      </c>
      <c r="C272" s="16" t="s">
        <v>366</v>
      </c>
      <c r="D272" s="21" t="s">
        <v>102</v>
      </c>
      <c r="E272" s="21" t="s">
        <v>103</v>
      </c>
      <c r="F272" s="7" t="s">
        <v>104</v>
      </c>
      <c r="G272" s="23">
        <v>4</v>
      </c>
      <c r="H272" s="10" t="e">
        <f>#REF!</f>
        <v>#REF!</v>
      </c>
      <c r="I272" s="10" t="e">
        <f t="shared" si="17"/>
        <v>#REF!</v>
      </c>
      <c r="J272" s="10">
        <v>4</v>
      </c>
      <c r="K272" s="10" t="e">
        <f>#REF!</f>
        <v>#REF!</v>
      </c>
      <c r="L272" s="10" t="e">
        <f t="shared" si="18"/>
        <v>#REF!</v>
      </c>
      <c r="M272" s="10" t="e">
        <f>#REF!</f>
        <v>#REF!</v>
      </c>
      <c r="N272" s="10" t="e">
        <f t="shared" si="19"/>
        <v>#REF!</v>
      </c>
      <c r="O272" s="10"/>
      <c r="P272" s="10" t="e">
        <f t="shared" si="20"/>
        <v>#REF!</v>
      </c>
      <c r="Q272" s="21" t="s">
        <v>367</v>
      </c>
    </row>
    <row r="273" spans="1:29" ht="23.1" customHeight="1">
      <c r="A273" s="16" t="s">
        <v>371</v>
      </c>
      <c r="B273" s="16" t="s">
        <v>556</v>
      </c>
      <c r="C273" s="16" t="s">
        <v>372</v>
      </c>
      <c r="D273" s="21" t="s">
        <v>107</v>
      </c>
      <c r="E273" s="21" t="s">
        <v>108</v>
      </c>
      <c r="F273" s="7" t="s">
        <v>61</v>
      </c>
      <c r="G273" s="23">
        <v>152</v>
      </c>
      <c r="H273" s="10" t="e">
        <f>#REF!</f>
        <v>#REF!</v>
      </c>
      <c r="I273" s="10" t="e">
        <f t="shared" si="17"/>
        <v>#REF!</v>
      </c>
      <c r="J273" s="10">
        <v>152</v>
      </c>
      <c r="K273" s="10" t="e">
        <f>#REF!</f>
        <v>#REF!</v>
      </c>
      <c r="L273" s="10" t="e">
        <f t="shared" si="18"/>
        <v>#REF!</v>
      </c>
      <c r="M273" s="10" t="e">
        <f>#REF!</f>
        <v>#REF!</v>
      </c>
      <c r="N273" s="10" t="e">
        <f t="shared" si="19"/>
        <v>#REF!</v>
      </c>
      <c r="O273" s="10"/>
      <c r="P273" s="10" t="e">
        <f t="shared" si="20"/>
        <v>#REF!</v>
      </c>
      <c r="Q273" s="21" t="s">
        <v>373</v>
      </c>
    </row>
    <row r="274" spans="1:29" ht="23.1" customHeight="1">
      <c r="A274" s="16" t="s">
        <v>510</v>
      </c>
      <c r="B274" s="16" t="s">
        <v>556</v>
      </c>
      <c r="C274" s="16" t="s">
        <v>121</v>
      </c>
      <c r="D274" s="21" t="s">
        <v>122</v>
      </c>
      <c r="E274" s="21" t="s">
        <v>123</v>
      </c>
      <c r="F274" s="7" t="s">
        <v>119</v>
      </c>
      <c r="G274" s="23">
        <v>5.0979999999999999</v>
      </c>
      <c r="H274" s="10" t="e">
        <f>#REF!</f>
        <v>#REF!</v>
      </c>
      <c r="I274" s="10" t="e">
        <f t="shared" si="17"/>
        <v>#REF!</v>
      </c>
      <c r="J274" s="10">
        <v>5.0979999999999999</v>
      </c>
      <c r="K274" s="10" t="e">
        <f>#REF!</f>
        <v>#REF!</v>
      </c>
      <c r="L274" s="10" t="e">
        <f t="shared" si="18"/>
        <v>#REF!</v>
      </c>
      <c r="M274" s="10" t="e">
        <f>#REF!</f>
        <v>#REF!</v>
      </c>
      <c r="N274" s="10" t="e">
        <f t="shared" si="19"/>
        <v>#REF!</v>
      </c>
      <c r="O274" s="10"/>
      <c r="P274" s="10" t="e">
        <f t="shared" si="20"/>
        <v>#REF!</v>
      </c>
      <c r="Q274" s="21"/>
    </row>
    <row r="275" spans="1:29" ht="23.1" customHeight="1">
      <c r="A275" s="16" t="s">
        <v>284</v>
      </c>
      <c r="B275" s="16" t="s">
        <v>556</v>
      </c>
      <c r="C275" s="16" t="s">
        <v>285</v>
      </c>
      <c r="D275" s="21" t="s">
        <v>287</v>
      </c>
      <c r="E275" s="21" t="s">
        <v>288</v>
      </c>
      <c r="F275" s="7" t="s">
        <v>119</v>
      </c>
      <c r="G275" s="23">
        <v>107.04</v>
      </c>
      <c r="H275" s="10" t="e">
        <f>#REF!</f>
        <v>#REF!</v>
      </c>
      <c r="I275" s="10" t="e">
        <f t="shared" si="17"/>
        <v>#REF!</v>
      </c>
      <c r="J275" s="10">
        <v>107.04</v>
      </c>
      <c r="K275" s="10" t="e">
        <f>#REF!</f>
        <v>#REF!</v>
      </c>
      <c r="L275" s="10" t="e">
        <f t="shared" si="18"/>
        <v>#REF!</v>
      </c>
      <c r="M275" s="10" t="e">
        <f>#REF!</f>
        <v>#REF!</v>
      </c>
      <c r="N275" s="10" t="e">
        <f t="shared" si="19"/>
        <v>#REF!</v>
      </c>
      <c r="O275" s="10"/>
      <c r="P275" s="10" t="e">
        <f t="shared" si="20"/>
        <v>#REF!</v>
      </c>
      <c r="Q275" s="21" t="s">
        <v>286</v>
      </c>
    </row>
    <row r="276" spans="1:29" ht="23.1" customHeight="1">
      <c r="A276" s="16" t="s">
        <v>289</v>
      </c>
      <c r="B276" s="16" t="s">
        <v>556</v>
      </c>
      <c r="C276" s="16" t="s">
        <v>290</v>
      </c>
      <c r="D276" s="21" t="s">
        <v>292</v>
      </c>
      <c r="E276" s="21" t="s">
        <v>288</v>
      </c>
      <c r="F276" s="7" t="s">
        <v>119</v>
      </c>
      <c r="G276" s="23">
        <v>100.262</v>
      </c>
      <c r="H276" s="10" t="e">
        <f>#REF!</f>
        <v>#REF!</v>
      </c>
      <c r="I276" s="10" t="e">
        <f t="shared" si="17"/>
        <v>#REF!</v>
      </c>
      <c r="J276" s="10">
        <v>100.262</v>
      </c>
      <c r="K276" s="10" t="e">
        <f>#REF!</f>
        <v>#REF!</v>
      </c>
      <c r="L276" s="10" t="e">
        <f t="shared" si="18"/>
        <v>#REF!</v>
      </c>
      <c r="M276" s="10" t="e">
        <f>#REF!</f>
        <v>#REF!</v>
      </c>
      <c r="N276" s="10" t="e">
        <f t="shared" si="19"/>
        <v>#REF!</v>
      </c>
      <c r="O276" s="10"/>
      <c r="P276" s="10" t="e">
        <f t="shared" si="20"/>
        <v>#REF!</v>
      </c>
      <c r="Q276" s="21" t="s">
        <v>291</v>
      </c>
    </row>
    <row r="277" spans="1:29" ht="23.1" customHeight="1">
      <c r="A277" s="16" t="s">
        <v>293</v>
      </c>
      <c r="B277" s="16" t="s">
        <v>556</v>
      </c>
      <c r="C277" s="16" t="s">
        <v>294</v>
      </c>
      <c r="D277" s="21" t="s">
        <v>296</v>
      </c>
      <c r="E277" s="21" t="s">
        <v>297</v>
      </c>
      <c r="F277" s="7" t="s">
        <v>119</v>
      </c>
      <c r="G277" s="23">
        <v>6.7779999999999996</v>
      </c>
      <c r="H277" s="10" t="e">
        <f>#REF!</f>
        <v>#REF!</v>
      </c>
      <c r="I277" s="10" t="e">
        <f t="shared" si="17"/>
        <v>#REF!</v>
      </c>
      <c r="J277" s="10">
        <v>6.7779999999999996</v>
      </c>
      <c r="K277" s="10" t="e">
        <f>#REF!</f>
        <v>#REF!</v>
      </c>
      <c r="L277" s="10" t="e">
        <f t="shared" si="18"/>
        <v>#REF!</v>
      </c>
      <c r="M277" s="10" t="e">
        <f>#REF!</f>
        <v>#REF!</v>
      </c>
      <c r="N277" s="10" t="e">
        <f t="shared" si="19"/>
        <v>#REF!</v>
      </c>
      <c r="O277" s="10"/>
      <c r="P277" s="10" t="e">
        <f t="shared" si="20"/>
        <v>#REF!</v>
      </c>
      <c r="Q277" s="21" t="s">
        <v>295</v>
      </c>
    </row>
    <row r="278" spans="1:29" ht="23.1" customHeight="1">
      <c r="A278" s="16" t="s">
        <v>298</v>
      </c>
      <c r="B278" s="16" t="s">
        <v>556</v>
      </c>
      <c r="C278" s="16" t="s">
        <v>299</v>
      </c>
      <c r="D278" s="21" t="s">
        <v>301</v>
      </c>
      <c r="E278" s="21" t="s">
        <v>302</v>
      </c>
      <c r="F278" s="7" t="s">
        <v>119</v>
      </c>
      <c r="G278" s="23">
        <v>5.0979999999999999</v>
      </c>
      <c r="H278" s="10" t="e">
        <f>#REF!</f>
        <v>#REF!</v>
      </c>
      <c r="I278" s="10" t="e">
        <f t="shared" si="17"/>
        <v>#REF!</v>
      </c>
      <c r="J278" s="10">
        <v>5.0979999999999999</v>
      </c>
      <c r="K278" s="10" t="e">
        <f>#REF!</f>
        <v>#REF!</v>
      </c>
      <c r="L278" s="10" t="e">
        <f t="shared" si="18"/>
        <v>#REF!</v>
      </c>
      <c r="M278" s="10" t="e">
        <f>#REF!</f>
        <v>#REF!</v>
      </c>
      <c r="N278" s="10" t="e">
        <f t="shared" si="19"/>
        <v>#REF!</v>
      </c>
      <c r="O278" s="10"/>
      <c r="P278" s="10" t="e">
        <f t="shared" si="20"/>
        <v>#REF!</v>
      </c>
      <c r="Q278" s="21" t="s">
        <v>300</v>
      </c>
    </row>
    <row r="279" spans="1:29" ht="23.1" customHeight="1">
      <c r="A279" s="16" t="s">
        <v>303</v>
      </c>
      <c r="B279" s="16" t="s">
        <v>556</v>
      </c>
      <c r="C279" s="16" t="s">
        <v>304</v>
      </c>
      <c r="D279" s="21" t="s">
        <v>306</v>
      </c>
      <c r="E279" s="21" t="s">
        <v>307</v>
      </c>
      <c r="F279" s="7" t="s">
        <v>120</v>
      </c>
      <c r="G279" s="23">
        <v>20</v>
      </c>
      <c r="H279" s="10" t="e">
        <f>#REF!</f>
        <v>#REF!</v>
      </c>
      <c r="I279" s="10" t="e">
        <f t="shared" si="17"/>
        <v>#REF!</v>
      </c>
      <c r="J279" s="10">
        <v>20</v>
      </c>
      <c r="K279" s="10" t="e">
        <f>#REF!</f>
        <v>#REF!</v>
      </c>
      <c r="L279" s="10" t="e">
        <f t="shared" si="18"/>
        <v>#REF!</v>
      </c>
      <c r="M279" s="10" t="e">
        <f>#REF!</f>
        <v>#REF!</v>
      </c>
      <c r="N279" s="10" t="e">
        <f t="shared" si="19"/>
        <v>#REF!</v>
      </c>
      <c r="O279" s="10"/>
      <c r="P279" s="10" t="e">
        <f t="shared" si="20"/>
        <v>#REF!</v>
      </c>
      <c r="Q279" s="21" t="s">
        <v>305</v>
      </c>
    </row>
    <row r="280" spans="1:29" ht="23.1" customHeight="1">
      <c r="A280" s="16" t="s">
        <v>511</v>
      </c>
      <c r="B280" s="16" t="s">
        <v>556</v>
      </c>
      <c r="C280" s="16" t="s">
        <v>129</v>
      </c>
      <c r="D280" s="21" t="s">
        <v>130</v>
      </c>
      <c r="E280" s="21"/>
      <c r="F280" s="7" t="s">
        <v>104</v>
      </c>
      <c r="G280" s="23">
        <v>6</v>
      </c>
      <c r="H280" s="10" t="e">
        <f>#REF!</f>
        <v>#REF!</v>
      </c>
      <c r="I280" s="10" t="e">
        <f t="shared" si="17"/>
        <v>#REF!</v>
      </c>
      <c r="J280" s="10">
        <v>6</v>
      </c>
      <c r="K280" s="10" t="e">
        <f>#REF!</f>
        <v>#REF!</v>
      </c>
      <c r="L280" s="10" t="e">
        <f t="shared" si="18"/>
        <v>#REF!</v>
      </c>
      <c r="M280" s="10" t="e">
        <f>#REF!</f>
        <v>#REF!</v>
      </c>
      <c r="N280" s="10" t="e">
        <f t="shared" si="19"/>
        <v>#REF!</v>
      </c>
      <c r="O280" s="10"/>
      <c r="P280" s="10" t="e">
        <f t="shared" si="20"/>
        <v>#REF!</v>
      </c>
      <c r="Q280" s="21"/>
    </row>
    <row r="281" spans="1:29" ht="23.1" customHeight="1">
      <c r="A281" s="16" t="s">
        <v>392</v>
      </c>
      <c r="B281" s="16" t="s">
        <v>556</v>
      </c>
      <c r="C281" s="16" t="s">
        <v>393</v>
      </c>
      <c r="D281" s="21" t="s">
        <v>131</v>
      </c>
      <c r="E281" s="21" t="s">
        <v>132</v>
      </c>
      <c r="F281" s="7" t="s">
        <v>133</v>
      </c>
      <c r="G281" s="23">
        <v>2</v>
      </c>
      <c r="H281" s="10" t="e">
        <f>#REF!</f>
        <v>#REF!</v>
      </c>
      <c r="I281" s="10" t="e">
        <f t="shared" si="17"/>
        <v>#REF!</v>
      </c>
      <c r="J281" s="10">
        <v>2</v>
      </c>
      <c r="K281" s="10" t="e">
        <f>#REF!</f>
        <v>#REF!</v>
      </c>
      <c r="L281" s="10" t="e">
        <f t="shared" si="18"/>
        <v>#REF!</v>
      </c>
      <c r="M281" s="10" t="e">
        <f>#REF!</f>
        <v>#REF!</v>
      </c>
      <c r="N281" s="10" t="e">
        <f t="shared" si="19"/>
        <v>#REF!</v>
      </c>
      <c r="O281" s="10"/>
      <c r="P281" s="10" t="e">
        <f t="shared" si="20"/>
        <v>#REF!</v>
      </c>
      <c r="Q281" s="21" t="s">
        <v>394</v>
      </c>
    </row>
    <row r="282" spans="1:29" ht="23.1" customHeight="1">
      <c r="A282" s="16" t="s">
        <v>395</v>
      </c>
      <c r="B282" s="16" t="s">
        <v>556</v>
      </c>
      <c r="C282" s="16" t="s">
        <v>396</v>
      </c>
      <c r="D282" s="21" t="s">
        <v>134</v>
      </c>
      <c r="E282" s="21" t="s">
        <v>135</v>
      </c>
      <c r="F282" s="7" t="s">
        <v>104</v>
      </c>
      <c r="G282" s="23">
        <v>3</v>
      </c>
      <c r="H282" s="10" t="e">
        <f>#REF!</f>
        <v>#REF!</v>
      </c>
      <c r="I282" s="10" t="e">
        <f t="shared" si="17"/>
        <v>#REF!</v>
      </c>
      <c r="J282" s="10">
        <v>3</v>
      </c>
      <c r="K282" s="10" t="e">
        <f>#REF!</f>
        <v>#REF!</v>
      </c>
      <c r="L282" s="10" t="e">
        <f t="shared" si="18"/>
        <v>#REF!</v>
      </c>
      <c r="M282" s="10" t="e">
        <f>#REF!</f>
        <v>#REF!</v>
      </c>
      <c r="N282" s="10" t="e">
        <f t="shared" si="19"/>
        <v>#REF!</v>
      </c>
      <c r="O282" s="10"/>
      <c r="P282" s="10" t="e">
        <f t="shared" si="20"/>
        <v>#REF!</v>
      </c>
      <c r="Q282" s="21" t="s">
        <v>397</v>
      </c>
    </row>
    <row r="283" spans="1:29" ht="23.1" customHeight="1">
      <c r="A283" s="16" t="s">
        <v>398</v>
      </c>
      <c r="B283" s="16" t="s">
        <v>556</v>
      </c>
      <c r="C283" s="16" t="s">
        <v>399</v>
      </c>
      <c r="D283" s="21" t="s">
        <v>136</v>
      </c>
      <c r="E283" s="21" t="s">
        <v>137</v>
      </c>
      <c r="F283" s="7" t="s">
        <v>101</v>
      </c>
      <c r="G283" s="23">
        <v>1</v>
      </c>
      <c r="H283" s="10" t="e">
        <f>#REF!</f>
        <v>#REF!</v>
      </c>
      <c r="I283" s="10" t="e">
        <f t="shared" si="17"/>
        <v>#REF!</v>
      </c>
      <c r="J283" s="10">
        <v>1</v>
      </c>
      <c r="K283" s="10" t="e">
        <f>#REF!</f>
        <v>#REF!</v>
      </c>
      <c r="L283" s="10" t="e">
        <f t="shared" si="18"/>
        <v>#REF!</v>
      </c>
      <c r="M283" s="10" t="e">
        <f>#REF!</f>
        <v>#REF!</v>
      </c>
      <c r="N283" s="10" t="e">
        <f t="shared" si="19"/>
        <v>#REF!</v>
      </c>
      <c r="O283" s="10"/>
      <c r="P283" s="10" t="e">
        <f t="shared" si="20"/>
        <v>#REF!</v>
      </c>
      <c r="Q283" s="21" t="s">
        <v>400</v>
      </c>
    </row>
    <row r="284" spans="1:29" ht="23.1" customHeight="1">
      <c r="A284" s="16" t="s">
        <v>557</v>
      </c>
      <c r="B284" s="16" t="s">
        <v>556</v>
      </c>
      <c r="C284" s="16" t="s">
        <v>138</v>
      </c>
      <c r="D284" s="21" t="s">
        <v>139</v>
      </c>
      <c r="E284" s="21" t="s">
        <v>140</v>
      </c>
      <c r="F284" s="7" t="s">
        <v>104</v>
      </c>
      <c r="G284" s="23">
        <v>1</v>
      </c>
      <c r="H284" s="10" t="e">
        <f>#REF!</f>
        <v>#REF!</v>
      </c>
      <c r="I284" s="10" t="e">
        <f t="shared" si="17"/>
        <v>#REF!</v>
      </c>
      <c r="J284" s="10">
        <v>1</v>
      </c>
      <c r="K284" s="10" t="e">
        <f>#REF!</f>
        <v>#REF!</v>
      </c>
      <c r="L284" s="10" t="e">
        <f t="shared" si="18"/>
        <v>#REF!</v>
      </c>
      <c r="M284" s="10" t="e">
        <f>#REF!</f>
        <v>#REF!</v>
      </c>
      <c r="N284" s="10" t="e">
        <f t="shared" si="19"/>
        <v>#REF!</v>
      </c>
      <c r="O284" s="10"/>
      <c r="P284" s="10" t="e">
        <f t="shared" si="20"/>
        <v>#REF!</v>
      </c>
      <c r="Q284" s="21"/>
    </row>
    <row r="285" spans="1:29" ht="23.1" customHeight="1">
      <c r="A285" s="16" t="s">
        <v>512</v>
      </c>
      <c r="B285" s="16" t="s">
        <v>556</v>
      </c>
      <c r="C285" s="16" t="s">
        <v>141</v>
      </c>
      <c r="D285" s="21" t="s">
        <v>142</v>
      </c>
      <c r="E285" s="21" t="s">
        <v>143</v>
      </c>
      <c r="F285" s="7" t="s">
        <v>104</v>
      </c>
      <c r="G285" s="23">
        <v>2</v>
      </c>
      <c r="H285" s="10" t="e">
        <f>#REF!</f>
        <v>#REF!</v>
      </c>
      <c r="I285" s="10" t="e">
        <f t="shared" si="17"/>
        <v>#REF!</v>
      </c>
      <c r="J285" s="10">
        <v>2</v>
      </c>
      <c r="K285" s="10" t="e">
        <f>#REF!</f>
        <v>#REF!</v>
      </c>
      <c r="L285" s="10" t="e">
        <f t="shared" si="18"/>
        <v>#REF!</v>
      </c>
      <c r="M285" s="10" t="e">
        <f>#REF!</f>
        <v>#REF!</v>
      </c>
      <c r="N285" s="10" t="e">
        <f t="shared" si="19"/>
        <v>#REF!</v>
      </c>
      <c r="O285" s="10"/>
      <c r="P285" s="10" t="e">
        <f t="shared" si="20"/>
        <v>#REF!</v>
      </c>
      <c r="Q285" s="21"/>
    </row>
    <row r="286" spans="1:29" ht="23.1" customHeight="1">
      <c r="A286" s="16" t="s">
        <v>401</v>
      </c>
      <c r="B286" s="16" t="s">
        <v>556</v>
      </c>
      <c r="C286" s="16" t="s">
        <v>402</v>
      </c>
      <c r="D286" s="21" t="s">
        <v>147</v>
      </c>
      <c r="E286" s="21" t="s">
        <v>148</v>
      </c>
      <c r="F286" s="7" t="s">
        <v>61</v>
      </c>
      <c r="G286" s="23">
        <v>56</v>
      </c>
      <c r="H286" s="10" t="e">
        <f>#REF!</f>
        <v>#REF!</v>
      </c>
      <c r="I286" s="10" t="e">
        <f t="shared" si="17"/>
        <v>#REF!</v>
      </c>
      <c r="J286" s="10">
        <v>56</v>
      </c>
      <c r="K286" s="10" t="e">
        <f>#REF!</f>
        <v>#REF!</v>
      </c>
      <c r="L286" s="10" t="e">
        <f t="shared" si="18"/>
        <v>#REF!</v>
      </c>
      <c r="M286" s="10" t="e">
        <f>#REF!</f>
        <v>#REF!</v>
      </c>
      <c r="N286" s="10" t="e">
        <f t="shared" si="19"/>
        <v>#REF!</v>
      </c>
      <c r="O286" s="10"/>
      <c r="P286" s="10" t="e">
        <f t="shared" si="20"/>
        <v>#REF!</v>
      </c>
      <c r="Q286" s="21" t="s">
        <v>403</v>
      </c>
      <c r="AC286" s="2" t="e">
        <f>G286*H286</f>
        <v>#REF!</v>
      </c>
    </row>
    <row r="287" spans="1:29" ht="23.1" customHeight="1">
      <c r="A287" s="16" t="s">
        <v>431</v>
      </c>
      <c r="B287" s="16" t="s">
        <v>556</v>
      </c>
      <c r="C287" s="16" t="s">
        <v>432</v>
      </c>
      <c r="D287" s="21" t="s">
        <v>160</v>
      </c>
      <c r="E287" s="21"/>
      <c r="F287" s="7" t="s">
        <v>104</v>
      </c>
      <c r="G287" s="23">
        <v>1</v>
      </c>
      <c r="H287" s="10" t="e">
        <f>#REF!</f>
        <v>#REF!</v>
      </c>
      <c r="I287" s="10" t="e">
        <f t="shared" si="17"/>
        <v>#REF!</v>
      </c>
      <c r="J287" s="10">
        <v>1</v>
      </c>
      <c r="K287" s="10" t="e">
        <f>#REF!</f>
        <v>#REF!</v>
      </c>
      <c r="L287" s="10" t="e">
        <f t="shared" si="18"/>
        <v>#REF!</v>
      </c>
      <c r="M287" s="10" t="e">
        <f>#REF!</f>
        <v>#REF!</v>
      </c>
      <c r="N287" s="10" t="e">
        <f t="shared" si="19"/>
        <v>#REF!</v>
      </c>
      <c r="O287" s="10"/>
      <c r="P287" s="10" t="e">
        <f t="shared" si="20"/>
        <v>#REF!</v>
      </c>
      <c r="Q287" s="21" t="s">
        <v>433</v>
      </c>
    </row>
    <row r="288" spans="1:29" ht="23.1" customHeight="1">
      <c r="A288" s="16" t="s">
        <v>452</v>
      </c>
      <c r="B288" s="16" t="s">
        <v>556</v>
      </c>
      <c r="C288" s="16" t="s">
        <v>453</v>
      </c>
      <c r="D288" s="21" t="s">
        <v>184</v>
      </c>
      <c r="E288" s="21" t="s">
        <v>185</v>
      </c>
      <c r="F288" s="7" t="s">
        <v>104</v>
      </c>
      <c r="G288" s="23">
        <v>4</v>
      </c>
      <c r="H288" s="10" t="e">
        <f>#REF!</f>
        <v>#REF!</v>
      </c>
      <c r="I288" s="10" t="e">
        <f t="shared" si="17"/>
        <v>#REF!</v>
      </c>
      <c r="J288" s="10">
        <v>4</v>
      </c>
      <c r="K288" s="10" t="e">
        <f>#REF!</f>
        <v>#REF!</v>
      </c>
      <c r="L288" s="10" t="e">
        <f t="shared" si="18"/>
        <v>#REF!</v>
      </c>
      <c r="M288" s="10" t="e">
        <f>#REF!</f>
        <v>#REF!</v>
      </c>
      <c r="N288" s="10" t="e">
        <f t="shared" si="19"/>
        <v>#REF!</v>
      </c>
      <c r="O288" s="10"/>
      <c r="P288" s="10" t="e">
        <f t="shared" si="20"/>
        <v>#REF!</v>
      </c>
      <c r="Q288" s="21" t="s">
        <v>454</v>
      </c>
    </row>
    <row r="289" spans="1:31" ht="23.1" customHeight="1">
      <c r="A289" s="16" t="s">
        <v>455</v>
      </c>
      <c r="B289" s="16" t="s">
        <v>556</v>
      </c>
      <c r="C289" s="16" t="s">
        <v>456</v>
      </c>
      <c r="D289" s="21" t="s">
        <v>184</v>
      </c>
      <c r="E289" s="21" t="s">
        <v>186</v>
      </c>
      <c r="F289" s="7" t="s">
        <v>104</v>
      </c>
      <c r="G289" s="23">
        <v>2</v>
      </c>
      <c r="H289" s="10" t="e">
        <f>#REF!</f>
        <v>#REF!</v>
      </c>
      <c r="I289" s="10" t="e">
        <f t="shared" si="17"/>
        <v>#REF!</v>
      </c>
      <c r="J289" s="10">
        <v>2</v>
      </c>
      <c r="K289" s="10" t="e">
        <f>#REF!</f>
        <v>#REF!</v>
      </c>
      <c r="L289" s="10" t="e">
        <f t="shared" si="18"/>
        <v>#REF!</v>
      </c>
      <c r="M289" s="10" t="e">
        <f>#REF!</f>
        <v>#REF!</v>
      </c>
      <c r="N289" s="10" t="e">
        <f t="shared" si="19"/>
        <v>#REF!</v>
      </c>
      <c r="O289" s="10"/>
      <c r="P289" s="10" t="e">
        <f t="shared" si="20"/>
        <v>#REF!</v>
      </c>
      <c r="Q289" s="21" t="s">
        <v>457</v>
      </c>
    </row>
    <row r="290" spans="1:31" ht="23.1" customHeight="1">
      <c r="A290" s="16" t="s">
        <v>558</v>
      </c>
      <c r="B290" s="16" t="s">
        <v>556</v>
      </c>
      <c r="C290" s="16" t="s">
        <v>187</v>
      </c>
      <c r="D290" s="21" t="s">
        <v>188</v>
      </c>
      <c r="E290" s="21"/>
      <c r="F290" s="7" t="s">
        <v>104</v>
      </c>
      <c r="G290" s="23">
        <v>1</v>
      </c>
      <c r="H290" s="10" t="e">
        <f>#REF!</f>
        <v>#REF!</v>
      </c>
      <c r="I290" s="10" t="e">
        <f t="shared" si="17"/>
        <v>#REF!</v>
      </c>
      <c r="J290" s="10">
        <v>1</v>
      </c>
      <c r="K290" s="10" t="e">
        <f>#REF!</f>
        <v>#REF!</v>
      </c>
      <c r="L290" s="10" t="e">
        <f t="shared" si="18"/>
        <v>#REF!</v>
      </c>
      <c r="M290" s="10" t="e">
        <f>#REF!</f>
        <v>#REF!</v>
      </c>
      <c r="N290" s="10" t="e">
        <f t="shared" si="19"/>
        <v>#REF!</v>
      </c>
      <c r="O290" s="10"/>
      <c r="P290" s="10" t="e">
        <f t="shared" si="20"/>
        <v>#REF!</v>
      </c>
      <c r="Q290" s="21"/>
    </row>
    <row r="291" spans="1:31" ht="23.1" customHeight="1">
      <c r="A291" s="16" t="s">
        <v>461</v>
      </c>
      <c r="B291" s="16" t="s">
        <v>556</v>
      </c>
      <c r="C291" s="16" t="s">
        <v>462</v>
      </c>
      <c r="D291" s="21" t="s">
        <v>218</v>
      </c>
      <c r="E291" s="21"/>
      <c r="F291" s="7" t="s">
        <v>104</v>
      </c>
      <c r="G291" s="23">
        <v>2</v>
      </c>
      <c r="H291" s="10" t="e">
        <f>#REF!</f>
        <v>#REF!</v>
      </c>
      <c r="I291" s="10" t="e">
        <f t="shared" si="17"/>
        <v>#REF!</v>
      </c>
      <c r="J291" s="10">
        <v>2</v>
      </c>
      <c r="K291" s="10" t="e">
        <f>#REF!</f>
        <v>#REF!</v>
      </c>
      <c r="L291" s="10" t="e">
        <f t="shared" si="18"/>
        <v>#REF!</v>
      </c>
      <c r="M291" s="10" t="e">
        <f>#REF!</f>
        <v>#REF!</v>
      </c>
      <c r="N291" s="10" t="e">
        <f t="shared" si="19"/>
        <v>#REF!</v>
      </c>
      <c r="O291" s="10"/>
      <c r="P291" s="10" t="e">
        <f t="shared" si="20"/>
        <v>#REF!</v>
      </c>
      <c r="Q291" s="21" t="s">
        <v>463</v>
      </c>
    </row>
    <row r="292" spans="1:31" ht="23.1" customHeight="1">
      <c r="A292" s="16" t="s">
        <v>464</v>
      </c>
      <c r="B292" s="16" t="s">
        <v>556</v>
      </c>
      <c r="C292" s="16" t="s">
        <v>465</v>
      </c>
      <c r="D292" s="21" t="s">
        <v>219</v>
      </c>
      <c r="E292" s="21" t="s">
        <v>220</v>
      </c>
      <c r="F292" s="7" t="s">
        <v>104</v>
      </c>
      <c r="G292" s="23">
        <v>2</v>
      </c>
      <c r="H292" s="10" t="e">
        <f>#REF!</f>
        <v>#REF!</v>
      </c>
      <c r="I292" s="10" t="e">
        <f t="shared" si="17"/>
        <v>#REF!</v>
      </c>
      <c r="J292" s="10">
        <v>2</v>
      </c>
      <c r="K292" s="10" t="e">
        <f>#REF!</f>
        <v>#REF!</v>
      </c>
      <c r="L292" s="10" t="e">
        <f t="shared" si="18"/>
        <v>#REF!</v>
      </c>
      <c r="M292" s="10" t="e">
        <f>#REF!</f>
        <v>#REF!</v>
      </c>
      <c r="N292" s="10" t="e">
        <f t="shared" si="19"/>
        <v>#REF!</v>
      </c>
      <c r="O292" s="10"/>
      <c r="P292" s="10" t="e">
        <f t="shared" si="20"/>
        <v>#REF!</v>
      </c>
      <c r="Q292" s="21" t="s">
        <v>466</v>
      </c>
    </row>
    <row r="293" spans="1:31" ht="23.1" customHeight="1">
      <c r="A293" s="16" t="s">
        <v>467</v>
      </c>
      <c r="B293" s="16" t="s">
        <v>556</v>
      </c>
      <c r="C293" s="16" t="s">
        <v>468</v>
      </c>
      <c r="D293" s="21" t="s">
        <v>221</v>
      </c>
      <c r="E293" s="21" t="s">
        <v>222</v>
      </c>
      <c r="F293" s="7" t="s">
        <v>104</v>
      </c>
      <c r="G293" s="23">
        <v>2</v>
      </c>
      <c r="H293" s="10" t="e">
        <f>#REF!</f>
        <v>#REF!</v>
      </c>
      <c r="I293" s="10" t="e">
        <f t="shared" si="17"/>
        <v>#REF!</v>
      </c>
      <c r="J293" s="10">
        <v>2</v>
      </c>
      <c r="K293" s="10" t="e">
        <f>#REF!</f>
        <v>#REF!</v>
      </c>
      <c r="L293" s="10" t="e">
        <f t="shared" si="18"/>
        <v>#REF!</v>
      </c>
      <c r="M293" s="10" t="e">
        <f>#REF!</f>
        <v>#REF!</v>
      </c>
      <c r="N293" s="10" t="e">
        <f t="shared" si="19"/>
        <v>#REF!</v>
      </c>
      <c r="O293" s="10"/>
      <c r="P293" s="10" t="e">
        <f t="shared" si="20"/>
        <v>#REF!</v>
      </c>
      <c r="Q293" s="21" t="s">
        <v>469</v>
      </c>
    </row>
    <row r="294" spans="1:31" ht="23.1" customHeight="1">
      <c r="A294" s="16" t="s">
        <v>559</v>
      </c>
      <c r="B294" s="16" t="s">
        <v>556</v>
      </c>
      <c r="C294" s="16" t="s">
        <v>232</v>
      </c>
      <c r="D294" s="21" t="s">
        <v>233</v>
      </c>
      <c r="E294" s="21"/>
      <c r="F294" s="7" t="s">
        <v>104</v>
      </c>
      <c r="G294" s="23">
        <v>1</v>
      </c>
      <c r="H294" s="10" t="e">
        <f>#REF!</f>
        <v>#REF!</v>
      </c>
      <c r="I294" s="10" t="e">
        <f t="shared" si="17"/>
        <v>#REF!</v>
      </c>
      <c r="J294" s="10">
        <v>1</v>
      </c>
      <c r="K294" s="10" t="e">
        <f>#REF!</f>
        <v>#REF!</v>
      </c>
      <c r="L294" s="10" t="e">
        <f t="shared" si="18"/>
        <v>#REF!</v>
      </c>
      <c r="M294" s="10" t="e">
        <f>#REF!</f>
        <v>#REF!</v>
      </c>
      <c r="N294" s="10" t="e">
        <f t="shared" si="19"/>
        <v>#REF!</v>
      </c>
      <c r="O294" s="10"/>
      <c r="P294" s="10" t="e">
        <f t="shared" si="20"/>
        <v>#REF!</v>
      </c>
      <c r="Q294" s="21"/>
    </row>
    <row r="295" spans="1:31" ht="23.1" customHeight="1">
      <c r="A295" s="16" t="s">
        <v>513</v>
      </c>
      <c r="B295" s="16" t="s">
        <v>556</v>
      </c>
      <c r="C295" s="16" t="s">
        <v>241</v>
      </c>
      <c r="D295" s="21" t="s">
        <v>242</v>
      </c>
      <c r="E295" s="21"/>
      <c r="F295" s="7" t="s">
        <v>104</v>
      </c>
      <c r="G295" s="23">
        <v>2</v>
      </c>
      <c r="H295" s="10" t="e">
        <f>#REF!</f>
        <v>#REF!</v>
      </c>
      <c r="I295" s="10" t="e">
        <f t="shared" si="17"/>
        <v>#REF!</v>
      </c>
      <c r="J295" s="10">
        <v>2</v>
      </c>
      <c r="K295" s="10" t="e">
        <f>#REF!</f>
        <v>#REF!</v>
      </c>
      <c r="L295" s="10" t="e">
        <f t="shared" si="18"/>
        <v>#REF!</v>
      </c>
      <c r="M295" s="10" t="e">
        <f>#REF!</f>
        <v>#REF!</v>
      </c>
      <c r="N295" s="10" t="e">
        <f t="shared" si="19"/>
        <v>#REF!</v>
      </c>
      <c r="O295" s="10"/>
      <c r="P295" s="10" t="e">
        <f t="shared" si="20"/>
        <v>#REF!</v>
      </c>
      <c r="Q295" s="21"/>
    </row>
    <row r="296" spans="1:31" ht="23.1" customHeight="1">
      <c r="A296" s="16" t="s">
        <v>514</v>
      </c>
      <c r="B296" s="16" t="s">
        <v>556</v>
      </c>
      <c r="C296" s="16" t="s">
        <v>243</v>
      </c>
      <c r="D296" s="21" t="s">
        <v>244</v>
      </c>
      <c r="E296" s="21"/>
      <c r="F296" s="7" t="s">
        <v>104</v>
      </c>
      <c r="G296" s="23">
        <v>1</v>
      </c>
      <c r="H296" s="10" t="e">
        <f>#REF!</f>
        <v>#REF!</v>
      </c>
      <c r="I296" s="10" t="e">
        <f t="shared" si="17"/>
        <v>#REF!</v>
      </c>
      <c r="J296" s="10">
        <v>1</v>
      </c>
      <c r="K296" s="10" t="e">
        <f>#REF!</f>
        <v>#REF!</v>
      </c>
      <c r="L296" s="10" t="e">
        <f t="shared" si="18"/>
        <v>#REF!</v>
      </c>
      <c r="M296" s="10" t="e">
        <f>#REF!</f>
        <v>#REF!</v>
      </c>
      <c r="N296" s="10" t="e">
        <f t="shared" si="19"/>
        <v>#REF!</v>
      </c>
      <c r="O296" s="10"/>
      <c r="P296" s="10" t="e">
        <f t="shared" si="20"/>
        <v>#REF!</v>
      </c>
      <c r="Q296" s="21"/>
    </row>
    <row r="297" spans="1:31" ht="23.1" customHeight="1">
      <c r="A297" s="16" t="s">
        <v>473</v>
      </c>
      <c r="B297" s="16" t="s">
        <v>556</v>
      </c>
      <c r="C297" s="16" t="s">
        <v>474</v>
      </c>
      <c r="D297" s="21" t="s">
        <v>245</v>
      </c>
      <c r="E297" s="21" t="s">
        <v>247</v>
      </c>
      <c r="F297" s="7" t="s">
        <v>104</v>
      </c>
      <c r="G297" s="23">
        <v>1</v>
      </c>
      <c r="H297" s="10" t="e">
        <f>#REF!</f>
        <v>#REF!</v>
      </c>
      <c r="I297" s="10" t="e">
        <f t="shared" ref="I297:I314" si="22">TRUNC(G297*H297)</f>
        <v>#REF!</v>
      </c>
      <c r="J297" s="10">
        <v>1</v>
      </c>
      <c r="K297" s="10" t="e">
        <f>#REF!</f>
        <v>#REF!</v>
      </c>
      <c r="L297" s="10" t="e">
        <f t="shared" ref="L297:L314" si="23">TRUNC(G297*K297)</f>
        <v>#REF!</v>
      </c>
      <c r="M297" s="10" t="e">
        <f>#REF!</f>
        <v>#REF!</v>
      </c>
      <c r="N297" s="10" t="e">
        <f t="shared" ref="N297:N314" si="24">TRUNC(G297*M297)</f>
        <v>#REF!</v>
      </c>
      <c r="O297" s="10"/>
      <c r="P297" s="10" t="e">
        <f t="shared" ref="P297:P314" si="25">SUM(I297,L297,N297)</f>
        <v>#REF!</v>
      </c>
      <c r="Q297" s="21" t="s">
        <v>475</v>
      </c>
    </row>
    <row r="298" spans="1:31" ht="23.1" customHeight="1">
      <c r="A298" s="16" t="s">
        <v>476</v>
      </c>
      <c r="B298" s="16" t="s">
        <v>556</v>
      </c>
      <c r="C298" s="16" t="s">
        <v>477</v>
      </c>
      <c r="D298" s="21" t="s">
        <v>245</v>
      </c>
      <c r="E298" s="21" t="s">
        <v>248</v>
      </c>
      <c r="F298" s="7" t="s">
        <v>104</v>
      </c>
      <c r="G298" s="23">
        <v>1</v>
      </c>
      <c r="H298" s="10" t="e">
        <f>#REF!</f>
        <v>#REF!</v>
      </c>
      <c r="I298" s="10" t="e">
        <f t="shared" si="22"/>
        <v>#REF!</v>
      </c>
      <c r="J298" s="10">
        <v>1</v>
      </c>
      <c r="K298" s="10" t="e">
        <f>#REF!</f>
        <v>#REF!</v>
      </c>
      <c r="L298" s="10" t="e">
        <f t="shared" si="23"/>
        <v>#REF!</v>
      </c>
      <c r="M298" s="10" t="e">
        <f>#REF!</f>
        <v>#REF!</v>
      </c>
      <c r="N298" s="10" t="e">
        <f t="shared" si="24"/>
        <v>#REF!</v>
      </c>
      <c r="O298" s="10"/>
      <c r="P298" s="10" t="e">
        <f t="shared" si="25"/>
        <v>#REF!</v>
      </c>
      <c r="Q298" s="21" t="s">
        <v>478</v>
      </c>
    </row>
    <row r="299" spans="1:31" ht="23.1" customHeight="1">
      <c r="A299" s="16" t="s">
        <v>560</v>
      </c>
      <c r="B299" s="16" t="s">
        <v>556</v>
      </c>
      <c r="C299" s="16" t="s">
        <v>249</v>
      </c>
      <c r="D299" s="21" t="s">
        <v>250</v>
      </c>
      <c r="E299" s="21"/>
      <c r="F299" s="7" t="s">
        <v>104</v>
      </c>
      <c r="G299" s="23">
        <v>1</v>
      </c>
      <c r="H299" s="10" t="e">
        <f>#REF!</f>
        <v>#REF!</v>
      </c>
      <c r="I299" s="10" t="e">
        <f t="shared" si="22"/>
        <v>#REF!</v>
      </c>
      <c r="J299" s="10">
        <v>1</v>
      </c>
      <c r="K299" s="10" t="e">
        <f>#REF!</f>
        <v>#REF!</v>
      </c>
      <c r="L299" s="10" t="e">
        <f t="shared" si="23"/>
        <v>#REF!</v>
      </c>
      <c r="M299" s="10" t="e">
        <f>#REF!</f>
        <v>#REF!</v>
      </c>
      <c r="N299" s="10" t="e">
        <f t="shared" si="24"/>
        <v>#REF!</v>
      </c>
      <c r="O299" s="10"/>
      <c r="P299" s="10" t="e">
        <f t="shared" si="25"/>
        <v>#REF!</v>
      </c>
      <c r="Q299" s="21"/>
    </row>
    <row r="300" spans="1:31" ht="23.1" customHeight="1">
      <c r="A300" s="16" t="s">
        <v>479</v>
      </c>
      <c r="B300" s="16" t="s">
        <v>556</v>
      </c>
      <c r="C300" s="16" t="s">
        <v>480</v>
      </c>
      <c r="D300" s="21" t="s">
        <v>251</v>
      </c>
      <c r="E300" s="21"/>
      <c r="F300" s="7" t="s">
        <v>104</v>
      </c>
      <c r="G300" s="23">
        <v>2</v>
      </c>
      <c r="H300" s="10" t="e">
        <f>#REF!</f>
        <v>#REF!</v>
      </c>
      <c r="I300" s="10" t="e">
        <f t="shared" si="22"/>
        <v>#REF!</v>
      </c>
      <c r="J300" s="10">
        <v>2</v>
      </c>
      <c r="K300" s="10" t="e">
        <f>#REF!</f>
        <v>#REF!</v>
      </c>
      <c r="L300" s="10" t="e">
        <f t="shared" si="23"/>
        <v>#REF!</v>
      </c>
      <c r="M300" s="10" t="e">
        <f>#REF!</f>
        <v>#REF!</v>
      </c>
      <c r="N300" s="10" t="e">
        <f t="shared" si="24"/>
        <v>#REF!</v>
      </c>
      <c r="O300" s="10"/>
      <c r="P300" s="10" t="e">
        <f t="shared" si="25"/>
        <v>#REF!</v>
      </c>
      <c r="Q300" s="21" t="s">
        <v>481</v>
      </c>
    </row>
    <row r="301" spans="1:31" ht="23.1" customHeight="1">
      <c r="A301" s="16" t="s">
        <v>515</v>
      </c>
      <c r="B301" s="16" t="s">
        <v>556</v>
      </c>
      <c r="C301" s="16" t="s">
        <v>516</v>
      </c>
      <c r="D301" s="21" t="s">
        <v>517</v>
      </c>
      <c r="E301" s="21" t="s">
        <v>518</v>
      </c>
      <c r="F301" s="7" t="s">
        <v>211</v>
      </c>
      <c r="G301" s="23">
        <v>6</v>
      </c>
      <c r="H301" s="10"/>
      <c r="I301" s="10">
        <f t="shared" si="22"/>
        <v>0</v>
      </c>
      <c r="J301" s="10">
        <v>6</v>
      </c>
      <c r="K301" s="10"/>
      <c r="L301" s="10">
        <f t="shared" si="23"/>
        <v>0</v>
      </c>
      <c r="M301" s="10"/>
      <c r="N301" s="10">
        <f t="shared" si="24"/>
        <v>0</v>
      </c>
      <c r="O301" s="10"/>
      <c r="P301" s="10">
        <f t="shared" si="25"/>
        <v>0</v>
      </c>
      <c r="Q301" s="21"/>
    </row>
    <row r="302" spans="1:31" ht="23.1" customHeight="1">
      <c r="D302" s="21"/>
      <c r="E302" s="21"/>
      <c r="F302" s="7"/>
      <c r="G302" s="23"/>
      <c r="H302" s="10"/>
      <c r="I302" s="10">
        <f t="shared" si="22"/>
        <v>0</v>
      </c>
      <c r="J302" s="10"/>
      <c r="K302" s="10"/>
      <c r="L302" s="10">
        <f t="shared" si="23"/>
        <v>0</v>
      </c>
      <c r="M302" s="10"/>
      <c r="N302" s="10">
        <f t="shared" si="24"/>
        <v>0</v>
      </c>
      <c r="O302" s="10"/>
      <c r="P302" s="10">
        <f t="shared" si="25"/>
        <v>0</v>
      </c>
      <c r="Q302" s="21"/>
      <c r="AE302" s="2">
        <f>TRUNC(SUM(AE264:AE301))</f>
        <v>0</v>
      </c>
    </row>
    <row r="303" spans="1:31" ht="23.1" customHeight="1">
      <c r="D303" s="21"/>
      <c r="E303" s="21"/>
      <c r="F303" s="7"/>
      <c r="G303" s="23"/>
      <c r="H303" s="10"/>
      <c r="I303" s="10">
        <f t="shared" si="22"/>
        <v>0</v>
      </c>
      <c r="J303" s="10"/>
      <c r="K303" s="10"/>
      <c r="L303" s="10">
        <f t="shared" si="23"/>
        <v>0</v>
      </c>
      <c r="M303" s="10"/>
      <c r="N303" s="10">
        <f t="shared" si="24"/>
        <v>0</v>
      </c>
      <c r="O303" s="10"/>
      <c r="P303" s="10">
        <f t="shared" si="25"/>
        <v>0</v>
      </c>
      <c r="Q303" s="21"/>
    </row>
    <row r="304" spans="1:31" ht="23.1" customHeight="1">
      <c r="D304" s="21"/>
      <c r="E304" s="21"/>
      <c r="F304" s="7"/>
      <c r="G304" s="23"/>
      <c r="H304" s="10"/>
      <c r="I304" s="10">
        <f t="shared" si="22"/>
        <v>0</v>
      </c>
      <c r="J304" s="10"/>
      <c r="K304" s="10"/>
      <c r="L304" s="10">
        <f t="shared" si="23"/>
        <v>0</v>
      </c>
      <c r="M304" s="10"/>
      <c r="N304" s="10">
        <f t="shared" si="24"/>
        <v>0</v>
      </c>
      <c r="O304" s="10"/>
      <c r="P304" s="10">
        <f t="shared" si="25"/>
        <v>0</v>
      </c>
      <c r="Q304" s="21"/>
    </row>
    <row r="305" spans="1:31" ht="23.1" customHeight="1">
      <c r="D305" s="21"/>
      <c r="E305" s="21"/>
      <c r="F305" s="7"/>
      <c r="G305" s="23"/>
      <c r="H305" s="10"/>
      <c r="I305" s="10">
        <f t="shared" si="22"/>
        <v>0</v>
      </c>
      <c r="J305" s="10"/>
      <c r="K305" s="10"/>
      <c r="L305" s="10">
        <f t="shared" si="23"/>
        <v>0</v>
      </c>
      <c r="M305" s="10"/>
      <c r="N305" s="10">
        <f t="shared" si="24"/>
        <v>0</v>
      </c>
      <c r="O305" s="10"/>
      <c r="P305" s="10">
        <f t="shared" si="25"/>
        <v>0</v>
      </c>
      <c r="Q305" s="21"/>
    </row>
    <row r="306" spans="1:31" ht="23.1" customHeight="1">
      <c r="D306" s="21"/>
      <c r="E306" s="21"/>
      <c r="F306" s="7"/>
      <c r="G306" s="23"/>
      <c r="H306" s="10"/>
      <c r="I306" s="10">
        <f t="shared" si="22"/>
        <v>0</v>
      </c>
      <c r="J306" s="10"/>
      <c r="K306" s="10"/>
      <c r="L306" s="10">
        <f t="shared" si="23"/>
        <v>0</v>
      </c>
      <c r="M306" s="10"/>
      <c r="N306" s="10">
        <f t="shared" si="24"/>
        <v>0</v>
      </c>
      <c r="O306" s="10"/>
      <c r="P306" s="10">
        <f t="shared" si="25"/>
        <v>0</v>
      </c>
      <c r="Q306" s="21"/>
    </row>
    <row r="307" spans="1:31" ht="23.1" customHeight="1">
      <c r="D307" s="21"/>
      <c r="E307" s="21"/>
      <c r="F307" s="7"/>
      <c r="G307" s="23"/>
      <c r="H307" s="10"/>
      <c r="I307" s="10">
        <f t="shared" si="22"/>
        <v>0</v>
      </c>
      <c r="J307" s="10"/>
      <c r="K307" s="10"/>
      <c r="L307" s="10">
        <f t="shared" si="23"/>
        <v>0</v>
      </c>
      <c r="M307" s="10"/>
      <c r="N307" s="10">
        <f t="shared" si="24"/>
        <v>0</v>
      </c>
      <c r="O307" s="10"/>
      <c r="P307" s="10">
        <f t="shared" si="25"/>
        <v>0</v>
      </c>
      <c r="Q307" s="21"/>
    </row>
    <row r="308" spans="1:31" ht="23.1" customHeight="1">
      <c r="D308" s="21"/>
      <c r="E308" s="21"/>
      <c r="F308" s="7"/>
      <c r="G308" s="23"/>
      <c r="H308" s="10"/>
      <c r="I308" s="10">
        <f t="shared" si="22"/>
        <v>0</v>
      </c>
      <c r="J308" s="10"/>
      <c r="K308" s="10"/>
      <c r="L308" s="10">
        <f t="shared" si="23"/>
        <v>0</v>
      </c>
      <c r="M308" s="10"/>
      <c r="N308" s="10">
        <f t="shared" si="24"/>
        <v>0</v>
      </c>
      <c r="O308" s="10"/>
      <c r="P308" s="10">
        <f t="shared" si="25"/>
        <v>0</v>
      </c>
      <c r="Q308" s="21"/>
    </row>
    <row r="309" spans="1:31" ht="23.1" customHeight="1">
      <c r="D309" s="21"/>
      <c r="E309" s="21"/>
      <c r="F309" s="7"/>
      <c r="G309" s="23"/>
      <c r="H309" s="10"/>
      <c r="I309" s="10">
        <f t="shared" si="22"/>
        <v>0</v>
      </c>
      <c r="J309" s="10"/>
      <c r="K309" s="10"/>
      <c r="L309" s="10">
        <f t="shared" si="23"/>
        <v>0</v>
      </c>
      <c r="M309" s="10"/>
      <c r="N309" s="10">
        <f t="shared" si="24"/>
        <v>0</v>
      </c>
      <c r="O309" s="10"/>
      <c r="P309" s="10">
        <f t="shared" si="25"/>
        <v>0</v>
      </c>
      <c r="Q309" s="21"/>
    </row>
    <row r="310" spans="1:31" ht="23.1" customHeight="1">
      <c r="D310" s="21"/>
      <c r="E310" s="21"/>
      <c r="F310" s="7"/>
      <c r="G310" s="23"/>
      <c r="H310" s="10"/>
      <c r="I310" s="10">
        <f t="shared" si="22"/>
        <v>0</v>
      </c>
      <c r="J310" s="10"/>
      <c r="K310" s="10"/>
      <c r="L310" s="10">
        <f t="shared" si="23"/>
        <v>0</v>
      </c>
      <c r="M310" s="10"/>
      <c r="N310" s="10">
        <f t="shared" si="24"/>
        <v>0</v>
      </c>
      <c r="O310" s="10"/>
      <c r="P310" s="10">
        <f t="shared" si="25"/>
        <v>0</v>
      </c>
      <c r="Q310" s="21"/>
    </row>
    <row r="311" spans="1:31" ht="23.1" customHeight="1">
      <c r="D311" s="21"/>
      <c r="E311" s="21"/>
      <c r="F311" s="7"/>
      <c r="G311" s="23"/>
      <c r="H311" s="10"/>
      <c r="I311" s="10">
        <f t="shared" si="22"/>
        <v>0</v>
      </c>
      <c r="J311" s="10"/>
      <c r="K311" s="10"/>
      <c r="L311" s="10">
        <f t="shared" si="23"/>
        <v>0</v>
      </c>
      <c r="M311" s="10"/>
      <c r="N311" s="10">
        <f t="shared" si="24"/>
        <v>0</v>
      </c>
      <c r="O311" s="10"/>
      <c r="P311" s="10">
        <f t="shared" si="25"/>
        <v>0</v>
      </c>
      <c r="Q311" s="21"/>
    </row>
    <row r="312" spans="1:31" ht="23.1" customHeight="1">
      <c r="D312" s="21"/>
      <c r="E312" s="21"/>
      <c r="F312" s="7"/>
      <c r="G312" s="23"/>
      <c r="H312" s="10"/>
      <c r="I312" s="10">
        <f t="shared" si="22"/>
        <v>0</v>
      </c>
      <c r="J312" s="10"/>
      <c r="K312" s="10"/>
      <c r="L312" s="10">
        <f t="shared" si="23"/>
        <v>0</v>
      </c>
      <c r="M312" s="10"/>
      <c r="N312" s="10">
        <f t="shared" si="24"/>
        <v>0</v>
      </c>
      <c r="O312" s="10"/>
      <c r="P312" s="10">
        <f t="shared" si="25"/>
        <v>0</v>
      </c>
      <c r="Q312" s="21"/>
    </row>
    <row r="313" spans="1:31" ht="23.1" customHeight="1">
      <c r="D313" s="21"/>
      <c r="E313" s="21"/>
      <c r="F313" s="7"/>
      <c r="G313" s="23"/>
      <c r="H313" s="10"/>
      <c r="I313" s="10">
        <f t="shared" si="22"/>
        <v>0</v>
      </c>
      <c r="J313" s="10"/>
      <c r="K313" s="10"/>
      <c r="L313" s="10">
        <f t="shared" si="23"/>
        <v>0</v>
      </c>
      <c r="M313" s="10"/>
      <c r="N313" s="10">
        <f t="shared" si="24"/>
        <v>0</v>
      </c>
      <c r="O313" s="10"/>
      <c r="P313" s="10">
        <f t="shared" si="25"/>
        <v>0</v>
      </c>
      <c r="Q313" s="21"/>
    </row>
    <row r="314" spans="1:31" ht="23.1" customHeight="1">
      <c r="D314" s="21"/>
      <c r="E314" s="21"/>
      <c r="F314" s="7"/>
      <c r="G314" s="23"/>
      <c r="H314" s="10"/>
      <c r="I314" s="10">
        <f t="shared" si="22"/>
        <v>0</v>
      </c>
      <c r="J314" s="10"/>
      <c r="K314" s="10"/>
      <c r="L314" s="10">
        <f t="shared" si="23"/>
        <v>0</v>
      </c>
      <c r="M314" s="10"/>
      <c r="N314" s="10">
        <f t="shared" si="24"/>
        <v>0</v>
      </c>
      <c r="O314" s="10"/>
      <c r="P314" s="10">
        <f t="shared" si="25"/>
        <v>0</v>
      </c>
      <c r="Q314" s="21"/>
    </row>
    <row r="315" spans="1:31" ht="23.1" customHeight="1">
      <c r="B315" s="16" t="s">
        <v>489</v>
      </c>
      <c r="D315" s="21" t="s">
        <v>490</v>
      </c>
      <c r="E315" s="21"/>
      <c r="F315" s="7"/>
      <c r="G315" s="23"/>
      <c r="H315" s="10"/>
      <c r="I315" s="10" t="e">
        <f>TRUNC(SUM(I264:I314))</f>
        <v>#REF!</v>
      </c>
      <c r="J315" s="10"/>
      <c r="K315" s="10"/>
      <c r="L315" s="10" t="e">
        <f>TRUNC(SUM(L264:L314))</f>
        <v>#REF!</v>
      </c>
      <c r="M315" s="10"/>
      <c r="N315" s="10" t="e">
        <f>TRUNC(SUM(N264:N314))</f>
        <v>#REF!</v>
      </c>
      <c r="O315" s="10"/>
      <c r="P315" s="10" t="e">
        <f>TRUNC(SUM(P264:P314))</f>
        <v>#REF!</v>
      </c>
      <c r="Q315" s="21"/>
    </row>
    <row r="316" spans="1:31" ht="23.1" customHeight="1">
      <c r="B316" s="16" t="s">
        <v>283</v>
      </c>
      <c r="D316" s="27" t="s">
        <v>561</v>
      </c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9"/>
    </row>
    <row r="317" spans="1:31" ht="23.1" customHeight="1">
      <c r="A317" s="16" t="s">
        <v>550</v>
      </c>
      <c r="B317" s="16" t="s">
        <v>562</v>
      </c>
      <c r="C317" s="16" t="s">
        <v>223</v>
      </c>
      <c r="D317" s="21" t="s">
        <v>224</v>
      </c>
      <c r="E317" s="21"/>
      <c r="F317" s="7" t="s">
        <v>225</v>
      </c>
      <c r="G317" s="23">
        <v>1</v>
      </c>
      <c r="H317" s="10" t="e">
        <f>#REF!</f>
        <v>#REF!</v>
      </c>
      <c r="I317" s="10" t="e">
        <f t="shared" ref="I317:I340" si="26">TRUNC(G317*H317)</f>
        <v>#REF!</v>
      </c>
      <c r="J317" s="10">
        <v>1</v>
      </c>
      <c r="K317" s="10" t="e">
        <f>#REF!</f>
        <v>#REF!</v>
      </c>
      <c r="L317" s="10" t="e">
        <f t="shared" ref="L317:L340" si="27">TRUNC(G317*K317)</f>
        <v>#REF!</v>
      </c>
      <c r="M317" s="10" t="e">
        <f>#REF!</f>
        <v>#REF!</v>
      </c>
      <c r="N317" s="10" t="e">
        <f t="shared" ref="N317:N340" si="28">TRUNC(G317*M317)</f>
        <v>#REF!</v>
      </c>
      <c r="O317" s="10"/>
      <c r="P317" s="10" t="e">
        <f t="shared" ref="P317:P340" si="29">SUM(I317,L317,N317)</f>
        <v>#REF!</v>
      </c>
      <c r="Q317" s="21"/>
    </row>
    <row r="318" spans="1:31" ht="23.1" customHeight="1">
      <c r="D318" s="21"/>
      <c r="E318" s="21"/>
      <c r="F318" s="7"/>
      <c r="G318" s="23"/>
      <c r="H318" s="10"/>
      <c r="I318" s="10">
        <f t="shared" si="26"/>
        <v>0</v>
      </c>
      <c r="J318" s="10"/>
      <c r="K318" s="10"/>
      <c r="L318" s="10">
        <f t="shared" si="27"/>
        <v>0</v>
      </c>
      <c r="M318" s="10"/>
      <c r="N318" s="10">
        <f t="shared" si="28"/>
        <v>0</v>
      </c>
      <c r="O318" s="10"/>
      <c r="P318" s="10">
        <f t="shared" si="29"/>
        <v>0</v>
      </c>
      <c r="Q318" s="21"/>
      <c r="AE318" s="2">
        <f>TRUNC(SUM(AE316:AE317))</f>
        <v>0</v>
      </c>
    </row>
    <row r="319" spans="1:31" ht="23.1" customHeight="1">
      <c r="D319" s="21"/>
      <c r="E319" s="21"/>
      <c r="F319" s="7"/>
      <c r="G319" s="23"/>
      <c r="H319" s="10"/>
      <c r="I319" s="10">
        <f t="shared" si="26"/>
        <v>0</v>
      </c>
      <c r="J319" s="10"/>
      <c r="K319" s="10"/>
      <c r="L319" s="10">
        <f t="shared" si="27"/>
        <v>0</v>
      </c>
      <c r="M319" s="10"/>
      <c r="N319" s="10">
        <f t="shared" si="28"/>
        <v>0</v>
      </c>
      <c r="O319" s="10"/>
      <c r="P319" s="10">
        <f t="shared" si="29"/>
        <v>0</v>
      </c>
      <c r="Q319" s="21"/>
    </row>
    <row r="320" spans="1:31" ht="23.1" customHeight="1">
      <c r="D320" s="21"/>
      <c r="E320" s="21"/>
      <c r="F320" s="7"/>
      <c r="G320" s="23"/>
      <c r="H320" s="10"/>
      <c r="I320" s="10">
        <f t="shared" si="26"/>
        <v>0</v>
      </c>
      <c r="J320" s="10"/>
      <c r="K320" s="10"/>
      <c r="L320" s="10">
        <f t="shared" si="27"/>
        <v>0</v>
      </c>
      <c r="M320" s="10"/>
      <c r="N320" s="10">
        <f t="shared" si="28"/>
        <v>0</v>
      </c>
      <c r="O320" s="10"/>
      <c r="P320" s="10">
        <f t="shared" si="29"/>
        <v>0</v>
      </c>
      <c r="Q320" s="21"/>
    </row>
    <row r="321" spans="4:17" ht="23.1" customHeight="1">
      <c r="D321" s="21"/>
      <c r="E321" s="21"/>
      <c r="F321" s="7"/>
      <c r="G321" s="23"/>
      <c r="H321" s="10"/>
      <c r="I321" s="10">
        <f t="shared" si="26"/>
        <v>0</v>
      </c>
      <c r="J321" s="10"/>
      <c r="K321" s="10"/>
      <c r="L321" s="10">
        <f t="shared" si="27"/>
        <v>0</v>
      </c>
      <c r="M321" s="10"/>
      <c r="N321" s="10">
        <f t="shared" si="28"/>
        <v>0</v>
      </c>
      <c r="O321" s="10"/>
      <c r="P321" s="10">
        <f t="shared" si="29"/>
        <v>0</v>
      </c>
      <c r="Q321" s="21"/>
    </row>
    <row r="322" spans="4:17" ht="23.1" customHeight="1">
      <c r="D322" s="21"/>
      <c r="E322" s="21"/>
      <c r="F322" s="7"/>
      <c r="G322" s="23"/>
      <c r="H322" s="10"/>
      <c r="I322" s="10">
        <f t="shared" si="26"/>
        <v>0</v>
      </c>
      <c r="J322" s="10"/>
      <c r="K322" s="10"/>
      <c r="L322" s="10">
        <f t="shared" si="27"/>
        <v>0</v>
      </c>
      <c r="M322" s="10"/>
      <c r="N322" s="10">
        <f t="shared" si="28"/>
        <v>0</v>
      </c>
      <c r="O322" s="10"/>
      <c r="P322" s="10">
        <f t="shared" si="29"/>
        <v>0</v>
      </c>
      <c r="Q322" s="21"/>
    </row>
    <row r="323" spans="4:17" ht="23.1" customHeight="1">
      <c r="D323" s="21"/>
      <c r="E323" s="21"/>
      <c r="F323" s="7"/>
      <c r="G323" s="23"/>
      <c r="H323" s="10"/>
      <c r="I323" s="10">
        <f t="shared" si="26"/>
        <v>0</v>
      </c>
      <c r="J323" s="10"/>
      <c r="K323" s="10"/>
      <c r="L323" s="10">
        <f t="shared" si="27"/>
        <v>0</v>
      </c>
      <c r="M323" s="10"/>
      <c r="N323" s="10">
        <f t="shared" si="28"/>
        <v>0</v>
      </c>
      <c r="O323" s="10"/>
      <c r="P323" s="10">
        <f t="shared" si="29"/>
        <v>0</v>
      </c>
      <c r="Q323" s="21"/>
    </row>
    <row r="324" spans="4:17" ht="23.1" customHeight="1">
      <c r="D324" s="21"/>
      <c r="E324" s="21"/>
      <c r="F324" s="7"/>
      <c r="G324" s="23"/>
      <c r="H324" s="10"/>
      <c r="I324" s="10">
        <f t="shared" si="26"/>
        <v>0</v>
      </c>
      <c r="J324" s="10"/>
      <c r="K324" s="10"/>
      <c r="L324" s="10">
        <f t="shared" si="27"/>
        <v>0</v>
      </c>
      <c r="M324" s="10"/>
      <c r="N324" s="10">
        <f t="shared" si="28"/>
        <v>0</v>
      </c>
      <c r="O324" s="10"/>
      <c r="P324" s="10">
        <f t="shared" si="29"/>
        <v>0</v>
      </c>
      <c r="Q324" s="21"/>
    </row>
    <row r="325" spans="4:17" ht="23.1" customHeight="1">
      <c r="D325" s="21"/>
      <c r="E325" s="21"/>
      <c r="F325" s="7"/>
      <c r="G325" s="23"/>
      <c r="H325" s="10"/>
      <c r="I325" s="10">
        <f t="shared" si="26"/>
        <v>0</v>
      </c>
      <c r="J325" s="10"/>
      <c r="K325" s="10"/>
      <c r="L325" s="10">
        <f t="shared" si="27"/>
        <v>0</v>
      </c>
      <c r="M325" s="10"/>
      <c r="N325" s="10">
        <f t="shared" si="28"/>
        <v>0</v>
      </c>
      <c r="O325" s="10"/>
      <c r="P325" s="10">
        <f t="shared" si="29"/>
        <v>0</v>
      </c>
      <c r="Q325" s="21"/>
    </row>
    <row r="326" spans="4:17" ht="23.1" customHeight="1">
      <c r="D326" s="21"/>
      <c r="E326" s="21"/>
      <c r="F326" s="7"/>
      <c r="G326" s="23"/>
      <c r="H326" s="10"/>
      <c r="I326" s="10">
        <f t="shared" si="26"/>
        <v>0</v>
      </c>
      <c r="J326" s="10"/>
      <c r="K326" s="10"/>
      <c r="L326" s="10">
        <f t="shared" si="27"/>
        <v>0</v>
      </c>
      <c r="M326" s="10"/>
      <c r="N326" s="10">
        <f t="shared" si="28"/>
        <v>0</v>
      </c>
      <c r="O326" s="10"/>
      <c r="P326" s="10">
        <f t="shared" si="29"/>
        <v>0</v>
      </c>
      <c r="Q326" s="21"/>
    </row>
    <row r="327" spans="4:17" ht="23.1" customHeight="1">
      <c r="D327" s="21"/>
      <c r="E327" s="21"/>
      <c r="F327" s="7"/>
      <c r="G327" s="23"/>
      <c r="H327" s="10"/>
      <c r="I327" s="10">
        <f t="shared" si="26"/>
        <v>0</v>
      </c>
      <c r="J327" s="10"/>
      <c r="K327" s="10"/>
      <c r="L327" s="10">
        <f t="shared" si="27"/>
        <v>0</v>
      </c>
      <c r="M327" s="10"/>
      <c r="N327" s="10">
        <f t="shared" si="28"/>
        <v>0</v>
      </c>
      <c r="O327" s="10"/>
      <c r="P327" s="10">
        <f t="shared" si="29"/>
        <v>0</v>
      </c>
      <c r="Q327" s="21"/>
    </row>
    <row r="328" spans="4:17" ht="23.1" customHeight="1">
      <c r="D328" s="21"/>
      <c r="E328" s="21"/>
      <c r="F328" s="7"/>
      <c r="G328" s="23"/>
      <c r="H328" s="10"/>
      <c r="I328" s="10">
        <f t="shared" si="26"/>
        <v>0</v>
      </c>
      <c r="J328" s="10"/>
      <c r="K328" s="10"/>
      <c r="L328" s="10">
        <f t="shared" si="27"/>
        <v>0</v>
      </c>
      <c r="M328" s="10"/>
      <c r="N328" s="10">
        <f t="shared" si="28"/>
        <v>0</v>
      </c>
      <c r="O328" s="10"/>
      <c r="P328" s="10">
        <f t="shared" si="29"/>
        <v>0</v>
      </c>
      <c r="Q328" s="21"/>
    </row>
    <row r="329" spans="4:17" ht="23.1" customHeight="1">
      <c r="D329" s="21"/>
      <c r="E329" s="21"/>
      <c r="F329" s="7"/>
      <c r="G329" s="23"/>
      <c r="H329" s="10"/>
      <c r="I329" s="10">
        <f t="shared" si="26"/>
        <v>0</v>
      </c>
      <c r="J329" s="10"/>
      <c r="K329" s="10"/>
      <c r="L329" s="10">
        <f t="shared" si="27"/>
        <v>0</v>
      </c>
      <c r="M329" s="10"/>
      <c r="N329" s="10">
        <f t="shared" si="28"/>
        <v>0</v>
      </c>
      <c r="O329" s="10"/>
      <c r="P329" s="10">
        <f t="shared" si="29"/>
        <v>0</v>
      </c>
      <c r="Q329" s="21"/>
    </row>
    <row r="330" spans="4:17" ht="23.1" customHeight="1">
      <c r="D330" s="21"/>
      <c r="E330" s="21"/>
      <c r="F330" s="7"/>
      <c r="G330" s="23"/>
      <c r="H330" s="10"/>
      <c r="I330" s="10">
        <f t="shared" si="26"/>
        <v>0</v>
      </c>
      <c r="J330" s="10"/>
      <c r="K330" s="10"/>
      <c r="L330" s="10">
        <f t="shared" si="27"/>
        <v>0</v>
      </c>
      <c r="M330" s="10"/>
      <c r="N330" s="10">
        <f t="shared" si="28"/>
        <v>0</v>
      </c>
      <c r="O330" s="10"/>
      <c r="P330" s="10">
        <f t="shared" si="29"/>
        <v>0</v>
      </c>
      <c r="Q330" s="21"/>
    </row>
    <row r="331" spans="4:17" ht="23.1" customHeight="1">
      <c r="D331" s="21"/>
      <c r="E331" s="21"/>
      <c r="F331" s="7"/>
      <c r="G331" s="23"/>
      <c r="H331" s="10"/>
      <c r="I331" s="10">
        <f t="shared" si="26"/>
        <v>0</v>
      </c>
      <c r="J331" s="10"/>
      <c r="K331" s="10"/>
      <c r="L331" s="10">
        <f t="shared" si="27"/>
        <v>0</v>
      </c>
      <c r="M331" s="10"/>
      <c r="N331" s="10">
        <f t="shared" si="28"/>
        <v>0</v>
      </c>
      <c r="O331" s="10"/>
      <c r="P331" s="10">
        <f t="shared" si="29"/>
        <v>0</v>
      </c>
      <c r="Q331" s="21"/>
    </row>
    <row r="332" spans="4:17" ht="23.1" customHeight="1">
      <c r="D332" s="21"/>
      <c r="E332" s="21"/>
      <c r="F332" s="7"/>
      <c r="G332" s="23"/>
      <c r="H332" s="10"/>
      <c r="I332" s="10">
        <f t="shared" si="26"/>
        <v>0</v>
      </c>
      <c r="J332" s="10"/>
      <c r="K332" s="10"/>
      <c r="L332" s="10">
        <f t="shared" si="27"/>
        <v>0</v>
      </c>
      <c r="M332" s="10"/>
      <c r="N332" s="10">
        <f t="shared" si="28"/>
        <v>0</v>
      </c>
      <c r="O332" s="10"/>
      <c r="P332" s="10">
        <f t="shared" si="29"/>
        <v>0</v>
      </c>
      <c r="Q332" s="21"/>
    </row>
    <row r="333" spans="4:17" ht="23.1" customHeight="1">
      <c r="D333" s="21"/>
      <c r="E333" s="21"/>
      <c r="F333" s="7"/>
      <c r="G333" s="23"/>
      <c r="H333" s="10"/>
      <c r="I333" s="10">
        <f t="shared" si="26"/>
        <v>0</v>
      </c>
      <c r="J333" s="10"/>
      <c r="K333" s="10"/>
      <c r="L333" s="10">
        <f t="shared" si="27"/>
        <v>0</v>
      </c>
      <c r="M333" s="10"/>
      <c r="N333" s="10">
        <f t="shared" si="28"/>
        <v>0</v>
      </c>
      <c r="O333" s="10"/>
      <c r="P333" s="10">
        <f t="shared" si="29"/>
        <v>0</v>
      </c>
      <c r="Q333" s="21"/>
    </row>
    <row r="334" spans="4:17" ht="23.1" customHeight="1">
      <c r="D334" s="21"/>
      <c r="E334" s="21"/>
      <c r="F334" s="7"/>
      <c r="G334" s="23"/>
      <c r="H334" s="10"/>
      <c r="I334" s="10">
        <f t="shared" si="26"/>
        <v>0</v>
      </c>
      <c r="J334" s="10"/>
      <c r="K334" s="10"/>
      <c r="L334" s="10">
        <f t="shared" si="27"/>
        <v>0</v>
      </c>
      <c r="M334" s="10"/>
      <c r="N334" s="10">
        <f t="shared" si="28"/>
        <v>0</v>
      </c>
      <c r="O334" s="10"/>
      <c r="P334" s="10">
        <f t="shared" si="29"/>
        <v>0</v>
      </c>
      <c r="Q334" s="21"/>
    </row>
    <row r="335" spans="4:17" ht="23.1" customHeight="1">
      <c r="D335" s="21"/>
      <c r="E335" s="21"/>
      <c r="F335" s="7"/>
      <c r="G335" s="23"/>
      <c r="H335" s="10"/>
      <c r="I335" s="10">
        <f t="shared" si="26"/>
        <v>0</v>
      </c>
      <c r="J335" s="10"/>
      <c r="K335" s="10"/>
      <c r="L335" s="10">
        <f t="shared" si="27"/>
        <v>0</v>
      </c>
      <c r="M335" s="10"/>
      <c r="N335" s="10">
        <f t="shared" si="28"/>
        <v>0</v>
      </c>
      <c r="O335" s="10"/>
      <c r="P335" s="10">
        <f t="shared" si="29"/>
        <v>0</v>
      </c>
      <c r="Q335" s="21"/>
    </row>
    <row r="336" spans="4:17" ht="23.1" customHeight="1">
      <c r="D336" s="21"/>
      <c r="E336" s="21"/>
      <c r="F336" s="7"/>
      <c r="G336" s="23"/>
      <c r="H336" s="10"/>
      <c r="I336" s="10">
        <f t="shared" si="26"/>
        <v>0</v>
      </c>
      <c r="J336" s="10"/>
      <c r="K336" s="10"/>
      <c r="L336" s="10">
        <f t="shared" si="27"/>
        <v>0</v>
      </c>
      <c r="M336" s="10"/>
      <c r="N336" s="10">
        <f t="shared" si="28"/>
        <v>0</v>
      </c>
      <c r="O336" s="10"/>
      <c r="P336" s="10">
        <f t="shared" si="29"/>
        <v>0</v>
      </c>
      <c r="Q336" s="21"/>
    </row>
    <row r="337" spans="2:17" ht="23.1" customHeight="1">
      <c r="D337" s="21"/>
      <c r="E337" s="21"/>
      <c r="F337" s="7"/>
      <c r="G337" s="23"/>
      <c r="H337" s="10"/>
      <c r="I337" s="10">
        <f t="shared" si="26"/>
        <v>0</v>
      </c>
      <c r="J337" s="10"/>
      <c r="K337" s="10"/>
      <c r="L337" s="10">
        <f t="shared" si="27"/>
        <v>0</v>
      </c>
      <c r="M337" s="10"/>
      <c r="N337" s="10">
        <f t="shared" si="28"/>
        <v>0</v>
      </c>
      <c r="O337" s="10"/>
      <c r="P337" s="10">
        <f t="shared" si="29"/>
        <v>0</v>
      </c>
      <c r="Q337" s="21"/>
    </row>
    <row r="338" spans="2:17" ht="23.1" customHeight="1">
      <c r="D338" s="21"/>
      <c r="E338" s="21"/>
      <c r="F338" s="7"/>
      <c r="G338" s="23"/>
      <c r="H338" s="10"/>
      <c r="I338" s="10">
        <f t="shared" si="26"/>
        <v>0</v>
      </c>
      <c r="J338" s="10"/>
      <c r="K338" s="10"/>
      <c r="L338" s="10">
        <f t="shared" si="27"/>
        <v>0</v>
      </c>
      <c r="M338" s="10"/>
      <c r="N338" s="10">
        <f t="shared" si="28"/>
        <v>0</v>
      </c>
      <c r="O338" s="10"/>
      <c r="P338" s="10">
        <f t="shared" si="29"/>
        <v>0</v>
      </c>
      <c r="Q338" s="21"/>
    </row>
    <row r="339" spans="2:17" ht="23.1" customHeight="1">
      <c r="D339" s="21"/>
      <c r="E339" s="21"/>
      <c r="F339" s="7"/>
      <c r="G339" s="23"/>
      <c r="H339" s="10"/>
      <c r="I339" s="10">
        <f t="shared" si="26"/>
        <v>0</v>
      </c>
      <c r="J339" s="10"/>
      <c r="K339" s="10"/>
      <c r="L339" s="10">
        <f t="shared" si="27"/>
        <v>0</v>
      </c>
      <c r="M339" s="10"/>
      <c r="N339" s="10">
        <f t="shared" si="28"/>
        <v>0</v>
      </c>
      <c r="O339" s="10"/>
      <c r="P339" s="10">
        <f t="shared" si="29"/>
        <v>0</v>
      </c>
      <c r="Q339" s="21"/>
    </row>
    <row r="340" spans="2:17" ht="23.1" customHeight="1">
      <c r="D340" s="21"/>
      <c r="E340" s="21"/>
      <c r="F340" s="7"/>
      <c r="G340" s="23"/>
      <c r="H340" s="10"/>
      <c r="I340" s="10">
        <f t="shared" si="26"/>
        <v>0</v>
      </c>
      <c r="J340" s="10"/>
      <c r="K340" s="10"/>
      <c r="L340" s="10">
        <f t="shared" si="27"/>
        <v>0</v>
      </c>
      <c r="M340" s="10"/>
      <c r="N340" s="10">
        <f t="shared" si="28"/>
        <v>0</v>
      </c>
      <c r="O340" s="10"/>
      <c r="P340" s="10">
        <f t="shared" si="29"/>
        <v>0</v>
      </c>
      <c r="Q340" s="21"/>
    </row>
    <row r="341" spans="2:17" ht="23.1" customHeight="1">
      <c r="B341" s="16" t="s">
        <v>489</v>
      </c>
      <c r="D341" s="21" t="s">
        <v>490</v>
      </c>
      <c r="E341" s="21"/>
      <c r="F341" s="7"/>
      <c r="G341" s="23"/>
      <c r="H341" s="10"/>
      <c r="I341" s="10" t="e">
        <f>TRUNC(SUM(I316:I340))</f>
        <v>#REF!</v>
      </c>
      <c r="J341" s="10"/>
      <c r="K341" s="10"/>
      <c r="L341" s="10" t="e">
        <f>TRUNC(SUM(L316:L340))</f>
        <v>#REF!</v>
      </c>
      <c r="M341" s="10"/>
      <c r="N341" s="10" t="e">
        <f>TRUNC(SUM(N316:N340))</f>
        <v>#REF!</v>
      </c>
      <c r="O341" s="10"/>
      <c r="P341" s="10" t="e">
        <f>TRUNC(SUM(P316:P340))</f>
        <v>#REF!</v>
      </c>
      <c r="Q341" s="21"/>
    </row>
  </sheetData>
  <mergeCells count="22">
    <mergeCell ref="A2:A3"/>
    <mergeCell ref="B2:B3"/>
    <mergeCell ref="C2:C3"/>
    <mergeCell ref="W1:Y1"/>
    <mergeCell ref="E2:E3"/>
    <mergeCell ref="D2:D3"/>
    <mergeCell ref="J2:L2"/>
    <mergeCell ref="M2:N2"/>
    <mergeCell ref="G2:G3"/>
    <mergeCell ref="H2:I2"/>
    <mergeCell ref="P2:P3"/>
    <mergeCell ref="F2:F3"/>
    <mergeCell ref="Q2:Q3"/>
    <mergeCell ref="D1:Q1"/>
    <mergeCell ref="D212:Q212"/>
    <mergeCell ref="D264:Q264"/>
    <mergeCell ref="D316:Q316"/>
    <mergeCell ref="D4:Q4"/>
    <mergeCell ref="D56:Q56"/>
    <mergeCell ref="D108:Q108"/>
    <mergeCell ref="D134:Q134"/>
    <mergeCell ref="D186:Q186"/>
  </mergeCells>
  <phoneticPr fontId="2" type="noConversion"/>
  <printOptions horizontalCentered="1" verticalCentered="1"/>
  <pageMargins left="0.74803149606299213" right="0.35433070866141736" top="0.59055118110236227" bottom="0.59055118110236227" header="0.51181102362204722" footer="0.47244094488188981"/>
  <pageSetup paperSize="9" scale="7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5</vt:i4>
      </vt:variant>
    </vt:vector>
  </HeadingPairs>
  <TitlesOfParts>
    <vt:vector size="8" baseType="lpstr">
      <vt:lpstr>원가</vt:lpstr>
      <vt:lpstr>총괄표</vt:lpstr>
      <vt:lpstr>내역서</vt:lpstr>
      <vt:lpstr>내역서!Print_Area</vt:lpstr>
      <vt:lpstr>원가!Print_Area</vt:lpstr>
      <vt:lpstr>총괄표!Print_Area</vt:lpstr>
      <vt:lpstr>내역서!Print_Titles</vt:lpstr>
      <vt:lpstr>총괄표!Print_Titles</vt:lpstr>
    </vt:vector>
  </TitlesOfParts>
  <Company>이지테크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이지테크</dc:creator>
  <cp:lastModifiedBy>김찬식 초록마을</cp:lastModifiedBy>
  <cp:lastPrinted>2026-04-20T08:45:44Z</cp:lastPrinted>
  <dcterms:created xsi:type="dcterms:W3CDTF">2002-09-09T02:35:17Z</dcterms:created>
  <dcterms:modified xsi:type="dcterms:W3CDTF">2026-06-19T06:00:33Z</dcterms:modified>
</cp:coreProperties>
</file>